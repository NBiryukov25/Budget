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Flow'!$A$1:$K$336</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<sst xmlns="http://schemas.openxmlformats.org/spreadsheetml/2006/main" count="400" uniqueCount="177">
  <si>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</si>
  <si>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</si>
  <si>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</si>
  <si>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</si>
  <si>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</si>
  <si>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</si>
  <si>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</si>
  <si>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</si>
  <si>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</si>
  <si>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</si>
  <si>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</si>
  <si>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</si>
  <si>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</si>
  <si>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</si>
  <si>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</si>
  <si>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</si>
  <si>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</si>
  <si>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</si>
  <si>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</si>
  <si>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</si>
  <si>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</si>
  <si>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</si>
  <si>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</si>
  <si>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</si>
  <si>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</si>
  <si>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</si>
  <si>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</si>
  <si>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</si>
  <si>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</si>
  <si>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</si>
  <si>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</si>
  <si>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</si>
  <si>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</si>
  <si>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</si>
  <si>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</si>
  <si>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</si>
  <si>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</si>
  <si>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</si>
  <si>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</si>
  <si>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</si>
  <si>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</si>
  <si>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</si>
  <si>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</si>
  <si>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</si>
  <si>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</si>
  <si>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</si>
  <si>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</si>
  <si>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</si>
  <si>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</si>
  <si>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</si>
  <si>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</si>
  <si>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</si>
  <si>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</si>
  <si>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</si>
  <si>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</si>
  <si>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</si>
  <si>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</si>
  <si>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</si>
  <si>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</si>
  <si>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</si>
  <si>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</si>
  <si>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</si>
  <si>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</si>
  <si>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</si>
  <si>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</si>
  <si>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</si>
  <si>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</si>
  <si>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</si>
  <si>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</si>
  <si>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</si>
  <si>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</si>
  <si>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</si>
  <si>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</si>
  <si>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</si>
  <si>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</si>
  <si>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</si>
  <si>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</si>
  <si>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</si>
  <si>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</si>
  <si>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</si>
  <si>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</si>
  <si>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</si>
  <si>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</si>
  <si>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</si>
  <si>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</si>
  <si>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</si>
  <si>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</si>
  <si>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</si>
  <si>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</si>
  <si>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</si>
  <si>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</si>
  <si>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</si>
  <si>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</si>
  <si>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</si>
  <si>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</si>
  <si>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</si>
  <si>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</si>
  <si>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</si>
  <si>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</si>
  <si>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</si>
  <si>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</si>
  <si>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</si>
  <si>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</si>
  <si>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</si>
  <si>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</si>
  <si>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</si>
  <si>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</si>
  <si>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</si>
  <si>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</si>
  <si>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</si>
  <si>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</si>
  <si>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</si>
  <si>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</si>
  <si>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</si>
  <si>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</si>
  <si>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</si>
  <si>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</si>
  <si>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</si>
  <si>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</si>
  <si>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</si>
  <si>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</si>
  <si>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</si>
  <si>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</si>
  <si>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</si>
  <si>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</si>
  <si>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</si>
  <si>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</si>
  <si>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</si>
  <si>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Anthropic</t>
  </si>
  <si>
    <t xml:space="preserve">Medication</t>
  </si>
  <si>
    <t xml:space="preserve">Hannaford Supermarket</t>
  </si>
  <si>
    <t xml:space="preserve">Market Basket</t>
  </si>
  <si>
    <t xml:space="preserve">7-Eleven</t>
  </si>
  <si>
    <t xml:space="preserve">Shell (2 charges)</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</si>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</sst>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46246</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46248</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46238</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46239</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46239</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46247</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46248</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74.6" hidden="false" customHeight="false" outlineLevel="0" collapsed="false">
      <c r="B36" s="14" t="s">
        <v>109</v>
      </c>
    </row>
    <row r="37" customFormat="false" ht="32.8" hidden="false" customHeight="fals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3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52"/>
    <col collapsed="false" customWidth="true" hidden="true" outlineLevel="0" max="12" min="12" style="0" width="10"/>
    <col collapsed="false" customWidth="true" hidden="true" outlineLevel="0" max="13" min="13" style="0" width="8"/>
  </cols>
  <sheetData>
    <row r="1" customFormat="false" ht="19.7" hidden="false" customHeight="fals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f aca="false">0.18+21.21+20+10</f>
        <v>51.39</v>
      </c>
    </row>
    <row r="6" customFormat="false" ht="15" hidden="false" customHeight="false" outlineLevel="0" collapsed="false">
      <c r="B6" s="12" t="s">
        <v>115</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46246</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120</v>
      </c>
      <c r="H13" s="32"/>
      <c r="I13" s="34" t="n">
        <f aca="false">$E$5</f>
        <v>51.39</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t="n">
        <v>21.1</v>
      </c>
      <c r="G15" s="43" t="str">
        <f aca="false">IF($B15="","",IF($D15="Income",IF($F15&lt;&gt;"",$F15,$E15),""))</f>
        <v/>
      </c>
      <c r="H15" s="44" t="n">
        <f aca="false">IF($B15="","",IF($D15="Income","",IF($F15&lt;&gt;"",$F15,$E15)))</f>
        <v>21.1</v>
      </c>
      <c r="I15" s="45" t="n">
        <f aca="false">IF($B15="","",$I$13+SUMIFS($G$15:$G$35,$M$15:$M$35,"&lt;="&amp;$M15)-SUMIFS($H$15:$H$35,$M$15:$M$35,"&lt;="&amp;$M15))</f>
        <v>30.29</v>
      </c>
      <c r="J15" s="46" t="str">
        <f aca="true">IF($B15="","",IF($F15&lt;&gt;"",IF($C15&gt;TODAY(),"ADJUSTED","PAID"),IF($C15&lt;TODAY(),"PAST DUE",IF($C15&lt;=TODAY()+7,"DUE","Upcoming"))))</f>
        <v>PAID</v>
      </c>
      <c r="L15" s="47" t="n">
        <f aca="false">IF($B15="","",$C15)</f>
        <v>46238</v>
      </c>
      <c r="M15" s="48" t="n">
        <f aca="false">IF($L15="","",COUNTIFS($L$15:$L$35,"&lt;"&amp;$L15)+COUNTIFS($L$15:$L15,$L15))</f>
        <v>1</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t="n">
        <v>20</v>
      </c>
      <c r="G16" s="43" t="str">
        <f aca="false">IF($B16="","",IF($D16="Income",IF($F16&lt;&gt;"",$F16,$E16),""))</f>
        <v/>
      </c>
      <c r="H16" s="44" t="n">
        <f aca="false">IF($B16="","",IF($D16="Income","",IF($F16&lt;&gt;"",$F16,$E16)))</f>
        <v>20</v>
      </c>
      <c r="I16" s="45" t="n">
        <f aca="false">IF($B16="","",$I$13+SUMIFS($G$15:$G$35,$M$15:$M$35,"&lt;="&amp;$M16)-SUMIFS($H$15:$H$35,$M$15:$M$35,"&lt;="&amp;$M16))</f>
        <v>10.29</v>
      </c>
      <c r="J16" s="46" t="str">
        <f aca="true">IF($B16="","",IF($F16&lt;&gt;"",IF($C16&gt;TODAY(),"ADJUSTED","PAID"),IF($C16&lt;TODAY(),"PAST DUE",IF($C16&lt;=TODAY()+7,"DUE","Upcoming"))))</f>
        <v>PAID</v>
      </c>
      <c r="L16" s="47" t="n">
        <f aca="false">IF($B16="","",$C16)</f>
        <v>46239</v>
      </c>
      <c r="M16" s="48" t="n">
        <f aca="false">IF($L16="","",COUNTIFS($L$15:$L$35,"&lt;"&amp;$L16)+COUNTIFS($L$15:$L16,$L16))</f>
        <v>2</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t="n">
        <v>10</v>
      </c>
      <c r="G17" s="43" t="str">
        <f aca="false">IF($B17="","",IF($D17="Income",IF($F17&lt;&gt;"",$F17,$E17),""))</f>
        <v/>
      </c>
      <c r="H17" s="44" t="n">
        <f aca="false">IF($B17="","",IF($D17="Income","",IF($F17&lt;&gt;"",$F17,$E17)))</f>
        <v>10</v>
      </c>
      <c r="I17" s="45" t="n">
        <f aca="false">IF($B17="","",$I$13+SUMIFS($G$15:$G$35,$M$15:$M$35,"&lt;="&amp;$M17)-SUMIFS($H$15:$H$35,$M$15:$M$35,"&lt;="&amp;$M17))</f>
        <v>0.289999999999999</v>
      </c>
      <c r="J17" s="46" t="str">
        <f aca="true">IF($B17="","",IF($F17&lt;&gt;"",IF($C17&gt;TODAY(),"ADJUSTED","PAID"),IF($C17&lt;TODAY(),"PAST DUE",IF($C17&lt;=TODAY()+7,"DUE","Upcoming"))))</f>
        <v>PAID</v>
      </c>
      <c r="L17" s="47" t="n">
        <f aca="false">IF($B17="","",$C17)</f>
        <v>46239</v>
      </c>
      <c r="M17" s="48" t="n">
        <f aca="false">IF($L17="","",COUNTIFS($L$15:$L$35,"&lt;"&amp;$L17)+COUNTIFS($L$15:$L17,$L17))</f>
        <v>3</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t="n">
        <v>232.63</v>
      </c>
      <c r="G18" s="43" t="n">
        <f aca="false">IF($B18="","",IF($D18="Income",IF($F18&lt;&gt;"",$F18,$E18),""))</f>
        <v>232.63</v>
      </c>
      <c r="H18" s="44" t="str">
        <f aca="false">IF($B18="","",IF($D18="Income","",IF($F18&lt;&gt;"",$F18,$E18)))</f>
        <v/>
      </c>
      <c r="I18" s="45" t="n">
        <f aca="false">IF($B18="","",$I$13+SUMIFS($G$15:$G$35,$M$15:$M$35,"&lt;="&amp;$M18)-SUMIFS($H$15:$H$35,$M$15:$M$35,"&lt;="&amp;$M18))</f>
        <v>181.17</v>
      </c>
      <c r="J18" s="46" t="str">
        <f aca="true">IF($B18="","",IF($F18&lt;&gt;"",IF($C18&gt;TODAY(),"ADJUSTED","PAID"),IF($C18&lt;TODAY(),"PAST DUE",IF($C18&lt;=TODAY()+7,"DUE","Upcoming"))))</f>
        <v>PAID</v>
      </c>
      <c r="L18" s="47" t="n">
        <f aca="false">IF($B18="","",$C18)</f>
        <v>46246</v>
      </c>
      <c r="M18" s="48" t="n">
        <f aca="false">IF($L18="","",COUNTIFS($L$15:$L$35,"&lt;"&amp;$L18)+COUNTIFS($L$15:$L18,$L18))</f>
        <v>9</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IF($B19="","",$I$13+SUMIFS($G$15:$G$35,$M$15:$M$35,"&lt;="&amp;$M19)-SUMIFS($H$15:$H$35,$M$15:$M$35,"&lt;="&amp;$M19))</f>
        <v>58.18</v>
      </c>
      <c r="J19" s="46" t="str">
        <f aca="true">IF($B19="","",IF($F19&lt;&gt;"",IF($C19&gt;TODAY(),"ADJUSTED","PAID"),IF($C19&lt;TODAY(),"PAST DUE",IF($C19&lt;=TODAY()+7,"DUE","Upcoming"))))</f>
        <v>DUE</v>
      </c>
      <c r="L19" s="47" t="n">
        <f aca="false">IF($B19="","",$C19)</f>
        <v>46247</v>
      </c>
      <c r="M19" s="48" t="n">
        <f aca="false">IF($L19="","",COUNTIFS($L$15:$L$35,"&lt;"&amp;$L19)+COUNTIFS($L$15:$L19,$L19))</f>
        <v>11</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IF($B20="","",$I$13+SUMIFS($G$15:$G$35,$M$15:$M$35,"&lt;="&amp;$M20)-SUMIFS($H$15:$H$35,$M$15:$M$35,"&lt;="&amp;$M20))</f>
        <v/>
      </c>
      <c r="J20" s="46" t="str">
        <f aca="true">IF($B20="","",IF($F20&lt;&gt;"",IF($C20&gt;TODAY(),"ADJUSTED","PAID"),IF($C20&lt;TODAY(),"PAST DUE",IF($C20&lt;=TODAY()+7,"DUE","Upcoming"))))</f>
        <v/>
      </c>
      <c r="L20" s="0" t="str">
        <f aca="false">IF($B20="","",$C20)</f>
        <v/>
      </c>
      <c r="M20" s="0" t="str">
        <f aca="false">IF($L20="","",COUNTIFS($L$15:$L$35,"&lt;"&amp;$L20)+COUNTIFS($L$15:$L20,$L20))</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IF($B21="","",$I$13+SUMIFS($G$15:$G$35,$M$15:$M$35,"&lt;="&amp;$M21)-SUMIFS($H$15:$H$35,$M$15:$M$35,"&lt;="&amp;$M21))</f>
        <v/>
      </c>
      <c r="J21" s="46" t="str">
        <f aca="true">IF($B21="","",IF($F21&lt;&gt;"",IF($C21&gt;TODAY(),"ADJUSTED","PAID"),IF($C21&lt;TODAY(),"PAST DUE",IF($C21&lt;=TODAY()+7,"DUE","Upcoming"))))</f>
        <v/>
      </c>
      <c r="L21" s="0" t="str">
        <f aca="false">IF($B21="","",$C21)</f>
        <v/>
      </c>
      <c r="M21" s="0" t="str">
        <f aca="false">IF($L21="","",COUNTIFS($L$15:$L$35,"&lt;"&amp;$L21)+COUNTIFS($L$15:$L21,$L21))</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IF($B22="","",$I$13+SUMIFS($G$15:$G$35,$M$15:$M$35,"&lt;="&amp;$M22)-SUMIFS($H$15:$H$35,$M$15:$M$35,"&lt;="&amp;$M22))</f>
        <v/>
      </c>
      <c r="J22" s="46" t="str">
        <f aca="true">IF($B22="","",IF($F22&lt;&gt;"",IF($C22&gt;TODAY(),"ADJUSTED","PAID"),IF($C22&lt;TODAY(),"PAST DUE",IF($C22&lt;=TODAY()+7,"DUE","Upcoming"))))</f>
        <v/>
      </c>
      <c r="L22" s="0" t="str">
        <f aca="false">IF($B22="","",$C22)</f>
        <v/>
      </c>
      <c r="M22" s="0" t="str">
        <f aca="false">IF($L22="","",COUNTIFS($L$15:$L$35,"&lt;"&amp;$L22)+COUNTIFS($L$15:$L22,$L22))</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IF($B23="","",$I$13+SUMIFS($G$15:$G$35,$M$15:$M$35,"&lt;="&amp;$M23)-SUMIFS($H$15:$H$35,$M$15:$M$35,"&lt;="&amp;$M23))</f>
        <v/>
      </c>
      <c r="J23" s="46" t="str">
        <f aca="true">IF($B23="","",IF($F23&lt;&gt;"",IF($C23&gt;TODAY(),"ADJUSTED","PAID"),IF($C23&lt;TODAY(),"PAST DUE",IF($C23&lt;=TODAY()+7,"DUE","Upcoming"))))</f>
        <v/>
      </c>
      <c r="L23" s="0" t="str">
        <f aca="false">IF($B23="","",$C23)</f>
        <v/>
      </c>
      <c r="M23" s="0" t="str">
        <f aca="false">IF($L23="","",COUNTIFS($L$15:$L$35,"&lt;"&amp;$L23)+COUNTIFS($L$15:$L23,$L23))</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IF($B24="","",$I$13+SUMIFS($G$15:$G$35,$M$15:$M$35,"&lt;="&amp;$M24)-SUMIFS($H$15:$H$35,$M$15:$M$35,"&lt;="&amp;$M24))</f>
        <v/>
      </c>
      <c r="J24" s="46" t="str">
        <f aca="true">IF($B24="","",IF($F24&lt;&gt;"",IF($C24&gt;TODAY(),"ADJUSTED","PAID"),IF($C24&lt;TODAY(),"PAST DUE",IF($C24&lt;=TODAY()+7,"DUE","Upcoming"))))</f>
        <v/>
      </c>
      <c r="L24" s="0" t="str">
        <f aca="false">IF($B24="","",$C24)</f>
        <v/>
      </c>
      <c r="M24" s="0" t="str">
        <f aca="false">IF($L24="","",COUNTIFS($L$15:$L$35,"&lt;"&amp;$L24)+COUNTIFS($L$15:$L24,$L24))</f>
        <v/>
      </c>
    </row>
    <row r="25" customFormat="false" ht="15" hidden="false" customHeight="false" outlineLevel="0" collapsed="false">
      <c r="B25" s="49" t="s">
        <v>127</v>
      </c>
      <c r="C25" s="50"/>
      <c r="D25" s="50"/>
      <c r="E25" s="50"/>
      <c r="F25" s="50"/>
      <c r="G25" s="50"/>
      <c r="H25" s="50"/>
      <c r="I25" s="50"/>
      <c r="J25" s="50"/>
    </row>
    <row r="26" customFormat="false" ht="15" hidden="false" customHeight="false" outlineLevel="0" collapsed="false">
      <c r="B26" s="6" t="s">
        <v>128</v>
      </c>
      <c r="C26" s="51" t="n">
        <v>46242</v>
      </c>
      <c r="D26" s="52" t="str">
        <f aca="false">IF($B26="","","Expense")</f>
        <v>Expense</v>
      </c>
      <c r="E26" s="18" t="n">
        <v>6</v>
      </c>
      <c r="F26" s="10"/>
      <c r="G26" s="10"/>
      <c r="H26" s="53" t="n">
        <f aca="false">IF($B26="","",N($E26))</f>
        <v>6</v>
      </c>
      <c r="I26" s="54" t="n">
        <f aca="false">IF($B26="","",$I$13+SUMIFS($G$15:$G$35,$M$15:$M$35,"&lt;="&amp;$M26)-SUMIFS($H$15:$H$35,$M$15:$M$35,"&lt;="&amp;$M26))</f>
        <v>-5.71</v>
      </c>
      <c r="J26" s="10"/>
      <c r="L26" s="47" t="n">
        <f aca="false">IF($B26="","",IF($C26="",$E$6+6,$C26))</f>
        <v>46242</v>
      </c>
      <c r="M26" s="48" t="n">
        <f aca="false">IF($L26="","",COUNTIFS($L$15:$L$35,"&lt;"&amp;$L26)+COUNTIFS($L$15:$L26,$L26))</f>
        <v>4</v>
      </c>
    </row>
    <row r="27" customFormat="false" ht="15" hidden="false" customHeight="false" outlineLevel="0" collapsed="false">
      <c r="B27" s="6" t="s">
        <v>129</v>
      </c>
      <c r="C27" s="51" t="n">
        <v>46246</v>
      </c>
      <c r="D27" s="52" t="str">
        <f aca="false">IF($B27="","","Expense")</f>
        <v>Expense</v>
      </c>
      <c r="E27" s="18" t="n">
        <v>120</v>
      </c>
      <c r="F27" s="10"/>
      <c r="G27" s="10"/>
      <c r="H27" s="53" t="n">
        <f aca="false">IF($B27="","",N($E27))</f>
        <v>120</v>
      </c>
      <c r="I27" s="54" t="n">
        <f aca="false">IF($B27="","",$I$13+SUMIFS($G$15:$G$35,$M$15:$M$35,"&lt;="&amp;$M27)-SUMIFS($H$15:$H$35,$M$15:$M$35,"&lt;="&amp;$M27))</f>
        <v>61.17</v>
      </c>
      <c r="J27" s="10"/>
      <c r="L27" s="47" t="n">
        <f aca="false">IF($B27="","",IF($C27="",$E$6+6,$C27))</f>
        <v>46246</v>
      </c>
      <c r="M27" s="48" t="n">
        <f aca="false">IF($L27="","",COUNTIFS($L$15:$L$35,"&lt;"&amp;$L27)+COUNTIFS($L$15:$L27,$L27))</f>
        <v>10</v>
      </c>
    </row>
    <row r="28" customFormat="false" ht="15" hidden="false" customHeight="false" outlineLevel="0" collapsed="false">
      <c r="B28" s="6" t="s">
        <v>130</v>
      </c>
      <c r="C28" s="51" t="n">
        <v>46245</v>
      </c>
      <c r="D28" s="52" t="str">
        <f aca="false">IF($B28="","","Expense")</f>
        <v>Expense</v>
      </c>
      <c r="E28" s="18" t="n">
        <v>4.83</v>
      </c>
      <c r="F28" s="10"/>
      <c r="G28" s="10"/>
      <c r="H28" s="53" t="n">
        <f aca="false">IF($B28="","",N($E28))</f>
        <v>4.83</v>
      </c>
      <c r="I28" s="54" t="n">
        <f aca="false">IF($B28="","",$I$13+SUMIFS($G$15:$G$35,$M$15:$M$35,"&lt;="&amp;$M28)-SUMIFS($H$15:$H$35,$M$15:$M$35,"&lt;="&amp;$M28))</f>
        <v>-10.54</v>
      </c>
      <c r="J28" s="10"/>
      <c r="L28" s="47" t="n">
        <f aca="false">IF($B28="","",IF($C28="",$E$6+6,$C28))</f>
        <v>46245</v>
      </c>
      <c r="M28" s="48" t="n">
        <f aca="false">IF($L28="","",COUNTIFS($L$15:$L$35,"&lt;"&amp;$L28)+COUNTIFS($L$15:$L28,$L28))</f>
        <v>5</v>
      </c>
    </row>
    <row r="29" customFormat="false" ht="15" hidden="false" customHeight="false" outlineLevel="0" collapsed="false">
      <c r="B29" s="6" t="s">
        <v>131</v>
      </c>
      <c r="C29" s="51" t="n">
        <v>46245</v>
      </c>
      <c r="D29" s="52" t="str">
        <f aca="false">IF($B29="","","Expense")</f>
        <v>Expense</v>
      </c>
      <c r="E29" s="18" t="n">
        <v>21.43</v>
      </c>
      <c r="F29" s="10"/>
      <c r="G29" s="10"/>
      <c r="H29" s="53" t="n">
        <f aca="false">IF($B29="","",N($E29))</f>
        <v>21.43</v>
      </c>
      <c r="I29" s="54" t="n">
        <f aca="false">IF($B29="","",$I$13+SUMIFS($G$15:$G$35,$M$15:$M$35,"&lt;="&amp;$M29)-SUMIFS($H$15:$H$35,$M$15:$M$35,"&lt;="&amp;$M29))</f>
        <v>-31.97</v>
      </c>
      <c r="J29" s="10"/>
      <c r="L29" s="47" t="n">
        <f aca="false">IF($B29="","",IF($C29="",$E$6+6,$C29))</f>
        <v>46245</v>
      </c>
      <c r="M29" s="48" t="n">
        <f aca="false">IF($L29="","",COUNTIFS($L$15:$L$35,"&lt;"&amp;$L29)+COUNTIFS($L$15:$L29,$L29))</f>
        <v>6</v>
      </c>
    </row>
    <row r="30" customFormat="false" ht="15" hidden="false" customHeight="false" outlineLevel="0" collapsed="false">
      <c r="B30" s="6" t="s">
        <v>132</v>
      </c>
      <c r="C30" s="51" t="n">
        <v>46245</v>
      </c>
      <c r="D30" s="52" t="str">
        <f aca="false">IF($B30="","","Expense")</f>
        <v>Expense</v>
      </c>
      <c r="E30" s="18" t="n">
        <v>3.23</v>
      </c>
      <c r="F30" s="10"/>
      <c r="G30" s="10"/>
      <c r="H30" s="53" t="n">
        <f aca="false">IF($B30="","",N($E30))</f>
        <v>3.23</v>
      </c>
      <c r="I30" s="54" t="n">
        <f aca="false">IF($B30="","",$I$13+SUMIFS($G$15:$G$35,$M$15:$M$35,"&lt;="&amp;$M30)-SUMIFS($H$15:$H$35,$M$15:$M$35,"&lt;="&amp;$M30))</f>
        <v>-35.2</v>
      </c>
      <c r="J30" s="10"/>
      <c r="L30" s="47" t="n">
        <f aca="false">IF($B30="","",IF($C30="",$E$6+6,$C30))</f>
        <v>46245</v>
      </c>
      <c r="M30" s="48" t="n">
        <f aca="false">IF($L30="","",COUNTIFS($L$15:$L$35,"&lt;"&amp;$L30)+COUNTIFS($L$15:$L30,$L30))</f>
        <v>7</v>
      </c>
    </row>
    <row r="31" customFormat="false" ht="15" hidden="false" customHeight="false" outlineLevel="0" collapsed="false">
      <c r="B31" s="6" t="s">
        <v>133</v>
      </c>
      <c r="C31" s="51" t="n">
        <v>46245</v>
      </c>
      <c r="D31" s="52" t="str">
        <f aca="false">IF($B31="","","Expense")</f>
        <v>Expense</v>
      </c>
      <c r="E31" s="18" t="n">
        <v>16.26</v>
      </c>
      <c r="F31" s="10"/>
      <c r="G31" s="10"/>
      <c r="H31" s="53" t="n">
        <f aca="false">IF($B31="","",N($E31))</f>
        <v>16.26</v>
      </c>
      <c r="I31" s="54" t="n">
        <f aca="false">IF($B31="","",$I$13+SUMIFS($G$15:$G$35,$M$15:$M$35,"&lt;="&amp;$M31)-SUMIFS($H$15:$H$35,$M$15:$M$35,"&lt;="&amp;$M31))</f>
        <v>-51.46</v>
      </c>
      <c r="J31" s="10"/>
      <c r="L31" s="47" t="n">
        <f aca="false">IF($B31="","",IF($C31="",$E$6+6,$C31))</f>
        <v>46245</v>
      </c>
      <c r="M31" s="48" t="n">
        <f aca="false">IF($L31="","",COUNTIFS($L$15:$L$35,"&lt;"&amp;$L31)+COUNTIFS($L$15:$L31,$L31))</f>
        <v>8</v>
      </c>
    </row>
    <row r="32" customFormat="false" ht="15" hidden="false" customHeight="false" outlineLevel="0" collapsed="false">
      <c r="B32" s="6"/>
      <c r="C32" s="51"/>
      <c r="D32" s="52" t="str">
        <f aca="false">IF($B32="","","Expense")</f>
        <v/>
      </c>
      <c r="E32" s="18"/>
      <c r="F32" s="10"/>
      <c r="G32" s="10"/>
      <c r="H32" s="53" t="str">
        <f aca="false">IF($B32="","",N($E32))</f>
        <v/>
      </c>
      <c r="I32" s="54" t="str">
        <f aca="false">IF($B32="","",$I$13+SUMIFS($G$15:$G$35,$M$15:$M$35,"&lt;="&amp;$M32)-SUMIFS($H$15:$H$35,$M$15:$M$35,"&lt;="&amp;$M32))</f>
        <v/>
      </c>
      <c r="J32" s="10"/>
      <c r="L32" s="0" t="str">
        <f aca="false">IF($B32="","",IF($C32="",$E$6+6,$C32))</f>
        <v/>
      </c>
      <c r="M32" s="0" t="str">
        <f aca="false">IF($L32="","",COUNTIFS($L$15:$L$35,"&lt;"&amp;$L32)+COUNTIFS($L$15:$L32,$L32))</f>
        <v/>
      </c>
    </row>
    <row r="33" customFormat="false" ht="15" hidden="false" customHeight="false" outlineLevel="0" collapsed="false">
      <c r="B33" s="6"/>
      <c r="C33" s="51"/>
      <c r="D33" s="52" t="str">
        <f aca="false">IF($B33="","","Expense")</f>
        <v/>
      </c>
      <c r="E33" s="18"/>
      <c r="F33" s="10"/>
      <c r="G33" s="10"/>
      <c r="H33" s="53" t="str">
        <f aca="false">IF($B33="","",N($E33))</f>
        <v/>
      </c>
      <c r="I33" s="54" t="str">
        <f aca="false">IF($B33="","",$I$13+SUMIFS($G$15:$G$35,$M$15:$M$35,"&lt;="&amp;$M33)-SUMIFS($H$15:$H$35,$M$15:$M$35,"&lt;="&amp;$M33))</f>
        <v/>
      </c>
      <c r="J33" s="10"/>
      <c r="L33" s="0" t="str">
        <f aca="false">IF($B33="","",IF($C33="",$E$6+6,$C33))</f>
        <v/>
      </c>
      <c r="M33" s="0" t="str">
        <f aca="false">IF($L33="","",COUNTIFS($L$15:$L$35,"&lt;"&amp;$L33)+COUNTIFS($L$15:$L33,$L33))</f>
        <v/>
      </c>
    </row>
    <row r="34" customFormat="false" ht="15" hidden="false" customHeight="false" outlineLevel="0" collapsed="false">
      <c r="B34" s="6"/>
      <c r="C34" s="51"/>
      <c r="D34" s="52" t="str">
        <f aca="false">IF($B34="","","Expense")</f>
        <v/>
      </c>
      <c r="E34" s="18"/>
      <c r="F34" s="10"/>
      <c r="G34" s="10"/>
      <c r="H34" s="53" t="str">
        <f aca="false">IF($B34="","",N($E34))</f>
        <v/>
      </c>
      <c r="I34" s="54" t="str">
        <f aca="false">IF($B34="","",$I$13+SUMIFS($G$15:$G$35,$M$15:$M$35,"&lt;="&amp;$M34)-SUMIFS($H$15:$H$35,$M$15:$M$35,"&lt;="&amp;$M34))</f>
        <v/>
      </c>
      <c r="J34" s="10"/>
      <c r="L34" s="0" t="str">
        <f aca="false">IF($B34="","",IF($C34="",$E$6+6,$C34))</f>
        <v/>
      </c>
      <c r="M34" s="0" t="str">
        <f aca="false">IF($L34="","",COUNTIFS($L$15:$L$35,"&lt;"&amp;$L34)+COUNTIFS($L$15:$L34,$L34))</f>
        <v/>
      </c>
    </row>
    <row r="35" customFormat="false" ht="15" hidden="false" customHeight="false" outlineLevel="0" collapsed="false">
      <c r="B35" s="6"/>
      <c r="C35" s="51"/>
      <c r="D35" s="52" t="str">
        <f aca="false">IF($B35="","","Expense")</f>
        <v/>
      </c>
      <c r="E35" s="18"/>
      <c r="F35" s="10"/>
      <c r="G35" s="10"/>
      <c r="H35" s="53" t="str">
        <f aca="false">IF($B35="","",N($E35))</f>
        <v/>
      </c>
      <c r="I35" s="54" t="str">
        <f aca="false">IF($B35="","",$I$13+SUMIFS($G$15:$G$35,$M$15:$M$35,"&lt;="&amp;$M35)-SUMIFS($H$15:$H$35,$M$15:$M$35,"&lt;="&amp;$M35))</f>
        <v/>
      </c>
      <c r="J35" s="10"/>
      <c r="L35" s="0" t="str">
        <f aca="false">IF($B35="","",IF($C35="",$E$6+6,$C35))</f>
        <v/>
      </c>
      <c r="M35" s="0" t="str">
        <f aca="false">IF($L35="","",COUNTIFS($L$15:$L$35,"&lt;"&amp;$L35)+COUNTIFS($L$15:$L35,$L35))</f>
        <v/>
      </c>
    </row>
    <row r="36" customFormat="false" ht="15" hidden="false" customHeight="false" outlineLevel="0" collapsed="false">
      <c r="B36" s="55" t="s">
        <v>134</v>
      </c>
      <c r="C36" s="56"/>
      <c r="D36" s="56"/>
      <c r="E36" s="56"/>
      <c r="F36" s="56"/>
      <c r="G36" s="57" t="n">
        <f aca="false">SUM($G$15:$G$35)</f>
        <v>232.63</v>
      </c>
      <c r="H36" s="57" t="n">
        <f aca="false">SUM($H$15:$H$35)</f>
        <v>225.84</v>
      </c>
      <c r="I36" s="58" t="n">
        <f aca="false">$I$13+$G$36-$H$36</f>
        <v>58.18</v>
      </c>
      <c r="J36" s="59" t="str">
        <f aca="false">IF($I$36&lt;0,"SHORTFALL",IF($I$36&lt;$E$7,"TIGHT","OK"))</f>
        <v>TIGHT</v>
      </c>
      <c r="K36" s="60" t="str">
        <f aca="false">IF(COUNT($I$15:$I$35)=0,"","Lowest point this week: "&amp;TEXT(MIN($I$15:$I$35),"$#,##0.00;-$#,##0.00")&amp;" on "&amp;TEXT(INDEX($C$15:$C$35,MATCH(MIN($I$15:$I$35),$I$15:$I$35,0)),"ddd mmm d")&amp;"     (in "&amp;TEXT($G$36,"$#,##0.00")&amp;", out "&amp;TEXT($H$36,"$#,##0.00")&amp;")")</f>
        <v>Lowest point this week: -$51.46 on Tue Aug 11     (in $232.63, out $225.84)</v>
      </c>
    </row>
    <row r="38" customFormat="false" ht="21.75" hidden="false" customHeight="true" outlineLevel="0" collapsed="false">
      <c r="B38" s="31" t="str">
        <f aca="false">"WEEK 2     "&amp;TEXT($E$6+7,"ddd, mmm d")&amp;"   through   "&amp;TEXT($E$6+7+6,"ddd, mmm d, yyyy")</f>
        <v>WEEK 2     Fri, Aug 14   through   Thu, Aug 20, 2026</v>
      </c>
      <c r="C38" s="32"/>
      <c r="D38" s="32"/>
      <c r="E38" s="32"/>
      <c r="F38" s="32"/>
      <c r="G38" s="33" t="s">
        <v>120</v>
      </c>
      <c r="H38" s="32"/>
      <c r="I38" s="34" t="n">
        <f aca="false">$I$36</f>
        <v>58.18</v>
      </c>
      <c r="J38" s="32"/>
      <c r="K38" s="28" t="str">
        <f aca="false">IF(COUNTIF(Schedule!$I$4:$I$483,2)&gt;10,"! "&amp;COUNTIF(Schedule!$I$4:$I$483,2)-10&amp;" more transaction(s) fall in this week than there are rows to show them.","")</f>
        <v/>
      </c>
    </row>
    <row r="39" customFormat="false" ht="25.5" hidden="false" customHeight="true" outlineLevel="0" collapsed="false">
      <c r="B39" s="35" t="s">
        <v>121</v>
      </c>
      <c r="C39" s="35" t="s">
        <v>122</v>
      </c>
      <c r="D39" s="35" t="s">
        <v>72</v>
      </c>
      <c r="E39" s="35" t="s">
        <v>123</v>
      </c>
      <c r="F39" s="35" t="s">
        <v>124</v>
      </c>
      <c r="G39" s="36" t="s">
        <v>18</v>
      </c>
      <c r="H39" s="37" t="s">
        <v>20</v>
      </c>
      <c r="I39" s="35" t="s">
        <v>125</v>
      </c>
      <c r="J39" s="35" t="s">
        <v>126</v>
      </c>
    </row>
    <row r="40" customFormat="false" ht="15" hidden="false" customHeight="false" outlineLevel="0" collapsed="false">
      <c r="B40" s="38" t="str">
        <f aca="false">IFERROR(INDEX(Schedule!$C$4:$C$483,MATCH(2001,Schedule!$K$4:$K$483,0)),"")</f>
        <v>Compunnel Software (paycheck)</v>
      </c>
      <c r="C40" s="39" t="n">
        <f aca="false">IF($B40="","",INDEX(Schedule!$G$4:$G$483,MATCH(2001,Schedule!$K$4:$K$483,0)))</f>
        <v>46248</v>
      </c>
      <c r="D40" s="40" t="str">
        <f aca="false">IF($B40="","",INDEX(Schedule!$D$4:$D$483,MATCH(2001,Schedule!$K$4:$K$483,0)))</f>
        <v>Income</v>
      </c>
      <c r="E40" s="41" t="n">
        <f aca="false">IF($B40="","",INDEX(Schedule!$E$4:$E$483,MATCH(2001,Schedule!$K$4:$K$483,0)))</f>
        <v>790</v>
      </c>
      <c r="F40" s="42"/>
      <c r="G40" s="43" t="n">
        <f aca="false">IF($B40="","",IF($D40="Income",IF($F40&lt;&gt;"",$F40,$E40),""))</f>
        <v>790</v>
      </c>
      <c r="H40" s="44" t="str">
        <f aca="false">IF($B40="","",IF($D40="Income","",IF($F40&lt;&gt;"",$F40,$E40)))</f>
        <v/>
      </c>
      <c r="I40" s="45" t="n">
        <f aca="false">IF($B40="","",$I$38+SUMIFS($G$40:$G$60,$M$40:$M$60,"&lt;="&amp;$M40)-SUMIFS($H$40:$H$60,$M$40:$M$60,"&lt;="&amp;$M40))</f>
        <v>848.18</v>
      </c>
      <c r="J40" s="46" t="str">
        <f aca="true">IF($B40="","",IF($F40&lt;&gt;"",IF($C40&gt;TODAY(),"ADJUSTED","PAID"),IF($C40&lt;TODAY(),"PAST DUE",IF($C40&lt;=TODAY()+7,"DUE","Upcoming"))))</f>
        <v>DUE</v>
      </c>
      <c r="L40" s="47" t="n">
        <f aca="false">IF($B40="","",$C40)</f>
        <v>46248</v>
      </c>
      <c r="M40" s="48" t="n">
        <f aca="false">IF($L40="","",COUNTIFS($L$40:$L$60,"&lt;"&amp;$L40)+COUNTIFS($L$40:$L40,$L40))</f>
        <v>1</v>
      </c>
    </row>
    <row r="41" customFormat="false" ht="15" hidden="false" customHeight="false" outlineLevel="0" collapsed="false">
      <c r="B41" s="38" t="str">
        <f aca="false">IFERROR(INDEX(Schedule!$C$4:$C$483,MATCH(2002,Schedule!$K$4:$K$483,0)),"")</f>
        <v>Patrick Rombalski (rent)</v>
      </c>
      <c r="C41" s="39" t="n">
        <f aca="false">IF($B41="","",INDEX(Schedule!$G$4:$G$483,MATCH(2002,Schedule!$K$4:$K$483,0)))</f>
        <v>46248</v>
      </c>
      <c r="D41" s="40" t="str">
        <f aca="false">IF($B41="","",INDEX(Schedule!$D$4:$D$483,MATCH(2002,Schedule!$K$4:$K$483,0)))</f>
        <v>Expense</v>
      </c>
      <c r="E41" s="41" t="n">
        <f aca="false">IF($B41="","",INDEX(Schedule!$E$4:$E$483,MATCH(2002,Schedule!$K$4:$K$483,0)))</f>
        <v>350</v>
      </c>
      <c r="F41" s="42"/>
      <c r="G41" s="43" t="str">
        <f aca="false">IF($B41="","",IF($D41="Income",IF($F41&lt;&gt;"",$F41,$E41),""))</f>
        <v/>
      </c>
      <c r="H41" s="44" t="n">
        <f aca="false">IF($B41="","",IF($D41="Income","",IF($F41&lt;&gt;"",$F41,$E41)))</f>
        <v>350</v>
      </c>
      <c r="I41" s="45" t="n">
        <f aca="false">IF($B41="","",$I$38+SUMIFS($G$40:$G$60,$M$40:$M$60,"&lt;="&amp;$M41)-SUMIFS($H$40:$H$60,$M$40:$M$60,"&lt;="&amp;$M41))</f>
        <v>498.18</v>
      </c>
      <c r="J41" s="46" t="str">
        <f aca="true">IF($B41="","",IF($F41&lt;&gt;"",IF($C41&gt;TODAY(),"ADJUSTED","PAID"),IF($C41&lt;TODAY(),"PAST DUE",IF($C41&lt;=TODAY()+7,"DUE","Upcoming"))))</f>
        <v>DUE</v>
      </c>
      <c r="L41" s="47" t="n">
        <f aca="false">IF($B41="","",$C41)</f>
        <v>46248</v>
      </c>
      <c r="M41" s="48" t="n">
        <f aca="false">IF($L41="","",COUNTIFS($L$40:$L$60,"&lt;"&amp;$L41)+COUNTIFS($L$40:$L41,$L41))</f>
        <v>2</v>
      </c>
    </row>
    <row r="42" customFormat="false" ht="15" hidden="false" customHeight="false" outlineLevel="0" collapsed="false">
      <c r="B42" s="38" t="str">
        <f aca="false">IFERROR(INDEX(Schedule!$C$4:$C$483,MATCH(2003,Schedule!$K$4:$K$483,0)),"")</f>
        <v>Spectrum</v>
      </c>
      <c r="C42" s="39" t="n">
        <f aca="false">IF($B42="","",INDEX(Schedule!$G$4:$G$483,MATCH(2003,Schedule!$K$4:$K$483,0)))</f>
        <v>46250</v>
      </c>
      <c r="D42" s="40" t="str">
        <f aca="false">IF($B42="","",INDEX(Schedule!$D$4:$D$483,MATCH(2003,Schedule!$K$4:$K$483,0)))</f>
        <v>Expense</v>
      </c>
      <c r="E42" s="41" t="n">
        <f aca="false">IF($B42="","",INDEX(Schedule!$E$4:$E$483,MATCH(2003,Schedule!$K$4:$K$483,0)))</f>
        <v>171.1</v>
      </c>
      <c r="F42" s="42"/>
      <c r="G42" s="43" t="str">
        <f aca="false">IF($B42="","",IF($D42="Income",IF($F42&lt;&gt;"",$F42,$E42),""))</f>
        <v/>
      </c>
      <c r="H42" s="44" t="n">
        <f aca="false">IF($B42="","",IF($D42="Income","",IF($F42&lt;&gt;"",$F42,$E42)))</f>
        <v>171.1</v>
      </c>
      <c r="I42" s="45" t="n">
        <f aca="false">IF($B42="","",$I$38+SUMIFS($G$40:$G$60,$M$40:$M$60,"&lt;="&amp;$M42)-SUMIFS($H$40:$H$60,$M$40:$M$60,"&lt;="&amp;$M42))</f>
        <v>327.08</v>
      </c>
      <c r="J42" s="46" t="str">
        <f aca="true">IF($B42="","",IF($F42&lt;&gt;"",IF($C42&gt;TODAY(),"ADJUSTED","PAID"),IF($C42&lt;TODAY(),"PAST DUE",IF($C42&lt;=TODAY()+7,"DUE","Upcoming"))))</f>
        <v>DUE</v>
      </c>
      <c r="L42" s="47" t="n">
        <f aca="false">IF($B42="","",$C42)</f>
        <v>46250</v>
      </c>
      <c r="M42" s="48" t="n">
        <f aca="false">IF($L42="","",COUNTIFS($L$40:$L$60,"&lt;"&amp;$L42)+COUNTIFS($L$40:$L42,$L42))</f>
        <v>3</v>
      </c>
    </row>
    <row r="43" customFormat="false" ht="15" hidden="false" customHeight="false" outlineLevel="0" collapsed="false">
      <c r="B43" s="38" t="str">
        <f aca="false">IFERROR(INDEX(Schedule!$C$4:$C$483,MATCH(2004,Schedule!$K$4:$K$483,0)),"")</f>
        <v>Maine Revenue Services</v>
      </c>
      <c r="C43" s="39" t="n">
        <f aca="false">IF($B43="","",INDEX(Schedule!$G$4:$G$483,MATCH(2004,Schedule!$K$4:$K$483,0)))</f>
        <v>46250</v>
      </c>
      <c r="D43" s="40" t="str">
        <f aca="false">IF($B43="","",INDEX(Schedule!$D$4:$D$483,MATCH(2004,Schedule!$K$4:$K$483,0)))</f>
        <v>Expense</v>
      </c>
      <c r="E43" s="41" t="n">
        <f aca="false">IF($B43="","",INDEX(Schedule!$E$4:$E$483,MATCH(2004,Schedule!$K$4:$K$483,0)))</f>
        <v>45</v>
      </c>
      <c r="F43" s="42"/>
      <c r="G43" s="43" t="str">
        <f aca="false">IF($B43="","",IF($D43="Income",IF($F43&lt;&gt;"",$F43,$E43),""))</f>
        <v/>
      </c>
      <c r="H43" s="44" t="n">
        <f aca="false">IF($B43="","",IF($D43="Income","",IF($F43&lt;&gt;"",$F43,$E43)))</f>
        <v>45</v>
      </c>
      <c r="I43" s="45" t="n">
        <f aca="false">IF($B43="","",$I$38+SUMIFS($G$40:$G$60,$M$40:$M$60,"&lt;="&amp;$M43)-SUMIFS($H$40:$H$60,$M$40:$M$60,"&lt;="&amp;$M43))</f>
        <v>282.08</v>
      </c>
      <c r="J43" s="46" t="str">
        <f aca="true">IF($B43="","",IF($F43&lt;&gt;"",IF($C43&gt;TODAY(),"ADJUSTED","PAID"),IF($C43&lt;TODAY(),"PAST DUE",IF($C43&lt;=TODAY()+7,"DUE","Upcoming"))))</f>
        <v>DUE</v>
      </c>
      <c r="L43" s="47" t="n">
        <f aca="false">IF($B43="","",$C43)</f>
        <v>46250</v>
      </c>
      <c r="M43" s="48" t="n">
        <f aca="false">IF($L43="","",COUNTIFS($L$40:$L$60,"&lt;"&amp;$L43)+COUNTIFS($L$40:$L43,$L43))</f>
        <v>4</v>
      </c>
    </row>
    <row r="44" customFormat="false" ht="15" hidden="false" customHeight="false" outlineLevel="0" collapsed="false">
      <c r="B44" s="38" t="str">
        <f aca="false">IFERROR(INDEX(Schedule!$C$4:$C$483,MATCH(2005,Schedule!$K$4:$K$483,0)),"")</f>
        <v>Metal Copy</v>
      </c>
      <c r="C44" s="39" t="n">
        <f aca="false">IF($B44="","",INDEX(Schedule!$G$4:$G$483,MATCH(2005,Schedule!$K$4:$K$483,0)))</f>
        <v>46252</v>
      </c>
      <c r="D44" s="40" t="str">
        <f aca="false">IF($B44="","",INDEX(Schedule!$D$4:$D$483,MATCH(2005,Schedule!$K$4:$K$483,0)))</f>
        <v>Expense</v>
      </c>
      <c r="E44" s="41" t="n">
        <f aca="false">IF($B44="","",INDEX(Schedule!$E$4:$E$483,MATCH(2005,Schedule!$K$4:$K$483,0)))</f>
        <v>16.99</v>
      </c>
      <c r="F44" s="42"/>
      <c r="G44" s="43" t="str">
        <f aca="false">IF($B44="","",IF($D44="Income",IF($F44&lt;&gt;"",$F44,$E44),""))</f>
        <v/>
      </c>
      <c r="H44" s="44" t="n">
        <f aca="false">IF($B44="","",IF($D44="Income","",IF($F44&lt;&gt;"",$F44,$E44)))</f>
        <v>16.99</v>
      </c>
      <c r="I44" s="45" t="n">
        <f aca="false">IF($B44="","",$I$38+SUMIFS($G$40:$G$60,$M$40:$M$60,"&lt;="&amp;$M44)-SUMIFS($H$40:$H$60,$M$40:$M$60,"&lt;="&amp;$M44))</f>
        <v>265.09</v>
      </c>
      <c r="J44" s="46" t="str">
        <f aca="true">IF($B44="","",IF($F44&lt;&gt;"",IF($C44&gt;TODAY(),"ADJUSTED","PAID"),IF($C44&lt;TODAY(),"PAST DUE",IF($C44&lt;=TODAY()+7,"DUE","Upcoming"))))</f>
        <v>DUE</v>
      </c>
      <c r="L44" s="47" t="n">
        <f aca="false">IF($B44="","",$C44)</f>
        <v>46252</v>
      </c>
      <c r="M44" s="48" t="n">
        <f aca="false">IF($L44="","",COUNTIFS($L$40:$L$60,"&lt;"&amp;$L44)+COUNTIFS($L$40:$L44,$L44))</f>
        <v>5</v>
      </c>
    </row>
    <row r="45" customFormat="false" ht="15" hidden="false" customHeight="false" outlineLevel="0" collapsed="false">
      <c r="B45" s="38" t="str">
        <f aca="false">IFERROR(INDEX(Schedule!$C$4:$C$483,MATCH(2006,Schedule!$K$4:$K$483,0)),"")</f>
        <v>Bruno's Restaurant (paycheck)</v>
      </c>
      <c r="C45" s="39" t="n">
        <f aca="false">IF($B45="","",INDEX(Schedule!$G$4:$G$483,MATCH(2006,Schedule!$K$4:$K$483,0)))</f>
        <v>46253</v>
      </c>
      <c r="D45" s="40" t="str">
        <f aca="false">IF($B45="","",INDEX(Schedule!$D$4:$D$483,MATCH(2006,Schedule!$K$4:$K$483,0)))</f>
        <v>Income</v>
      </c>
      <c r="E45" s="41" t="n">
        <f aca="false">IF($B45="","",INDEX(Schedule!$E$4:$E$483,MATCH(2006,Schedule!$K$4:$K$483,0)))</f>
        <v>90</v>
      </c>
      <c r="F45" s="42"/>
      <c r="G45" s="43" t="n">
        <f aca="false">IF($B45="","",IF($D45="Income",IF($F45&lt;&gt;"",$F45,$E45),""))</f>
        <v>90</v>
      </c>
      <c r="H45" s="44" t="str">
        <f aca="false">IF($B45="","",IF($D45="Income","",IF($F45&lt;&gt;"",$F45,$E45)))</f>
        <v/>
      </c>
      <c r="I45" s="45" t="n">
        <f aca="false">IF($B45="","",$I$38+SUMIFS($G$40:$G$60,$M$40:$M$60,"&lt;="&amp;$M45)-SUMIFS($H$40:$H$60,$M$40:$M$60,"&lt;="&amp;$M45))</f>
        <v>355.09</v>
      </c>
      <c r="J45" s="46" t="str">
        <f aca="true">IF($B45="","",IF($F45&lt;&gt;"",IF($C45&gt;TODAY(),"ADJUSTED","PAID"),IF($C45&lt;TODAY(),"PAST DUE",IF($C45&lt;=TODAY()+7,"DUE","Upcoming"))))</f>
        <v>DUE</v>
      </c>
      <c r="L45" s="47" t="n">
        <f aca="false">IF($B45="","",$C45)</f>
        <v>46253</v>
      </c>
      <c r="M45" s="48" t="n">
        <f aca="false">IF($L45="","",COUNTIFS($L$40:$L$60,"&lt;"&amp;$L45)+COUNTIFS($L$40:$L45,$L45))</f>
        <v>6</v>
      </c>
    </row>
    <row r="46" customFormat="false" ht="15" hidden="false" customHeight="false" outlineLevel="0" collapsed="false">
      <c r="B46" s="38" t="str">
        <f aca="false">IFERROR(INDEX(Schedule!$C$4:$C$483,MATCH(2007,Schedule!$K$4:$K$483,0)),"")</f>
        <v/>
      </c>
      <c r="C46" s="39" t="str">
        <f aca="false">IF($B46="","",INDEX(Schedule!$G$4:$G$483,MATCH(2007,Schedule!$K$4:$K$483,0)))</f>
        <v/>
      </c>
      <c r="D46" s="40" t="str">
        <f aca="false">IF($B46="","",INDEX(Schedule!$D$4:$D$483,MATCH(2007,Schedule!$K$4:$K$483,0)))</f>
        <v/>
      </c>
      <c r="E46" s="41" t="str">
        <f aca="false">IF($B46="","",INDEX(Schedule!$E$4:$E$483,MATCH(2007,Schedule!$K$4:$K$483,0)))</f>
        <v/>
      </c>
      <c r="F46" s="42"/>
      <c r="G46" s="43" t="str">
        <f aca="false">IF($B46="","",IF($D46="Income",IF($F46&lt;&gt;"",$F46,$E46),""))</f>
        <v/>
      </c>
      <c r="H46" s="44" t="str">
        <f aca="false">IF($B46="","",IF($D46="Income","",IF($F46&lt;&gt;"",$F46,$E46)))</f>
        <v/>
      </c>
      <c r="I46" s="45" t="str">
        <f aca="false">IF($B46="","",$I$38+SUMIFS($G$40:$G$60,$M$40:$M$60,"&lt;="&amp;$M46)-SUMIFS($H$40:$H$60,$M$40:$M$60,"&lt;="&amp;$M46))</f>
        <v/>
      </c>
      <c r="J46" s="46" t="str">
        <f aca="true">IF($B46="","",IF($F46&lt;&gt;"",IF($C46&gt;TODAY(),"ADJUSTED","PAID"),IF($C46&lt;TODAY(),"PAST DUE",IF($C46&lt;=TODAY()+7,"DUE","Upcoming"))))</f>
        <v/>
      </c>
      <c r="L46" s="0" t="str">
        <f aca="false">IF($B46="","",$C46)</f>
        <v/>
      </c>
      <c r="M46" s="0" t="str">
        <f aca="false">IF($L46="","",COUNTIFS($L$40:$L$60,"&lt;"&amp;$L46)+COUNTIFS($L$40:$L46,$L46))</f>
        <v/>
      </c>
    </row>
    <row r="47" customFormat="false" ht="15" hidden="false" customHeight="false" outlineLevel="0" collapsed="false">
      <c r="B47" s="38" t="str">
        <f aca="false">IFERROR(INDEX(Schedule!$C$4:$C$483,MATCH(2008,Schedule!$K$4:$K$483,0)),"")</f>
        <v/>
      </c>
      <c r="C47" s="39" t="str">
        <f aca="false">IF($B47="","",INDEX(Schedule!$G$4:$G$483,MATCH(2008,Schedule!$K$4:$K$483,0)))</f>
        <v/>
      </c>
      <c r="D47" s="40" t="str">
        <f aca="false">IF($B47="","",INDEX(Schedule!$D$4:$D$483,MATCH(2008,Schedule!$K$4:$K$483,0)))</f>
        <v/>
      </c>
      <c r="E47" s="41" t="str">
        <f aca="false">IF($B47="","",INDEX(Schedule!$E$4:$E$483,MATCH(2008,Schedule!$K$4:$K$483,0)))</f>
        <v/>
      </c>
      <c r="F47" s="42"/>
      <c r="G47" s="43" t="str">
        <f aca="false">IF($B47="","",IF($D47="Income",IF($F47&lt;&gt;"",$F47,$E47),""))</f>
        <v/>
      </c>
      <c r="H47" s="44" t="str">
        <f aca="false">IF($B47="","",IF($D47="Income","",IF($F47&lt;&gt;"",$F47,$E47)))</f>
        <v/>
      </c>
      <c r="I47" s="45" t="str">
        <f aca="false">IF($B47="","",$I$38+SUMIFS($G$40:$G$60,$M$40:$M$60,"&lt;="&amp;$M47)-SUMIFS($H$40:$H$60,$M$40:$M$60,"&lt;="&amp;$M47))</f>
        <v/>
      </c>
      <c r="J47" s="46" t="str">
        <f aca="true">IF($B47="","",IF($F47&lt;&gt;"",IF($C47&gt;TODAY(),"ADJUSTED","PAID"),IF($C47&lt;TODAY(),"PAST DUE",IF($C47&lt;=TODAY()+7,"DUE","Upcoming"))))</f>
        <v/>
      </c>
      <c r="L47" s="0" t="str">
        <f aca="false">IF($B47="","",$C47)</f>
        <v/>
      </c>
      <c r="M47" s="0" t="str">
        <f aca="false">IF($L47="","",COUNTIFS($L$40:$L$60,"&lt;"&amp;$L47)+COUNTIFS($L$40:$L47,$L47))</f>
        <v/>
      </c>
    </row>
    <row r="48" customFormat="false" ht="15" hidden="false" customHeight="false" outlineLevel="0" collapsed="false">
      <c r="B48" s="38" t="str">
        <f aca="false">IFERROR(INDEX(Schedule!$C$4:$C$483,MATCH(2009,Schedule!$K$4:$K$483,0)),"")</f>
        <v/>
      </c>
      <c r="C48" s="39" t="str">
        <f aca="false">IF($B48="","",INDEX(Schedule!$G$4:$G$483,MATCH(2009,Schedule!$K$4:$K$483,0)))</f>
        <v/>
      </c>
      <c r="D48" s="40" t="str">
        <f aca="false">IF($B48="","",INDEX(Schedule!$D$4:$D$483,MATCH(2009,Schedule!$K$4:$K$483,0)))</f>
        <v/>
      </c>
      <c r="E48" s="41" t="str">
        <f aca="false">IF($B48="","",INDEX(Schedule!$E$4:$E$483,MATCH(2009,Schedule!$K$4:$K$483,0)))</f>
        <v/>
      </c>
      <c r="F48" s="42"/>
      <c r="G48" s="43" t="str">
        <f aca="false">IF($B48="","",IF($D48="Income",IF($F48&lt;&gt;"",$F48,$E48),""))</f>
        <v/>
      </c>
      <c r="H48" s="44" t="str">
        <f aca="false">IF($B48="","",IF($D48="Income","",IF($F48&lt;&gt;"",$F48,$E48)))</f>
        <v/>
      </c>
      <c r="I48" s="45" t="str">
        <f aca="false">IF($B48="","",$I$38+SUMIFS($G$40:$G$60,$M$40:$M$60,"&lt;="&amp;$M48)-SUMIFS($H$40:$H$60,$M$40:$M$60,"&lt;="&amp;$M48))</f>
        <v/>
      </c>
      <c r="J48" s="46" t="str">
        <f aca="true">IF($B48="","",IF($F48&lt;&gt;"",IF($C48&gt;TODAY(),"ADJUSTED","PAID"),IF($C48&lt;TODAY(),"PAST DUE",IF($C48&lt;=TODAY()+7,"DUE","Upcoming"))))</f>
        <v/>
      </c>
      <c r="L48" s="0" t="str">
        <f aca="false">IF($B48="","",$C48)</f>
        <v/>
      </c>
      <c r="M48" s="0" t="str">
        <f aca="false">IF($L48="","",COUNTIFS($L$40:$L$60,"&lt;"&amp;$L48)+COUNTIFS($L$40:$L48,$L48))</f>
        <v/>
      </c>
    </row>
    <row r="49" customFormat="false" ht="15" hidden="false" customHeight="false" outlineLevel="0" collapsed="false">
      <c r="B49" s="38" t="str">
        <f aca="false">IFERROR(INDEX(Schedule!$C$4:$C$483,MATCH(2010,Schedule!$K$4:$K$483,0)),"")</f>
        <v/>
      </c>
      <c r="C49" s="39" t="str">
        <f aca="false">IF($B49="","",INDEX(Schedule!$G$4:$G$483,MATCH(2010,Schedule!$K$4:$K$483,0)))</f>
        <v/>
      </c>
      <c r="D49" s="40" t="str">
        <f aca="false">IF($B49="","",INDEX(Schedule!$D$4:$D$483,MATCH(2010,Schedule!$K$4:$K$483,0)))</f>
        <v/>
      </c>
      <c r="E49" s="41" t="str">
        <f aca="false">IF($B49="","",INDEX(Schedule!$E$4:$E$483,MATCH(2010,Schedule!$K$4:$K$483,0)))</f>
        <v/>
      </c>
      <c r="F49" s="42"/>
      <c r="G49" s="43" t="str">
        <f aca="false">IF($B49="","",IF($D49="Income",IF($F49&lt;&gt;"",$F49,$E49),""))</f>
        <v/>
      </c>
      <c r="H49" s="44" t="str">
        <f aca="false">IF($B49="","",IF($D49="Income","",IF($F49&lt;&gt;"",$F49,$E49)))</f>
        <v/>
      </c>
      <c r="I49" s="45" t="str">
        <f aca="false">IF($B49="","",$I$38+SUMIFS($G$40:$G$60,$M$40:$M$60,"&lt;="&amp;$M49)-SUMIFS($H$40:$H$60,$M$40:$M$60,"&lt;="&amp;$M49))</f>
        <v/>
      </c>
      <c r="J49" s="46" t="str">
        <f aca="true">IF($B49="","",IF($F49&lt;&gt;"",IF($C49&gt;TODAY(),"ADJUSTED","PAID"),IF($C49&lt;TODAY(),"PAST DUE",IF($C49&lt;=TODAY()+7,"DUE","Upcoming"))))</f>
        <v/>
      </c>
      <c r="L49" s="0" t="str">
        <f aca="false">IF($B49="","",$C49)</f>
        <v/>
      </c>
      <c r="M49" s="0" t="str">
        <f aca="false">IF($L49="","",COUNTIFS($L$40:$L$60,"&lt;"&amp;$L49)+COUNTIFS($L$40:$L49,$L49))</f>
        <v/>
      </c>
    </row>
    <row r="50" customFormat="false" ht="15" hidden="false" customHeight="false" outlineLevel="0" collapsed="false">
      <c r="B50" s="49" t="s">
        <v>127</v>
      </c>
      <c r="C50" s="50"/>
      <c r="D50" s="50"/>
      <c r="E50" s="50"/>
      <c r="F50" s="50"/>
      <c r="G50" s="50"/>
      <c r="H50" s="50"/>
      <c r="I50" s="50"/>
      <c r="J50" s="50"/>
    </row>
    <row r="51" customFormat="false" ht="15" hidden="false" customHeight="false" outlineLevel="0" collapsed="false">
      <c r="B51" s="6"/>
      <c r="C51" s="51"/>
      <c r="D51" s="52" t="str">
        <f aca="false">IF($B51="","","Expense")</f>
        <v/>
      </c>
      <c r="E51" s="18"/>
      <c r="F51" s="10"/>
      <c r="G51" s="10"/>
      <c r="H51" s="53" t="str">
        <f aca="false">IF($B51="","",N($E51))</f>
        <v/>
      </c>
      <c r="I51" s="54" t="str">
        <f aca="false">IF($B51="","",$I$38+SUMIFS($G$40:$G$60,$M$40:$M$60,"&lt;="&amp;$M51)-SUMIFS($H$40:$H$60,$M$40:$M$60,"&lt;="&amp;$M51))</f>
        <v/>
      </c>
      <c r="J51" s="10"/>
      <c r="L51" s="0" t="str">
        <f aca="false">IF($B51="","",IF($C51="",$E$6+13,$C51))</f>
        <v/>
      </c>
      <c r="M51" s="0" t="str">
        <f aca="false">IF($L51="","",COUNTIFS($L$40:$L$60,"&lt;"&amp;$L51)+COUNTIFS($L$40:$L51,$L51))</f>
        <v/>
      </c>
    </row>
    <row r="52" customFormat="false" ht="15" hidden="false" customHeight="false" outlineLevel="0" collapsed="false">
      <c r="B52" s="6"/>
      <c r="C52" s="51"/>
      <c r="D52" s="52" t="str">
        <f aca="false">IF($B52="","","Expense")</f>
        <v/>
      </c>
      <c r="E52" s="18"/>
      <c r="F52" s="10"/>
      <c r="G52" s="10"/>
      <c r="H52" s="53" t="str">
        <f aca="false">IF($B52="","",N($E52))</f>
        <v/>
      </c>
      <c r="I52" s="54" t="str">
        <f aca="false">IF($B52="","",$I$38+SUMIFS($G$40:$G$60,$M$40:$M$60,"&lt;="&amp;$M52)-SUMIFS($H$40:$H$60,$M$40:$M$60,"&lt;="&amp;$M52))</f>
        <v/>
      </c>
      <c r="J52" s="10"/>
      <c r="L52" s="0" t="str">
        <f aca="false">IF($B52="","",IF($C52="",$E$6+13,$C52))</f>
        <v/>
      </c>
      <c r="M52" s="0" t="str">
        <f aca="false">IF($L52="","",COUNTIFS($L$40:$L$60,"&lt;"&amp;$L52)+COUNTIFS($L$40:$L52,$L52))</f>
        <v/>
      </c>
    </row>
    <row r="53" customFormat="false" ht="15" hidden="false" customHeight="false" outlineLevel="0" collapsed="false">
      <c r="B53" s="6"/>
      <c r="C53" s="51"/>
      <c r="D53" s="52" t="str">
        <f aca="false">IF($B53="","","Expense")</f>
        <v/>
      </c>
      <c r="E53" s="18"/>
      <c r="F53" s="10"/>
      <c r="G53" s="10"/>
      <c r="H53" s="53" t="str">
        <f aca="false">IF($B53="","",N($E53))</f>
        <v/>
      </c>
      <c r="I53" s="54" t="str">
        <f aca="false">IF($B53="","",$I$38+SUMIFS($G$40:$G$60,$M$40:$M$60,"&lt;="&amp;$M53)-SUMIFS($H$40:$H$60,$M$40:$M$60,"&lt;="&amp;$M53))</f>
        <v/>
      </c>
      <c r="J53" s="10"/>
      <c r="L53" s="0" t="str">
        <f aca="false">IF($B53="","",IF($C53="",$E$6+13,$C53))</f>
        <v/>
      </c>
      <c r="M53" s="0" t="str">
        <f aca="false">IF($L53="","",COUNTIFS($L$40:$L$60,"&lt;"&amp;$L53)+COUNTIFS($L$40:$L53,$L53))</f>
        <v/>
      </c>
    </row>
    <row r="54" customFormat="false" ht="15" hidden="false" customHeight="false" outlineLevel="0" collapsed="false">
      <c r="B54" s="6"/>
      <c r="C54" s="51"/>
      <c r="D54" s="52" t="str">
        <f aca="false">IF($B54="","","Expense")</f>
        <v/>
      </c>
      <c r="E54" s="18"/>
      <c r="F54" s="10"/>
      <c r="G54" s="10"/>
      <c r="H54" s="53" t="str">
        <f aca="false">IF($B54="","",N($E54))</f>
        <v/>
      </c>
      <c r="I54" s="54" t="str">
        <f aca="false">IF($B54="","",$I$38+SUMIFS($G$40:$G$60,$M$40:$M$60,"&lt;="&amp;$M54)-SUMIFS($H$40:$H$60,$M$40:$M$60,"&lt;="&amp;$M54))</f>
        <v/>
      </c>
      <c r="J54" s="10"/>
      <c r="L54" s="0" t="str">
        <f aca="false">IF($B54="","",IF($C54="",$E$6+13,$C54))</f>
        <v/>
      </c>
      <c r="M54" s="0" t="str">
        <f aca="false">IF($L54="","",COUNTIFS($L$40:$L$60,"&lt;"&amp;$L54)+COUNTIFS($L$40:$L54,$L54))</f>
        <v/>
      </c>
    </row>
    <row r="55" customFormat="false" ht="15" hidden="false" customHeight="false" outlineLevel="0" collapsed="false">
      <c r="B55" s="6"/>
      <c r="C55" s="51"/>
      <c r="D55" s="52" t="str">
        <f aca="false">IF($B55="","","Expense")</f>
        <v/>
      </c>
      <c r="E55" s="18"/>
      <c r="F55" s="10"/>
      <c r="G55" s="10"/>
      <c r="H55" s="53" t="str">
        <f aca="false">IF($B55="","",N($E55))</f>
        <v/>
      </c>
      <c r="I55" s="54" t="str">
        <f aca="false">IF($B55="","",$I$38+SUMIFS($G$40:$G$60,$M$40:$M$60,"&lt;="&amp;$M55)-SUMIFS($H$40:$H$60,$M$40:$M$60,"&lt;="&amp;$M55))</f>
        <v/>
      </c>
      <c r="J55" s="10"/>
      <c r="L55" s="0" t="str">
        <f aca="false">IF($B55="","",IF($C55="",$E$6+13,$C55))</f>
        <v/>
      </c>
      <c r="M55" s="0" t="str">
        <f aca="false">IF($L55="","",COUNTIFS($L$40:$L$60,"&lt;"&amp;$L55)+COUNTIFS($L$40:$L55,$L55))</f>
        <v/>
      </c>
    </row>
    <row r="56" customFormat="false" ht="15" hidden="false" customHeight="false" outlineLevel="0" collapsed="false">
      <c r="B56" s="6"/>
      <c r="C56" s="51"/>
      <c r="D56" s="52" t="str">
        <f aca="false">IF($B56="","","Expense")</f>
        <v/>
      </c>
      <c r="E56" s="18"/>
      <c r="F56" s="10"/>
      <c r="G56" s="10"/>
      <c r="H56" s="53" t="str">
        <f aca="false">IF($B56="","",N($E56))</f>
        <v/>
      </c>
      <c r="I56" s="54" t="str">
        <f aca="false">IF($B56="","",$I$38+SUMIFS($G$40:$G$60,$M$40:$M$60,"&lt;="&amp;$M56)-SUMIFS($H$40:$H$60,$M$40:$M$60,"&lt;="&amp;$M56))</f>
        <v/>
      </c>
      <c r="J56" s="10"/>
      <c r="L56" s="0" t="str">
        <f aca="false">IF($B56="","",IF($C56="",$E$6+13,$C56))</f>
        <v/>
      </c>
      <c r="M56" s="0" t="str">
        <f aca="false">IF($L56="","",COUNTIFS($L$40:$L$60,"&lt;"&amp;$L56)+COUNTIFS($L$40:$L56,$L56))</f>
        <v/>
      </c>
    </row>
    <row r="57" customFormat="false" ht="15" hidden="false" customHeight="false" outlineLevel="0" collapsed="false">
      <c r="B57" s="6"/>
      <c r="C57" s="51"/>
      <c r="D57" s="52" t="str">
        <f aca="false">IF($B57="","","Expense")</f>
        <v/>
      </c>
      <c r="E57" s="18"/>
      <c r="F57" s="10"/>
      <c r="G57" s="10"/>
      <c r="H57" s="53" t="str">
        <f aca="false">IF($B57="","",N($E57))</f>
        <v/>
      </c>
      <c r="I57" s="54" t="str">
        <f aca="false">IF($B57="","",$I$38+SUMIFS($G$40:$G$60,$M$40:$M$60,"&lt;="&amp;$M57)-SUMIFS($H$40:$H$60,$M$40:$M$60,"&lt;="&amp;$M57))</f>
        <v/>
      </c>
      <c r="J57" s="10"/>
      <c r="L57" s="0" t="str">
        <f aca="false">IF($B57="","",IF($C57="",$E$6+13,$C57))</f>
        <v/>
      </c>
      <c r="M57" s="0" t="str">
        <f aca="false">IF($L57="","",COUNTIFS($L$40:$L$60,"&lt;"&amp;$L57)+COUNTIFS($L$40:$L57,$L57))</f>
        <v/>
      </c>
    </row>
    <row r="58" customFormat="false" ht="15" hidden="false" customHeight="false" outlineLevel="0" collapsed="false">
      <c r="B58" s="6"/>
      <c r="C58" s="51"/>
      <c r="D58" s="52" t="str">
        <f aca="false">IF($B58="","","Expense")</f>
        <v/>
      </c>
      <c r="E58" s="18"/>
      <c r="F58" s="10"/>
      <c r="G58" s="10"/>
      <c r="H58" s="53" t="str">
        <f aca="false">IF($B58="","",N($E58))</f>
        <v/>
      </c>
      <c r="I58" s="54" t="str">
        <f aca="false">IF($B58="","",$I$38+SUMIFS($G$40:$G$60,$M$40:$M$60,"&lt;="&amp;$M58)-SUMIFS($H$40:$H$60,$M$40:$M$60,"&lt;="&amp;$M58))</f>
        <v/>
      </c>
      <c r="J58" s="10"/>
      <c r="L58" s="0" t="str">
        <f aca="false">IF($B58="","",IF($C58="",$E$6+13,$C58))</f>
        <v/>
      </c>
      <c r="M58" s="0" t="str">
        <f aca="false">IF($L58="","",COUNTIFS($L$40:$L$60,"&lt;"&amp;$L58)+COUNTIFS($L$40:$L58,$L58))</f>
        <v/>
      </c>
    </row>
    <row r="59" customFormat="false" ht="15" hidden="false" customHeight="false" outlineLevel="0" collapsed="false">
      <c r="B59" s="6"/>
      <c r="C59" s="51"/>
      <c r="D59" s="52" t="str">
        <f aca="false">IF($B59="","","Expense")</f>
        <v/>
      </c>
      <c r="E59" s="18"/>
      <c r="F59" s="10"/>
      <c r="G59" s="10"/>
      <c r="H59" s="53" t="str">
        <f aca="false">IF($B59="","",N($E59))</f>
        <v/>
      </c>
      <c r="I59" s="54" t="str">
        <f aca="false">IF($B59="","",$I$38+SUMIFS($G$40:$G$60,$M$40:$M$60,"&lt;="&amp;$M59)-SUMIFS($H$40:$H$60,$M$40:$M$60,"&lt;="&amp;$M59))</f>
        <v/>
      </c>
      <c r="J59" s="10"/>
      <c r="L59" s="0" t="str">
        <f aca="false">IF($B59="","",IF($C59="",$E$6+13,$C59))</f>
        <v/>
      </c>
      <c r="M59" s="0" t="str">
        <f aca="false">IF($L59="","",COUNTIFS($L$40:$L$60,"&lt;"&amp;$L59)+COUNTIFS($L$40:$L59,$L59))</f>
        <v/>
      </c>
    </row>
    <row r="60" customFormat="false" ht="15" hidden="false" customHeight="false" outlineLevel="0" collapsed="false">
      <c r="B60" s="6"/>
      <c r="C60" s="51"/>
      <c r="D60" s="52" t="str">
        <f aca="false">IF($B60="","","Expense")</f>
        <v/>
      </c>
      <c r="E60" s="18"/>
      <c r="F60" s="10"/>
      <c r="G60" s="10"/>
      <c r="H60" s="53" t="str">
        <f aca="false">IF($B60="","",N($E60))</f>
        <v/>
      </c>
      <c r="I60" s="54" t="str">
        <f aca="false">IF($B60="","",$I$38+SUMIFS($G$40:$G$60,$M$40:$M$60,"&lt;="&amp;$M60)-SUMIFS($H$40:$H$60,$M$40:$M$60,"&lt;="&amp;$M60))</f>
        <v/>
      </c>
      <c r="J60" s="10"/>
      <c r="L60" s="0" t="str">
        <f aca="false">IF($B60="","",IF($C60="",$E$6+13,$C60))</f>
        <v/>
      </c>
      <c r="M60" s="0" t="str">
        <f aca="false">IF($L60="","",COUNTIFS($L$40:$L$60,"&lt;"&amp;$L60)+COUNTIFS($L$40:$L60,$L60))</f>
        <v/>
      </c>
    </row>
    <row r="61" customFormat="false" ht="15" hidden="false" customHeight="false" outlineLevel="0" collapsed="false">
      <c r="B61" s="55" t="s">
        <v>135</v>
      </c>
      <c r="C61" s="56"/>
      <c r="D61" s="56"/>
      <c r="E61" s="56"/>
      <c r="F61" s="56"/>
      <c r="G61" s="57" t="n">
        <f aca="false">SUM($G$40:$G$60)</f>
        <v>880</v>
      </c>
      <c r="H61" s="57" t="n">
        <f aca="false">SUM($H$40:$H$60)</f>
        <v>583.09</v>
      </c>
      <c r="I61" s="58" t="n">
        <f aca="false">$I$38+$G$61-$H$61</f>
        <v>355.09</v>
      </c>
      <c r="J61" s="59" t="str">
        <f aca="false">IF($I$61&lt;0,"SHORTFALL",IF($I$61&lt;$E$7,"TIGHT","OK"))</f>
        <v>OK</v>
      </c>
      <c r="K61" s="60" t="str">
        <f aca="false">IF(COUNT($I$40:$I$60)=0,"","Lowest point this week: "&amp;TEXT(MIN($I$40:$I$60),"$#,##0.00;-$#,##0.00")&amp;" on "&amp;TEXT(INDEX($C$40:$C$60,MATCH(MIN($I$40:$I$60),$I$40:$I$60,0)),"ddd mmm d")&amp;"     (in "&amp;TEXT($G$61,"$#,##0.00")&amp;", out "&amp;TEXT($H$61,"$#,##0.00")&amp;")")</f>
        <v>Lowest point this week: $265.09 on Tue Aug 18     (in $880.00, out $583.09)</v>
      </c>
    </row>
    <row r="63" customFormat="false" ht="21.75" hidden="false" customHeight="true" outlineLevel="0" collapsed="false">
      <c r="B63" s="31" t="str">
        <f aca="false">"WEEK 3     "&amp;TEXT($E$6+14,"ddd, mmm d")&amp;"   through   "&amp;TEXT($E$6+14+6,"ddd, mmm d, yyyy")</f>
        <v>WEEK 3     Fri, Aug 21   through   Thu, Aug 27, 2026</v>
      </c>
      <c r="C63" s="32"/>
      <c r="D63" s="32"/>
      <c r="E63" s="32"/>
      <c r="F63" s="32"/>
      <c r="G63" s="33" t="s">
        <v>120</v>
      </c>
      <c r="H63" s="32"/>
      <c r="I63" s="34" t="n">
        <f aca="false">$I$61</f>
        <v>355.09</v>
      </c>
      <c r="J63" s="32"/>
      <c r="K63" s="28" t="str">
        <f aca="false">IF(COUNTIF(Schedule!$I$4:$I$483,3)&gt;10,"! "&amp;COUNTIF(Schedule!$I$4:$I$483,3)-10&amp;" more transaction(s) fall in this week than there are rows to show them.","")</f>
        <v/>
      </c>
    </row>
    <row r="64" customFormat="false" ht="25.5" hidden="false" customHeight="true" outlineLevel="0" collapsed="false">
      <c r="B64" s="35" t="s">
        <v>121</v>
      </c>
      <c r="C64" s="35" t="s">
        <v>122</v>
      </c>
      <c r="D64" s="35" t="s">
        <v>72</v>
      </c>
      <c r="E64" s="35" t="s">
        <v>123</v>
      </c>
      <c r="F64" s="35" t="s">
        <v>124</v>
      </c>
      <c r="G64" s="36" t="s">
        <v>18</v>
      </c>
      <c r="H64" s="37" t="s">
        <v>20</v>
      </c>
      <c r="I64" s="35" t="s">
        <v>125</v>
      </c>
      <c r="J64" s="35" t="s">
        <v>126</v>
      </c>
    </row>
    <row r="65" customFormat="false" ht="15" hidden="false" customHeight="false" outlineLevel="0" collapsed="false">
      <c r="B65" s="38" t="str">
        <f aca="false">IFERROR(INDEX(Schedule!$C$4:$C$483,MATCH(3001,Schedule!$K$4:$K$483,0)),"")</f>
        <v>Compunnel Software (paycheck)</v>
      </c>
      <c r="C65" s="39" t="n">
        <f aca="false">IF($B65="","",INDEX(Schedule!$G$4:$G$483,MATCH(3001,Schedule!$K$4:$K$483,0)))</f>
        <v>46255</v>
      </c>
      <c r="D65" s="40" t="str">
        <f aca="false">IF($B65="","",INDEX(Schedule!$D$4:$D$483,MATCH(3001,Schedule!$K$4:$K$483,0)))</f>
        <v>Income</v>
      </c>
      <c r="E65" s="41" t="n">
        <f aca="false">IF($B65="","",INDEX(Schedule!$E$4:$E$483,MATCH(3001,Schedule!$K$4:$K$483,0)))</f>
        <v>790</v>
      </c>
      <c r="F65" s="42"/>
      <c r="G65" s="43" t="n">
        <f aca="false">IF($B65="","",IF($D65="Income",IF($F65&lt;&gt;"",$F65,$E65),""))</f>
        <v>790</v>
      </c>
      <c r="H65" s="44" t="str">
        <f aca="false">IF($B65="","",IF($D65="Income","",IF($F65&lt;&gt;"",$F65,$E65)))</f>
        <v/>
      </c>
      <c r="I65" s="45" t="n">
        <f aca="false">IF($B65="","",$I$63+SUMIFS($G$65:$G$85,$M$65:$M$85,"&lt;="&amp;$M65)-SUMIFS($H$65:$H$85,$M$65:$M$85,"&lt;="&amp;$M65))</f>
        <v>1145.09</v>
      </c>
      <c r="J65" s="46" t="str">
        <f aca="true">IF($B65="","",IF($F65&lt;&gt;"",IF($C65&gt;TODAY(),"ADJUSTED","PAID"),IF($C65&lt;TODAY(),"PAST DUE",IF($C65&lt;=TODAY()+7,"DUE","Upcoming"))))</f>
        <v>Upcoming</v>
      </c>
      <c r="L65" s="47" t="n">
        <f aca="false">IF($B65="","",$C65)</f>
        <v>46255</v>
      </c>
      <c r="M65" s="48" t="n">
        <f aca="false">IF($L65="","",COUNTIFS($L$65:$L$85,"&lt;"&amp;$L65)+COUNTIFS($L$65:$L65,$L65))</f>
        <v>1</v>
      </c>
    </row>
    <row r="66" customFormat="false" ht="15" hidden="false" customHeight="false" outlineLevel="0" collapsed="false">
      <c r="B66" s="38" t="str">
        <f aca="false">IFERROR(INDEX(Schedule!$C$4:$C$483,MATCH(3002,Schedule!$K$4:$K$483,0)),"")</f>
        <v>Microsoft</v>
      </c>
      <c r="C66" s="39" t="n">
        <f aca="false">IF($B66="","",INDEX(Schedule!$G$4:$G$483,MATCH(3002,Schedule!$K$4:$K$483,0)))</f>
        <v>46259</v>
      </c>
      <c r="D66" s="40" t="str">
        <f aca="false">IF($B66="","",INDEX(Schedule!$D$4:$D$483,MATCH(3002,Schedule!$K$4:$K$483,0)))</f>
        <v>Expense</v>
      </c>
      <c r="E66" s="41" t="n">
        <f aca="false">IF($B66="","",INDEX(Schedule!$E$4:$E$483,MATCH(3002,Schedule!$K$4:$K$483,0)))</f>
        <v>13.7</v>
      </c>
      <c r="F66" s="42"/>
      <c r="G66" s="43" t="str">
        <f aca="false">IF($B66="","",IF($D66="Income",IF($F66&lt;&gt;"",$F66,$E66),""))</f>
        <v/>
      </c>
      <c r="H66" s="44" t="n">
        <f aca="false">IF($B66="","",IF($D66="Income","",IF($F66&lt;&gt;"",$F66,$E66)))</f>
        <v>13.7</v>
      </c>
      <c r="I66" s="45" t="n">
        <f aca="false">IF($B66="","",$I$63+SUMIFS($G$65:$G$85,$M$65:$M$85,"&lt;="&amp;$M66)-SUMIFS($H$65:$H$85,$M$65:$M$85,"&lt;="&amp;$M66))</f>
        <v>1131.39</v>
      </c>
      <c r="J66" s="46" t="str">
        <f aca="true">IF($B66="","",IF($F66&lt;&gt;"",IF($C66&gt;TODAY(),"ADJUSTED","PAID"),IF($C66&lt;TODAY(),"PAST DUE",IF($C66&lt;=TODAY()+7,"DUE","Upcoming"))))</f>
        <v>Upcoming</v>
      </c>
      <c r="L66" s="47" t="n">
        <f aca="false">IF($B66="","",$C66)</f>
        <v>46259</v>
      </c>
      <c r="M66" s="48" t="n">
        <f aca="false">IF($L66="","",COUNTIFS($L$65:$L$85,"&lt;"&amp;$L66)+COUNTIFS($L$65:$L66,$L66))</f>
        <v>2</v>
      </c>
    </row>
    <row r="67" customFormat="false" ht="15" hidden="false" customHeight="false" outlineLevel="0" collapsed="false">
      <c r="B67" s="38" t="str">
        <f aca="false">IFERROR(INDEX(Schedule!$C$4:$C$483,MATCH(3003,Schedule!$K$4:$K$483,0)),"")</f>
        <v>Central Maine Power: Payment Plan</v>
      </c>
      <c r="C67" s="39" t="n">
        <f aca="false">IF($B67="","",INDEX(Schedule!$G$4:$G$483,MATCH(3003,Schedule!$K$4:$K$483,0)))</f>
        <v>46259</v>
      </c>
      <c r="D67" s="40" t="str">
        <f aca="false">IF($B67="","",INDEX(Schedule!$D$4:$D$483,MATCH(3003,Schedule!$K$4:$K$483,0)))</f>
        <v>Expense</v>
      </c>
      <c r="E67" s="41" t="n">
        <f aca="false">IF($B67="","",INDEX(Schedule!$E$4:$E$483,MATCH(3003,Schedule!$K$4:$K$483,0)))</f>
        <v>43.87</v>
      </c>
      <c r="F67" s="42"/>
      <c r="G67" s="43" t="str">
        <f aca="false">IF($B67="","",IF($D67="Income",IF($F67&lt;&gt;"",$F67,$E67),""))</f>
        <v/>
      </c>
      <c r="H67" s="44" t="n">
        <f aca="false">IF($B67="","",IF($D67="Income","",IF($F67&lt;&gt;"",$F67,$E67)))</f>
        <v>43.87</v>
      </c>
      <c r="I67" s="45" t="n">
        <f aca="false">IF($B67="","",$I$63+SUMIFS($G$65:$G$85,$M$65:$M$85,"&lt;="&amp;$M67)-SUMIFS($H$65:$H$85,$M$65:$M$85,"&lt;="&amp;$M67))</f>
        <v>1087.52</v>
      </c>
      <c r="J67" s="46" t="str">
        <f aca="true">IF($B67="","",IF($F67&lt;&gt;"",IF($C67&gt;TODAY(),"ADJUSTED","PAID"),IF($C67&lt;TODAY(),"PAST DUE",IF($C67&lt;=TODAY()+7,"DUE","Upcoming"))))</f>
        <v>Upcoming</v>
      </c>
      <c r="L67" s="47" t="n">
        <f aca="false">IF($B67="","",$C67)</f>
        <v>46259</v>
      </c>
      <c r="M67" s="48" t="n">
        <f aca="false">IF($L67="","",COUNTIFS($L$65:$L$85,"&lt;"&amp;$L67)+COUNTIFS($L$65:$L67,$L67))</f>
        <v>3</v>
      </c>
    </row>
    <row r="68" customFormat="false" ht="15" hidden="false" customHeight="false" outlineLevel="0" collapsed="false">
      <c r="B68" s="38" t="str">
        <f aca="false">IFERROR(INDEX(Schedule!$C$4:$C$483,MATCH(3004,Schedule!$K$4:$K$483,0)),"")</f>
        <v>Bruno's Restaurant (paycheck)</v>
      </c>
      <c r="C68" s="39" t="n">
        <f aca="false">IF($B68="","",INDEX(Schedule!$G$4:$G$483,MATCH(3004,Schedule!$K$4:$K$483,0)))</f>
        <v>46260</v>
      </c>
      <c r="D68" s="40" t="str">
        <f aca="false">IF($B68="","",INDEX(Schedule!$D$4:$D$483,MATCH(3004,Schedule!$K$4:$K$483,0)))</f>
        <v>Income</v>
      </c>
      <c r="E68" s="41" t="n">
        <f aca="false">IF($B68="","",INDEX(Schedule!$E$4:$E$483,MATCH(3004,Schedule!$K$4:$K$483,0)))</f>
        <v>90</v>
      </c>
      <c r="F68" s="42"/>
      <c r="G68" s="43" t="n">
        <f aca="false">IF($B68="","",IF($D68="Income",IF($F68&lt;&gt;"",$F68,$E68),""))</f>
        <v>90</v>
      </c>
      <c r="H68" s="44" t="str">
        <f aca="false">IF($B68="","",IF($D68="Income","",IF($F68&lt;&gt;"",$F68,$E68)))</f>
        <v/>
      </c>
      <c r="I68" s="45" t="n">
        <f aca="false">IF($B68="","",$I$63+SUMIFS($G$65:$G$85,$M$65:$M$85,"&lt;="&amp;$M68)-SUMIFS($H$65:$H$85,$M$65:$M$85,"&lt;="&amp;$M68))</f>
        <v>1177.52</v>
      </c>
      <c r="J68" s="46" t="str">
        <f aca="true">IF($B68="","",IF($F68&lt;&gt;"",IF($C68&gt;TODAY(),"ADJUSTED","PAID"),IF($C68&lt;TODAY(),"PAST DUE",IF($C68&lt;=TODAY()+7,"DUE","Upcoming"))))</f>
        <v>Upcoming</v>
      </c>
      <c r="L68" s="47" t="n">
        <f aca="false">IF($B68="","",$C68)</f>
        <v>46260</v>
      </c>
      <c r="M68" s="48" t="n">
        <f aca="false">IF($L68="","",COUNTIFS($L$65:$L$85,"&lt;"&amp;$L68)+COUNTIFS($L$65:$L68,$L68))</f>
        <v>4</v>
      </c>
    </row>
    <row r="69" customFormat="false" ht="15" hidden="false" customHeight="false" outlineLevel="0" collapsed="false">
      <c r="B69" s="38" t="str">
        <f aca="false">IFERROR(INDEX(Schedule!$C$4:$C$483,MATCH(3005,Schedule!$K$4:$K$483,0)),"")</f>
        <v/>
      </c>
      <c r="C69" s="39" t="str">
        <f aca="false">IF($B69="","",INDEX(Schedule!$G$4:$G$483,MATCH(3005,Schedule!$K$4:$K$483,0)))</f>
        <v/>
      </c>
      <c r="D69" s="40" t="str">
        <f aca="false">IF($B69="","",INDEX(Schedule!$D$4:$D$483,MATCH(3005,Schedule!$K$4:$K$483,0)))</f>
        <v/>
      </c>
      <c r="E69" s="41" t="str">
        <f aca="false">IF($B69="","",INDEX(Schedule!$E$4:$E$483,MATCH(3005,Schedule!$K$4:$K$483,0)))</f>
        <v/>
      </c>
      <c r="F69" s="42"/>
      <c r="G69" s="43" t="str">
        <f aca="false">IF($B69="","",IF($D69="Income",IF($F69&lt;&gt;"",$F69,$E69),""))</f>
        <v/>
      </c>
      <c r="H69" s="44" t="str">
        <f aca="false">IF($B69="","",IF($D69="Income","",IF($F69&lt;&gt;"",$F69,$E69)))</f>
        <v/>
      </c>
      <c r="I69" s="45" t="str">
        <f aca="false">IF($B69="","",$I$63+SUMIFS($G$65:$G$85,$M$65:$M$85,"&lt;="&amp;$M69)-SUMIFS($H$65:$H$85,$M$65:$M$85,"&lt;="&amp;$M69))</f>
        <v/>
      </c>
      <c r="J69" s="46" t="str">
        <f aca="true">IF($B69="","",IF($F69&lt;&gt;"",IF($C69&gt;TODAY(),"ADJUSTED","PAID"),IF($C69&lt;TODAY(),"PAST DUE",IF($C69&lt;=TODAY()+7,"DUE","Upcoming"))))</f>
        <v/>
      </c>
      <c r="L69" s="0" t="str">
        <f aca="false">IF($B69="","",$C69)</f>
        <v/>
      </c>
      <c r="M69" s="0" t="str">
        <f aca="false">IF($L69="","",COUNTIFS($L$65:$L$85,"&lt;"&amp;$L69)+COUNTIFS($L$65:$L69,$L69))</f>
        <v/>
      </c>
    </row>
    <row r="70" customFormat="false" ht="15" hidden="false" customHeight="false" outlineLevel="0" collapsed="false">
      <c r="B70" s="38" t="str">
        <f aca="false">IFERROR(INDEX(Schedule!$C$4:$C$483,MATCH(3006,Schedule!$K$4:$K$483,0)),"")</f>
        <v/>
      </c>
      <c r="C70" s="39" t="str">
        <f aca="false">IF($B70="","",INDEX(Schedule!$G$4:$G$483,MATCH(3006,Schedule!$K$4:$K$483,0)))</f>
        <v/>
      </c>
      <c r="D70" s="40" t="str">
        <f aca="false">IF($B70="","",INDEX(Schedule!$D$4:$D$483,MATCH(3006,Schedule!$K$4:$K$483,0)))</f>
        <v/>
      </c>
      <c r="E70" s="41" t="str">
        <f aca="false">IF($B70="","",INDEX(Schedule!$E$4:$E$483,MATCH(3006,Schedule!$K$4:$K$483,0)))</f>
        <v/>
      </c>
      <c r="F70" s="42"/>
      <c r="G70" s="43" t="str">
        <f aca="false">IF($B70="","",IF($D70="Income",IF($F70&lt;&gt;"",$F70,$E70),""))</f>
        <v/>
      </c>
      <c r="H70" s="44" t="str">
        <f aca="false">IF($B70="","",IF($D70="Income","",IF($F70&lt;&gt;"",$F70,$E70)))</f>
        <v/>
      </c>
      <c r="I70" s="45" t="str">
        <f aca="false">IF($B70="","",$I$63+SUMIFS($G$65:$G$85,$M$65:$M$85,"&lt;="&amp;$M70)-SUMIFS($H$65:$H$85,$M$65:$M$85,"&lt;="&amp;$M70))</f>
        <v/>
      </c>
      <c r="J70" s="46" t="str">
        <f aca="true">IF($B70="","",IF($F70&lt;&gt;"",IF($C70&gt;TODAY(),"ADJUSTED","PAID"),IF($C70&lt;TODAY(),"PAST DUE",IF($C70&lt;=TODAY()+7,"DUE","Upcoming"))))</f>
        <v/>
      </c>
      <c r="L70" s="0" t="str">
        <f aca="false">IF($B70="","",$C70)</f>
        <v/>
      </c>
      <c r="M70" s="0" t="str">
        <f aca="false">IF($L70="","",COUNTIFS($L$65:$L$85,"&lt;"&amp;$L70)+COUNTIFS($L$65:$L70,$L70))</f>
        <v/>
      </c>
    </row>
    <row r="71" customFormat="false" ht="15" hidden="false" customHeight="false" outlineLevel="0" collapsed="false">
      <c r="B71" s="38" t="str">
        <f aca="false">IFERROR(INDEX(Schedule!$C$4:$C$483,MATCH(3007,Schedule!$K$4:$K$483,0)),"")</f>
        <v/>
      </c>
      <c r="C71" s="39" t="str">
        <f aca="false">IF($B71="","",INDEX(Schedule!$G$4:$G$483,MATCH(3007,Schedule!$K$4:$K$483,0)))</f>
        <v/>
      </c>
      <c r="D71" s="40" t="str">
        <f aca="false">IF($B71="","",INDEX(Schedule!$D$4:$D$483,MATCH(3007,Schedule!$K$4:$K$483,0)))</f>
        <v/>
      </c>
      <c r="E71" s="41" t="str">
        <f aca="false">IF($B71="","",INDEX(Schedule!$E$4:$E$483,MATCH(3007,Schedule!$K$4:$K$483,0)))</f>
        <v/>
      </c>
      <c r="F71" s="42"/>
      <c r="G71" s="43" t="str">
        <f aca="false">IF($B71="","",IF($D71="Income",IF($F71&lt;&gt;"",$F71,$E71),""))</f>
        <v/>
      </c>
      <c r="H71" s="44" t="str">
        <f aca="false">IF($B71="","",IF($D71="Income","",IF($F71&lt;&gt;"",$F71,$E71)))</f>
        <v/>
      </c>
      <c r="I71" s="45" t="str">
        <f aca="false">IF($B71="","",$I$63+SUMIFS($G$65:$G$85,$M$65:$M$85,"&lt;="&amp;$M71)-SUMIFS($H$65:$H$85,$M$65:$M$85,"&lt;="&amp;$M71))</f>
        <v/>
      </c>
      <c r="J71" s="46" t="str">
        <f aca="true">IF($B71="","",IF($F71&lt;&gt;"",IF($C71&gt;TODAY(),"ADJUSTED","PAID"),IF($C71&lt;TODAY(),"PAST DUE",IF($C71&lt;=TODAY()+7,"DUE","Upcoming"))))</f>
        <v/>
      </c>
      <c r="L71" s="0" t="str">
        <f aca="false">IF($B71="","",$C71)</f>
        <v/>
      </c>
      <c r="M71" s="0" t="str">
        <f aca="false">IF($L71="","",COUNTIFS($L$65:$L$85,"&lt;"&amp;$L71)+COUNTIFS($L$65:$L71,$L71))</f>
        <v/>
      </c>
    </row>
    <row r="72" customFormat="false" ht="15" hidden="false" customHeight="false" outlineLevel="0" collapsed="false">
      <c r="B72" s="38" t="str">
        <f aca="false">IFERROR(INDEX(Schedule!$C$4:$C$483,MATCH(3008,Schedule!$K$4:$K$483,0)),"")</f>
        <v/>
      </c>
      <c r="C72" s="39" t="str">
        <f aca="false">IF($B72="","",INDEX(Schedule!$G$4:$G$483,MATCH(3008,Schedule!$K$4:$K$483,0)))</f>
        <v/>
      </c>
      <c r="D72" s="40" t="str">
        <f aca="false">IF($B72="","",INDEX(Schedule!$D$4:$D$483,MATCH(3008,Schedule!$K$4:$K$483,0)))</f>
        <v/>
      </c>
      <c r="E72" s="41" t="str">
        <f aca="false">IF($B72="","",INDEX(Schedule!$E$4:$E$483,MATCH(3008,Schedule!$K$4:$K$483,0)))</f>
        <v/>
      </c>
      <c r="F72" s="42"/>
      <c r="G72" s="43" t="str">
        <f aca="false">IF($B72="","",IF($D72="Income",IF($F72&lt;&gt;"",$F72,$E72),""))</f>
        <v/>
      </c>
      <c r="H72" s="44" t="str">
        <f aca="false">IF($B72="","",IF($D72="Income","",IF($F72&lt;&gt;"",$F72,$E72)))</f>
        <v/>
      </c>
      <c r="I72" s="45" t="str">
        <f aca="false">IF($B72="","",$I$63+SUMIFS($G$65:$G$85,$M$65:$M$85,"&lt;="&amp;$M72)-SUMIFS($H$65:$H$85,$M$65:$M$85,"&lt;="&amp;$M72))</f>
        <v/>
      </c>
      <c r="J72" s="46" t="str">
        <f aca="true">IF($B72="","",IF($F72&lt;&gt;"",IF($C72&gt;TODAY(),"ADJUSTED","PAID"),IF($C72&lt;TODAY(),"PAST DUE",IF($C72&lt;=TODAY()+7,"DUE","Upcoming"))))</f>
        <v/>
      </c>
      <c r="L72" s="0" t="str">
        <f aca="false">IF($B72="","",$C72)</f>
        <v/>
      </c>
      <c r="M72" s="0" t="str">
        <f aca="false">IF($L72="","",COUNTIFS($L$65:$L$85,"&lt;"&amp;$L72)+COUNTIFS($L$65:$L72,$L72))</f>
        <v/>
      </c>
    </row>
    <row r="73" customFormat="false" ht="15" hidden="false" customHeight="false" outlineLevel="0" collapsed="false">
      <c r="B73" s="38" t="str">
        <f aca="false">IFERROR(INDEX(Schedule!$C$4:$C$483,MATCH(3009,Schedule!$K$4:$K$483,0)),"")</f>
        <v/>
      </c>
      <c r="C73" s="39" t="str">
        <f aca="false">IF($B73="","",INDEX(Schedule!$G$4:$G$483,MATCH(3009,Schedule!$K$4:$K$483,0)))</f>
        <v/>
      </c>
      <c r="D73" s="40" t="str">
        <f aca="false">IF($B73="","",INDEX(Schedule!$D$4:$D$483,MATCH(3009,Schedule!$K$4:$K$483,0)))</f>
        <v/>
      </c>
      <c r="E73" s="41" t="str">
        <f aca="false">IF($B73="","",INDEX(Schedule!$E$4:$E$483,MATCH(3009,Schedule!$K$4:$K$483,0)))</f>
        <v/>
      </c>
      <c r="F73" s="42"/>
      <c r="G73" s="43" t="str">
        <f aca="false">IF($B73="","",IF($D73="Income",IF($F73&lt;&gt;"",$F73,$E73),""))</f>
        <v/>
      </c>
      <c r="H73" s="44" t="str">
        <f aca="false">IF($B73="","",IF($D73="Income","",IF($F73&lt;&gt;"",$F73,$E73)))</f>
        <v/>
      </c>
      <c r="I73" s="45" t="str">
        <f aca="false">IF($B73="","",$I$63+SUMIFS($G$65:$G$85,$M$65:$M$85,"&lt;="&amp;$M73)-SUMIFS($H$65:$H$85,$M$65:$M$85,"&lt;="&amp;$M73))</f>
        <v/>
      </c>
      <c r="J73" s="46" t="str">
        <f aca="true">IF($B73="","",IF($F73&lt;&gt;"",IF($C73&gt;TODAY(),"ADJUSTED","PAID"),IF($C73&lt;TODAY(),"PAST DUE",IF($C73&lt;=TODAY()+7,"DUE","Upcoming"))))</f>
        <v/>
      </c>
      <c r="L73" s="0" t="str">
        <f aca="false">IF($B73="","",$C73)</f>
        <v/>
      </c>
      <c r="M73" s="0" t="str">
        <f aca="false">IF($L73="","",COUNTIFS($L$65:$L$85,"&lt;"&amp;$L73)+COUNTIFS($L$65:$L73,$L73))</f>
        <v/>
      </c>
    </row>
    <row r="74" customFormat="false" ht="15" hidden="false" customHeight="false" outlineLevel="0" collapsed="false">
      <c r="B74" s="38" t="str">
        <f aca="false">IFERROR(INDEX(Schedule!$C$4:$C$483,MATCH(3010,Schedule!$K$4:$K$483,0)),"")</f>
        <v/>
      </c>
      <c r="C74" s="39" t="str">
        <f aca="false">IF($B74="","",INDEX(Schedule!$G$4:$G$483,MATCH(3010,Schedule!$K$4:$K$483,0)))</f>
        <v/>
      </c>
      <c r="D74" s="40" t="str">
        <f aca="false">IF($B74="","",INDEX(Schedule!$D$4:$D$483,MATCH(3010,Schedule!$K$4:$K$483,0)))</f>
        <v/>
      </c>
      <c r="E74" s="41" t="str">
        <f aca="false">IF($B74="","",INDEX(Schedule!$E$4:$E$483,MATCH(3010,Schedule!$K$4:$K$483,0)))</f>
        <v/>
      </c>
      <c r="F74" s="42"/>
      <c r="G74" s="43" t="str">
        <f aca="false">IF($B74="","",IF($D74="Income",IF($F74&lt;&gt;"",$F74,$E74),""))</f>
        <v/>
      </c>
      <c r="H74" s="44" t="str">
        <f aca="false">IF($B74="","",IF($D74="Income","",IF($F74&lt;&gt;"",$F74,$E74)))</f>
        <v/>
      </c>
      <c r="I74" s="45" t="str">
        <f aca="false">IF($B74="","",$I$63+SUMIFS($G$65:$G$85,$M$65:$M$85,"&lt;="&amp;$M74)-SUMIFS($H$65:$H$85,$M$65:$M$85,"&lt;="&amp;$M74))</f>
        <v/>
      </c>
      <c r="J74" s="46" t="str">
        <f aca="true">IF($B74="","",IF($F74&lt;&gt;"",IF($C74&gt;TODAY(),"ADJUSTED","PAID"),IF($C74&lt;TODAY(),"PAST DUE",IF($C74&lt;=TODAY()+7,"DUE","Upcoming"))))</f>
        <v/>
      </c>
      <c r="L74" s="0" t="str">
        <f aca="false">IF($B74="","",$C74)</f>
        <v/>
      </c>
      <c r="M74" s="0" t="str">
        <f aca="false">IF($L74="","",COUNTIFS($L$65:$L$85,"&lt;"&amp;$L74)+COUNTIFS($L$65:$L74,$L74))</f>
        <v/>
      </c>
    </row>
    <row r="75" customFormat="false" ht="15" hidden="false" customHeight="false" outlineLevel="0" collapsed="false">
      <c r="B75" s="49" t="s">
        <v>127</v>
      </c>
      <c r="C75" s="50"/>
      <c r="D75" s="50"/>
      <c r="E75" s="50"/>
      <c r="F75" s="50"/>
      <c r="G75" s="50"/>
      <c r="H75" s="50"/>
      <c r="I75" s="50"/>
      <c r="J75" s="50"/>
    </row>
    <row r="76" customFormat="false" ht="15" hidden="false" customHeight="false" outlineLevel="0" collapsed="false">
      <c r="B76" s="6"/>
      <c r="C76" s="51"/>
      <c r="D76" s="52" t="str">
        <f aca="false">IF($B76="","","Expense")</f>
        <v/>
      </c>
      <c r="E76" s="18"/>
      <c r="F76" s="10"/>
      <c r="G76" s="10"/>
      <c r="H76" s="53" t="str">
        <f aca="false">IF($B76="","",N($E76))</f>
        <v/>
      </c>
      <c r="I76" s="54" t="str">
        <f aca="false">IF($B76="","",$I$63+SUMIFS($G$65:$G$85,$M$65:$M$85,"&lt;="&amp;$M76)-SUMIFS($H$65:$H$85,$M$65:$M$85,"&lt;="&amp;$M76))</f>
        <v/>
      </c>
      <c r="J76" s="10"/>
      <c r="L76" s="0" t="str">
        <f aca="false">IF($B76="","",IF($C76="",$E$6+20,$C76))</f>
        <v/>
      </c>
      <c r="M76" s="0" t="str">
        <f aca="false">IF($L76="","",COUNTIFS($L$65:$L$85,"&lt;"&amp;$L76)+COUNTIFS($L$65:$L76,$L76))</f>
        <v/>
      </c>
    </row>
    <row r="77" customFormat="false" ht="15" hidden="false" customHeight="false" outlineLevel="0" collapsed="false">
      <c r="B77" s="6"/>
      <c r="C77" s="51"/>
      <c r="D77" s="52" t="str">
        <f aca="false">IF($B77="","","Expense")</f>
        <v/>
      </c>
      <c r="E77" s="18"/>
      <c r="F77" s="10"/>
      <c r="G77" s="10"/>
      <c r="H77" s="53" t="str">
        <f aca="false">IF($B77="","",N($E77))</f>
        <v/>
      </c>
      <c r="I77" s="54" t="str">
        <f aca="false">IF($B77="","",$I$63+SUMIFS($G$65:$G$85,$M$65:$M$85,"&lt;="&amp;$M77)-SUMIFS($H$65:$H$85,$M$65:$M$85,"&lt;="&amp;$M77))</f>
        <v/>
      </c>
      <c r="J77" s="10"/>
      <c r="L77" s="0" t="str">
        <f aca="false">IF($B77="","",IF($C77="",$E$6+20,$C77))</f>
        <v/>
      </c>
      <c r="M77" s="0" t="str">
        <f aca="false">IF($L77="","",COUNTIFS($L$65:$L$85,"&lt;"&amp;$L77)+COUNTIFS($L$65:$L77,$L77))</f>
        <v/>
      </c>
    </row>
    <row r="78" customFormat="false" ht="15" hidden="false" customHeight="false" outlineLevel="0" collapsed="false">
      <c r="B78" s="6"/>
      <c r="C78" s="51"/>
      <c r="D78" s="52" t="str">
        <f aca="false">IF($B78="","","Expense")</f>
        <v/>
      </c>
      <c r="E78" s="18"/>
      <c r="F78" s="10"/>
      <c r="G78" s="10"/>
      <c r="H78" s="53" t="str">
        <f aca="false">IF($B78="","",N($E78))</f>
        <v/>
      </c>
      <c r="I78" s="54" t="str">
        <f aca="false">IF($B78="","",$I$63+SUMIFS($G$65:$G$85,$M$65:$M$85,"&lt;="&amp;$M78)-SUMIFS($H$65:$H$85,$M$65:$M$85,"&lt;="&amp;$M78))</f>
        <v/>
      </c>
      <c r="J78" s="10"/>
      <c r="L78" s="0" t="str">
        <f aca="false">IF($B78="","",IF($C78="",$E$6+20,$C78))</f>
        <v/>
      </c>
      <c r="M78" s="0" t="str">
        <f aca="false">IF($L78="","",COUNTIFS($L$65:$L$85,"&lt;"&amp;$L78)+COUNTIFS($L$65:$L78,$L78))</f>
        <v/>
      </c>
    </row>
    <row r="79" customFormat="false" ht="15" hidden="false" customHeight="false" outlineLevel="0" collapsed="false">
      <c r="B79" s="6"/>
      <c r="C79" s="51"/>
      <c r="D79" s="52" t="str">
        <f aca="false">IF($B79="","","Expense")</f>
        <v/>
      </c>
      <c r="E79" s="18"/>
      <c r="F79" s="10"/>
      <c r="G79" s="10"/>
      <c r="H79" s="53" t="str">
        <f aca="false">IF($B79="","",N($E79))</f>
        <v/>
      </c>
      <c r="I79" s="54" t="str">
        <f aca="false">IF($B79="","",$I$63+SUMIFS($G$65:$G$85,$M$65:$M$85,"&lt;="&amp;$M79)-SUMIFS($H$65:$H$85,$M$65:$M$85,"&lt;="&amp;$M79))</f>
        <v/>
      </c>
      <c r="J79" s="10"/>
      <c r="L79" s="0" t="str">
        <f aca="false">IF($B79="","",IF($C79="",$E$6+20,$C79))</f>
        <v/>
      </c>
      <c r="M79" s="0" t="str">
        <f aca="false">IF($L79="","",COUNTIFS($L$65:$L$85,"&lt;"&amp;$L79)+COUNTIFS($L$65:$L79,$L79))</f>
        <v/>
      </c>
    </row>
    <row r="80" customFormat="false" ht="15" hidden="false" customHeight="false" outlineLevel="0" collapsed="false">
      <c r="B80" s="6"/>
      <c r="C80" s="51"/>
      <c r="D80" s="52" t="str">
        <f aca="false">IF($B80="","","Expense")</f>
        <v/>
      </c>
      <c r="E80" s="18"/>
      <c r="F80" s="10"/>
      <c r="G80" s="10"/>
      <c r="H80" s="53" t="str">
        <f aca="false">IF($B80="","",N($E80))</f>
        <v/>
      </c>
      <c r="I80" s="54" t="str">
        <f aca="false">IF($B80="","",$I$63+SUMIFS($G$65:$G$85,$M$65:$M$85,"&lt;="&amp;$M80)-SUMIFS($H$65:$H$85,$M$65:$M$85,"&lt;="&amp;$M80))</f>
        <v/>
      </c>
      <c r="J80" s="10"/>
      <c r="L80" s="0" t="str">
        <f aca="false">IF($B80="","",IF($C80="",$E$6+20,$C80))</f>
        <v/>
      </c>
      <c r="M80" s="0" t="str">
        <f aca="false">IF($L80="","",COUNTIFS($L$65:$L$85,"&lt;"&amp;$L80)+COUNTIFS($L$65:$L80,$L80))</f>
        <v/>
      </c>
    </row>
    <row r="81" customFormat="false" ht="15" hidden="false" customHeight="false" outlineLevel="0" collapsed="false">
      <c r="B81" s="6"/>
      <c r="C81" s="51"/>
      <c r="D81" s="52" t="str">
        <f aca="false">IF($B81="","","Expense")</f>
        <v/>
      </c>
      <c r="E81" s="18"/>
      <c r="F81" s="10"/>
      <c r="G81" s="10"/>
      <c r="H81" s="53" t="str">
        <f aca="false">IF($B81="","",N($E81))</f>
        <v/>
      </c>
      <c r="I81" s="54" t="str">
        <f aca="false">IF($B81="","",$I$63+SUMIFS($G$65:$G$85,$M$65:$M$85,"&lt;="&amp;$M81)-SUMIFS($H$65:$H$85,$M$65:$M$85,"&lt;="&amp;$M81))</f>
        <v/>
      </c>
      <c r="J81" s="10"/>
      <c r="L81" s="0" t="str">
        <f aca="false">IF($B81="","",IF($C81="",$E$6+20,$C81))</f>
        <v/>
      </c>
      <c r="M81" s="0" t="str">
        <f aca="false">IF($L81="","",COUNTIFS($L$65:$L$85,"&lt;"&amp;$L81)+COUNTIFS($L$65:$L81,$L81))</f>
        <v/>
      </c>
    </row>
    <row r="82" customFormat="false" ht="15" hidden="false" customHeight="false" outlineLevel="0" collapsed="false">
      <c r="B82" s="6"/>
      <c r="C82" s="51"/>
      <c r="D82" s="52" t="str">
        <f aca="false">IF($B82="","","Expense")</f>
        <v/>
      </c>
      <c r="E82" s="18"/>
      <c r="F82" s="10"/>
      <c r="G82" s="10"/>
      <c r="H82" s="53" t="str">
        <f aca="false">IF($B82="","",N($E82))</f>
        <v/>
      </c>
      <c r="I82" s="54" t="str">
        <f aca="false">IF($B82="","",$I$63+SUMIFS($G$65:$G$85,$M$65:$M$85,"&lt;="&amp;$M82)-SUMIFS($H$65:$H$85,$M$65:$M$85,"&lt;="&amp;$M82))</f>
        <v/>
      </c>
      <c r="J82" s="10"/>
      <c r="L82" s="0" t="str">
        <f aca="false">IF($B82="","",IF($C82="",$E$6+20,$C82))</f>
        <v/>
      </c>
      <c r="M82" s="0" t="str">
        <f aca="false">IF($L82="","",COUNTIFS($L$65:$L$85,"&lt;"&amp;$L82)+COUNTIFS($L$65:$L82,$L82))</f>
        <v/>
      </c>
    </row>
    <row r="83" customFormat="false" ht="15" hidden="false" customHeight="false" outlineLevel="0" collapsed="false">
      <c r="B83" s="6"/>
      <c r="C83" s="51"/>
      <c r="D83" s="52" t="str">
        <f aca="false">IF($B83="","","Expense")</f>
        <v/>
      </c>
      <c r="E83" s="18"/>
      <c r="F83" s="10"/>
      <c r="G83" s="10"/>
      <c r="H83" s="53" t="str">
        <f aca="false">IF($B83="","",N($E83))</f>
        <v/>
      </c>
      <c r="I83" s="54" t="str">
        <f aca="false">IF($B83="","",$I$63+SUMIFS($G$65:$G$85,$M$65:$M$85,"&lt;="&amp;$M83)-SUMIFS($H$65:$H$85,$M$65:$M$85,"&lt;="&amp;$M83))</f>
        <v/>
      </c>
      <c r="J83" s="10"/>
      <c r="L83" s="0" t="str">
        <f aca="false">IF($B83="","",IF($C83="",$E$6+20,$C83))</f>
        <v/>
      </c>
      <c r="M83" s="0" t="str">
        <f aca="false">IF($L83="","",COUNTIFS($L$65:$L$85,"&lt;"&amp;$L83)+COUNTIFS($L$65:$L83,$L83))</f>
        <v/>
      </c>
    </row>
    <row r="84" customFormat="false" ht="15" hidden="false" customHeight="false" outlineLevel="0" collapsed="false">
      <c r="B84" s="6"/>
      <c r="C84" s="51"/>
      <c r="D84" s="52" t="str">
        <f aca="false">IF($B84="","","Expense")</f>
        <v/>
      </c>
      <c r="E84" s="18"/>
      <c r="F84" s="10"/>
      <c r="G84" s="10"/>
      <c r="H84" s="53" t="str">
        <f aca="false">IF($B84="","",N($E84))</f>
        <v/>
      </c>
      <c r="I84" s="54" t="str">
        <f aca="false">IF($B84="","",$I$63+SUMIFS($G$65:$G$85,$M$65:$M$85,"&lt;="&amp;$M84)-SUMIFS($H$65:$H$85,$M$65:$M$85,"&lt;="&amp;$M84))</f>
        <v/>
      </c>
      <c r="J84" s="10"/>
      <c r="L84" s="0" t="str">
        <f aca="false">IF($B84="","",IF($C84="",$E$6+20,$C84))</f>
        <v/>
      </c>
      <c r="M84" s="0" t="str">
        <f aca="false">IF($L84="","",COUNTIFS($L$65:$L$85,"&lt;"&amp;$L84)+COUNTIFS($L$65:$L84,$L84))</f>
        <v/>
      </c>
    </row>
    <row r="85" customFormat="false" ht="15" hidden="false" customHeight="false" outlineLevel="0" collapsed="false">
      <c r="B85" s="6"/>
      <c r="C85" s="51"/>
      <c r="D85" s="52" t="str">
        <f aca="false">IF($B85="","","Expense")</f>
        <v/>
      </c>
      <c r="E85" s="18"/>
      <c r="F85" s="10"/>
      <c r="G85" s="10"/>
      <c r="H85" s="53" t="str">
        <f aca="false">IF($B85="","",N($E85))</f>
        <v/>
      </c>
      <c r="I85" s="54" t="str">
        <f aca="false">IF($B85="","",$I$63+SUMIFS($G$65:$G$85,$M$65:$M$85,"&lt;="&amp;$M85)-SUMIFS($H$65:$H$85,$M$65:$M$85,"&lt;="&amp;$M85))</f>
        <v/>
      </c>
      <c r="J85" s="10"/>
      <c r="L85" s="0" t="str">
        <f aca="false">IF($B85="","",IF($C85="",$E$6+20,$C85))</f>
        <v/>
      </c>
      <c r="M85" s="0" t="str">
        <f aca="false">IF($L85="","",COUNTIFS($L$65:$L$85,"&lt;"&amp;$L85)+COUNTIFS($L$65:$L85,$L85))</f>
        <v/>
      </c>
    </row>
    <row r="86" customFormat="false" ht="15" hidden="false" customHeight="false" outlineLevel="0" collapsed="false">
      <c r="B86" s="55" t="s">
        <v>136</v>
      </c>
      <c r="C86" s="56"/>
      <c r="D86" s="56"/>
      <c r="E86" s="56"/>
      <c r="F86" s="56"/>
      <c r="G86" s="57" t="n">
        <f aca="false">SUM($G$65:$G$85)</f>
        <v>880</v>
      </c>
      <c r="H86" s="57" t="n">
        <f aca="false">SUM($H$65:$H$85)</f>
        <v>57.57</v>
      </c>
      <c r="I86" s="58" t="n">
        <f aca="false">$I$63+$G$86-$H$86</f>
        <v>1177.52</v>
      </c>
      <c r="J86" s="59" t="str">
        <f aca="false">IF($I$86&lt;0,"SHORTFALL",IF($I$86&lt;$E$7,"TIGHT","OK"))</f>
        <v>OK</v>
      </c>
      <c r="K86" s="60" t="str">
        <f aca="false">IF(COUNT($I$65:$I$85)=0,"","Lowest point this week: "&amp;TEXT(MIN($I$65:$I$85),"$#,##0.00;-$#,##0.00")&amp;" on "&amp;TEXT(INDEX($C$65:$C$85,MATCH(MIN($I$65:$I$85),$I$65:$I$85,0)),"ddd mmm d")&amp;"     (in "&amp;TEXT($G$86,"$#,##0.00")&amp;", out "&amp;TEXT($H$86,"$#,##0.00")&amp;")")</f>
        <v>Lowest point this week: $1,087.52 on Tue Aug 25     (in $880.00, out $57.57)</v>
      </c>
    </row>
    <row r="88" customFormat="false" ht="21.75" hidden="false" customHeight="true" outlineLevel="0" collapsed="false">
      <c r="B88" s="31" t="str">
        <f aca="false">"WEEK 4     "&amp;TEXT($E$6+21,"ddd, mmm d")&amp;"   through   "&amp;TEXT($E$6+21+6,"ddd, mmm d, yyyy")</f>
        <v>WEEK 4     Fri, Aug 28   through   Thu, Sep 3, 2026</v>
      </c>
      <c r="C88" s="32"/>
      <c r="D88" s="32"/>
      <c r="E88" s="32"/>
      <c r="F88" s="32"/>
      <c r="G88" s="33" t="s">
        <v>120</v>
      </c>
      <c r="H88" s="32"/>
      <c r="I88" s="34" t="n">
        <f aca="false">$I$86</f>
        <v>1177.52</v>
      </c>
      <c r="J88" s="32"/>
      <c r="K88" s="28" t="str">
        <f aca="false">IF(COUNTIF(Schedule!$I$4:$I$483,4)&gt;10,"! "&amp;COUNTIF(Schedule!$I$4:$I$483,4)-10&amp;" more transaction(s) fall in this week than there are rows to show them.","")</f>
        <v/>
      </c>
    </row>
    <row r="89" customFormat="false" ht="25.5" hidden="false" customHeight="true" outlineLevel="0" collapsed="false">
      <c r="B89" s="35" t="s">
        <v>121</v>
      </c>
      <c r="C89" s="35" t="s">
        <v>122</v>
      </c>
      <c r="D89" s="35" t="s">
        <v>72</v>
      </c>
      <c r="E89" s="35" t="s">
        <v>123</v>
      </c>
      <c r="F89" s="35" t="s">
        <v>124</v>
      </c>
      <c r="G89" s="36" t="s">
        <v>18</v>
      </c>
      <c r="H89" s="37" t="s">
        <v>20</v>
      </c>
      <c r="I89" s="35" t="s">
        <v>125</v>
      </c>
      <c r="J89" s="35" t="s">
        <v>126</v>
      </c>
    </row>
    <row r="90" customFormat="false" ht="15" hidden="false" customHeight="false" outlineLevel="0" collapsed="false">
      <c r="B90" s="38" t="str">
        <f aca="false">IFERROR(INDEX(Schedule!$C$4:$C$483,MATCH(4001,Schedule!$K$4:$K$483,0)),"")</f>
        <v>Compunnel Software (paycheck)</v>
      </c>
      <c r="C90" s="39" t="n">
        <f aca="false">IF($B90="","",INDEX(Schedule!$G$4:$G$483,MATCH(4001,Schedule!$K$4:$K$483,0)))</f>
        <v>46262</v>
      </c>
      <c r="D90" s="40" t="str">
        <f aca="false">IF($B90="","",INDEX(Schedule!$D$4:$D$483,MATCH(4001,Schedule!$K$4:$K$483,0)))</f>
        <v>Income</v>
      </c>
      <c r="E90" s="41" t="n">
        <f aca="false">IF($B90="","",INDEX(Schedule!$E$4:$E$483,MATCH(4001,Schedule!$K$4:$K$483,0)))</f>
        <v>790</v>
      </c>
      <c r="F90" s="42"/>
      <c r="G90" s="43" t="n">
        <f aca="false">IF($B90="","",IF($D90="Income",IF($F90&lt;&gt;"",$F90,$E90),""))</f>
        <v>790</v>
      </c>
      <c r="H90" s="44" t="str">
        <f aca="false">IF($B90="","",IF($D90="Income","",IF($F90&lt;&gt;"",$F90,$E90)))</f>
        <v/>
      </c>
      <c r="I90" s="45" t="n">
        <f aca="false">IF($B90="","",$I$88+SUMIFS($G$90:$G$110,$M$90:$M$110,"&lt;="&amp;$M90)-SUMIFS($H$90:$H$110,$M$90:$M$110,"&lt;="&amp;$M90))</f>
        <v>1967.52</v>
      </c>
      <c r="J90" s="46" t="str">
        <f aca="true">IF($B90="","",IF($F90&lt;&gt;"",IF($C90&gt;TODAY(),"ADJUSTED","PAID"),IF($C90&lt;TODAY(),"PAST DUE",IF($C90&lt;=TODAY()+7,"DUE","Upcoming"))))</f>
        <v>Upcoming</v>
      </c>
      <c r="L90" s="47" t="n">
        <f aca="false">IF($B90="","",$C90)</f>
        <v>46262</v>
      </c>
      <c r="M90" s="48" t="n">
        <f aca="false">IF($L90="","",COUNTIFS($L$90:$L$110,"&lt;"&amp;$L90)+COUNTIFS($L$90:$L90,$L90))</f>
        <v>1</v>
      </c>
    </row>
    <row r="91" customFormat="false" ht="15" hidden="false" customHeight="false" outlineLevel="0" collapsed="false">
      <c r="B91" s="38" t="str">
        <f aca="false">IFERROR(INDEX(Schedule!$C$4:$C$483,MATCH(4002,Schedule!$K$4:$K$483,0)),"")</f>
        <v>Maine Revenue Services (2)</v>
      </c>
      <c r="C91" s="39" t="n">
        <f aca="false">IF($B91="","",INDEX(Schedule!$G$4:$G$483,MATCH(4002,Schedule!$K$4:$K$483,0)))</f>
        <v>46264</v>
      </c>
      <c r="D91" s="40" t="str">
        <f aca="false">IF($B91="","",INDEX(Schedule!$D$4:$D$483,MATCH(4002,Schedule!$K$4:$K$483,0)))</f>
        <v>Expense</v>
      </c>
      <c r="E91" s="41" t="n">
        <f aca="false">IF($B91="","",INDEX(Schedule!$E$4:$E$483,MATCH(4002,Schedule!$K$4:$K$483,0)))</f>
        <v>150</v>
      </c>
      <c r="F91" s="42"/>
      <c r="G91" s="43" t="str">
        <f aca="false">IF($B91="","",IF($D91="Income",IF($F91&lt;&gt;"",$F91,$E91),""))</f>
        <v/>
      </c>
      <c r="H91" s="44" t="n">
        <f aca="false">IF($B91="","",IF($D91="Income","",IF($F91&lt;&gt;"",$F91,$E91)))</f>
        <v>150</v>
      </c>
      <c r="I91" s="45" t="n">
        <f aca="false">IF($B91="","",$I$88+SUMIFS($G$90:$G$110,$M$90:$M$110,"&lt;="&amp;$M91)-SUMIFS($H$90:$H$110,$M$90:$M$110,"&lt;="&amp;$M91))</f>
        <v>1817.52</v>
      </c>
      <c r="J91" s="46" t="str">
        <f aca="true">IF($B91="","",IF($F91&lt;&gt;"",IF($C91&gt;TODAY(),"ADJUSTED","PAID"),IF($C91&lt;TODAY(),"PAST DUE",IF($C91&lt;=TODAY()+7,"DUE","Upcoming"))))</f>
        <v>Upcoming</v>
      </c>
      <c r="L91" s="47" t="n">
        <f aca="false">IF($B91="","",$C91)</f>
        <v>46264</v>
      </c>
      <c r="M91" s="48" t="n">
        <f aca="false">IF($L91="","",COUNTIFS($L$90:$L$110,"&lt;"&amp;$L91)+COUNTIFS($L$90:$L91,$L91))</f>
        <v>2</v>
      </c>
    </row>
    <row r="92" customFormat="false" ht="15" hidden="false" customHeight="false" outlineLevel="0" collapsed="false">
      <c r="B92" s="38" t="str">
        <f aca="false">IFERROR(INDEX(Schedule!$C$4:$C$483,MATCH(4003,Schedule!$K$4:$K$483,0)),"")</f>
        <v>Patrick Rombalski (rent)</v>
      </c>
      <c r="C92" s="39" t="n">
        <f aca="false">IF($B92="","",INDEX(Schedule!$G$4:$G$483,MATCH(4003,Schedule!$K$4:$K$483,0)))</f>
        <v>46265</v>
      </c>
      <c r="D92" s="40" t="str">
        <f aca="false">IF($B92="","",INDEX(Schedule!$D$4:$D$483,MATCH(4003,Schedule!$K$4:$K$483,0)))</f>
        <v>Expense</v>
      </c>
      <c r="E92" s="41" t="n">
        <f aca="false">IF($B92="","",INDEX(Schedule!$E$4:$E$483,MATCH(4003,Schedule!$K$4:$K$483,0)))</f>
        <v>350</v>
      </c>
      <c r="F92" s="42"/>
      <c r="G92" s="43" t="str">
        <f aca="false">IF($B92="","",IF($D92="Income",IF($F92&lt;&gt;"",$F92,$E92),""))</f>
        <v/>
      </c>
      <c r="H92" s="44" t="n">
        <f aca="false">IF($B92="","",IF($D92="Income","",IF($F92&lt;&gt;"",$F92,$E92)))</f>
        <v>350</v>
      </c>
      <c r="I92" s="45" t="n">
        <f aca="false">IF($B92="","",$I$88+SUMIFS($G$90:$G$110,$M$90:$M$110,"&lt;="&amp;$M92)-SUMIFS($H$90:$H$110,$M$90:$M$110,"&lt;="&amp;$M92))</f>
        <v>1467.52</v>
      </c>
      <c r="J92" s="46" t="str">
        <f aca="true">IF($B92="","",IF($F92&lt;&gt;"",IF($C92&gt;TODAY(),"ADJUSTED","PAID"),IF($C92&lt;TODAY(),"PAST DUE",IF($C92&lt;=TODAY()+7,"DUE","Upcoming"))))</f>
        <v>Upcoming</v>
      </c>
      <c r="L92" s="47" t="n">
        <f aca="false">IF($B92="","",$C92)</f>
        <v>46265</v>
      </c>
      <c r="M92" s="48" t="n">
        <f aca="false">IF($L92="","",COUNTIFS($L$90:$L$110,"&lt;"&amp;$L92)+COUNTIFS($L$90:$L92,$L92))</f>
        <v>3</v>
      </c>
    </row>
    <row r="93" customFormat="false" ht="15" hidden="false" customHeight="false" outlineLevel="0" collapsed="false">
      <c r="B93" s="38" t="str">
        <f aca="false">IFERROR(INDEX(Schedule!$C$4:$C$483,MATCH(4004,Schedule!$K$4:$K$483,0)),"")</f>
        <v>Progressive Insurance</v>
      </c>
      <c r="C93" s="39" t="n">
        <f aca="false">IF($B93="","",INDEX(Schedule!$G$4:$G$483,MATCH(4004,Schedule!$K$4:$K$483,0)))</f>
        <v>46265</v>
      </c>
      <c r="D93" s="40" t="str">
        <f aca="false">IF($B93="","",INDEX(Schedule!$D$4:$D$483,MATCH(4004,Schedule!$K$4:$K$483,0)))</f>
        <v>Expense</v>
      </c>
      <c r="E93" s="41" t="n">
        <f aca="false">IF($B93="","",INDEX(Schedule!$E$4:$E$483,MATCH(4004,Schedule!$K$4:$K$483,0)))</f>
        <v>143.37</v>
      </c>
      <c r="F93" s="42"/>
      <c r="G93" s="43" t="str">
        <f aca="false">IF($B93="","",IF($D93="Income",IF($F93&lt;&gt;"",$F93,$E93),""))</f>
        <v/>
      </c>
      <c r="H93" s="44" t="n">
        <f aca="false">IF($B93="","",IF($D93="Income","",IF($F93&lt;&gt;"",$F93,$E93)))</f>
        <v>143.37</v>
      </c>
      <c r="I93" s="45" t="n">
        <f aca="false">IF($B93="","",$I$88+SUMIFS($G$90:$G$110,$M$90:$M$110,"&lt;="&amp;$M93)-SUMIFS($H$90:$H$110,$M$90:$M$110,"&lt;="&amp;$M93))</f>
        <v>1324.15</v>
      </c>
      <c r="J93" s="46" t="str">
        <f aca="true">IF($B93="","",IF($F93&lt;&gt;"",IF($C93&gt;TODAY(),"ADJUSTED","PAID"),IF($C93&lt;TODAY(),"PAST DUE",IF($C93&lt;=TODAY()+7,"DUE","Upcoming"))))</f>
        <v>Upcoming</v>
      </c>
      <c r="L93" s="47" t="n">
        <f aca="false">IF($B93="","",$C93)</f>
        <v>46265</v>
      </c>
      <c r="M93" s="48" t="n">
        <f aca="false">IF($L93="","",COUNTIFS($L$90:$L$110,"&lt;"&amp;$L93)+COUNTIFS($L$90:$L93,$L93))</f>
        <v>4</v>
      </c>
    </row>
    <row r="94" customFormat="false" ht="15" hidden="false" customHeight="false" outlineLevel="0" collapsed="false">
      <c r="B94" s="38" t="str">
        <f aca="false">IFERROR(INDEX(Schedule!$C$4:$C$483,MATCH(4005,Schedule!$K$4:$K$483,0)),"")</f>
        <v>Bruno's Restaurant (paycheck)</v>
      </c>
      <c r="C94" s="39" t="n">
        <f aca="false">IF($B94="","",INDEX(Schedule!$G$4:$G$483,MATCH(4005,Schedule!$K$4:$K$483,0)))</f>
        <v>46267</v>
      </c>
      <c r="D94" s="40" t="str">
        <f aca="false">IF($B94="","",INDEX(Schedule!$D$4:$D$483,MATCH(4005,Schedule!$K$4:$K$483,0)))</f>
        <v>Income</v>
      </c>
      <c r="E94" s="41" t="n">
        <f aca="false">IF($B94="","",INDEX(Schedule!$E$4:$E$483,MATCH(4005,Schedule!$K$4:$K$483,0)))</f>
        <v>90</v>
      </c>
      <c r="F94" s="42"/>
      <c r="G94" s="43" t="n">
        <f aca="false">IF($B94="","",IF($D94="Income",IF($F94&lt;&gt;"",$F94,$E94),""))</f>
        <v>90</v>
      </c>
      <c r="H94" s="44" t="str">
        <f aca="false">IF($B94="","",IF($D94="Income","",IF($F94&lt;&gt;"",$F94,$E94)))</f>
        <v/>
      </c>
      <c r="I94" s="45" t="n">
        <f aca="false">IF($B94="","",$I$88+SUMIFS($G$90:$G$110,$M$90:$M$110,"&lt;="&amp;$M94)-SUMIFS($H$90:$H$110,$M$90:$M$110,"&lt;="&amp;$M94))</f>
        <v>1414.15</v>
      </c>
      <c r="J94" s="46" t="str">
        <f aca="true">IF($B94="","",IF($F94&lt;&gt;"",IF($C94&gt;TODAY(),"ADJUSTED","PAID"),IF($C94&lt;TODAY(),"PAST DUE",IF($C94&lt;=TODAY()+7,"DUE","Upcoming"))))</f>
        <v>Upcoming</v>
      </c>
      <c r="L94" s="47" t="n">
        <f aca="false">IF($B94="","",$C94)</f>
        <v>46267</v>
      </c>
      <c r="M94" s="48" t="n">
        <f aca="false">IF($L94="","",COUNTIFS($L$90:$L$110,"&lt;"&amp;$L94)+COUNTIFS($L$90:$L94,$L94))</f>
        <v>5</v>
      </c>
    </row>
    <row r="95" customFormat="false" ht="15" hidden="false" customHeight="false" outlineLevel="0" collapsed="false">
      <c r="B95" s="38" t="str">
        <f aca="false">IFERROR(INDEX(Schedule!$C$4:$C$483,MATCH(4006,Schedule!$K$4:$K$483,0)),"")</f>
        <v/>
      </c>
      <c r="C95" s="39" t="str">
        <f aca="false">IF($B95="","",INDEX(Schedule!$G$4:$G$483,MATCH(4006,Schedule!$K$4:$K$483,0)))</f>
        <v/>
      </c>
      <c r="D95" s="40" t="str">
        <f aca="false">IF($B95="","",INDEX(Schedule!$D$4:$D$483,MATCH(4006,Schedule!$K$4:$K$483,0)))</f>
        <v/>
      </c>
      <c r="E95" s="41" t="str">
        <f aca="false">IF($B95="","",INDEX(Schedule!$E$4:$E$483,MATCH(4006,Schedule!$K$4:$K$483,0)))</f>
        <v/>
      </c>
      <c r="F95" s="42"/>
      <c r="G95" s="43" t="str">
        <f aca="false">IF($B95="","",IF($D95="Income",IF($F95&lt;&gt;"",$F95,$E95),""))</f>
        <v/>
      </c>
      <c r="H95" s="44" t="str">
        <f aca="false">IF($B95="","",IF($D95="Income","",IF($F95&lt;&gt;"",$F95,$E95)))</f>
        <v/>
      </c>
      <c r="I95" s="45" t="str">
        <f aca="false">IF($B95="","",$I$88+SUMIFS($G$90:$G$110,$M$90:$M$110,"&lt;="&amp;$M95)-SUMIFS($H$90:$H$110,$M$90:$M$110,"&lt;="&amp;$M95))</f>
        <v/>
      </c>
      <c r="J95" s="46" t="str">
        <f aca="true">IF($B95="","",IF($F95&lt;&gt;"",IF($C95&gt;TODAY(),"ADJUSTED","PAID"),IF($C95&lt;TODAY(),"PAST DUE",IF($C95&lt;=TODAY()+7,"DUE","Upcoming"))))</f>
        <v/>
      </c>
      <c r="L95" s="0" t="str">
        <f aca="false">IF($B95="","",$C95)</f>
        <v/>
      </c>
      <c r="M95" s="0" t="str">
        <f aca="false">IF($L95="","",COUNTIFS($L$90:$L$110,"&lt;"&amp;$L95)+COUNTIFS($L$90:$L95,$L95))</f>
        <v/>
      </c>
    </row>
    <row r="96" customFormat="false" ht="15" hidden="false" customHeight="false" outlineLevel="0" collapsed="false">
      <c r="B96" s="38" t="str">
        <f aca="false">IFERROR(INDEX(Schedule!$C$4:$C$483,MATCH(4007,Schedule!$K$4:$K$483,0)),"")</f>
        <v/>
      </c>
      <c r="C96" s="39" t="str">
        <f aca="false">IF($B96="","",INDEX(Schedule!$G$4:$G$483,MATCH(4007,Schedule!$K$4:$K$483,0)))</f>
        <v/>
      </c>
      <c r="D96" s="40" t="str">
        <f aca="false">IF($B96="","",INDEX(Schedule!$D$4:$D$483,MATCH(4007,Schedule!$K$4:$K$483,0)))</f>
        <v/>
      </c>
      <c r="E96" s="41" t="str">
        <f aca="false">IF($B96="","",INDEX(Schedule!$E$4:$E$483,MATCH(4007,Schedule!$K$4:$K$483,0)))</f>
        <v/>
      </c>
      <c r="F96" s="42"/>
      <c r="G96" s="43" t="str">
        <f aca="false">IF($B96="","",IF($D96="Income",IF($F96&lt;&gt;"",$F96,$E96),""))</f>
        <v/>
      </c>
      <c r="H96" s="44" t="str">
        <f aca="false">IF($B96="","",IF($D96="Income","",IF($F96&lt;&gt;"",$F96,$E96)))</f>
        <v/>
      </c>
      <c r="I96" s="45" t="str">
        <f aca="false">IF($B96="","",$I$88+SUMIFS($G$90:$G$110,$M$90:$M$110,"&lt;="&amp;$M96)-SUMIFS($H$90:$H$110,$M$90:$M$110,"&lt;="&amp;$M96))</f>
        <v/>
      </c>
      <c r="J96" s="46" t="str">
        <f aca="true">IF($B96="","",IF($F96&lt;&gt;"",IF($C96&gt;TODAY(),"ADJUSTED","PAID"),IF($C96&lt;TODAY(),"PAST DUE",IF($C96&lt;=TODAY()+7,"DUE","Upcoming"))))</f>
        <v/>
      </c>
      <c r="L96" s="0" t="str">
        <f aca="false">IF($B96="","",$C96)</f>
        <v/>
      </c>
      <c r="M96" s="0" t="str">
        <f aca="false">IF($L96="","",COUNTIFS($L$90:$L$110,"&lt;"&amp;$L96)+COUNTIFS($L$90:$L96,$L96))</f>
        <v/>
      </c>
    </row>
    <row r="97" customFormat="false" ht="15" hidden="false" customHeight="false" outlineLevel="0" collapsed="false">
      <c r="B97" s="38" t="str">
        <f aca="false">IFERROR(INDEX(Schedule!$C$4:$C$483,MATCH(4008,Schedule!$K$4:$K$483,0)),"")</f>
        <v/>
      </c>
      <c r="C97" s="39" t="str">
        <f aca="false">IF($B97="","",INDEX(Schedule!$G$4:$G$483,MATCH(4008,Schedule!$K$4:$K$483,0)))</f>
        <v/>
      </c>
      <c r="D97" s="40" t="str">
        <f aca="false">IF($B97="","",INDEX(Schedule!$D$4:$D$483,MATCH(4008,Schedule!$K$4:$K$483,0)))</f>
        <v/>
      </c>
      <c r="E97" s="41" t="str">
        <f aca="false">IF($B97="","",INDEX(Schedule!$E$4:$E$483,MATCH(4008,Schedule!$K$4:$K$483,0)))</f>
        <v/>
      </c>
      <c r="F97" s="42"/>
      <c r="G97" s="43" t="str">
        <f aca="false">IF($B97="","",IF($D97="Income",IF($F97&lt;&gt;"",$F97,$E97),""))</f>
        <v/>
      </c>
      <c r="H97" s="44" t="str">
        <f aca="false">IF($B97="","",IF($D97="Income","",IF($F97&lt;&gt;"",$F97,$E97)))</f>
        <v/>
      </c>
      <c r="I97" s="45" t="str">
        <f aca="false">IF($B97="","",$I$88+SUMIFS($G$90:$G$110,$M$90:$M$110,"&lt;="&amp;$M97)-SUMIFS($H$90:$H$110,$M$90:$M$110,"&lt;="&amp;$M97))</f>
        <v/>
      </c>
      <c r="J97" s="46" t="str">
        <f aca="true">IF($B97="","",IF($F97&lt;&gt;"",IF($C97&gt;TODAY(),"ADJUSTED","PAID"),IF($C97&lt;TODAY(),"PAST DUE",IF($C97&lt;=TODAY()+7,"DUE","Upcoming"))))</f>
        <v/>
      </c>
      <c r="L97" s="0" t="str">
        <f aca="false">IF($B97="","",$C97)</f>
        <v/>
      </c>
      <c r="M97" s="0" t="str">
        <f aca="false">IF($L97="","",COUNTIFS($L$90:$L$110,"&lt;"&amp;$L97)+COUNTIFS($L$90:$L97,$L97))</f>
        <v/>
      </c>
    </row>
    <row r="98" customFormat="false" ht="15" hidden="false" customHeight="false" outlineLevel="0" collapsed="false">
      <c r="B98" s="38" t="str">
        <f aca="false">IFERROR(INDEX(Schedule!$C$4:$C$483,MATCH(4009,Schedule!$K$4:$K$483,0)),"")</f>
        <v/>
      </c>
      <c r="C98" s="39" t="str">
        <f aca="false">IF($B98="","",INDEX(Schedule!$G$4:$G$483,MATCH(4009,Schedule!$K$4:$K$483,0)))</f>
        <v/>
      </c>
      <c r="D98" s="40" t="str">
        <f aca="false">IF($B98="","",INDEX(Schedule!$D$4:$D$483,MATCH(4009,Schedule!$K$4:$K$483,0)))</f>
        <v/>
      </c>
      <c r="E98" s="41" t="str">
        <f aca="false">IF($B98="","",INDEX(Schedule!$E$4:$E$483,MATCH(4009,Schedule!$K$4:$K$483,0)))</f>
        <v/>
      </c>
      <c r="F98" s="42"/>
      <c r="G98" s="43" t="str">
        <f aca="false">IF($B98="","",IF($D98="Income",IF($F98&lt;&gt;"",$F98,$E98),""))</f>
        <v/>
      </c>
      <c r="H98" s="44" t="str">
        <f aca="false">IF($B98="","",IF($D98="Income","",IF($F98&lt;&gt;"",$F98,$E98)))</f>
        <v/>
      </c>
      <c r="I98" s="45" t="str">
        <f aca="false">IF($B98="","",$I$88+SUMIFS($G$90:$G$110,$M$90:$M$110,"&lt;="&amp;$M98)-SUMIFS($H$90:$H$110,$M$90:$M$110,"&lt;="&amp;$M98))</f>
        <v/>
      </c>
      <c r="J98" s="46" t="str">
        <f aca="true">IF($B98="","",IF($F98&lt;&gt;"",IF($C98&gt;TODAY(),"ADJUSTED","PAID"),IF($C98&lt;TODAY(),"PAST DUE",IF($C98&lt;=TODAY()+7,"DUE","Upcoming"))))</f>
        <v/>
      </c>
      <c r="L98" s="0" t="str">
        <f aca="false">IF($B98="","",$C98)</f>
        <v/>
      </c>
      <c r="M98" s="0" t="str">
        <f aca="false">IF($L98="","",COUNTIFS($L$90:$L$110,"&lt;"&amp;$L98)+COUNTIFS($L$90:$L98,$L98))</f>
        <v/>
      </c>
    </row>
    <row r="99" customFormat="false" ht="15" hidden="false" customHeight="false" outlineLevel="0" collapsed="false">
      <c r="B99" s="38" t="str">
        <f aca="false">IFERROR(INDEX(Schedule!$C$4:$C$483,MATCH(4010,Schedule!$K$4:$K$483,0)),"")</f>
        <v/>
      </c>
      <c r="C99" s="39" t="str">
        <f aca="false">IF($B99="","",INDEX(Schedule!$G$4:$G$483,MATCH(4010,Schedule!$K$4:$K$483,0)))</f>
        <v/>
      </c>
      <c r="D99" s="40" t="str">
        <f aca="false">IF($B99="","",INDEX(Schedule!$D$4:$D$483,MATCH(4010,Schedule!$K$4:$K$483,0)))</f>
        <v/>
      </c>
      <c r="E99" s="41" t="str">
        <f aca="false">IF($B99="","",INDEX(Schedule!$E$4:$E$483,MATCH(4010,Schedule!$K$4:$K$483,0)))</f>
        <v/>
      </c>
      <c r="F99" s="42"/>
      <c r="G99" s="43" t="str">
        <f aca="false">IF($B99="","",IF($D99="Income",IF($F99&lt;&gt;"",$F99,$E99),""))</f>
        <v/>
      </c>
      <c r="H99" s="44" t="str">
        <f aca="false">IF($B99="","",IF($D99="Income","",IF($F99&lt;&gt;"",$F99,$E99)))</f>
        <v/>
      </c>
      <c r="I99" s="45" t="str">
        <f aca="false">IF($B99="","",$I$88+SUMIFS($G$90:$G$110,$M$90:$M$110,"&lt;="&amp;$M99)-SUMIFS($H$90:$H$110,$M$90:$M$110,"&lt;="&amp;$M99))</f>
        <v/>
      </c>
      <c r="J99" s="46" t="str">
        <f aca="true">IF($B99="","",IF($F99&lt;&gt;"",IF($C99&gt;TODAY(),"ADJUSTED","PAID"),IF($C99&lt;TODAY(),"PAST DUE",IF($C99&lt;=TODAY()+7,"DUE","Upcoming"))))</f>
        <v/>
      </c>
      <c r="L99" s="0" t="str">
        <f aca="false">IF($B99="","",$C99)</f>
        <v/>
      </c>
      <c r="M99" s="0" t="str">
        <f aca="false">IF($L99="","",COUNTIFS($L$90:$L$110,"&lt;"&amp;$L99)+COUNTIFS($L$90:$L99,$L99))</f>
        <v/>
      </c>
    </row>
    <row r="100" customFormat="false" ht="15" hidden="false" customHeight="false" outlineLevel="0" collapsed="false">
      <c r="B100" s="49" t="s">
        <v>127</v>
      </c>
      <c r="C100" s="50"/>
      <c r="D100" s="50"/>
      <c r="E100" s="50"/>
      <c r="F100" s="50"/>
      <c r="G100" s="50"/>
      <c r="H100" s="50"/>
      <c r="I100" s="50"/>
      <c r="J100" s="50"/>
    </row>
    <row r="101" customFormat="false" ht="15" hidden="false" customHeight="false" outlineLevel="0" collapsed="false">
      <c r="B101" s="6"/>
      <c r="C101" s="51"/>
      <c r="D101" s="52" t="str">
        <f aca="false">IF($B101="","","Expense")</f>
        <v/>
      </c>
      <c r="E101" s="18"/>
      <c r="F101" s="10"/>
      <c r="G101" s="10"/>
      <c r="H101" s="53" t="str">
        <f aca="false">IF($B101="","",N($E101))</f>
        <v/>
      </c>
      <c r="I101" s="54" t="str">
        <f aca="false">IF($B101="","",$I$88+SUMIFS($G$90:$G$110,$M$90:$M$110,"&lt;="&amp;$M101)-SUMIFS($H$90:$H$110,$M$90:$M$110,"&lt;="&amp;$M101))</f>
        <v/>
      </c>
      <c r="J101" s="10"/>
      <c r="L101" s="0" t="str">
        <f aca="false">IF($B101="","",IF($C101="",$E$6+27,$C101))</f>
        <v/>
      </c>
      <c r="M101" s="0" t="str">
        <f aca="false">IF($L101="","",COUNTIFS($L$90:$L$110,"&lt;"&amp;$L101)+COUNTIFS($L$90:$L101,$L101))</f>
        <v/>
      </c>
    </row>
    <row r="102" customFormat="false" ht="15" hidden="false" customHeight="false" outlineLevel="0" collapsed="false">
      <c r="B102" s="6"/>
      <c r="C102" s="51"/>
      <c r="D102" s="52" t="str">
        <f aca="false">IF($B102="","","Expense")</f>
        <v/>
      </c>
      <c r="E102" s="18"/>
      <c r="F102" s="10"/>
      <c r="G102" s="10"/>
      <c r="H102" s="53" t="str">
        <f aca="false">IF($B102="","",N($E102))</f>
        <v/>
      </c>
      <c r="I102" s="54" t="str">
        <f aca="false">IF($B102="","",$I$88+SUMIFS($G$90:$G$110,$M$90:$M$110,"&lt;="&amp;$M102)-SUMIFS($H$90:$H$110,$M$90:$M$110,"&lt;="&amp;$M102))</f>
        <v/>
      </c>
      <c r="J102" s="10"/>
      <c r="L102" s="0" t="str">
        <f aca="false">IF($B102="","",IF($C102="",$E$6+27,$C102))</f>
        <v/>
      </c>
      <c r="M102" s="0" t="str">
        <f aca="false">IF($L102="","",COUNTIFS($L$90:$L$110,"&lt;"&amp;$L102)+COUNTIFS($L$90:$L102,$L102))</f>
        <v/>
      </c>
    </row>
    <row r="103" customFormat="false" ht="15" hidden="false" customHeight="false" outlineLevel="0" collapsed="false">
      <c r="B103" s="6"/>
      <c r="C103" s="51"/>
      <c r="D103" s="52" t="str">
        <f aca="false">IF($B103="","","Expense")</f>
        <v/>
      </c>
      <c r="E103" s="18"/>
      <c r="F103" s="10"/>
      <c r="G103" s="10"/>
      <c r="H103" s="53" t="str">
        <f aca="false">IF($B103="","",N($E103))</f>
        <v/>
      </c>
      <c r="I103" s="54" t="str">
        <f aca="false">IF($B103="","",$I$88+SUMIFS($G$90:$G$110,$M$90:$M$110,"&lt;="&amp;$M103)-SUMIFS($H$90:$H$110,$M$90:$M$110,"&lt;="&amp;$M103))</f>
        <v/>
      </c>
      <c r="J103" s="10"/>
      <c r="L103" s="0" t="str">
        <f aca="false">IF($B103="","",IF($C103="",$E$6+27,$C103))</f>
        <v/>
      </c>
      <c r="M103" s="0" t="str">
        <f aca="false">IF($L103="","",COUNTIFS($L$90:$L$110,"&lt;"&amp;$L103)+COUNTIFS($L$90:$L103,$L103))</f>
        <v/>
      </c>
    </row>
    <row r="104" customFormat="false" ht="15" hidden="false" customHeight="false" outlineLevel="0" collapsed="false">
      <c r="B104" s="6"/>
      <c r="C104" s="51"/>
      <c r="D104" s="52" t="str">
        <f aca="false">IF($B104="","","Expense")</f>
        <v/>
      </c>
      <c r="E104" s="18"/>
      <c r="F104" s="10"/>
      <c r="G104" s="10"/>
      <c r="H104" s="53" t="str">
        <f aca="false">IF($B104="","",N($E104))</f>
        <v/>
      </c>
      <c r="I104" s="54" t="str">
        <f aca="false">IF($B104="","",$I$88+SUMIFS($G$90:$G$110,$M$90:$M$110,"&lt;="&amp;$M104)-SUMIFS($H$90:$H$110,$M$90:$M$110,"&lt;="&amp;$M104))</f>
        <v/>
      </c>
      <c r="J104" s="10"/>
      <c r="L104" s="0" t="str">
        <f aca="false">IF($B104="","",IF($C104="",$E$6+27,$C104))</f>
        <v/>
      </c>
      <c r="M104" s="0" t="str">
        <f aca="false">IF($L104="","",COUNTIFS($L$90:$L$110,"&lt;"&amp;$L104)+COUNTIFS($L$90:$L104,$L104))</f>
        <v/>
      </c>
    </row>
    <row r="105" customFormat="false" ht="15" hidden="false" customHeight="false" outlineLevel="0" collapsed="false">
      <c r="B105" s="6"/>
      <c r="C105" s="51"/>
      <c r="D105" s="52" t="str">
        <f aca="false">IF($B105="","","Expense")</f>
        <v/>
      </c>
      <c r="E105" s="18"/>
      <c r="F105" s="10"/>
      <c r="G105" s="10"/>
      <c r="H105" s="53" t="str">
        <f aca="false">IF($B105="","",N($E105))</f>
        <v/>
      </c>
      <c r="I105" s="54" t="str">
        <f aca="false">IF($B105="","",$I$88+SUMIFS($G$90:$G$110,$M$90:$M$110,"&lt;="&amp;$M105)-SUMIFS($H$90:$H$110,$M$90:$M$110,"&lt;="&amp;$M105))</f>
        <v/>
      </c>
      <c r="J105" s="10"/>
      <c r="L105" s="0" t="str">
        <f aca="false">IF($B105="","",IF($C105="",$E$6+27,$C105))</f>
        <v/>
      </c>
      <c r="M105" s="0" t="str">
        <f aca="false">IF($L105="","",COUNTIFS($L$90:$L$110,"&lt;"&amp;$L105)+COUNTIFS($L$90:$L105,$L105))</f>
        <v/>
      </c>
    </row>
    <row r="106" customFormat="false" ht="15" hidden="false" customHeight="false" outlineLevel="0" collapsed="false">
      <c r="B106" s="6"/>
      <c r="C106" s="51"/>
      <c r="D106" s="52" t="str">
        <f aca="false">IF($B106="","","Expense")</f>
        <v/>
      </c>
      <c r="E106" s="18"/>
      <c r="F106" s="10"/>
      <c r="G106" s="10"/>
      <c r="H106" s="53" t="str">
        <f aca="false">IF($B106="","",N($E106))</f>
        <v/>
      </c>
      <c r="I106" s="54" t="str">
        <f aca="false">IF($B106="","",$I$88+SUMIFS($G$90:$G$110,$M$90:$M$110,"&lt;="&amp;$M106)-SUMIFS($H$90:$H$110,$M$90:$M$110,"&lt;="&amp;$M106))</f>
        <v/>
      </c>
      <c r="J106" s="10"/>
      <c r="L106" s="0" t="str">
        <f aca="false">IF($B106="","",IF($C106="",$E$6+27,$C106))</f>
        <v/>
      </c>
      <c r="M106" s="0" t="str">
        <f aca="false">IF($L106="","",COUNTIFS($L$90:$L$110,"&lt;"&amp;$L106)+COUNTIFS($L$90:$L106,$L106))</f>
        <v/>
      </c>
    </row>
    <row r="107" customFormat="false" ht="15" hidden="false" customHeight="false" outlineLevel="0" collapsed="false">
      <c r="B107" s="6"/>
      <c r="C107" s="51"/>
      <c r="D107" s="52" t="str">
        <f aca="false">IF($B107="","","Expense")</f>
        <v/>
      </c>
      <c r="E107" s="18"/>
      <c r="F107" s="10"/>
      <c r="G107" s="10"/>
      <c r="H107" s="53" t="str">
        <f aca="false">IF($B107="","",N($E107))</f>
        <v/>
      </c>
      <c r="I107" s="54" t="str">
        <f aca="false">IF($B107="","",$I$88+SUMIFS($G$90:$G$110,$M$90:$M$110,"&lt;="&amp;$M107)-SUMIFS($H$90:$H$110,$M$90:$M$110,"&lt;="&amp;$M107))</f>
        <v/>
      </c>
      <c r="J107" s="10"/>
      <c r="L107" s="0" t="str">
        <f aca="false">IF($B107="","",IF($C107="",$E$6+27,$C107))</f>
        <v/>
      </c>
      <c r="M107" s="0" t="str">
        <f aca="false">IF($L107="","",COUNTIFS($L$90:$L$110,"&lt;"&amp;$L107)+COUNTIFS($L$90:$L107,$L107))</f>
        <v/>
      </c>
    </row>
    <row r="108" customFormat="false" ht="15" hidden="false" customHeight="false" outlineLevel="0" collapsed="false">
      <c r="B108" s="6"/>
      <c r="C108" s="51"/>
      <c r="D108" s="52" t="str">
        <f aca="false">IF($B108="","","Expense")</f>
        <v/>
      </c>
      <c r="E108" s="18"/>
      <c r="F108" s="10"/>
      <c r="G108" s="10"/>
      <c r="H108" s="53" t="str">
        <f aca="false">IF($B108="","",N($E108))</f>
        <v/>
      </c>
      <c r="I108" s="54" t="str">
        <f aca="false">IF($B108="","",$I$88+SUMIFS($G$90:$G$110,$M$90:$M$110,"&lt;="&amp;$M108)-SUMIFS($H$90:$H$110,$M$90:$M$110,"&lt;="&amp;$M108))</f>
        <v/>
      </c>
      <c r="J108" s="10"/>
      <c r="L108" s="0" t="str">
        <f aca="false">IF($B108="","",IF($C108="",$E$6+27,$C108))</f>
        <v/>
      </c>
      <c r="M108" s="0" t="str">
        <f aca="false">IF($L108="","",COUNTIFS($L$90:$L$110,"&lt;"&amp;$L108)+COUNTIFS($L$90:$L108,$L108))</f>
        <v/>
      </c>
    </row>
    <row r="109" customFormat="false" ht="15" hidden="false" customHeight="false" outlineLevel="0" collapsed="false">
      <c r="B109" s="6"/>
      <c r="C109" s="51"/>
      <c r="D109" s="52" t="str">
        <f aca="false">IF($B109="","","Expense")</f>
        <v/>
      </c>
      <c r="E109" s="18"/>
      <c r="F109" s="10"/>
      <c r="G109" s="10"/>
      <c r="H109" s="53" t="str">
        <f aca="false">IF($B109="","",N($E109))</f>
        <v/>
      </c>
      <c r="I109" s="54" t="str">
        <f aca="false">IF($B109="","",$I$88+SUMIFS($G$90:$G$110,$M$90:$M$110,"&lt;="&amp;$M109)-SUMIFS($H$90:$H$110,$M$90:$M$110,"&lt;="&amp;$M109))</f>
        <v/>
      </c>
      <c r="J109" s="10"/>
      <c r="L109" s="0" t="str">
        <f aca="false">IF($B109="","",IF($C109="",$E$6+27,$C109))</f>
        <v/>
      </c>
      <c r="M109" s="0" t="str">
        <f aca="false">IF($L109="","",COUNTIFS($L$90:$L$110,"&lt;"&amp;$L109)+COUNTIFS($L$90:$L109,$L109))</f>
        <v/>
      </c>
    </row>
    <row r="110" customFormat="false" ht="15" hidden="false" customHeight="false" outlineLevel="0" collapsed="false">
      <c r="B110" s="6"/>
      <c r="C110" s="51"/>
      <c r="D110" s="52" t="str">
        <f aca="false">IF($B110="","","Expense")</f>
        <v/>
      </c>
      <c r="E110" s="18"/>
      <c r="F110" s="10"/>
      <c r="G110" s="10"/>
      <c r="H110" s="53" t="str">
        <f aca="false">IF($B110="","",N($E110))</f>
        <v/>
      </c>
      <c r="I110" s="54" t="str">
        <f aca="false">IF($B110="","",$I$88+SUMIFS($G$90:$G$110,$M$90:$M$110,"&lt;="&amp;$M110)-SUMIFS($H$90:$H$110,$M$90:$M$110,"&lt;="&amp;$M110))</f>
        <v/>
      </c>
      <c r="J110" s="10"/>
      <c r="L110" s="0" t="str">
        <f aca="false">IF($B110="","",IF($C110="",$E$6+27,$C110))</f>
        <v/>
      </c>
      <c r="M110" s="0" t="str">
        <f aca="false">IF($L110="","",COUNTIFS($L$90:$L$110,"&lt;"&amp;$L110)+COUNTIFS($L$90:$L110,$L110))</f>
        <v/>
      </c>
    </row>
    <row r="111" customFormat="false" ht="15" hidden="false" customHeight="false" outlineLevel="0" collapsed="false">
      <c r="B111" s="55" t="s">
        <v>137</v>
      </c>
      <c r="C111" s="56"/>
      <c r="D111" s="56"/>
      <c r="E111" s="56"/>
      <c r="F111" s="56"/>
      <c r="G111" s="57" t="n">
        <f aca="false">SUM($G$90:$G$110)</f>
        <v>880</v>
      </c>
      <c r="H111" s="57" t="n">
        <f aca="false">SUM($H$90:$H$110)</f>
        <v>643.37</v>
      </c>
      <c r="I111" s="58" t="n">
        <f aca="false">$I$88+$G$111-$H$111</f>
        <v>1414.15</v>
      </c>
      <c r="J111" s="59" t="str">
        <f aca="false">IF($I$111&lt;0,"SHORTFALL",IF($I$111&lt;$E$7,"TIGHT","OK"))</f>
        <v>OK</v>
      </c>
      <c r="K111" s="60" t="str">
        <f aca="false">IF(COUNT($I$90:$I$110)=0,"","Lowest point this week: "&amp;TEXT(MIN($I$90:$I$110),"$#,##0.00;-$#,##0.00")&amp;" on "&amp;TEXT(INDEX($C$90:$C$110,MATCH(MIN($I$90:$I$110),$I$90:$I$110,0)),"ddd mmm d")&amp;"     (in "&amp;TEXT($G$111,"$#,##0.00")&amp;", out "&amp;TEXT($H$111,"$#,##0.00")&amp;")")</f>
        <v>Lowest point this week: $1,324.15 on Mon Aug 31     (in $880.00, out $643.37)</v>
      </c>
    </row>
    <row r="113" customFormat="false" ht="21.75" hidden="false" customHeight="true" outlineLevel="0" collapsed="false">
      <c r="B113" s="31" t="str">
        <f aca="false">"WEEK 5     "&amp;TEXT($E$6+28,"ddd, mmm d")&amp;"   through   "&amp;TEXT($E$6+28+6,"ddd, mmm d, yyyy")</f>
        <v>WEEK 5     Fri, Sep 4   through   Thu, Sep 10, 2026</v>
      </c>
      <c r="C113" s="32"/>
      <c r="D113" s="32"/>
      <c r="E113" s="32"/>
      <c r="F113" s="32"/>
      <c r="G113" s="33" t="s">
        <v>120</v>
      </c>
      <c r="H113" s="32"/>
      <c r="I113" s="34" t="n">
        <f aca="false">$I$111</f>
        <v>1414.15</v>
      </c>
      <c r="J113" s="32"/>
      <c r="K113" s="28" t="str">
        <f aca="false">IF(COUNTIF(Schedule!$I$4:$I$483,5)&gt;10,"! "&amp;COUNTIF(Schedule!$I$4:$I$483,5)-10&amp;" more transaction(s) fall in this week than there are rows to show them.","")</f>
        <v/>
      </c>
    </row>
    <row r="114" customFormat="false" ht="25.5" hidden="false" customHeight="true" outlineLevel="0" collapsed="false">
      <c r="B114" s="35" t="s">
        <v>121</v>
      </c>
      <c r="C114" s="35" t="s">
        <v>122</v>
      </c>
      <c r="D114" s="35" t="s">
        <v>72</v>
      </c>
      <c r="E114" s="35" t="s">
        <v>123</v>
      </c>
      <c r="F114" s="35" t="s">
        <v>124</v>
      </c>
      <c r="G114" s="36" t="s">
        <v>18</v>
      </c>
      <c r="H114" s="37" t="s">
        <v>20</v>
      </c>
      <c r="I114" s="35" t="s">
        <v>125</v>
      </c>
      <c r="J114" s="35" t="s">
        <v>126</v>
      </c>
    </row>
    <row r="115" customFormat="false" ht="15" hidden="false" customHeight="false" outlineLevel="0" collapsed="false">
      <c r="B115" s="38" t="str">
        <f aca="false">IFERROR(INDEX(Schedule!$C$4:$C$483,MATCH(5001,Schedule!$K$4:$K$483,0)),"")</f>
        <v>Compunnel Software (paycheck)</v>
      </c>
      <c r="C115" s="39" t="n">
        <f aca="false">IF($B115="","",INDEX(Schedule!$G$4:$G$483,MATCH(5001,Schedule!$K$4:$K$483,0)))</f>
        <v>46269</v>
      </c>
      <c r="D115" s="40" t="str">
        <f aca="false">IF($B115="","",INDEX(Schedule!$D$4:$D$483,MATCH(5001,Schedule!$K$4:$K$483,0)))</f>
        <v>Income</v>
      </c>
      <c r="E115" s="41" t="n">
        <f aca="false">IF($B115="","",INDEX(Schedule!$E$4:$E$483,MATCH(5001,Schedule!$K$4:$K$483,0)))</f>
        <v>790</v>
      </c>
      <c r="F115" s="42"/>
      <c r="G115" s="43" t="n">
        <f aca="false">IF($B115="","",IF($D115="Income",IF($F115&lt;&gt;"",$F115,$E115),""))</f>
        <v>790</v>
      </c>
      <c r="H115" s="44" t="str">
        <f aca="false">IF($B115="","",IF($D115="Income","",IF($F115&lt;&gt;"",$F115,$E115)))</f>
        <v/>
      </c>
      <c r="I115" s="45" t="n">
        <f aca="false">IF($B115="","",$I$113+SUMIFS($G$115:$G$135,$M$115:$M$135,"&lt;="&amp;$M115)-SUMIFS($H$115:$H$135,$M$115:$M$135,"&lt;="&amp;$M115))</f>
        <v>2204.15</v>
      </c>
      <c r="J115" s="46" t="str">
        <f aca="true">IF($B115="","",IF($F115&lt;&gt;"",IF($C115&gt;TODAY(),"ADJUSTED","PAID"),IF($C115&lt;TODAY(),"PAST DUE",IF($C115&lt;=TODAY()+7,"DUE","Upcoming"))))</f>
        <v>Upcoming</v>
      </c>
      <c r="L115" s="47" t="n">
        <f aca="false">IF($B115="","",$C115)</f>
        <v>46269</v>
      </c>
      <c r="M115" s="48" t="n">
        <f aca="false">IF($L115="","",COUNTIFS($L$115:$L$135,"&lt;"&amp;$L115)+COUNTIFS($L$115:$L115,$L115))</f>
        <v>1</v>
      </c>
    </row>
    <row r="116" customFormat="false" ht="15" hidden="false" customHeight="false" outlineLevel="0" collapsed="false">
      <c r="B116" s="38" t="str">
        <f aca="false">IFERROR(INDEX(Schedule!$C$4:$C$483,MATCH(5002,Schedule!$K$4:$K$483,0)),"")</f>
        <v>Apple: Claude</v>
      </c>
      <c r="C116" s="39" t="n">
        <f aca="false">IF($B116="","",INDEX(Schedule!$G$4:$G$483,MATCH(5002,Schedule!$K$4:$K$483,0)))</f>
        <v>46269</v>
      </c>
      <c r="D116" s="40" t="str">
        <f aca="false">IF($B116="","",INDEX(Schedule!$D$4:$D$483,MATCH(5002,Schedule!$K$4:$K$483,0)))</f>
        <v>Expense</v>
      </c>
      <c r="E116" s="41" t="n">
        <f aca="false">IF($B116="","",INDEX(Schedule!$E$4:$E$483,MATCH(5002,Schedule!$K$4:$K$483,0)))</f>
        <v>21.1</v>
      </c>
      <c r="F116" s="42"/>
      <c r="G116" s="43" t="str">
        <f aca="false">IF($B116="","",IF($D116="Income",IF($F116&lt;&gt;"",$F116,$E116),""))</f>
        <v/>
      </c>
      <c r="H116" s="44" t="n">
        <f aca="false">IF($B116="","",IF($D116="Income","",IF($F116&lt;&gt;"",$F116,$E116)))</f>
        <v>21.1</v>
      </c>
      <c r="I116" s="45" t="n">
        <f aca="false">IF($B116="","",$I$113+SUMIFS($G$115:$G$135,$M$115:$M$135,"&lt;="&amp;$M116)-SUMIFS($H$115:$H$135,$M$115:$M$135,"&lt;="&amp;$M116))</f>
        <v>2183.05</v>
      </c>
      <c r="J116" s="46" t="str">
        <f aca="true">IF($B116="","",IF($F116&lt;&gt;"",IF($C116&gt;TODAY(),"ADJUSTED","PAID"),IF($C116&lt;TODAY(),"PAST DUE",IF($C116&lt;=TODAY()+7,"DUE","Upcoming"))))</f>
        <v>Upcoming</v>
      </c>
      <c r="L116" s="47" t="n">
        <f aca="false">IF($B116="","",$C116)</f>
        <v>46269</v>
      </c>
      <c r="M116" s="48" t="n">
        <f aca="false">IF($L116="","",COUNTIFS($L$115:$L$135,"&lt;"&amp;$L116)+COUNTIFS($L$115:$L116,$L116))</f>
        <v>2</v>
      </c>
    </row>
    <row r="117" customFormat="false" ht="15" hidden="false" customHeight="false" outlineLevel="0" collapsed="false">
      <c r="B117" s="38" t="str">
        <f aca="false">IFERROR(INDEX(Schedule!$C$4:$C$483,MATCH(5003,Schedule!$K$4:$K$483,0)),"")</f>
        <v>OpenAI</v>
      </c>
      <c r="C117" s="39" t="n">
        <f aca="false">IF($B117="","",INDEX(Schedule!$G$4:$G$483,MATCH(5003,Schedule!$K$4:$K$483,0)))</f>
        <v>46270</v>
      </c>
      <c r="D117" s="40" t="str">
        <f aca="false">IF($B117="","",INDEX(Schedule!$D$4:$D$483,MATCH(5003,Schedule!$K$4:$K$483,0)))</f>
        <v>Expense</v>
      </c>
      <c r="E117" s="41" t="n">
        <f aca="false">IF($B117="","",INDEX(Schedule!$E$4:$E$483,MATCH(5003,Schedule!$K$4:$K$483,0)))</f>
        <v>20</v>
      </c>
      <c r="F117" s="42"/>
      <c r="G117" s="43" t="str">
        <f aca="false">IF($B117="","",IF($D117="Income",IF($F117&lt;&gt;"",$F117,$E117),""))</f>
        <v/>
      </c>
      <c r="H117" s="44" t="n">
        <f aca="false">IF($B117="","",IF($D117="Income","",IF($F117&lt;&gt;"",$F117,$E117)))</f>
        <v>20</v>
      </c>
      <c r="I117" s="45" t="n">
        <f aca="false">IF($B117="","",$I$113+SUMIFS($G$115:$G$135,$M$115:$M$135,"&lt;="&amp;$M117)-SUMIFS($H$115:$H$135,$M$115:$M$135,"&lt;="&amp;$M117))</f>
        <v>2163.05</v>
      </c>
      <c r="J117" s="46" t="str">
        <f aca="true">IF($B117="","",IF($F117&lt;&gt;"",IF($C117&gt;TODAY(),"ADJUSTED","PAID"),IF($C117&lt;TODAY(),"PAST DUE",IF($C117&lt;=TODAY()+7,"DUE","Upcoming"))))</f>
        <v>Upcoming</v>
      </c>
      <c r="L117" s="47" t="n">
        <f aca="false">IF($B117="","",$C117)</f>
        <v>46270</v>
      </c>
      <c r="M117" s="48" t="n">
        <f aca="false">IF($L117="","",COUNTIFS($L$115:$L$135,"&lt;"&amp;$L117)+COUNTIFS($L$115:$L117,$L117))</f>
        <v>3</v>
      </c>
    </row>
    <row r="118" customFormat="false" ht="15" hidden="false" customHeight="false" outlineLevel="0" collapsed="false">
      <c r="B118" s="38" t="str">
        <f aca="false">IFERROR(INDEX(Schedule!$C$4:$C$483,MATCH(5004,Schedule!$K$4:$K$483,0)),"")</f>
        <v>Obsidian</v>
      </c>
      <c r="C118" s="39" t="n">
        <f aca="false">IF($B118="","",INDEX(Schedule!$G$4:$G$483,MATCH(5004,Schedule!$K$4:$K$483,0)))</f>
        <v>46270</v>
      </c>
      <c r="D118" s="40" t="str">
        <f aca="false">IF($B118="","",INDEX(Schedule!$D$4:$D$483,MATCH(5004,Schedule!$K$4:$K$483,0)))</f>
        <v>Expense</v>
      </c>
      <c r="E118" s="41" t="n">
        <f aca="false">IF($B118="","",INDEX(Schedule!$E$4:$E$483,MATCH(5004,Schedule!$K$4:$K$483,0)))</f>
        <v>10</v>
      </c>
      <c r="F118" s="42"/>
      <c r="G118" s="43" t="str">
        <f aca="false">IF($B118="","",IF($D118="Income",IF($F118&lt;&gt;"",$F118,$E118),""))</f>
        <v/>
      </c>
      <c r="H118" s="44" t="n">
        <f aca="false">IF($B118="","",IF($D118="Income","",IF($F118&lt;&gt;"",$F118,$E118)))</f>
        <v>10</v>
      </c>
      <c r="I118" s="45" t="n">
        <f aca="false">IF($B118="","",$I$113+SUMIFS($G$115:$G$135,$M$115:$M$135,"&lt;="&amp;$M118)-SUMIFS($H$115:$H$135,$M$115:$M$135,"&lt;="&amp;$M118))</f>
        <v>2153.05</v>
      </c>
      <c r="J118" s="46" t="str">
        <f aca="true">IF($B118="","",IF($F118&lt;&gt;"",IF($C118&gt;TODAY(),"ADJUSTED","PAID"),IF($C118&lt;TODAY(),"PAST DUE",IF($C118&lt;=TODAY()+7,"DUE","Upcoming"))))</f>
        <v>Upcoming</v>
      </c>
      <c r="L118" s="47" t="n">
        <f aca="false">IF($B118="","",$C118)</f>
        <v>46270</v>
      </c>
      <c r="M118" s="48" t="n">
        <f aca="false">IF($L118="","",COUNTIFS($L$115:$L$135,"&lt;"&amp;$L118)+COUNTIFS($L$115:$L118,$L118))</f>
        <v>4</v>
      </c>
    </row>
    <row r="119" customFormat="false" ht="15" hidden="false" customHeight="false" outlineLevel="0" collapsed="false">
      <c r="B119" s="38" t="str">
        <f aca="false">IFERROR(INDEX(Schedule!$C$4:$C$483,MATCH(5005,Schedule!$K$4:$K$483,0)),"")</f>
        <v>Google One</v>
      </c>
      <c r="C119" s="39" t="n">
        <f aca="false">IF($B119="","",INDEX(Schedule!$G$4:$G$483,MATCH(5005,Schedule!$K$4:$K$483,0)))</f>
        <v>46272</v>
      </c>
      <c r="D119" s="40" t="str">
        <f aca="false">IF($B119="","",INDEX(Schedule!$D$4:$D$483,MATCH(5005,Schedule!$K$4:$K$483,0)))</f>
        <v>Expense</v>
      </c>
      <c r="E119" s="41" t="n">
        <f aca="false">IF($B119="","",INDEX(Schedule!$E$4:$E$483,MATCH(5005,Schedule!$K$4:$K$483,0)))</f>
        <v>4.99</v>
      </c>
      <c r="F119" s="42"/>
      <c r="G119" s="43" t="str">
        <f aca="false">IF($B119="","",IF($D119="Income",IF($F119&lt;&gt;"",$F119,$E119),""))</f>
        <v/>
      </c>
      <c r="H119" s="44" t="n">
        <f aca="false">IF($B119="","",IF($D119="Income","",IF($F119&lt;&gt;"",$F119,$E119)))</f>
        <v>4.99</v>
      </c>
      <c r="I119" s="45" t="n">
        <f aca="false">IF($B119="","",$I$113+SUMIFS($G$115:$G$135,$M$115:$M$135,"&lt;="&amp;$M119)-SUMIFS($H$115:$H$135,$M$115:$M$135,"&lt;="&amp;$M119))</f>
        <v>2148.06</v>
      </c>
      <c r="J119" s="46" t="str">
        <f aca="true">IF($B119="","",IF($F119&lt;&gt;"",IF($C119&gt;TODAY(),"ADJUSTED","PAID"),IF($C119&lt;TODAY(),"PAST DUE",IF($C119&lt;=TODAY()+7,"DUE","Upcoming"))))</f>
        <v>Upcoming</v>
      </c>
      <c r="L119" s="47" t="n">
        <f aca="false">IF($B119="","",$C119)</f>
        <v>46272</v>
      </c>
      <c r="M119" s="48" t="n">
        <f aca="false">IF($L119="","",COUNTIFS($L$115:$L$135,"&lt;"&amp;$L119)+COUNTIFS($L$115:$L119,$L119))</f>
        <v>5</v>
      </c>
    </row>
    <row r="120" customFormat="false" ht="15" hidden="false" customHeight="false" outlineLevel="0" collapsed="false">
      <c r="B120" s="38" t="str">
        <f aca="false">IFERROR(INDEX(Schedule!$C$4:$C$483,MATCH(5006,Schedule!$K$4:$K$483,0)),"")</f>
        <v>Upstart (loan)</v>
      </c>
      <c r="C120" s="39" t="n">
        <f aca="false">IF($B120="","",INDEX(Schedule!$G$4:$G$483,MATCH(5006,Schedule!$K$4:$K$483,0)))</f>
        <v>46272</v>
      </c>
      <c r="D120" s="40" t="str">
        <f aca="false">IF($B120="","",INDEX(Schedule!$D$4:$D$483,MATCH(5006,Schedule!$K$4:$K$483,0)))</f>
        <v>Expense</v>
      </c>
      <c r="E120" s="41" t="n">
        <f aca="false">IF($B120="","",INDEX(Schedule!$E$4:$E$483,MATCH(5006,Schedule!$K$4:$K$483,0)))</f>
        <v>500</v>
      </c>
      <c r="F120" s="42"/>
      <c r="G120" s="43" t="str">
        <f aca="false">IF($B120="","",IF($D120="Income",IF($F120&lt;&gt;"",$F120,$E120),""))</f>
        <v/>
      </c>
      <c r="H120" s="44" t="n">
        <f aca="false">IF($B120="","",IF($D120="Income","",IF($F120&lt;&gt;"",$F120,$E120)))</f>
        <v>500</v>
      </c>
      <c r="I120" s="45" t="n">
        <f aca="false">IF($B120="","",$I$113+SUMIFS($G$115:$G$135,$M$115:$M$135,"&lt;="&amp;$M120)-SUMIFS($H$115:$H$135,$M$115:$M$135,"&lt;="&amp;$M120))</f>
        <v>1648.06</v>
      </c>
      <c r="J120" s="46" t="str">
        <f aca="true">IF($B120="","",IF($F120&lt;&gt;"",IF($C120&gt;TODAY(),"ADJUSTED","PAID"),IF($C120&lt;TODAY(),"PAST DUE",IF($C120&lt;=TODAY()+7,"DUE","Upcoming"))))</f>
        <v>Upcoming</v>
      </c>
      <c r="L120" s="47" t="n">
        <f aca="false">IF($B120="","",$C120)</f>
        <v>46272</v>
      </c>
      <c r="M120" s="48" t="n">
        <f aca="false">IF($L120="","",COUNTIFS($L$115:$L$135,"&lt;"&amp;$L120)+COUNTIFS($L$115:$L120,$L120))</f>
        <v>6</v>
      </c>
    </row>
    <row r="121" customFormat="false" ht="15" hidden="false" customHeight="false" outlineLevel="0" collapsed="false">
      <c r="B121" s="38" t="str">
        <f aca="false">IFERROR(INDEX(Schedule!$C$4:$C$483,MATCH(5007,Schedule!$K$4:$K$483,0)),"")</f>
        <v>Bruno's Restaurant (paycheck)</v>
      </c>
      <c r="C121" s="39" t="n">
        <f aca="false">IF($B121="","",INDEX(Schedule!$G$4:$G$483,MATCH(5007,Schedule!$K$4:$K$483,0)))</f>
        <v>46274</v>
      </c>
      <c r="D121" s="40" t="str">
        <f aca="false">IF($B121="","",INDEX(Schedule!$D$4:$D$483,MATCH(5007,Schedule!$K$4:$K$483,0)))</f>
        <v>Income</v>
      </c>
      <c r="E121" s="41" t="n">
        <f aca="false">IF($B121="","",INDEX(Schedule!$E$4:$E$483,MATCH(5007,Schedule!$K$4:$K$483,0)))</f>
        <v>90</v>
      </c>
      <c r="F121" s="42"/>
      <c r="G121" s="43" t="n">
        <f aca="false">IF($B121="","",IF($D121="Income",IF($F121&lt;&gt;"",$F121,$E121),""))</f>
        <v>90</v>
      </c>
      <c r="H121" s="44" t="str">
        <f aca="false">IF($B121="","",IF($D121="Income","",IF($F121&lt;&gt;"",$F121,$E121)))</f>
        <v/>
      </c>
      <c r="I121" s="45" t="n">
        <f aca="false">IF($B121="","",$I$113+SUMIFS($G$115:$G$135,$M$115:$M$135,"&lt;="&amp;$M121)-SUMIFS($H$115:$H$135,$M$115:$M$135,"&lt;="&amp;$M121))</f>
        <v>1738.06</v>
      </c>
      <c r="J121" s="46" t="str">
        <f aca="true">IF($B121="","",IF($F121&lt;&gt;"",IF($C121&gt;TODAY(),"ADJUSTED","PAID"),IF($C121&lt;TODAY(),"PAST DUE",IF($C121&lt;=TODAY()+7,"DUE","Upcoming"))))</f>
        <v>Upcoming</v>
      </c>
      <c r="L121" s="47" t="n">
        <f aca="false">IF($B121="","",$C121)</f>
        <v>46274</v>
      </c>
      <c r="M121" s="48" t="n">
        <f aca="false">IF($L121="","",COUNTIFS($L$115:$L$135,"&lt;"&amp;$L121)+COUNTIFS($L$115:$L121,$L121))</f>
        <v>7</v>
      </c>
    </row>
    <row r="122" customFormat="false" ht="15" hidden="false" customHeight="false" outlineLevel="0" collapsed="false">
      <c r="B122" s="38" t="str">
        <f aca="false">IFERROR(INDEX(Schedule!$C$4:$C$483,MATCH(5008,Schedule!$K$4:$K$483,0)),"")</f>
        <v>Central Maine Power Co.</v>
      </c>
      <c r="C122" s="39" t="n">
        <f aca="false">IF($B122="","",INDEX(Schedule!$G$4:$G$483,MATCH(5008,Schedule!$K$4:$K$483,0)))</f>
        <v>46275</v>
      </c>
      <c r="D122" s="40" t="str">
        <f aca="false">IF($B122="","",INDEX(Schedule!$D$4:$D$483,MATCH(5008,Schedule!$K$4:$K$483,0)))</f>
        <v>Expense</v>
      </c>
      <c r="E122" s="41" t="n">
        <f aca="false">IF($B122="","",INDEX(Schedule!$E$4:$E$483,MATCH(5008,Schedule!$K$4:$K$483,0)))</f>
        <v>163.5</v>
      </c>
      <c r="F122" s="42"/>
      <c r="G122" s="43" t="str">
        <f aca="false">IF($B122="","",IF($D122="Income",IF($F122&lt;&gt;"",$F122,$E122),""))</f>
        <v/>
      </c>
      <c r="H122" s="44" t="n">
        <f aca="false">IF($B122="","",IF($D122="Income","",IF($F122&lt;&gt;"",$F122,$E122)))</f>
        <v>163.5</v>
      </c>
      <c r="I122" s="45" t="n">
        <f aca="false">IF($B122="","",$I$113+SUMIFS($G$115:$G$135,$M$115:$M$135,"&lt;="&amp;$M122)-SUMIFS($H$115:$H$135,$M$115:$M$135,"&lt;="&amp;$M122))</f>
        <v>1574.56</v>
      </c>
      <c r="J122" s="46" t="str">
        <f aca="true">IF($B122="","",IF($F122&lt;&gt;"",IF($C122&gt;TODAY(),"ADJUSTED","PAID"),IF($C122&lt;TODAY(),"PAST DUE",IF($C122&lt;=TODAY()+7,"DUE","Upcoming"))))</f>
        <v>Upcoming</v>
      </c>
      <c r="L122" s="47" t="n">
        <f aca="false">IF($B122="","",$C122)</f>
        <v>46275</v>
      </c>
      <c r="M122" s="48" t="n">
        <f aca="false">IF($L122="","",COUNTIFS($L$115:$L$135,"&lt;"&amp;$L122)+COUNTIFS($L$115:$L122,$L122))</f>
        <v>8</v>
      </c>
    </row>
    <row r="123" customFormat="false" ht="15" hidden="false" customHeight="false" outlineLevel="0" collapsed="false">
      <c r="B123" s="38" t="str">
        <f aca="false">IFERROR(INDEX(Schedule!$C$4:$C$483,MATCH(5009,Schedule!$K$4:$K$483,0)),"")</f>
        <v/>
      </c>
      <c r="C123" s="39" t="str">
        <f aca="false">IF($B123="","",INDEX(Schedule!$G$4:$G$483,MATCH(5009,Schedule!$K$4:$K$483,0)))</f>
        <v/>
      </c>
      <c r="D123" s="40" t="str">
        <f aca="false">IF($B123="","",INDEX(Schedule!$D$4:$D$483,MATCH(5009,Schedule!$K$4:$K$483,0)))</f>
        <v/>
      </c>
      <c r="E123" s="41" t="str">
        <f aca="false">IF($B123="","",INDEX(Schedule!$E$4:$E$483,MATCH(5009,Schedule!$K$4:$K$483,0)))</f>
        <v/>
      </c>
      <c r="F123" s="42"/>
      <c r="G123" s="43" t="str">
        <f aca="false">IF($B123="","",IF($D123="Income",IF($F123&lt;&gt;"",$F123,$E123),""))</f>
        <v/>
      </c>
      <c r="H123" s="44" t="str">
        <f aca="false">IF($B123="","",IF($D123="Income","",IF($F123&lt;&gt;"",$F123,$E123)))</f>
        <v/>
      </c>
      <c r="I123" s="45" t="str">
        <f aca="false">IF($B123="","",$I$113+SUMIFS($G$115:$G$135,$M$115:$M$135,"&lt;="&amp;$M123)-SUMIFS($H$115:$H$135,$M$115:$M$135,"&lt;="&amp;$M123))</f>
        <v/>
      </c>
      <c r="J123" s="46" t="str">
        <f aca="true">IF($B123="","",IF($F123&lt;&gt;"",IF($C123&gt;TODAY(),"ADJUSTED","PAID"),IF($C123&lt;TODAY(),"PAST DUE",IF($C123&lt;=TODAY()+7,"DUE","Upcoming"))))</f>
        <v/>
      </c>
      <c r="L123" s="0" t="str">
        <f aca="false">IF($B123="","",$C123)</f>
        <v/>
      </c>
      <c r="M123" s="0" t="str">
        <f aca="false">IF($L123="","",COUNTIFS($L$115:$L$135,"&lt;"&amp;$L123)+COUNTIFS($L$115:$L123,$L123))</f>
        <v/>
      </c>
    </row>
    <row r="124" customFormat="false" ht="15" hidden="false" customHeight="false" outlineLevel="0" collapsed="false">
      <c r="B124" s="38" t="str">
        <f aca="false">IFERROR(INDEX(Schedule!$C$4:$C$483,MATCH(5010,Schedule!$K$4:$K$483,0)),"")</f>
        <v/>
      </c>
      <c r="C124" s="39" t="str">
        <f aca="false">IF($B124="","",INDEX(Schedule!$G$4:$G$483,MATCH(5010,Schedule!$K$4:$K$483,0)))</f>
        <v/>
      </c>
      <c r="D124" s="40" t="str">
        <f aca="false">IF($B124="","",INDEX(Schedule!$D$4:$D$483,MATCH(5010,Schedule!$K$4:$K$483,0)))</f>
        <v/>
      </c>
      <c r="E124" s="41" t="str">
        <f aca="false">IF($B124="","",INDEX(Schedule!$E$4:$E$483,MATCH(5010,Schedule!$K$4:$K$483,0)))</f>
        <v/>
      </c>
      <c r="F124" s="42"/>
      <c r="G124" s="43" t="str">
        <f aca="false">IF($B124="","",IF($D124="Income",IF($F124&lt;&gt;"",$F124,$E124),""))</f>
        <v/>
      </c>
      <c r="H124" s="44" t="str">
        <f aca="false">IF($B124="","",IF($D124="Income","",IF($F124&lt;&gt;"",$F124,$E124)))</f>
        <v/>
      </c>
      <c r="I124" s="45" t="str">
        <f aca="false">IF($B124="","",$I$113+SUMIFS($G$115:$G$135,$M$115:$M$135,"&lt;="&amp;$M124)-SUMIFS($H$115:$H$135,$M$115:$M$135,"&lt;="&amp;$M124))</f>
        <v/>
      </c>
      <c r="J124" s="46" t="str">
        <f aca="true">IF($B124="","",IF($F124&lt;&gt;"",IF($C124&gt;TODAY(),"ADJUSTED","PAID"),IF($C124&lt;TODAY(),"PAST DUE",IF($C124&lt;=TODAY()+7,"DUE","Upcoming"))))</f>
        <v/>
      </c>
      <c r="L124" s="0" t="str">
        <f aca="false">IF($B124="","",$C124)</f>
        <v/>
      </c>
      <c r="M124" s="0" t="str">
        <f aca="false">IF($L124="","",COUNTIFS($L$115:$L$135,"&lt;"&amp;$L124)+COUNTIFS($L$115:$L124,$L124))</f>
        <v/>
      </c>
    </row>
    <row r="125" customFormat="false" ht="15" hidden="false" customHeight="false" outlineLevel="0" collapsed="false">
      <c r="B125" s="49" t="s">
        <v>127</v>
      </c>
      <c r="C125" s="50"/>
      <c r="D125" s="50"/>
      <c r="E125" s="50"/>
      <c r="F125" s="50"/>
      <c r="G125" s="50"/>
      <c r="H125" s="50"/>
      <c r="I125" s="50"/>
      <c r="J125" s="50"/>
    </row>
    <row r="126" customFormat="false" ht="15" hidden="false" customHeight="false" outlineLevel="0" collapsed="false">
      <c r="B126" s="6"/>
      <c r="C126" s="51"/>
      <c r="D126" s="52" t="str">
        <f aca="false">IF($B126="","","Expense")</f>
        <v/>
      </c>
      <c r="E126" s="18"/>
      <c r="F126" s="10"/>
      <c r="G126" s="10"/>
      <c r="H126" s="53" t="str">
        <f aca="false">IF($B126="","",N($E126))</f>
        <v/>
      </c>
      <c r="I126" s="54" t="str">
        <f aca="false">IF($B126="","",$I$113+SUMIFS($G$115:$G$135,$M$115:$M$135,"&lt;="&amp;$M126)-SUMIFS($H$115:$H$135,$M$115:$M$135,"&lt;="&amp;$M126))</f>
        <v/>
      </c>
      <c r="J126" s="10"/>
      <c r="L126" s="0" t="str">
        <f aca="false">IF($B126="","",IF($C126="",$E$6+34,$C126))</f>
        <v/>
      </c>
      <c r="M126" s="0" t="str">
        <f aca="false">IF($L126="","",COUNTIFS($L$115:$L$135,"&lt;"&amp;$L126)+COUNTIFS($L$115:$L126,$L126))</f>
        <v/>
      </c>
    </row>
    <row r="127" customFormat="false" ht="15" hidden="false" customHeight="false" outlineLevel="0" collapsed="false">
      <c r="B127" s="6"/>
      <c r="C127" s="51"/>
      <c r="D127" s="52" t="str">
        <f aca="false">IF($B127="","","Expense")</f>
        <v/>
      </c>
      <c r="E127" s="18"/>
      <c r="F127" s="10"/>
      <c r="G127" s="10"/>
      <c r="H127" s="53" t="str">
        <f aca="false">IF($B127="","",N($E127))</f>
        <v/>
      </c>
      <c r="I127" s="54" t="str">
        <f aca="false">IF($B127="","",$I$113+SUMIFS($G$115:$G$135,$M$115:$M$135,"&lt;="&amp;$M127)-SUMIFS($H$115:$H$135,$M$115:$M$135,"&lt;="&amp;$M127))</f>
        <v/>
      </c>
      <c r="J127" s="10"/>
      <c r="L127" s="0" t="str">
        <f aca="false">IF($B127="","",IF($C127="",$E$6+34,$C127))</f>
        <v/>
      </c>
      <c r="M127" s="0" t="str">
        <f aca="false">IF($L127="","",COUNTIFS($L$115:$L$135,"&lt;"&amp;$L127)+COUNTIFS($L$115:$L127,$L127))</f>
        <v/>
      </c>
    </row>
    <row r="128" customFormat="false" ht="15" hidden="false" customHeight="false" outlineLevel="0" collapsed="false">
      <c r="B128" s="6"/>
      <c r="C128" s="51"/>
      <c r="D128" s="52" t="str">
        <f aca="false">IF($B128="","","Expense")</f>
        <v/>
      </c>
      <c r="E128" s="18"/>
      <c r="F128" s="10"/>
      <c r="G128" s="10"/>
      <c r="H128" s="53" t="str">
        <f aca="false">IF($B128="","",N($E128))</f>
        <v/>
      </c>
      <c r="I128" s="54" t="str">
        <f aca="false">IF($B128="","",$I$113+SUMIFS($G$115:$G$135,$M$115:$M$135,"&lt;="&amp;$M128)-SUMIFS($H$115:$H$135,$M$115:$M$135,"&lt;="&amp;$M128))</f>
        <v/>
      </c>
      <c r="J128" s="10"/>
      <c r="L128" s="0" t="str">
        <f aca="false">IF($B128="","",IF($C128="",$E$6+34,$C128))</f>
        <v/>
      </c>
      <c r="M128" s="0" t="str">
        <f aca="false">IF($L128="","",COUNTIFS($L$115:$L$135,"&lt;"&amp;$L128)+COUNTIFS($L$115:$L128,$L128))</f>
        <v/>
      </c>
    </row>
    <row r="129" customFormat="false" ht="15" hidden="false" customHeight="false" outlineLevel="0" collapsed="false">
      <c r="B129" s="6"/>
      <c r="C129" s="51"/>
      <c r="D129" s="52" t="str">
        <f aca="false">IF($B129="","","Expense")</f>
        <v/>
      </c>
      <c r="E129" s="18"/>
      <c r="F129" s="10"/>
      <c r="G129" s="10"/>
      <c r="H129" s="53" t="str">
        <f aca="false">IF($B129="","",N($E129))</f>
        <v/>
      </c>
      <c r="I129" s="54" t="str">
        <f aca="false">IF($B129="","",$I$113+SUMIFS($G$115:$G$135,$M$115:$M$135,"&lt;="&amp;$M129)-SUMIFS($H$115:$H$135,$M$115:$M$135,"&lt;="&amp;$M129))</f>
        <v/>
      </c>
      <c r="J129" s="10"/>
      <c r="L129" s="0" t="str">
        <f aca="false">IF($B129="","",IF($C129="",$E$6+34,$C129))</f>
        <v/>
      </c>
      <c r="M129" s="0" t="str">
        <f aca="false">IF($L129="","",COUNTIFS($L$115:$L$135,"&lt;"&amp;$L129)+COUNTIFS($L$115:$L129,$L129))</f>
        <v/>
      </c>
    </row>
    <row r="130" customFormat="false" ht="15" hidden="false" customHeight="false" outlineLevel="0" collapsed="false">
      <c r="B130" s="6"/>
      <c r="C130" s="51"/>
      <c r="D130" s="52" t="str">
        <f aca="false">IF($B130="","","Expense")</f>
        <v/>
      </c>
      <c r="E130" s="18"/>
      <c r="F130" s="10"/>
      <c r="G130" s="10"/>
      <c r="H130" s="53" t="str">
        <f aca="false">IF($B130="","",N($E130))</f>
        <v/>
      </c>
      <c r="I130" s="54" t="str">
        <f aca="false">IF($B130="","",$I$113+SUMIFS($G$115:$G$135,$M$115:$M$135,"&lt;="&amp;$M130)-SUMIFS($H$115:$H$135,$M$115:$M$135,"&lt;="&amp;$M130))</f>
        <v/>
      </c>
      <c r="J130" s="10"/>
      <c r="L130" s="0" t="str">
        <f aca="false">IF($B130="","",IF($C130="",$E$6+34,$C130))</f>
        <v/>
      </c>
      <c r="M130" s="0" t="str">
        <f aca="false">IF($L130="","",COUNTIFS($L$115:$L$135,"&lt;"&amp;$L130)+COUNTIFS($L$115:$L130,$L130))</f>
        <v/>
      </c>
    </row>
    <row r="131" customFormat="false" ht="15" hidden="false" customHeight="false" outlineLevel="0" collapsed="false">
      <c r="B131" s="6"/>
      <c r="C131" s="51"/>
      <c r="D131" s="52" t="str">
        <f aca="false">IF($B131="","","Expense")</f>
        <v/>
      </c>
      <c r="E131" s="18"/>
      <c r="F131" s="10"/>
      <c r="G131" s="10"/>
      <c r="H131" s="53" t="str">
        <f aca="false">IF($B131="","",N($E131))</f>
        <v/>
      </c>
      <c r="I131" s="54" t="str">
        <f aca="false">IF($B131="","",$I$113+SUMIFS($G$115:$G$135,$M$115:$M$135,"&lt;="&amp;$M131)-SUMIFS($H$115:$H$135,$M$115:$M$135,"&lt;="&amp;$M131))</f>
        <v/>
      </c>
      <c r="J131" s="10"/>
      <c r="L131" s="0" t="str">
        <f aca="false">IF($B131="","",IF($C131="",$E$6+34,$C131))</f>
        <v/>
      </c>
      <c r="M131" s="0" t="str">
        <f aca="false">IF($L131="","",COUNTIFS($L$115:$L$135,"&lt;"&amp;$L131)+COUNTIFS($L$115:$L131,$L131))</f>
        <v/>
      </c>
    </row>
    <row r="132" customFormat="false" ht="15" hidden="false" customHeight="false" outlineLevel="0" collapsed="false">
      <c r="B132" s="6"/>
      <c r="C132" s="51"/>
      <c r="D132" s="52" t="str">
        <f aca="false">IF($B132="","","Expense")</f>
        <v/>
      </c>
      <c r="E132" s="18"/>
      <c r="F132" s="10"/>
      <c r="G132" s="10"/>
      <c r="H132" s="53" t="str">
        <f aca="false">IF($B132="","",N($E132))</f>
        <v/>
      </c>
      <c r="I132" s="54" t="str">
        <f aca="false">IF($B132="","",$I$113+SUMIFS($G$115:$G$135,$M$115:$M$135,"&lt;="&amp;$M132)-SUMIFS($H$115:$H$135,$M$115:$M$135,"&lt;="&amp;$M132))</f>
        <v/>
      </c>
      <c r="J132" s="10"/>
      <c r="L132" s="0" t="str">
        <f aca="false">IF($B132="","",IF($C132="",$E$6+34,$C132))</f>
        <v/>
      </c>
      <c r="M132" s="0" t="str">
        <f aca="false">IF($L132="","",COUNTIFS($L$115:$L$135,"&lt;"&amp;$L132)+COUNTIFS($L$115:$L132,$L132))</f>
        <v/>
      </c>
    </row>
    <row r="133" customFormat="false" ht="15" hidden="false" customHeight="false" outlineLevel="0" collapsed="false">
      <c r="B133" s="6"/>
      <c r="C133" s="51"/>
      <c r="D133" s="52" t="str">
        <f aca="false">IF($B133="","","Expense")</f>
        <v/>
      </c>
      <c r="E133" s="18"/>
      <c r="F133" s="10"/>
      <c r="G133" s="10"/>
      <c r="H133" s="53" t="str">
        <f aca="false">IF($B133="","",N($E133))</f>
        <v/>
      </c>
      <c r="I133" s="54" t="str">
        <f aca="false">IF($B133="","",$I$113+SUMIFS($G$115:$G$135,$M$115:$M$135,"&lt;="&amp;$M133)-SUMIFS($H$115:$H$135,$M$115:$M$135,"&lt;="&amp;$M133))</f>
        <v/>
      </c>
      <c r="J133" s="10"/>
      <c r="L133" s="0" t="str">
        <f aca="false">IF($B133="","",IF($C133="",$E$6+34,$C133))</f>
        <v/>
      </c>
      <c r="M133" s="0" t="str">
        <f aca="false">IF($L133="","",COUNTIFS($L$115:$L$135,"&lt;"&amp;$L133)+COUNTIFS($L$115:$L133,$L133))</f>
        <v/>
      </c>
    </row>
    <row r="134" customFormat="false" ht="15" hidden="false" customHeight="false" outlineLevel="0" collapsed="false">
      <c r="B134" s="6"/>
      <c r="C134" s="51"/>
      <c r="D134" s="52" t="str">
        <f aca="false">IF($B134="","","Expense")</f>
        <v/>
      </c>
      <c r="E134" s="18"/>
      <c r="F134" s="10"/>
      <c r="G134" s="10"/>
      <c r="H134" s="53" t="str">
        <f aca="false">IF($B134="","",N($E134))</f>
        <v/>
      </c>
      <c r="I134" s="54" t="str">
        <f aca="false">IF($B134="","",$I$113+SUMIFS($G$115:$G$135,$M$115:$M$135,"&lt;="&amp;$M134)-SUMIFS($H$115:$H$135,$M$115:$M$135,"&lt;="&amp;$M134))</f>
        <v/>
      </c>
      <c r="J134" s="10"/>
      <c r="L134" s="0" t="str">
        <f aca="false">IF($B134="","",IF($C134="",$E$6+34,$C134))</f>
        <v/>
      </c>
      <c r="M134" s="0" t="str">
        <f aca="false">IF($L134="","",COUNTIFS($L$115:$L$135,"&lt;"&amp;$L134)+COUNTIFS($L$115:$L134,$L134))</f>
        <v/>
      </c>
    </row>
    <row r="135" customFormat="false" ht="15" hidden="false" customHeight="false" outlineLevel="0" collapsed="false">
      <c r="B135" s="6"/>
      <c r="C135" s="51"/>
      <c r="D135" s="52" t="str">
        <f aca="false">IF($B135="","","Expense")</f>
        <v/>
      </c>
      <c r="E135" s="18"/>
      <c r="F135" s="10"/>
      <c r="G135" s="10"/>
      <c r="H135" s="53" t="str">
        <f aca="false">IF($B135="","",N($E135))</f>
        <v/>
      </c>
      <c r="I135" s="54" t="str">
        <f aca="false">IF($B135="","",$I$113+SUMIFS($G$115:$G$135,$M$115:$M$135,"&lt;="&amp;$M135)-SUMIFS($H$115:$H$135,$M$115:$M$135,"&lt;="&amp;$M135))</f>
        <v/>
      </c>
      <c r="J135" s="10"/>
      <c r="L135" s="0" t="str">
        <f aca="false">IF($B135="","",IF($C135="",$E$6+34,$C135))</f>
        <v/>
      </c>
      <c r="M135" s="0" t="str">
        <f aca="false">IF($L135="","",COUNTIFS($L$115:$L$135,"&lt;"&amp;$L135)+COUNTIFS($L$115:$L135,$L135))</f>
        <v/>
      </c>
    </row>
    <row r="136" customFormat="false" ht="15" hidden="false" customHeight="false" outlineLevel="0" collapsed="false">
      <c r="B136" s="55" t="s">
        <v>138</v>
      </c>
      <c r="C136" s="56"/>
      <c r="D136" s="56"/>
      <c r="E136" s="56"/>
      <c r="F136" s="56"/>
      <c r="G136" s="57" t="n">
        <f aca="false">SUM($G$115:$G$135)</f>
        <v>880</v>
      </c>
      <c r="H136" s="57" t="n">
        <f aca="false">SUM($H$115:$H$135)</f>
        <v>719.59</v>
      </c>
      <c r="I136" s="58" t="n">
        <f aca="false">$I$113+$G$136-$H$136</f>
        <v>1574.56</v>
      </c>
      <c r="J136" s="59" t="str">
        <f aca="false">IF($I$136&lt;0,"SHORTFALL",IF($I$136&lt;$E$7,"TIGHT","OK"))</f>
        <v>OK</v>
      </c>
      <c r="K136" s="60" t="str">
        <f aca="false">IF(COUNT($I$115:$I$135)=0,"","Lowest point this week: "&amp;TEXT(MIN($I$115:$I$135),"$#,##0.00;-$#,##0.00")&amp;" on "&amp;TEXT(INDEX($C$115:$C$135,MATCH(MIN($I$115:$I$135),$I$115:$I$135,0)),"ddd mmm d")&amp;"     (in "&amp;TEXT($G$136,"$#,##0.00")&amp;", out "&amp;TEXT($H$136,"$#,##0.00")&amp;")")</f>
        <v>Lowest point this week: $1,574.56 on Thu Sep 10     (in $880.00, out $719.59)</v>
      </c>
    </row>
    <row r="138" customFormat="false" ht="21.75" hidden="false" customHeight="true" outlineLevel="0" collapsed="false">
      <c r="B138" s="31" t="str">
        <f aca="false">"WEEK 6     "&amp;TEXT($E$6+35,"ddd, mmm d")&amp;"   through   "&amp;TEXT($E$6+35+6,"ddd, mmm d, yyyy")</f>
        <v>WEEK 6     Fri, Sep 11   through   Thu, Sep 17, 2026</v>
      </c>
      <c r="C138" s="32"/>
      <c r="D138" s="32"/>
      <c r="E138" s="32"/>
      <c r="F138" s="32"/>
      <c r="G138" s="33" t="s">
        <v>120</v>
      </c>
      <c r="H138" s="32"/>
      <c r="I138" s="34" t="n">
        <f aca="false">$I$136</f>
        <v>1574.56</v>
      </c>
      <c r="J138" s="32"/>
      <c r="K138" s="28" t="str">
        <f aca="false">IF(COUNTIF(Schedule!$I$4:$I$483,6)&gt;10,"! "&amp;COUNTIF(Schedule!$I$4:$I$483,6)-10&amp;" more transaction(s) fall in this week than there are rows to show them.","")</f>
        <v/>
      </c>
    </row>
    <row r="139" customFormat="false" ht="25.5" hidden="false" customHeight="true" outlineLevel="0" collapsed="false">
      <c r="B139" s="35" t="s">
        <v>121</v>
      </c>
      <c r="C139" s="35" t="s">
        <v>122</v>
      </c>
      <c r="D139" s="35" t="s">
        <v>72</v>
      </c>
      <c r="E139" s="35" t="s">
        <v>123</v>
      </c>
      <c r="F139" s="35" t="s">
        <v>124</v>
      </c>
      <c r="G139" s="36" t="s">
        <v>18</v>
      </c>
      <c r="H139" s="37" t="s">
        <v>20</v>
      </c>
      <c r="I139" s="35" t="s">
        <v>125</v>
      </c>
      <c r="J139" s="35" t="s">
        <v>126</v>
      </c>
    </row>
    <row r="140" customFormat="false" ht="15" hidden="false" customHeight="false" outlineLevel="0" collapsed="false">
      <c r="B140" s="38" t="str">
        <f aca="false">IFERROR(INDEX(Schedule!$C$4:$C$483,MATCH(6001,Schedule!$K$4:$K$483,0)),"")</f>
        <v>Compunnel Software (paycheck)</v>
      </c>
      <c r="C140" s="39" t="n">
        <f aca="false">IF($B140="","",INDEX(Schedule!$G$4:$G$483,MATCH(6001,Schedule!$K$4:$K$483,0)))</f>
        <v>46276</v>
      </c>
      <c r="D140" s="40" t="str">
        <f aca="false">IF($B140="","",INDEX(Schedule!$D$4:$D$483,MATCH(6001,Schedule!$K$4:$K$483,0)))</f>
        <v>Income</v>
      </c>
      <c r="E140" s="41" t="n">
        <f aca="false">IF($B140="","",INDEX(Schedule!$E$4:$E$483,MATCH(6001,Schedule!$K$4:$K$483,0)))</f>
        <v>790</v>
      </c>
      <c r="F140" s="42"/>
      <c r="G140" s="43" t="n">
        <f aca="false">IF($B140="","",IF($D140="Income",IF($F140&lt;&gt;"",$F140,$E140),""))</f>
        <v>790</v>
      </c>
      <c r="H140" s="44" t="str">
        <f aca="false">IF($B140="","",IF($D140="Income","",IF($F140&lt;&gt;"",$F140,$E140)))</f>
        <v/>
      </c>
      <c r="I140" s="45" t="n">
        <f aca="false">IF($B140="","",$I$138+SUMIFS($G$140:$G$160,$M$140:$M$160,"&lt;="&amp;$M140)-SUMIFS($H$140:$H$160,$M$140:$M$160,"&lt;="&amp;$M140))</f>
        <v>2364.56</v>
      </c>
      <c r="J140" s="46" t="str">
        <f aca="true">IF($B140="","",IF($F140&lt;&gt;"",IF($C140&gt;TODAY(),"ADJUSTED","PAID"),IF($C140&lt;TODAY(),"PAST DUE",IF($C140&lt;=TODAY()+7,"DUE","Upcoming"))))</f>
        <v>Upcoming</v>
      </c>
      <c r="L140" s="47" t="n">
        <f aca="false">IF($B140="","",$C140)</f>
        <v>46276</v>
      </c>
      <c r="M140" s="48" t="n">
        <f aca="false">IF($L140="","",COUNTIFS($L$140:$L$160,"&lt;"&amp;$L140)+COUNTIFS($L$140:$L140,$L140))</f>
        <v>1</v>
      </c>
    </row>
    <row r="141" customFormat="false" ht="15" hidden="false" customHeight="false" outlineLevel="0" collapsed="false">
      <c r="B141" s="38" t="str">
        <f aca="false">IFERROR(INDEX(Schedule!$C$4:$C$483,MATCH(6002,Schedule!$K$4:$K$483,0)),"")</f>
        <v>Apple: iCloud</v>
      </c>
      <c r="C141" s="39" t="n">
        <f aca="false">IF($B141="","",INDEX(Schedule!$G$4:$G$483,MATCH(6002,Schedule!$K$4:$K$483,0)))</f>
        <v>46278</v>
      </c>
      <c r="D141" s="40" t="str">
        <f aca="false">IF($B141="","",INDEX(Schedule!$D$4:$D$483,MATCH(6002,Schedule!$K$4:$K$483,0)))</f>
        <v>Expense</v>
      </c>
      <c r="E141" s="41" t="n">
        <f aca="false">IF($B141="","",INDEX(Schedule!$E$4:$E$483,MATCH(6002,Schedule!$K$4:$K$483,0)))</f>
        <v>2.99</v>
      </c>
      <c r="F141" s="42"/>
      <c r="G141" s="43" t="str">
        <f aca="false">IF($B141="","",IF($D141="Income",IF($F141&lt;&gt;"",$F141,$E141),""))</f>
        <v/>
      </c>
      <c r="H141" s="44" t="n">
        <f aca="false">IF($B141="","",IF($D141="Income","",IF($F141&lt;&gt;"",$F141,$E141)))</f>
        <v>2.99</v>
      </c>
      <c r="I141" s="45" t="n">
        <f aca="false">IF($B141="","",$I$138+SUMIFS($G$140:$G$160,$M$140:$M$160,"&lt;="&amp;$M141)-SUMIFS($H$140:$H$160,$M$140:$M$160,"&lt;="&amp;$M141))</f>
        <v>2361.57</v>
      </c>
      <c r="J141" s="46" t="str">
        <f aca="true">IF($B141="","",IF($F141&lt;&gt;"",IF($C141&gt;TODAY(),"ADJUSTED","PAID"),IF($C141&lt;TODAY(),"PAST DUE",IF($C141&lt;=TODAY()+7,"DUE","Upcoming"))))</f>
        <v>Upcoming</v>
      </c>
      <c r="L141" s="47" t="n">
        <f aca="false">IF($B141="","",$C141)</f>
        <v>46278</v>
      </c>
      <c r="M141" s="48" t="n">
        <f aca="false">IF($L141="","",COUNTIFS($L$140:$L$160,"&lt;"&amp;$L141)+COUNTIFS($L$140:$L141,$L141))</f>
        <v>2</v>
      </c>
    </row>
    <row r="142" customFormat="false" ht="15" hidden="false" customHeight="false" outlineLevel="0" collapsed="false">
      <c r="B142" s="38" t="str">
        <f aca="false">IFERROR(INDEX(Schedule!$C$4:$C$483,MATCH(6003,Schedule!$K$4:$K$483,0)),"")</f>
        <v>Patrick Rombalski (rent)</v>
      </c>
      <c r="C142" s="39" t="n">
        <f aca="false">IF($B142="","",INDEX(Schedule!$G$4:$G$483,MATCH(6003,Schedule!$K$4:$K$483,0)))</f>
        <v>46280</v>
      </c>
      <c r="D142" s="40" t="str">
        <f aca="false">IF($B142="","",INDEX(Schedule!$D$4:$D$483,MATCH(6003,Schedule!$K$4:$K$483,0)))</f>
        <v>Expense</v>
      </c>
      <c r="E142" s="41" t="n">
        <f aca="false">IF($B142="","",INDEX(Schedule!$E$4:$E$483,MATCH(6003,Schedule!$K$4:$K$483,0)))</f>
        <v>350</v>
      </c>
      <c r="F142" s="42"/>
      <c r="G142" s="43" t="str">
        <f aca="false">IF($B142="","",IF($D142="Income",IF($F142&lt;&gt;"",$F142,$E142),""))</f>
        <v/>
      </c>
      <c r="H142" s="44" t="n">
        <f aca="false">IF($B142="","",IF($D142="Income","",IF($F142&lt;&gt;"",$F142,$E142)))</f>
        <v>350</v>
      </c>
      <c r="I142" s="45" t="n">
        <f aca="false">IF($B142="","",$I$138+SUMIFS($G$140:$G$160,$M$140:$M$160,"&lt;="&amp;$M142)-SUMIFS($H$140:$H$160,$M$140:$M$160,"&lt;="&amp;$M142))</f>
        <v>2011.57</v>
      </c>
      <c r="J142" s="46" t="str">
        <f aca="true">IF($B142="","",IF($F142&lt;&gt;"",IF($C142&gt;TODAY(),"ADJUSTED","PAID"),IF($C142&lt;TODAY(),"PAST DUE",IF($C142&lt;=TODAY()+7,"DUE","Upcoming"))))</f>
        <v>Upcoming</v>
      </c>
      <c r="L142" s="47" t="n">
        <f aca="false">IF($B142="","",$C142)</f>
        <v>46280</v>
      </c>
      <c r="M142" s="48" t="n">
        <f aca="false">IF($L142="","",COUNTIFS($L$140:$L$160,"&lt;"&amp;$L142)+COUNTIFS($L$140:$L142,$L142))</f>
        <v>3</v>
      </c>
    </row>
    <row r="143" customFormat="false" ht="15" hidden="false" customHeight="false" outlineLevel="0" collapsed="false">
      <c r="B143" s="38" t="str">
        <f aca="false">IFERROR(INDEX(Schedule!$C$4:$C$483,MATCH(6004,Schedule!$K$4:$K$483,0)),"")</f>
        <v>Bruno's Restaurant (paycheck)</v>
      </c>
      <c r="C143" s="39" t="n">
        <f aca="false">IF($B143="","",INDEX(Schedule!$G$4:$G$483,MATCH(6004,Schedule!$K$4:$K$483,0)))</f>
        <v>46281</v>
      </c>
      <c r="D143" s="40" t="str">
        <f aca="false">IF($B143="","",INDEX(Schedule!$D$4:$D$483,MATCH(6004,Schedule!$K$4:$K$483,0)))</f>
        <v>Income</v>
      </c>
      <c r="E143" s="41" t="n">
        <f aca="false">IF($B143="","",INDEX(Schedule!$E$4:$E$483,MATCH(6004,Schedule!$K$4:$K$483,0)))</f>
        <v>90</v>
      </c>
      <c r="F143" s="42"/>
      <c r="G143" s="43" t="n">
        <f aca="false">IF($B143="","",IF($D143="Income",IF($F143&lt;&gt;"",$F143,$E143),""))</f>
        <v>90</v>
      </c>
      <c r="H143" s="44" t="str">
        <f aca="false">IF($B143="","",IF($D143="Income","",IF($F143&lt;&gt;"",$F143,$E143)))</f>
        <v/>
      </c>
      <c r="I143" s="45" t="n">
        <f aca="false">IF($B143="","",$I$138+SUMIFS($G$140:$G$160,$M$140:$M$160,"&lt;="&amp;$M143)-SUMIFS($H$140:$H$160,$M$140:$M$160,"&lt;="&amp;$M143))</f>
        <v>2101.57</v>
      </c>
      <c r="J143" s="46" t="str">
        <f aca="true">IF($B143="","",IF($F143&lt;&gt;"",IF($C143&gt;TODAY(),"ADJUSTED","PAID"),IF($C143&lt;TODAY(),"PAST DUE",IF($C143&lt;=TODAY()+7,"DUE","Upcoming"))))</f>
        <v>Upcoming</v>
      </c>
      <c r="L143" s="47" t="n">
        <f aca="false">IF($B143="","",$C143)</f>
        <v>46281</v>
      </c>
      <c r="M143" s="48" t="n">
        <f aca="false">IF($L143="","",COUNTIFS($L$140:$L$160,"&lt;"&amp;$L143)+COUNTIFS($L$140:$L143,$L143))</f>
        <v>4</v>
      </c>
    </row>
    <row r="144" customFormat="false" ht="15" hidden="false" customHeight="false" outlineLevel="0" collapsed="false">
      <c r="B144" s="38" t="str">
        <f aca="false">IFERROR(INDEX(Schedule!$C$4:$C$483,MATCH(6005,Schedule!$K$4:$K$483,0)),"")</f>
        <v>Spectrum</v>
      </c>
      <c r="C144" s="39" t="n">
        <f aca="false">IF($B144="","",INDEX(Schedule!$G$4:$G$483,MATCH(6005,Schedule!$K$4:$K$483,0)))</f>
        <v>46281</v>
      </c>
      <c r="D144" s="40" t="str">
        <f aca="false">IF($B144="","",INDEX(Schedule!$D$4:$D$483,MATCH(6005,Schedule!$K$4:$K$483,0)))</f>
        <v>Expense</v>
      </c>
      <c r="E144" s="41" t="n">
        <f aca="false">IF($B144="","",INDEX(Schedule!$E$4:$E$483,MATCH(6005,Schedule!$K$4:$K$483,0)))</f>
        <v>171.1</v>
      </c>
      <c r="F144" s="42"/>
      <c r="G144" s="43" t="str">
        <f aca="false">IF($B144="","",IF($D144="Income",IF($F144&lt;&gt;"",$F144,$E144),""))</f>
        <v/>
      </c>
      <c r="H144" s="44" t="n">
        <f aca="false">IF($B144="","",IF($D144="Income","",IF($F144&lt;&gt;"",$F144,$E144)))</f>
        <v>171.1</v>
      </c>
      <c r="I144" s="45" t="n">
        <f aca="false">IF($B144="","",$I$138+SUMIFS($G$140:$G$160,$M$140:$M$160,"&lt;="&amp;$M144)-SUMIFS($H$140:$H$160,$M$140:$M$160,"&lt;="&amp;$M144))</f>
        <v>1930.47</v>
      </c>
      <c r="J144" s="46" t="str">
        <f aca="true">IF($B144="","",IF($F144&lt;&gt;"",IF($C144&gt;TODAY(),"ADJUSTED","PAID"),IF($C144&lt;TODAY(),"PAST DUE",IF($C144&lt;=TODAY()+7,"DUE","Upcoming"))))</f>
        <v>Upcoming</v>
      </c>
      <c r="L144" s="47" t="n">
        <f aca="false">IF($B144="","",$C144)</f>
        <v>46281</v>
      </c>
      <c r="M144" s="48" t="n">
        <f aca="false">IF($L144="","",COUNTIFS($L$140:$L$160,"&lt;"&amp;$L144)+COUNTIFS($L$140:$L144,$L144))</f>
        <v>5</v>
      </c>
    </row>
    <row r="145" customFormat="false" ht="15" hidden="false" customHeight="false" outlineLevel="0" collapsed="false">
      <c r="B145" s="38" t="str">
        <f aca="false">IFERROR(INDEX(Schedule!$C$4:$C$483,MATCH(6006,Schedule!$K$4:$K$483,0)),"")</f>
        <v>Maine Revenue Services</v>
      </c>
      <c r="C145" s="39" t="n">
        <f aca="false">IF($B145="","",INDEX(Schedule!$G$4:$G$483,MATCH(6006,Schedule!$K$4:$K$483,0)))</f>
        <v>46281</v>
      </c>
      <c r="D145" s="40" t="str">
        <f aca="false">IF($B145="","",INDEX(Schedule!$D$4:$D$483,MATCH(6006,Schedule!$K$4:$K$483,0)))</f>
        <v>Expense</v>
      </c>
      <c r="E145" s="41" t="n">
        <f aca="false">IF($B145="","",INDEX(Schedule!$E$4:$E$483,MATCH(6006,Schedule!$K$4:$K$483,0)))</f>
        <v>45</v>
      </c>
      <c r="F145" s="42"/>
      <c r="G145" s="43" t="str">
        <f aca="false">IF($B145="","",IF($D145="Income",IF($F145&lt;&gt;"",$F145,$E145),""))</f>
        <v/>
      </c>
      <c r="H145" s="44" t="n">
        <f aca="false">IF($B145="","",IF($D145="Income","",IF($F145&lt;&gt;"",$F145,$E145)))</f>
        <v>45</v>
      </c>
      <c r="I145" s="45" t="n">
        <f aca="false">IF($B145="","",$I$138+SUMIFS($G$140:$G$160,$M$140:$M$160,"&lt;="&amp;$M145)-SUMIFS($H$140:$H$160,$M$140:$M$160,"&lt;="&amp;$M145))</f>
        <v>1885.47</v>
      </c>
      <c r="J145" s="46" t="str">
        <f aca="true">IF($B145="","",IF($F145&lt;&gt;"",IF($C145&gt;TODAY(),"ADJUSTED","PAID"),IF($C145&lt;TODAY(),"PAST DUE",IF($C145&lt;=TODAY()+7,"DUE","Upcoming"))))</f>
        <v>Upcoming</v>
      </c>
      <c r="L145" s="47" t="n">
        <f aca="false">IF($B145="","",$C145)</f>
        <v>46281</v>
      </c>
      <c r="M145" s="48" t="n">
        <f aca="false">IF($L145="","",COUNTIFS($L$140:$L$160,"&lt;"&amp;$L145)+COUNTIFS($L$140:$L145,$L145))</f>
        <v>6</v>
      </c>
    </row>
    <row r="146" customFormat="false" ht="15" hidden="false" customHeight="false" outlineLevel="0" collapsed="false">
      <c r="B146" s="38" t="str">
        <f aca="false">IFERROR(INDEX(Schedule!$C$4:$C$483,MATCH(6007,Schedule!$K$4:$K$483,0)),"")</f>
        <v/>
      </c>
      <c r="C146" s="39" t="str">
        <f aca="false">IF($B146="","",INDEX(Schedule!$G$4:$G$483,MATCH(6007,Schedule!$K$4:$K$483,0)))</f>
        <v/>
      </c>
      <c r="D146" s="40" t="str">
        <f aca="false">IF($B146="","",INDEX(Schedule!$D$4:$D$483,MATCH(6007,Schedule!$K$4:$K$483,0)))</f>
        <v/>
      </c>
      <c r="E146" s="41" t="str">
        <f aca="false">IF($B146="","",INDEX(Schedule!$E$4:$E$483,MATCH(6007,Schedule!$K$4:$K$483,0)))</f>
        <v/>
      </c>
      <c r="F146" s="42"/>
      <c r="G146" s="43" t="str">
        <f aca="false">IF($B146="","",IF($D146="Income",IF($F146&lt;&gt;"",$F146,$E146),""))</f>
        <v/>
      </c>
      <c r="H146" s="44" t="str">
        <f aca="false">IF($B146="","",IF($D146="Income","",IF($F146&lt;&gt;"",$F146,$E146)))</f>
        <v/>
      </c>
      <c r="I146" s="45" t="str">
        <f aca="false">IF($B146="","",$I$138+SUMIFS($G$140:$G$160,$M$140:$M$160,"&lt;="&amp;$M146)-SUMIFS($H$140:$H$160,$M$140:$M$160,"&lt;="&amp;$M146))</f>
        <v/>
      </c>
      <c r="J146" s="46" t="str">
        <f aca="true">IF($B146="","",IF($F146&lt;&gt;"",IF($C146&gt;TODAY(),"ADJUSTED","PAID"),IF($C146&lt;TODAY(),"PAST DUE",IF($C146&lt;=TODAY()+7,"DUE","Upcoming"))))</f>
        <v/>
      </c>
      <c r="L146" s="0" t="str">
        <f aca="false">IF($B146="","",$C146)</f>
        <v/>
      </c>
      <c r="M146" s="0" t="str">
        <f aca="false">IF($L146="","",COUNTIFS($L$140:$L$160,"&lt;"&amp;$L146)+COUNTIFS($L$140:$L146,$L146))</f>
        <v/>
      </c>
    </row>
    <row r="147" customFormat="false" ht="15" hidden="false" customHeight="false" outlineLevel="0" collapsed="false">
      <c r="B147" s="38" t="str">
        <f aca="false">IFERROR(INDEX(Schedule!$C$4:$C$483,MATCH(6008,Schedule!$K$4:$K$483,0)),"")</f>
        <v/>
      </c>
      <c r="C147" s="39" t="str">
        <f aca="false">IF($B147="","",INDEX(Schedule!$G$4:$G$483,MATCH(6008,Schedule!$K$4:$K$483,0)))</f>
        <v/>
      </c>
      <c r="D147" s="40" t="str">
        <f aca="false">IF($B147="","",INDEX(Schedule!$D$4:$D$483,MATCH(6008,Schedule!$K$4:$K$483,0)))</f>
        <v/>
      </c>
      <c r="E147" s="41" t="str">
        <f aca="false">IF($B147="","",INDEX(Schedule!$E$4:$E$483,MATCH(6008,Schedule!$K$4:$K$483,0)))</f>
        <v/>
      </c>
      <c r="F147" s="42"/>
      <c r="G147" s="43" t="str">
        <f aca="false">IF($B147="","",IF($D147="Income",IF($F147&lt;&gt;"",$F147,$E147),""))</f>
        <v/>
      </c>
      <c r="H147" s="44" t="str">
        <f aca="false">IF($B147="","",IF($D147="Income","",IF($F147&lt;&gt;"",$F147,$E147)))</f>
        <v/>
      </c>
      <c r="I147" s="45" t="str">
        <f aca="false">IF($B147="","",$I$138+SUMIFS($G$140:$G$160,$M$140:$M$160,"&lt;="&amp;$M147)-SUMIFS($H$140:$H$160,$M$140:$M$160,"&lt;="&amp;$M147))</f>
        <v/>
      </c>
      <c r="J147" s="46" t="str">
        <f aca="true">IF($B147="","",IF($F147&lt;&gt;"",IF($C147&gt;TODAY(),"ADJUSTED","PAID"),IF($C147&lt;TODAY(),"PAST DUE",IF($C147&lt;=TODAY()+7,"DUE","Upcoming"))))</f>
        <v/>
      </c>
      <c r="L147" s="0" t="str">
        <f aca="false">IF($B147="","",$C147)</f>
        <v/>
      </c>
      <c r="M147" s="0" t="str">
        <f aca="false">IF($L147="","",COUNTIFS($L$140:$L$160,"&lt;"&amp;$L147)+COUNTIFS($L$140:$L147,$L147))</f>
        <v/>
      </c>
    </row>
    <row r="148" customFormat="false" ht="15" hidden="false" customHeight="false" outlineLevel="0" collapsed="false">
      <c r="B148" s="38" t="str">
        <f aca="false">IFERROR(INDEX(Schedule!$C$4:$C$483,MATCH(6009,Schedule!$K$4:$K$483,0)),"")</f>
        <v/>
      </c>
      <c r="C148" s="39" t="str">
        <f aca="false">IF($B148="","",INDEX(Schedule!$G$4:$G$483,MATCH(6009,Schedule!$K$4:$K$483,0)))</f>
        <v/>
      </c>
      <c r="D148" s="40" t="str">
        <f aca="false">IF($B148="","",INDEX(Schedule!$D$4:$D$483,MATCH(6009,Schedule!$K$4:$K$483,0)))</f>
        <v/>
      </c>
      <c r="E148" s="41" t="str">
        <f aca="false">IF($B148="","",INDEX(Schedule!$E$4:$E$483,MATCH(6009,Schedule!$K$4:$K$483,0)))</f>
        <v/>
      </c>
      <c r="F148" s="42"/>
      <c r="G148" s="43" t="str">
        <f aca="false">IF($B148="","",IF($D148="Income",IF($F148&lt;&gt;"",$F148,$E148),""))</f>
        <v/>
      </c>
      <c r="H148" s="44" t="str">
        <f aca="false">IF($B148="","",IF($D148="Income","",IF($F148&lt;&gt;"",$F148,$E148)))</f>
        <v/>
      </c>
      <c r="I148" s="45" t="str">
        <f aca="false">IF($B148="","",$I$138+SUMIFS($G$140:$G$160,$M$140:$M$160,"&lt;="&amp;$M148)-SUMIFS($H$140:$H$160,$M$140:$M$160,"&lt;="&amp;$M148))</f>
        <v/>
      </c>
      <c r="J148" s="46" t="str">
        <f aca="true">IF($B148="","",IF($F148&lt;&gt;"",IF($C148&gt;TODAY(),"ADJUSTED","PAID"),IF($C148&lt;TODAY(),"PAST DUE",IF($C148&lt;=TODAY()+7,"DUE","Upcoming"))))</f>
        <v/>
      </c>
      <c r="L148" s="0" t="str">
        <f aca="false">IF($B148="","",$C148)</f>
        <v/>
      </c>
      <c r="M148" s="0" t="str">
        <f aca="false">IF($L148="","",COUNTIFS($L$140:$L$160,"&lt;"&amp;$L148)+COUNTIFS($L$140:$L148,$L148))</f>
        <v/>
      </c>
    </row>
    <row r="149" customFormat="false" ht="15" hidden="false" customHeight="false" outlineLevel="0" collapsed="false">
      <c r="B149" s="38" t="str">
        <f aca="false">IFERROR(INDEX(Schedule!$C$4:$C$483,MATCH(6010,Schedule!$K$4:$K$483,0)),"")</f>
        <v/>
      </c>
      <c r="C149" s="39" t="str">
        <f aca="false">IF($B149="","",INDEX(Schedule!$G$4:$G$483,MATCH(6010,Schedule!$K$4:$K$483,0)))</f>
        <v/>
      </c>
      <c r="D149" s="40" t="str">
        <f aca="false">IF($B149="","",INDEX(Schedule!$D$4:$D$483,MATCH(6010,Schedule!$K$4:$K$483,0)))</f>
        <v/>
      </c>
      <c r="E149" s="41" t="str">
        <f aca="false">IF($B149="","",INDEX(Schedule!$E$4:$E$483,MATCH(6010,Schedule!$K$4:$K$483,0)))</f>
        <v/>
      </c>
      <c r="F149" s="42"/>
      <c r="G149" s="43" t="str">
        <f aca="false">IF($B149="","",IF($D149="Income",IF($F149&lt;&gt;"",$F149,$E149),""))</f>
        <v/>
      </c>
      <c r="H149" s="44" t="str">
        <f aca="false">IF($B149="","",IF($D149="Income","",IF($F149&lt;&gt;"",$F149,$E149)))</f>
        <v/>
      </c>
      <c r="I149" s="45" t="str">
        <f aca="false">IF($B149="","",$I$138+SUMIFS($G$140:$G$160,$M$140:$M$160,"&lt;="&amp;$M149)-SUMIFS($H$140:$H$160,$M$140:$M$160,"&lt;="&amp;$M149))</f>
        <v/>
      </c>
      <c r="J149" s="46" t="str">
        <f aca="true">IF($B149="","",IF($F149&lt;&gt;"",IF($C149&gt;TODAY(),"ADJUSTED","PAID"),IF($C149&lt;TODAY(),"PAST DUE",IF($C149&lt;=TODAY()+7,"DUE","Upcoming"))))</f>
        <v/>
      </c>
      <c r="L149" s="0" t="str">
        <f aca="false">IF($B149="","",$C149)</f>
        <v/>
      </c>
      <c r="M149" s="0" t="str">
        <f aca="false">IF($L149="","",COUNTIFS($L$140:$L$160,"&lt;"&amp;$L149)+COUNTIFS($L$140:$L149,$L149))</f>
        <v/>
      </c>
    </row>
    <row r="150" customFormat="false" ht="15" hidden="false" customHeight="false" outlineLevel="0" collapsed="false">
      <c r="B150" s="49" t="s">
        <v>127</v>
      </c>
      <c r="C150" s="50"/>
      <c r="D150" s="50"/>
      <c r="E150" s="50"/>
      <c r="F150" s="50"/>
      <c r="G150" s="50"/>
      <c r="H150" s="50"/>
      <c r="I150" s="50"/>
      <c r="J150" s="50"/>
    </row>
    <row r="151" customFormat="false" ht="15" hidden="false" customHeight="false" outlineLevel="0" collapsed="false">
      <c r="B151" s="6"/>
      <c r="C151" s="51"/>
      <c r="D151" s="52" t="str">
        <f aca="false">IF($B151="","","Expense")</f>
        <v/>
      </c>
      <c r="E151" s="18"/>
      <c r="F151" s="10"/>
      <c r="G151" s="10"/>
      <c r="H151" s="53" t="str">
        <f aca="false">IF($B151="","",N($E151))</f>
        <v/>
      </c>
      <c r="I151" s="54" t="str">
        <f aca="false">IF($B151="","",$I$138+SUMIFS($G$140:$G$160,$M$140:$M$160,"&lt;="&amp;$M151)-SUMIFS($H$140:$H$160,$M$140:$M$160,"&lt;="&amp;$M151))</f>
        <v/>
      </c>
      <c r="J151" s="10"/>
      <c r="L151" s="0" t="str">
        <f aca="false">IF($B151="","",IF($C151="",$E$6+41,$C151))</f>
        <v/>
      </c>
      <c r="M151" s="0" t="str">
        <f aca="false">IF($L151="","",COUNTIFS($L$140:$L$160,"&lt;"&amp;$L151)+COUNTIFS($L$140:$L151,$L151))</f>
        <v/>
      </c>
    </row>
    <row r="152" customFormat="false" ht="15" hidden="false" customHeight="false" outlineLevel="0" collapsed="false">
      <c r="B152" s="6"/>
      <c r="C152" s="51"/>
      <c r="D152" s="52" t="str">
        <f aca="false">IF($B152="","","Expense")</f>
        <v/>
      </c>
      <c r="E152" s="18"/>
      <c r="F152" s="10"/>
      <c r="G152" s="10"/>
      <c r="H152" s="53" t="str">
        <f aca="false">IF($B152="","",N($E152))</f>
        <v/>
      </c>
      <c r="I152" s="54" t="str">
        <f aca="false">IF($B152="","",$I$138+SUMIFS($G$140:$G$160,$M$140:$M$160,"&lt;="&amp;$M152)-SUMIFS($H$140:$H$160,$M$140:$M$160,"&lt;="&amp;$M152))</f>
        <v/>
      </c>
      <c r="J152" s="10"/>
      <c r="L152" s="0" t="str">
        <f aca="false">IF($B152="","",IF($C152="",$E$6+41,$C152))</f>
        <v/>
      </c>
      <c r="M152" s="0" t="str">
        <f aca="false">IF($L152="","",COUNTIFS($L$140:$L$160,"&lt;"&amp;$L152)+COUNTIFS($L$140:$L152,$L152))</f>
        <v/>
      </c>
    </row>
    <row r="153" customFormat="false" ht="15" hidden="false" customHeight="false" outlineLevel="0" collapsed="false">
      <c r="B153" s="6"/>
      <c r="C153" s="51"/>
      <c r="D153" s="52" t="str">
        <f aca="false">IF($B153="","","Expense")</f>
        <v/>
      </c>
      <c r="E153" s="18"/>
      <c r="F153" s="10"/>
      <c r="G153" s="10"/>
      <c r="H153" s="53" t="str">
        <f aca="false">IF($B153="","",N($E153))</f>
        <v/>
      </c>
      <c r="I153" s="54" t="str">
        <f aca="false">IF($B153="","",$I$138+SUMIFS($G$140:$G$160,$M$140:$M$160,"&lt;="&amp;$M153)-SUMIFS($H$140:$H$160,$M$140:$M$160,"&lt;="&amp;$M153))</f>
        <v/>
      </c>
      <c r="J153" s="10"/>
      <c r="L153" s="0" t="str">
        <f aca="false">IF($B153="","",IF($C153="",$E$6+41,$C153))</f>
        <v/>
      </c>
      <c r="M153" s="0" t="str">
        <f aca="false">IF($L153="","",COUNTIFS($L$140:$L$160,"&lt;"&amp;$L153)+COUNTIFS($L$140:$L153,$L153))</f>
        <v/>
      </c>
    </row>
    <row r="154" customFormat="false" ht="15" hidden="false" customHeight="false" outlineLevel="0" collapsed="false">
      <c r="B154" s="6"/>
      <c r="C154" s="51"/>
      <c r="D154" s="52" t="str">
        <f aca="false">IF($B154="","","Expense")</f>
        <v/>
      </c>
      <c r="E154" s="18"/>
      <c r="F154" s="10"/>
      <c r="G154" s="10"/>
      <c r="H154" s="53" t="str">
        <f aca="false">IF($B154="","",N($E154))</f>
        <v/>
      </c>
      <c r="I154" s="54" t="str">
        <f aca="false">IF($B154="","",$I$138+SUMIFS($G$140:$G$160,$M$140:$M$160,"&lt;="&amp;$M154)-SUMIFS($H$140:$H$160,$M$140:$M$160,"&lt;="&amp;$M154))</f>
        <v/>
      </c>
      <c r="J154" s="10"/>
      <c r="L154" s="0" t="str">
        <f aca="false">IF($B154="","",IF($C154="",$E$6+41,$C154))</f>
        <v/>
      </c>
      <c r="M154" s="0" t="str">
        <f aca="false">IF($L154="","",COUNTIFS($L$140:$L$160,"&lt;"&amp;$L154)+COUNTIFS($L$140:$L154,$L154))</f>
        <v/>
      </c>
    </row>
    <row r="155" customFormat="false" ht="15" hidden="false" customHeight="false" outlineLevel="0" collapsed="false">
      <c r="B155" s="6"/>
      <c r="C155" s="51"/>
      <c r="D155" s="52" t="str">
        <f aca="false">IF($B155="","","Expense")</f>
        <v/>
      </c>
      <c r="E155" s="18"/>
      <c r="F155" s="10"/>
      <c r="G155" s="10"/>
      <c r="H155" s="53" t="str">
        <f aca="false">IF($B155="","",N($E155))</f>
        <v/>
      </c>
      <c r="I155" s="54" t="str">
        <f aca="false">IF($B155="","",$I$138+SUMIFS($G$140:$G$160,$M$140:$M$160,"&lt;="&amp;$M155)-SUMIFS($H$140:$H$160,$M$140:$M$160,"&lt;="&amp;$M155))</f>
        <v/>
      </c>
      <c r="J155" s="10"/>
      <c r="L155" s="0" t="str">
        <f aca="false">IF($B155="","",IF($C155="",$E$6+41,$C155))</f>
        <v/>
      </c>
      <c r="M155" s="0" t="str">
        <f aca="false">IF($L155="","",COUNTIFS($L$140:$L$160,"&lt;"&amp;$L155)+COUNTIFS($L$140:$L155,$L155))</f>
        <v/>
      </c>
    </row>
    <row r="156" customFormat="false" ht="15" hidden="false" customHeight="false" outlineLevel="0" collapsed="false">
      <c r="B156" s="6"/>
      <c r="C156" s="51"/>
      <c r="D156" s="52" t="str">
        <f aca="false">IF($B156="","","Expense")</f>
        <v/>
      </c>
      <c r="E156" s="18"/>
      <c r="F156" s="10"/>
      <c r="G156" s="10"/>
      <c r="H156" s="53" t="str">
        <f aca="false">IF($B156="","",N($E156))</f>
        <v/>
      </c>
      <c r="I156" s="54" t="str">
        <f aca="false">IF($B156="","",$I$138+SUMIFS($G$140:$G$160,$M$140:$M$160,"&lt;="&amp;$M156)-SUMIFS($H$140:$H$160,$M$140:$M$160,"&lt;="&amp;$M156))</f>
        <v/>
      </c>
      <c r="J156" s="10"/>
      <c r="L156" s="0" t="str">
        <f aca="false">IF($B156="","",IF($C156="",$E$6+41,$C156))</f>
        <v/>
      </c>
      <c r="M156" s="0" t="str">
        <f aca="false">IF($L156="","",COUNTIFS($L$140:$L$160,"&lt;"&amp;$L156)+COUNTIFS($L$140:$L156,$L156))</f>
        <v/>
      </c>
    </row>
    <row r="157" customFormat="false" ht="15" hidden="false" customHeight="false" outlineLevel="0" collapsed="false">
      <c r="B157" s="6"/>
      <c r="C157" s="51"/>
      <c r="D157" s="52" t="str">
        <f aca="false">IF($B157="","","Expense")</f>
        <v/>
      </c>
      <c r="E157" s="18"/>
      <c r="F157" s="10"/>
      <c r="G157" s="10"/>
      <c r="H157" s="53" t="str">
        <f aca="false">IF($B157="","",N($E157))</f>
        <v/>
      </c>
      <c r="I157" s="54" t="str">
        <f aca="false">IF($B157="","",$I$138+SUMIFS($G$140:$G$160,$M$140:$M$160,"&lt;="&amp;$M157)-SUMIFS($H$140:$H$160,$M$140:$M$160,"&lt;="&amp;$M157))</f>
        <v/>
      </c>
      <c r="J157" s="10"/>
      <c r="L157" s="0" t="str">
        <f aca="false">IF($B157="","",IF($C157="",$E$6+41,$C157))</f>
        <v/>
      </c>
      <c r="M157" s="0" t="str">
        <f aca="false">IF($L157="","",COUNTIFS($L$140:$L$160,"&lt;"&amp;$L157)+COUNTIFS($L$140:$L157,$L157))</f>
        <v/>
      </c>
    </row>
    <row r="158" customFormat="false" ht="15" hidden="false" customHeight="false" outlineLevel="0" collapsed="false">
      <c r="B158" s="6"/>
      <c r="C158" s="51"/>
      <c r="D158" s="52" t="str">
        <f aca="false">IF($B158="","","Expense")</f>
        <v/>
      </c>
      <c r="E158" s="18"/>
      <c r="F158" s="10"/>
      <c r="G158" s="10"/>
      <c r="H158" s="53" t="str">
        <f aca="false">IF($B158="","",N($E158))</f>
        <v/>
      </c>
      <c r="I158" s="54" t="str">
        <f aca="false">IF($B158="","",$I$138+SUMIFS($G$140:$G$160,$M$140:$M$160,"&lt;="&amp;$M158)-SUMIFS($H$140:$H$160,$M$140:$M$160,"&lt;="&amp;$M158))</f>
        <v/>
      </c>
      <c r="J158" s="10"/>
      <c r="L158" s="0" t="str">
        <f aca="false">IF($B158="","",IF($C158="",$E$6+41,$C158))</f>
        <v/>
      </c>
      <c r="M158" s="0" t="str">
        <f aca="false">IF($L158="","",COUNTIFS($L$140:$L$160,"&lt;"&amp;$L158)+COUNTIFS($L$140:$L158,$L158))</f>
        <v/>
      </c>
    </row>
    <row r="159" customFormat="false" ht="15" hidden="false" customHeight="false" outlineLevel="0" collapsed="false">
      <c r="B159" s="6"/>
      <c r="C159" s="51"/>
      <c r="D159" s="52" t="str">
        <f aca="false">IF($B159="","","Expense")</f>
        <v/>
      </c>
      <c r="E159" s="18"/>
      <c r="F159" s="10"/>
      <c r="G159" s="10"/>
      <c r="H159" s="53" t="str">
        <f aca="false">IF($B159="","",N($E159))</f>
        <v/>
      </c>
      <c r="I159" s="54" t="str">
        <f aca="false">IF($B159="","",$I$138+SUMIFS($G$140:$G$160,$M$140:$M$160,"&lt;="&amp;$M159)-SUMIFS($H$140:$H$160,$M$140:$M$160,"&lt;="&amp;$M159))</f>
        <v/>
      </c>
      <c r="J159" s="10"/>
      <c r="L159" s="0" t="str">
        <f aca="false">IF($B159="","",IF($C159="",$E$6+41,$C159))</f>
        <v/>
      </c>
      <c r="M159" s="0" t="str">
        <f aca="false">IF($L159="","",COUNTIFS($L$140:$L$160,"&lt;"&amp;$L159)+COUNTIFS($L$140:$L159,$L159))</f>
        <v/>
      </c>
    </row>
    <row r="160" customFormat="false" ht="15" hidden="false" customHeight="false" outlineLevel="0" collapsed="false">
      <c r="B160" s="6"/>
      <c r="C160" s="51"/>
      <c r="D160" s="52" t="str">
        <f aca="false">IF($B160="","","Expense")</f>
        <v/>
      </c>
      <c r="E160" s="18"/>
      <c r="F160" s="10"/>
      <c r="G160" s="10"/>
      <c r="H160" s="53" t="str">
        <f aca="false">IF($B160="","",N($E160))</f>
        <v/>
      </c>
      <c r="I160" s="54" t="str">
        <f aca="false">IF($B160="","",$I$138+SUMIFS($G$140:$G$160,$M$140:$M$160,"&lt;="&amp;$M160)-SUMIFS($H$140:$H$160,$M$140:$M$160,"&lt;="&amp;$M160))</f>
        <v/>
      </c>
      <c r="J160" s="10"/>
      <c r="L160" s="0" t="str">
        <f aca="false">IF($B160="","",IF($C160="",$E$6+41,$C160))</f>
        <v/>
      </c>
      <c r="M160" s="0" t="str">
        <f aca="false">IF($L160="","",COUNTIFS($L$140:$L$160,"&lt;"&amp;$L160)+COUNTIFS($L$140:$L160,$L160))</f>
        <v/>
      </c>
    </row>
    <row r="161" customFormat="false" ht="15" hidden="false" customHeight="false" outlineLevel="0" collapsed="false">
      <c r="B161" s="55" t="s">
        <v>139</v>
      </c>
      <c r="C161" s="56"/>
      <c r="D161" s="56"/>
      <c r="E161" s="56"/>
      <c r="F161" s="56"/>
      <c r="G161" s="57" t="n">
        <f aca="false">SUM($G$140:$G$160)</f>
        <v>880</v>
      </c>
      <c r="H161" s="57" t="n">
        <f aca="false">SUM($H$140:$H$160)</f>
        <v>569.09</v>
      </c>
      <c r="I161" s="58" t="n">
        <f aca="false">$I$138+$G$161-$H$161</f>
        <v>1885.47</v>
      </c>
      <c r="J161" s="59" t="str">
        <f aca="false">IF($I$161&lt;0,"SHORTFALL",IF($I$161&lt;$E$7,"TIGHT","OK"))</f>
        <v>OK</v>
      </c>
      <c r="K161" s="60" t="str">
        <f aca="false">IF(COUNT($I$140:$I$160)=0,"","Lowest point this week: "&amp;TEXT(MIN($I$140:$I$160),"$#,##0.00;-$#,##0.00")&amp;" on "&amp;TEXT(INDEX($C$140:$C$160,MATCH(MIN($I$140:$I$160),$I$140:$I$160,0)),"ddd mmm d")&amp;"     (in "&amp;TEXT($G$161,"$#,##0.00")&amp;", out "&amp;TEXT($H$161,"$#,##0.00")&amp;")")</f>
        <v>Lowest point this week: $1,885.47 on Wed Sep 16     (in $880.00, out $569.09)</v>
      </c>
    </row>
    <row r="163" customFormat="false" ht="21.75" hidden="false" customHeight="true" outlineLevel="0" collapsed="false">
      <c r="B163" s="31" t="str">
        <f aca="false">"WEEK 7     "&amp;TEXT($E$6+42,"ddd, mmm d")&amp;"   through   "&amp;TEXT($E$6+42+6,"ddd, mmm d, yyyy")</f>
        <v>WEEK 7     Fri, Sep 18   through   Thu, Sep 24, 2026</v>
      </c>
      <c r="C163" s="32"/>
      <c r="D163" s="32"/>
      <c r="E163" s="32"/>
      <c r="F163" s="32"/>
      <c r="G163" s="33" t="s">
        <v>120</v>
      </c>
      <c r="H163" s="32"/>
      <c r="I163" s="34" t="n">
        <f aca="false">$I$161</f>
        <v>1885.47</v>
      </c>
      <c r="J163" s="32"/>
      <c r="K163" s="28" t="str">
        <f aca="false">IF(COUNTIF(Schedule!$I$4:$I$483,7)&gt;10,"! "&amp;COUNTIF(Schedule!$I$4:$I$483,7)-10&amp;" more transaction(s) fall in this week than there are rows to show them.","")</f>
        <v/>
      </c>
    </row>
    <row r="164" customFormat="false" ht="25.5" hidden="false" customHeight="true" outlineLevel="0" collapsed="false">
      <c r="B164" s="35" t="s">
        <v>121</v>
      </c>
      <c r="C164" s="35" t="s">
        <v>122</v>
      </c>
      <c r="D164" s="35" t="s">
        <v>72</v>
      </c>
      <c r="E164" s="35" t="s">
        <v>123</v>
      </c>
      <c r="F164" s="35" t="s">
        <v>124</v>
      </c>
      <c r="G164" s="36" t="s">
        <v>18</v>
      </c>
      <c r="H164" s="37" t="s">
        <v>20</v>
      </c>
      <c r="I164" s="35" t="s">
        <v>125</v>
      </c>
      <c r="J164" s="35" t="s">
        <v>126</v>
      </c>
    </row>
    <row r="165" customFormat="false" ht="15" hidden="false" customHeight="false" outlineLevel="0" collapsed="false">
      <c r="B165" s="38" t="str">
        <f aca="false">IFERROR(INDEX(Schedule!$C$4:$C$483,MATCH(7001,Schedule!$K$4:$K$483,0)),"")</f>
        <v>Compunnel Software (paycheck)</v>
      </c>
      <c r="C165" s="39" t="n">
        <f aca="false">IF($B165="","",INDEX(Schedule!$G$4:$G$483,MATCH(7001,Schedule!$K$4:$K$483,0)))</f>
        <v>46283</v>
      </c>
      <c r="D165" s="40" t="str">
        <f aca="false">IF($B165="","",INDEX(Schedule!$D$4:$D$483,MATCH(7001,Schedule!$K$4:$K$483,0)))</f>
        <v>Income</v>
      </c>
      <c r="E165" s="41" t="n">
        <f aca="false">IF($B165="","",INDEX(Schedule!$E$4:$E$483,MATCH(7001,Schedule!$K$4:$K$483,0)))</f>
        <v>790</v>
      </c>
      <c r="F165" s="42"/>
      <c r="G165" s="43" t="n">
        <f aca="false">IF($B165="","",IF($D165="Income",IF($F165&lt;&gt;"",$F165,$E165),""))</f>
        <v>790</v>
      </c>
      <c r="H165" s="44" t="str">
        <f aca="false">IF($B165="","",IF($D165="Income","",IF($F165&lt;&gt;"",$F165,$E165)))</f>
        <v/>
      </c>
      <c r="I165" s="45" t="n">
        <f aca="false">IF($B165="","",$I$163+SUMIFS($G$165:$G$185,$M$165:$M$185,"&lt;="&amp;$M165)-SUMIFS($H$165:$H$185,$M$165:$M$185,"&lt;="&amp;$M165))</f>
        <v>2675.47</v>
      </c>
      <c r="J165" s="46" t="str">
        <f aca="true">IF($B165="","",IF($F165&lt;&gt;"",IF($C165&gt;TODAY(),"ADJUSTED","PAID"),IF($C165&lt;TODAY(),"PAST DUE",IF($C165&lt;=TODAY()+7,"DUE","Upcoming"))))</f>
        <v>Upcoming</v>
      </c>
      <c r="L165" s="47" t="n">
        <f aca="false">IF($B165="","",$C165)</f>
        <v>46283</v>
      </c>
      <c r="M165" s="48" t="n">
        <f aca="false">IF($L165="","",COUNTIFS($L$165:$L$185,"&lt;"&amp;$L165)+COUNTIFS($L$165:$L165,$L165))</f>
        <v>1</v>
      </c>
    </row>
    <row r="166" customFormat="false" ht="15" hidden="false" customHeight="false" outlineLevel="0" collapsed="false">
      <c r="B166" s="38" t="str">
        <f aca="false">IFERROR(INDEX(Schedule!$C$4:$C$483,MATCH(7002,Schedule!$K$4:$K$483,0)),"")</f>
        <v>Metal Copy</v>
      </c>
      <c r="C166" s="39" t="n">
        <f aca="false">IF($B166="","",INDEX(Schedule!$G$4:$G$483,MATCH(7002,Schedule!$K$4:$K$483,0)))</f>
        <v>46283</v>
      </c>
      <c r="D166" s="40" t="str">
        <f aca="false">IF($B166="","",INDEX(Schedule!$D$4:$D$483,MATCH(7002,Schedule!$K$4:$K$483,0)))</f>
        <v>Expense</v>
      </c>
      <c r="E166" s="41" t="n">
        <f aca="false">IF($B166="","",INDEX(Schedule!$E$4:$E$483,MATCH(7002,Schedule!$K$4:$K$483,0)))</f>
        <v>16.99</v>
      </c>
      <c r="F166" s="42"/>
      <c r="G166" s="43" t="str">
        <f aca="false">IF($B166="","",IF($D166="Income",IF($F166&lt;&gt;"",$F166,$E166),""))</f>
        <v/>
      </c>
      <c r="H166" s="44" t="n">
        <f aca="false">IF($B166="","",IF($D166="Income","",IF($F166&lt;&gt;"",$F166,$E166)))</f>
        <v>16.99</v>
      </c>
      <c r="I166" s="45" t="n">
        <f aca="false">IF($B166="","",$I$163+SUMIFS($G$165:$G$185,$M$165:$M$185,"&lt;="&amp;$M166)-SUMIFS($H$165:$H$185,$M$165:$M$185,"&lt;="&amp;$M166))</f>
        <v>2658.48</v>
      </c>
      <c r="J166" s="46" t="str">
        <f aca="true">IF($B166="","",IF($F166&lt;&gt;"",IF($C166&gt;TODAY(),"ADJUSTED","PAID"),IF($C166&lt;TODAY(),"PAST DUE",IF($C166&lt;=TODAY()+7,"DUE","Upcoming"))))</f>
        <v>Upcoming</v>
      </c>
      <c r="L166" s="47" t="n">
        <f aca="false">IF($B166="","",$C166)</f>
        <v>46283</v>
      </c>
      <c r="M166" s="48" t="n">
        <f aca="false">IF($L166="","",COUNTIFS($L$165:$L$185,"&lt;"&amp;$L166)+COUNTIFS($L$165:$L166,$L166))</f>
        <v>2</v>
      </c>
    </row>
    <row r="167" customFormat="false" ht="15" hidden="false" customHeight="false" outlineLevel="0" collapsed="false">
      <c r="B167" s="38" t="str">
        <f aca="false">IFERROR(INDEX(Schedule!$C$4:$C$483,MATCH(7003,Schedule!$K$4:$K$483,0)),"")</f>
        <v>Bruno's Restaurant (paycheck)</v>
      </c>
      <c r="C167" s="39" t="n">
        <f aca="false">IF($B167="","",INDEX(Schedule!$G$4:$G$483,MATCH(7003,Schedule!$K$4:$K$483,0)))</f>
        <v>46288</v>
      </c>
      <c r="D167" s="40" t="str">
        <f aca="false">IF($B167="","",INDEX(Schedule!$D$4:$D$483,MATCH(7003,Schedule!$K$4:$K$483,0)))</f>
        <v>Income</v>
      </c>
      <c r="E167" s="41" t="n">
        <f aca="false">IF($B167="","",INDEX(Schedule!$E$4:$E$483,MATCH(7003,Schedule!$K$4:$K$483,0)))</f>
        <v>90</v>
      </c>
      <c r="F167" s="42"/>
      <c r="G167" s="43" t="n">
        <f aca="false">IF($B167="","",IF($D167="Income",IF($F167&lt;&gt;"",$F167,$E167),""))</f>
        <v>90</v>
      </c>
      <c r="H167" s="44" t="str">
        <f aca="false">IF($B167="","",IF($D167="Income","",IF($F167&lt;&gt;"",$F167,$E167)))</f>
        <v/>
      </c>
      <c r="I167" s="45" t="n">
        <f aca="false">IF($B167="","",$I$163+SUMIFS($G$165:$G$185,$M$165:$M$185,"&lt;="&amp;$M167)-SUMIFS($H$165:$H$185,$M$165:$M$185,"&lt;="&amp;$M167))</f>
        <v>2748.48</v>
      </c>
      <c r="J167" s="46" t="str">
        <f aca="true">IF($B167="","",IF($F167&lt;&gt;"",IF($C167&gt;TODAY(),"ADJUSTED","PAID"),IF($C167&lt;TODAY(),"PAST DUE",IF($C167&lt;=TODAY()+7,"DUE","Upcoming"))))</f>
        <v>Upcoming</v>
      </c>
      <c r="L167" s="47" t="n">
        <f aca="false">IF($B167="","",$C167)</f>
        <v>46288</v>
      </c>
      <c r="M167" s="48" t="n">
        <f aca="false">IF($L167="","",COUNTIFS($L$165:$L$185,"&lt;"&amp;$L167)+COUNTIFS($L$165:$L167,$L167))</f>
        <v>3</v>
      </c>
    </row>
    <row r="168" customFormat="false" ht="15" hidden="false" customHeight="false" outlineLevel="0" collapsed="false">
      <c r="B168" s="38" t="str">
        <f aca="false">IFERROR(INDEX(Schedule!$C$4:$C$483,MATCH(7004,Schedule!$K$4:$K$483,0)),"")</f>
        <v/>
      </c>
      <c r="C168" s="39" t="str">
        <f aca="false">IF($B168="","",INDEX(Schedule!$G$4:$G$483,MATCH(7004,Schedule!$K$4:$K$483,0)))</f>
        <v/>
      </c>
      <c r="D168" s="40" t="str">
        <f aca="false">IF($B168="","",INDEX(Schedule!$D$4:$D$483,MATCH(7004,Schedule!$K$4:$K$483,0)))</f>
        <v/>
      </c>
      <c r="E168" s="41" t="str">
        <f aca="false">IF($B168="","",INDEX(Schedule!$E$4:$E$483,MATCH(7004,Schedule!$K$4:$K$483,0)))</f>
        <v/>
      </c>
      <c r="F168" s="42"/>
      <c r="G168" s="43" t="str">
        <f aca="false">IF($B168="","",IF($D168="Income",IF($F168&lt;&gt;"",$F168,$E168),""))</f>
        <v/>
      </c>
      <c r="H168" s="44" t="str">
        <f aca="false">IF($B168="","",IF($D168="Income","",IF($F168&lt;&gt;"",$F168,$E168)))</f>
        <v/>
      </c>
      <c r="I168" s="45" t="str">
        <f aca="false">IF($B168="","",$I$163+SUMIFS($G$165:$G$185,$M$165:$M$185,"&lt;="&amp;$M168)-SUMIFS($H$165:$H$185,$M$165:$M$185,"&lt;="&amp;$M168))</f>
        <v/>
      </c>
      <c r="J168" s="46" t="str">
        <f aca="true">IF($B168="","",IF($F168&lt;&gt;"",IF($C168&gt;TODAY(),"ADJUSTED","PAID"),IF($C168&lt;TODAY(),"PAST DUE",IF($C168&lt;=TODAY()+7,"DUE","Upcoming"))))</f>
        <v/>
      </c>
      <c r="L168" s="0" t="str">
        <f aca="false">IF($B168="","",$C168)</f>
        <v/>
      </c>
      <c r="M168" s="0" t="str">
        <f aca="false">IF($L168="","",COUNTIFS($L$165:$L$185,"&lt;"&amp;$L168)+COUNTIFS($L$165:$L168,$L168))</f>
        <v/>
      </c>
    </row>
    <row r="169" customFormat="false" ht="15" hidden="false" customHeight="false" outlineLevel="0" collapsed="false">
      <c r="B169" s="38" t="str">
        <f aca="false">IFERROR(INDEX(Schedule!$C$4:$C$483,MATCH(7005,Schedule!$K$4:$K$483,0)),"")</f>
        <v/>
      </c>
      <c r="C169" s="39" t="str">
        <f aca="false">IF($B169="","",INDEX(Schedule!$G$4:$G$483,MATCH(7005,Schedule!$K$4:$K$483,0)))</f>
        <v/>
      </c>
      <c r="D169" s="40" t="str">
        <f aca="false">IF($B169="","",INDEX(Schedule!$D$4:$D$483,MATCH(7005,Schedule!$K$4:$K$483,0)))</f>
        <v/>
      </c>
      <c r="E169" s="41" t="str">
        <f aca="false">IF($B169="","",INDEX(Schedule!$E$4:$E$483,MATCH(7005,Schedule!$K$4:$K$483,0)))</f>
        <v/>
      </c>
      <c r="F169" s="42"/>
      <c r="G169" s="43" t="str">
        <f aca="false">IF($B169="","",IF($D169="Income",IF($F169&lt;&gt;"",$F169,$E169),""))</f>
        <v/>
      </c>
      <c r="H169" s="44" t="str">
        <f aca="false">IF($B169="","",IF($D169="Income","",IF($F169&lt;&gt;"",$F169,$E169)))</f>
        <v/>
      </c>
      <c r="I169" s="45" t="str">
        <f aca="false">IF($B169="","",$I$163+SUMIFS($G$165:$G$185,$M$165:$M$185,"&lt;="&amp;$M169)-SUMIFS($H$165:$H$185,$M$165:$M$185,"&lt;="&amp;$M169))</f>
        <v/>
      </c>
      <c r="J169" s="46" t="str">
        <f aca="true">IF($B169="","",IF($F169&lt;&gt;"",IF($C169&gt;TODAY(),"ADJUSTED","PAID"),IF($C169&lt;TODAY(),"PAST DUE",IF($C169&lt;=TODAY()+7,"DUE","Upcoming"))))</f>
        <v/>
      </c>
      <c r="L169" s="0" t="str">
        <f aca="false">IF($B169="","",$C169)</f>
        <v/>
      </c>
      <c r="M169" s="0" t="str">
        <f aca="false">IF($L169="","",COUNTIFS($L$165:$L$185,"&lt;"&amp;$L169)+COUNTIFS($L$165:$L169,$L169))</f>
        <v/>
      </c>
    </row>
    <row r="170" customFormat="false" ht="15" hidden="false" customHeight="false" outlineLevel="0" collapsed="false">
      <c r="B170" s="38" t="str">
        <f aca="false">IFERROR(INDEX(Schedule!$C$4:$C$483,MATCH(7006,Schedule!$K$4:$K$483,0)),"")</f>
        <v/>
      </c>
      <c r="C170" s="39" t="str">
        <f aca="false">IF($B170="","",INDEX(Schedule!$G$4:$G$483,MATCH(7006,Schedule!$K$4:$K$483,0)))</f>
        <v/>
      </c>
      <c r="D170" s="40" t="str">
        <f aca="false">IF($B170="","",INDEX(Schedule!$D$4:$D$483,MATCH(7006,Schedule!$K$4:$K$483,0)))</f>
        <v/>
      </c>
      <c r="E170" s="41" t="str">
        <f aca="false">IF($B170="","",INDEX(Schedule!$E$4:$E$483,MATCH(7006,Schedule!$K$4:$K$483,0)))</f>
        <v/>
      </c>
      <c r="F170" s="42"/>
      <c r="G170" s="43" t="str">
        <f aca="false">IF($B170="","",IF($D170="Income",IF($F170&lt;&gt;"",$F170,$E170),""))</f>
        <v/>
      </c>
      <c r="H170" s="44" t="str">
        <f aca="false">IF($B170="","",IF($D170="Income","",IF($F170&lt;&gt;"",$F170,$E170)))</f>
        <v/>
      </c>
      <c r="I170" s="45" t="str">
        <f aca="false">IF($B170="","",$I$163+SUMIFS($G$165:$G$185,$M$165:$M$185,"&lt;="&amp;$M170)-SUMIFS($H$165:$H$185,$M$165:$M$185,"&lt;="&amp;$M170))</f>
        <v/>
      </c>
      <c r="J170" s="46" t="str">
        <f aca="true">IF($B170="","",IF($F170&lt;&gt;"",IF($C170&gt;TODAY(),"ADJUSTED","PAID"),IF($C170&lt;TODAY(),"PAST DUE",IF($C170&lt;=TODAY()+7,"DUE","Upcoming"))))</f>
        <v/>
      </c>
      <c r="L170" s="0" t="str">
        <f aca="false">IF($B170="","",$C170)</f>
        <v/>
      </c>
      <c r="M170" s="0" t="str">
        <f aca="false">IF($L170="","",COUNTIFS($L$165:$L$185,"&lt;"&amp;$L170)+COUNTIFS($L$165:$L170,$L170))</f>
        <v/>
      </c>
    </row>
    <row r="171" customFormat="false" ht="15" hidden="false" customHeight="false" outlineLevel="0" collapsed="false">
      <c r="B171" s="38" t="str">
        <f aca="false">IFERROR(INDEX(Schedule!$C$4:$C$483,MATCH(7007,Schedule!$K$4:$K$483,0)),"")</f>
        <v/>
      </c>
      <c r="C171" s="39" t="str">
        <f aca="false">IF($B171="","",INDEX(Schedule!$G$4:$G$483,MATCH(7007,Schedule!$K$4:$K$483,0)))</f>
        <v/>
      </c>
      <c r="D171" s="40" t="str">
        <f aca="false">IF($B171="","",INDEX(Schedule!$D$4:$D$483,MATCH(7007,Schedule!$K$4:$K$483,0)))</f>
        <v/>
      </c>
      <c r="E171" s="41" t="str">
        <f aca="false">IF($B171="","",INDEX(Schedule!$E$4:$E$483,MATCH(7007,Schedule!$K$4:$K$483,0)))</f>
        <v/>
      </c>
      <c r="F171" s="42"/>
      <c r="G171" s="43" t="str">
        <f aca="false">IF($B171="","",IF($D171="Income",IF($F171&lt;&gt;"",$F171,$E171),""))</f>
        <v/>
      </c>
      <c r="H171" s="44" t="str">
        <f aca="false">IF($B171="","",IF($D171="Income","",IF($F171&lt;&gt;"",$F171,$E171)))</f>
        <v/>
      </c>
      <c r="I171" s="45" t="str">
        <f aca="false">IF($B171="","",$I$163+SUMIFS($G$165:$G$185,$M$165:$M$185,"&lt;="&amp;$M171)-SUMIFS($H$165:$H$185,$M$165:$M$185,"&lt;="&amp;$M171))</f>
        <v/>
      </c>
      <c r="J171" s="46" t="str">
        <f aca="true">IF($B171="","",IF($F171&lt;&gt;"",IF($C171&gt;TODAY(),"ADJUSTED","PAID"),IF($C171&lt;TODAY(),"PAST DUE",IF($C171&lt;=TODAY()+7,"DUE","Upcoming"))))</f>
        <v/>
      </c>
      <c r="L171" s="0" t="str">
        <f aca="false">IF($B171="","",$C171)</f>
        <v/>
      </c>
      <c r="M171" s="0" t="str">
        <f aca="false">IF($L171="","",COUNTIFS($L$165:$L$185,"&lt;"&amp;$L171)+COUNTIFS($L$165:$L171,$L171))</f>
        <v/>
      </c>
    </row>
    <row r="172" customFormat="false" ht="15" hidden="false" customHeight="false" outlineLevel="0" collapsed="false">
      <c r="B172" s="38" t="str">
        <f aca="false">IFERROR(INDEX(Schedule!$C$4:$C$483,MATCH(7008,Schedule!$K$4:$K$483,0)),"")</f>
        <v/>
      </c>
      <c r="C172" s="39" t="str">
        <f aca="false">IF($B172="","",INDEX(Schedule!$G$4:$G$483,MATCH(7008,Schedule!$K$4:$K$483,0)))</f>
        <v/>
      </c>
      <c r="D172" s="40" t="str">
        <f aca="false">IF($B172="","",INDEX(Schedule!$D$4:$D$483,MATCH(7008,Schedule!$K$4:$K$483,0)))</f>
        <v/>
      </c>
      <c r="E172" s="41" t="str">
        <f aca="false">IF($B172="","",INDEX(Schedule!$E$4:$E$483,MATCH(7008,Schedule!$K$4:$K$483,0)))</f>
        <v/>
      </c>
      <c r="F172" s="42"/>
      <c r="G172" s="43" t="str">
        <f aca="false">IF($B172="","",IF($D172="Income",IF($F172&lt;&gt;"",$F172,$E172),""))</f>
        <v/>
      </c>
      <c r="H172" s="44" t="str">
        <f aca="false">IF($B172="","",IF($D172="Income","",IF($F172&lt;&gt;"",$F172,$E172)))</f>
        <v/>
      </c>
      <c r="I172" s="45" t="str">
        <f aca="false">IF($B172="","",$I$163+SUMIFS($G$165:$G$185,$M$165:$M$185,"&lt;="&amp;$M172)-SUMIFS($H$165:$H$185,$M$165:$M$185,"&lt;="&amp;$M172))</f>
        <v/>
      </c>
      <c r="J172" s="46" t="str">
        <f aca="true">IF($B172="","",IF($F172&lt;&gt;"",IF($C172&gt;TODAY(),"ADJUSTED","PAID"),IF($C172&lt;TODAY(),"PAST DUE",IF($C172&lt;=TODAY()+7,"DUE","Upcoming"))))</f>
        <v/>
      </c>
      <c r="L172" s="0" t="str">
        <f aca="false">IF($B172="","",$C172)</f>
        <v/>
      </c>
      <c r="M172" s="0" t="str">
        <f aca="false">IF($L172="","",COUNTIFS($L$165:$L$185,"&lt;"&amp;$L172)+COUNTIFS($L$165:$L172,$L172))</f>
        <v/>
      </c>
    </row>
    <row r="173" customFormat="false" ht="15" hidden="false" customHeight="false" outlineLevel="0" collapsed="false">
      <c r="B173" s="38" t="str">
        <f aca="false">IFERROR(INDEX(Schedule!$C$4:$C$483,MATCH(7009,Schedule!$K$4:$K$483,0)),"")</f>
        <v/>
      </c>
      <c r="C173" s="39" t="str">
        <f aca="false">IF($B173="","",INDEX(Schedule!$G$4:$G$483,MATCH(7009,Schedule!$K$4:$K$483,0)))</f>
        <v/>
      </c>
      <c r="D173" s="40" t="str">
        <f aca="false">IF($B173="","",INDEX(Schedule!$D$4:$D$483,MATCH(7009,Schedule!$K$4:$K$483,0)))</f>
        <v/>
      </c>
      <c r="E173" s="41" t="str">
        <f aca="false">IF($B173="","",INDEX(Schedule!$E$4:$E$483,MATCH(7009,Schedule!$K$4:$K$483,0)))</f>
        <v/>
      </c>
      <c r="F173" s="42"/>
      <c r="G173" s="43" t="str">
        <f aca="false">IF($B173="","",IF($D173="Income",IF($F173&lt;&gt;"",$F173,$E173),""))</f>
        <v/>
      </c>
      <c r="H173" s="44" t="str">
        <f aca="false">IF($B173="","",IF($D173="Income","",IF($F173&lt;&gt;"",$F173,$E173)))</f>
        <v/>
      </c>
      <c r="I173" s="45" t="str">
        <f aca="false">IF($B173="","",$I$163+SUMIFS($G$165:$G$185,$M$165:$M$185,"&lt;="&amp;$M173)-SUMIFS($H$165:$H$185,$M$165:$M$185,"&lt;="&amp;$M173))</f>
        <v/>
      </c>
      <c r="J173" s="46" t="str">
        <f aca="true">IF($B173="","",IF($F173&lt;&gt;"",IF($C173&gt;TODAY(),"ADJUSTED","PAID"),IF($C173&lt;TODAY(),"PAST DUE",IF($C173&lt;=TODAY()+7,"DUE","Upcoming"))))</f>
        <v/>
      </c>
      <c r="L173" s="0" t="str">
        <f aca="false">IF($B173="","",$C173)</f>
        <v/>
      </c>
      <c r="M173" s="0" t="str">
        <f aca="false">IF($L173="","",COUNTIFS($L$165:$L$185,"&lt;"&amp;$L173)+COUNTIFS($L$165:$L173,$L173))</f>
        <v/>
      </c>
    </row>
    <row r="174" customFormat="false" ht="15" hidden="false" customHeight="false" outlineLevel="0" collapsed="false">
      <c r="B174" s="38" t="str">
        <f aca="false">IFERROR(INDEX(Schedule!$C$4:$C$483,MATCH(7010,Schedule!$K$4:$K$483,0)),"")</f>
        <v/>
      </c>
      <c r="C174" s="39" t="str">
        <f aca="false">IF($B174="","",INDEX(Schedule!$G$4:$G$483,MATCH(7010,Schedule!$K$4:$K$483,0)))</f>
        <v/>
      </c>
      <c r="D174" s="40" t="str">
        <f aca="false">IF($B174="","",INDEX(Schedule!$D$4:$D$483,MATCH(7010,Schedule!$K$4:$K$483,0)))</f>
        <v/>
      </c>
      <c r="E174" s="41" t="str">
        <f aca="false">IF($B174="","",INDEX(Schedule!$E$4:$E$483,MATCH(7010,Schedule!$K$4:$K$483,0)))</f>
        <v/>
      </c>
      <c r="F174" s="42"/>
      <c r="G174" s="43" t="str">
        <f aca="false">IF($B174="","",IF($D174="Income",IF($F174&lt;&gt;"",$F174,$E174),""))</f>
        <v/>
      </c>
      <c r="H174" s="44" t="str">
        <f aca="false">IF($B174="","",IF($D174="Income","",IF($F174&lt;&gt;"",$F174,$E174)))</f>
        <v/>
      </c>
      <c r="I174" s="45" t="str">
        <f aca="false">IF($B174="","",$I$163+SUMIFS($G$165:$G$185,$M$165:$M$185,"&lt;="&amp;$M174)-SUMIFS($H$165:$H$185,$M$165:$M$185,"&lt;="&amp;$M174))</f>
        <v/>
      </c>
      <c r="J174" s="46" t="str">
        <f aca="true">IF($B174="","",IF($F174&lt;&gt;"",IF($C174&gt;TODAY(),"ADJUSTED","PAID"),IF($C174&lt;TODAY(),"PAST DUE",IF($C174&lt;=TODAY()+7,"DUE","Upcoming"))))</f>
        <v/>
      </c>
      <c r="L174" s="0" t="str">
        <f aca="false">IF($B174="","",$C174)</f>
        <v/>
      </c>
      <c r="M174" s="0" t="str">
        <f aca="false">IF($L174="","",COUNTIFS($L$165:$L$185,"&lt;"&amp;$L174)+COUNTIFS($L$165:$L174,$L174))</f>
        <v/>
      </c>
    </row>
    <row r="175" customFormat="false" ht="15" hidden="false" customHeight="false" outlineLevel="0" collapsed="false">
      <c r="B175" s="49" t="s">
        <v>127</v>
      </c>
      <c r="C175" s="50"/>
      <c r="D175" s="50"/>
      <c r="E175" s="50"/>
      <c r="F175" s="50"/>
      <c r="G175" s="50"/>
      <c r="H175" s="50"/>
      <c r="I175" s="50"/>
      <c r="J175" s="50"/>
    </row>
    <row r="176" customFormat="false" ht="15" hidden="false" customHeight="false" outlineLevel="0" collapsed="false">
      <c r="B176" s="6"/>
      <c r="C176" s="51"/>
      <c r="D176" s="52" t="str">
        <f aca="false">IF($B176="","","Expense")</f>
        <v/>
      </c>
      <c r="E176" s="18"/>
      <c r="F176" s="10"/>
      <c r="G176" s="10"/>
      <c r="H176" s="53" t="str">
        <f aca="false">IF($B176="","",N($E176))</f>
        <v/>
      </c>
      <c r="I176" s="54" t="str">
        <f aca="false">IF($B176="","",$I$163+SUMIFS($G$165:$G$185,$M$165:$M$185,"&lt;="&amp;$M176)-SUMIFS($H$165:$H$185,$M$165:$M$185,"&lt;="&amp;$M176))</f>
        <v/>
      </c>
      <c r="J176" s="10"/>
      <c r="L176" s="0" t="str">
        <f aca="false">IF($B176="","",IF($C176="",$E$6+48,$C176))</f>
        <v/>
      </c>
      <c r="M176" s="0" t="str">
        <f aca="false">IF($L176="","",COUNTIFS($L$165:$L$185,"&lt;"&amp;$L176)+COUNTIFS($L$165:$L176,$L176))</f>
        <v/>
      </c>
    </row>
    <row r="177" customFormat="false" ht="15" hidden="false" customHeight="false" outlineLevel="0" collapsed="false">
      <c r="B177" s="6"/>
      <c r="C177" s="51"/>
      <c r="D177" s="52" t="str">
        <f aca="false">IF($B177="","","Expense")</f>
        <v/>
      </c>
      <c r="E177" s="18"/>
      <c r="F177" s="10"/>
      <c r="G177" s="10"/>
      <c r="H177" s="53" t="str">
        <f aca="false">IF($B177="","",N($E177))</f>
        <v/>
      </c>
      <c r="I177" s="54" t="str">
        <f aca="false">IF($B177="","",$I$163+SUMIFS($G$165:$G$185,$M$165:$M$185,"&lt;="&amp;$M177)-SUMIFS($H$165:$H$185,$M$165:$M$185,"&lt;="&amp;$M177))</f>
        <v/>
      </c>
      <c r="J177" s="10"/>
      <c r="L177" s="0" t="str">
        <f aca="false">IF($B177="","",IF($C177="",$E$6+48,$C177))</f>
        <v/>
      </c>
      <c r="M177" s="0" t="str">
        <f aca="false">IF($L177="","",COUNTIFS($L$165:$L$185,"&lt;"&amp;$L177)+COUNTIFS($L$165:$L177,$L177))</f>
        <v/>
      </c>
    </row>
    <row r="178" customFormat="false" ht="15" hidden="false" customHeight="false" outlineLevel="0" collapsed="false">
      <c r="B178" s="6"/>
      <c r="C178" s="51"/>
      <c r="D178" s="52" t="str">
        <f aca="false">IF($B178="","","Expense")</f>
        <v/>
      </c>
      <c r="E178" s="18"/>
      <c r="F178" s="10"/>
      <c r="G178" s="10"/>
      <c r="H178" s="53" t="str">
        <f aca="false">IF($B178="","",N($E178))</f>
        <v/>
      </c>
      <c r="I178" s="54" t="str">
        <f aca="false">IF($B178="","",$I$163+SUMIFS($G$165:$G$185,$M$165:$M$185,"&lt;="&amp;$M178)-SUMIFS($H$165:$H$185,$M$165:$M$185,"&lt;="&amp;$M178))</f>
        <v/>
      </c>
      <c r="J178" s="10"/>
      <c r="L178" s="0" t="str">
        <f aca="false">IF($B178="","",IF($C178="",$E$6+48,$C178))</f>
        <v/>
      </c>
      <c r="M178" s="0" t="str">
        <f aca="false">IF($L178="","",COUNTIFS($L$165:$L$185,"&lt;"&amp;$L178)+COUNTIFS($L$165:$L178,$L178))</f>
        <v/>
      </c>
    </row>
    <row r="179" customFormat="false" ht="15" hidden="false" customHeight="false" outlineLevel="0" collapsed="false">
      <c r="B179" s="6"/>
      <c r="C179" s="51"/>
      <c r="D179" s="52" t="str">
        <f aca="false">IF($B179="","","Expense")</f>
        <v/>
      </c>
      <c r="E179" s="18"/>
      <c r="F179" s="10"/>
      <c r="G179" s="10"/>
      <c r="H179" s="53" t="str">
        <f aca="false">IF($B179="","",N($E179))</f>
        <v/>
      </c>
      <c r="I179" s="54" t="str">
        <f aca="false">IF($B179="","",$I$163+SUMIFS($G$165:$G$185,$M$165:$M$185,"&lt;="&amp;$M179)-SUMIFS($H$165:$H$185,$M$165:$M$185,"&lt;="&amp;$M179))</f>
        <v/>
      </c>
      <c r="J179" s="10"/>
      <c r="L179" s="0" t="str">
        <f aca="false">IF($B179="","",IF($C179="",$E$6+48,$C179))</f>
        <v/>
      </c>
      <c r="M179" s="0" t="str">
        <f aca="false">IF($L179="","",COUNTIFS($L$165:$L$185,"&lt;"&amp;$L179)+COUNTIFS($L$165:$L179,$L179))</f>
        <v/>
      </c>
    </row>
    <row r="180" customFormat="false" ht="15" hidden="false" customHeight="false" outlineLevel="0" collapsed="false">
      <c r="B180" s="6"/>
      <c r="C180" s="51"/>
      <c r="D180" s="52" t="str">
        <f aca="false">IF($B180="","","Expense")</f>
        <v/>
      </c>
      <c r="E180" s="18"/>
      <c r="F180" s="10"/>
      <c r="G180" s="10"/>
      <c r="H180" s="53" t="str">
        <f aca="false">IF($B180="","",N($E180))</f>
        <v/>
      </c>
      <c r="I180" s="54" t="str">
        <f aca="false">IF($B180="","",$I$163+SUMIFS($G$165:$G$185,$M$165:$M$185,"&lt;="&amp;$M180)-SUMIFS($H$165:$H$185,$M$165:$M$185,"&lt;="&amp;$M180))</f>
        <v/>
      </c>
      <c r="J180" s="10"/>
      <c r="L180" s="0" t="str">
        <f aca="false">IF($B180="","",IF($C180="",$E$6+48,$C180))</f>
        <v/>
      </c>
      <c r="M180" s="0" t="str">
        <f aca="false">IF($L180="","",COUNTIFS($L$165:$L$185,"&lt;"&amp;$L180)+COUNTIFS($L$165:$L180,$L180))</f>
        <v/>
      </c>
    </row>
    <row r="181" customFormat="false" ht="15" hidden="false" customHeight="false" outlineLevel="0" collapsed="false">
      <c r="B181" s="6"/>
      <c r="C181" s="51"/>
      <c r="D181" s="52" t="str">
        <f aca="false">IF($B181="","","Expense")</f>
        <v/>
      </c>
      <c r="E181" s="18"/>
      <c r="F181" s="10"/>
      <c r="G181" s="10"/>
      <c r="H181" s="53" t="str">
        <f aca="false">IF($B181="","",N($E181))</f>
        <v/>
      </c>
      <c r="I181" s="54" t="str">
        <f aca="false">IF($B181="","",$I$163+SUMIFS($G$165:$G$185,$M$165:$M$185,"&lt;="&amp;$M181)-SUMIFS($H$165:$H$185,$M$165:$M$185,"&lt;="&amp;$M181))</f>
        <v/>
      </c>
      <c r="J181" s="10"/>
      <c r="L181" s="0" t="str">
        <f aca="false">IF($B181="","",IF($C181="",$E$6+48,$C181))</f>
        <v/>
      </c>
      <c r="M181" s="0" t="str">
        <f aca="false">IF($L181="","",COUNTIFS($L$165:$L$185,"&lt;"&amp;$L181)+COUNTIFS($L$165:$L181,$L181))</f>
        <v/>
      </c>
    </row>
    <row r="182" customFormat="false" ht="15" hidden="false" customHeight="false" outlineLevel="0" collapsed="false">
      <c r="B182" s="6"/>
      <c r="C182" s="51"/>
      <c r="D182" s="52" t="str">
        <f aca="false">IF($B182="","","Expense")</f>
        <v/>
      </c>
      <c r="E182" s="18"/>
      <c r="F182" s="10"/>
      <c r="G182" s="10"/>
      <c r="H182" s="53" t="str">
        <f aca="false">IF($B182="","",N($E182))</f>
        <v/>
      </c>
      <c r="I182" s="54" t="str">
        <f aca="false">IF($B182="","",$I$163+SUMIFS($G$165:$G$185,$M$165:$M$185,"&lt;="&amp;$M182)-SUMIFS($H$165:$H$185,$M$165:$M$185,"&lt;="&amp;$M182))</f>
        <v/>
      </c>
      <c r="J182" s="10"/>
      <c r="L182" s="0" t="str">
        <f aca="false">IF($B182="","",IF($C182="",$E$6+48,$C182))</f>
        <v/>
      </c>
      <c r="M182" s="0" t="str">
        <f aca="false">IF($L182="","",COUNTIFS($L$165:$L$185,"&lt;"&amp;$L182)+COUNTIFS($L$165:$L182,$L182))</f>
        <v/>
      </c>
    </row>
    <row r="183" customFormat="false" ht="15" hidden="false" customHeight="false" outlineLevel="0" collapsed="false">
      <c r="B183" s="6"/>
      <c r="C183" s="51"/>
      <c r="D183" s="52" t="str">
        <f aca="false">IF($B183="","","Expense")</f>
        <v/>
      </c>
      <c r="E183" s="18"/>
      <c r="F183" s="10"/>
      <c r="G183" s="10"/>
      <c r="H183" s="53" t="str">
        <f aca="false">IF($B183="","",N($E183))</f>
        <v/>
      </c>
      <c r="I183" s="54" t="str">
        <f aca="false">IF($B183="","",$I$163+SUMIFS($G$165:$G$185,$M$165:$M$185,"&lt;="&amp;$M183)-SUMIFS($H$165:$H$185,$M$165:$M$185,"&lt;="&amp;$M183))</f>
        <v/>
      </c>
      <c r="J183" s="10"/>
      <c r="L183" s="0" t="str">
        <f aca="false">IF($B183="","",IF($C183="",$E$6+48,$C183))</f>
        <v/>
      </c>
      <c r="M183" s="0" t="str">
        <f aca="false">IF($L183="","",COUNTIFS($L$165:$L$185,"&lt;"&amp;$L183)+COUNTIFS($L$165:$L183,$L183))</f>
        <v/>
      </c>
    </row>
    <row r="184" customFormat="false" ht="15" hidden="false" customHeight="false" outlineLevel="0" collapsed="false">
      <c r="B184" s="6"/>
      <c r="C184" s="51"/>
      <c r="D184" s="52" t="str">
        <f aca="false">IF($B184="","","Expense")</f>
        <v/>
      </c>
      <c r="E184" s="18"/>
      <c r="F184" s="10"/>
      <c r="G184" s="10"/>
      <c r="H184" s="53" t="str">
        <f aca="false">IF($B184="","",N($E184))</f>
        <v/>
      </c>
      <c r="I184" s="54" t="str">
        <f aca="false">IF($B184="","",$I$163+SUMIFS($G$165:$G$185,$M$165:$M$185,"&lt;="&amp;$M184)-SUMIFS($H$165:$H$185,$M$165:$M$185,"&lt;="&amp;$M184))</f>
        <v/>
      </c>
      <c r="J184" s="10"/>
      <c r="L184" s="0" t="str">
        <f aca="false">IF($B184="","",IF($C184="",$E$6+48,$C184))</f>
        <v/>
      </c>
      <c r="M184" s="0" t="str">
        <f aca="false">IF($L184="","",COUNTIFS($L$165:$L$185,"&lt;"&amp;$L184)+COUNTIFS($L$165:$L184,$L184))</f>
        <v/>
      </c>
    </row>
    <row r="185" customFormat="false" ht="15" hidden="false" customHeight="false" outlineLevel="0" collapsed="false">
      <c r="B185" s="6"/>
      <c r="C185" s="51"/>
      <c r="D185" s="52" t="str">
        <f aca="false">IF($B185="","","Expense")</f>
        <v/>
      </c>
      <c r="E185" s="18"/>
      <c r="F185" s="10"/>
      <c r="G185" s="10"/>
      <c r="H185" s="53" t="str">
        <f aca="false">IF($B185="","",N($E185))</f>
        <v/>
      </c>
      <c r="I185" s="54" t="str">
        <f aca="false">IF($B185="","",$I$163+SUMIFS($G$165:$G$185,$M$165:$M$185,"&lt;="&amp;$M185)-SUMIFS($H$165:$H$185,$M$165:$M$185,"&lt;="&amp;$M185))</f>
        <v/>
      </c>
      <c r="J185" s="10"/>
      <c r="L185" s="0" t="str">
        <f aca="false">IF($B185="","",IF($C185="",$E$6+48,$C185))</f>
        <v/>
      </c>
      <c r="M185" s="0" t="str">
        <f aca="false">IF($L185="","",COUNTIFS($L$165:$L$185,"&lt;"&amp;$L185)+COUNTIFS($L$165:$L185,$L185))</f>
        <v/>
      </c>
    </row>
    <row r="186" customFormat="false" ht="15" hidden="false" customHeight="false" outlineLevel="0" collapsed="false">
      <c r="B186" s="55" t="s">
        <v>140</v>
      </c>
      <c r="C186" s="56"/>
      <c r="D186" s="56"/>
      <c r="E186" s="56"/>
      <c r="F186" s="56"/>
      <c r="G186" s="57" t="n">
        <f aca="false">SUM($G$165:$G$185)</f>
        <v>880</v>
      </c>
      <c r="H186" s="57" t="n">
        <f aca="false">SUM($H$165:$H$185)</f>
        <v>16.99</v>
      </c>
      <c r="I186" s="58" t="n">
        <f aca="false">$I$163+$G$186-$H$186</f>
        <v>2748.48</v>
      </c>
      <c r="J186" s="59" t="str">
        <f aca="false">IF($I$186&lt;0,"SHORTFALL",IF($I$186&lt;$E$7,"TIGHT","OK"))</f>
        <v>OK</v>
      </c>
      <c r="K186" s="60" t="str">
        <f aca="false">IF(COUNT($I$165:$I$185)=0,"","Lowest point this week: "&amp;TEXT(MIN($I$165:$I$185),"$#,##0.00;-$#,##0.00")&amp;" on "&amp;TEXT(INDEX($C$165:$C$185,MATCH(MIN($I$165:$I$185),$I$165:$I$185,0)),"ddd mmm d")&amp;"     (in "&amp;TEXT($G$186,"$#,##0.00")&amp;", out "&amp;TEXT($H$186,"$#,##0.00")&amp;")")</f>
        <v>Lowest point this week: $2,658.48 on Fri Sep 18     (in $880.00, out $16.99)</v>
      </c>
    </row>
    <row r="188" customFormat="false" ht="21.75" hidden="false" customHeight="true" outlineLevel="0" collapsed="false">
      <c r="B188" s="31" t="str">
        <f aca="false">"WEEK 8     "&amp;TEXT($E$6+49,"ddd, mmm d")&amp;"   through   "&amp;TEXT($E$6+49+6,"ddd, mmm d, yyyy")</f>
        <v>WEEK 8     Fri, Sep 25   through   Thu, Oct 1, 2026</v>
      </c>
      <c r="C188" s="32"/>
      <c r="D188" s="32"/>
      <c r="E188" s="32"/>
      <c r="F188" s="32"/>
      <c r="G188" s="33" t="s">
        <v>120</v>
      </c>
      <c r="H188" s="32"/>
      <c r="I188" s="34" t="n">
        <f aca="false">$I$186</f>
        <v>2748.48</v>
      </c>
      <c r="J188" s="32"/>
      <c r="K188" s="28" t="str">
        <f aca="false">IF(COUNTIF(Schedule!$I$4:$I$483,8)&gt;10,"! "&amp;COUNTIF(Schedule!$I$4:$I$483,8)-10&amp;" more transaction(s) fall in this week than there are rows to show them.","")</f>
        <v/>
      </c>
    </row>
    <row r="189" customFormat="false" ht="25.5" hidden="false" customHeight="true" outlineLevel="0" collapsed="false">
      <c r="B189" s="35" t="s">
        <v>121</v>
      </c>
      <c r="C189" s="35" t="s">
        <v>122</v>
      </c>
      <c r="D189" s="35" t="s">
        <v>72</v>
      </c>
      <c r="E189" s="35" t="s">
        <v>123</v>
      </c>
      <c r="F189" s="35" t="s">
        <v>124</v>
      </c>
      <c r="G189" s="36" t="s">
        <v>18</v>
      </c>
      <c r="H189" s="37" t="s">
        <v>20</v>
      </c>
      <c r="I189" s="35" t="s">
        <v>125</v>
      </c>
      <c r="J189" s="35" t="s">
        <v>126</v>
      </c>
    </row>
    <row r="190" customFormat="false" ht="15" hidden="false" customHeight="false" outlineLevel="0" collapsed="false">
      <c r="B190" s="38" t="str">
        <f aca="false">IFERROR(INDEX(Schedule!$C$4:$C$483,MATCH(8001,Schedule!$K$4:$K$483,0)),"")</f>
        <v>Compunnel Software (paycheck)</v>
      </c>
      <c r="C190" s="39" t="n">
        <f aca="false">IF($B190="","",INDEX(Schedule!$G$4:$G$483,MATCH(8001,Schedule!$K$4:$K$483,0)))</f>
        <v>46290</v>
      </c>
      <c r="D190" s="40" t="str">
        <f aca="false">IF($B190="","",INDEX(Schedule!$D$4:$D$483,MATCH(8001,Schedule!$K$4:$K$483,0)))</f>
        <v>Income</v>
      </c>
      <c r="E190" s="41" t="n">
        <f aca="false">IF($B190="","",INDEX(Schedule!$E$4:$E$483,MATCH(8001,Schedule!$K$4:$K$483,0)))</f>
        <v>790</v>
      </c>
      <c r="F190" s="42"/>
      <c r="G190" s="43" t="n">
        <f aca="false">IF($B190="","",IF($D190="Income",IF($F190&lt;&gt;"",$F190,$E190),""))</f>
        <v>790</v>
      </c>
      <c r="H190" s="44" t="str">
        <f aca="false">IF($B190="","",IF($D190="Income","",IF($F190&lt;&gt;"",$F190,$E190)))</f>
        <v/>
      </c>
      <c r="I190" s="45" t="n">
        <f aca="false">IF($B190="","",$I$188+SUMIFS($G$190:$G$210,$M$190:$M$210,"&lt;="&amp;$M190)-SUMIFS($H$190:$H$210,$M$190:$M$210,"&lt;="&amp;$M190))</f>
        <v>3538.48</v>
      </c>
      <c r="J190" s="46" t="str">
        <f aca="true">IF($B190="","",IF($F190&lt;&gt;"",IF($C190&gt;TODAY(),"ADJUSTED","PAID"),IF($C190&lt;TODAY(),"PAST DUE",IF($C190&lt;=TODAY()+7,"DUE","Upcoming"))))</f>
        <v>Upcoming</v>
      </c>
      <c r="L190" s="47" t="n">
        <f aca="false">IF($B190="","",$C190)</f>
        <v>46290</v>
      </c>
      <c r="M190" s="48" t="n">
        <f aca="false">IF($L190="","",COUNTIFS($L$190:$L$210,"&lt;"&amp;$L190)+COUNTIFS($L$190:$L190,$L190))</f>
        <v>1</v>
      </c>
    </row>
    <row r="191" customFormat="false" ht="15" hidden="false" customHeight="false" outlineLevel="0" collapsed="false">
      <c r="B191" s="38" t="str">
        <f aca="false">IFERROR(INDEX(Schedule!$C$4:$C$483,MATCH(8002,Schedule!$K$4:$K$483,0)),"")</f>
        <v>Microsoft</v>
      </c>
      <c r="C191" s="39" t="n">
        <f aca="false">IF($B191="","",INDEX(Schedule!$G$4:$G$483,MATCH(8002,Schedule!$K$4:$K$483,0)))</f>
        <v>46290</v>
      </c>
      <c r="D191" s="40" t="str">
        <f aca="false">IF($B191="","",INDEX(Schedule!$D$4:$D$483,MATCH(8002,Schedule!$K$4:$K$483,0)))</f>
        <v>Expense</v>
      </c>
      <c r="E191" s="41" t="n">
        <f aca="false">IF($B191="","",INDEX(Schedule!$E$4:$E$483,MATCH(8002,Schedule!$K$4:$K$483,0)))</f>
        <v>13.7</v>
      </c>
      <c r="F191" s="42"/>
      <c r="G191" s="43" t="str">
        <f aca="false">IF($B191="","",IF($D191="Income",IF($F191&lt;&gt;"",$F191,$E191),""))</f>
        <v/>
      </c>
      <c r="H191" s="44" t="n">
        <f aca="false">IF($B191="","",IF($D191="Income","",IF($F191&lt;&gt;"",$F191,$E191)))</f>
        <v>13.7</v>
      </c>
      <c r="I191" s="45" t="n">
        <f aca="false">IF($B191="","",$I$188+SUMIFS($G$190:$G$210,$M$190:$M$210,"&lt;="&amp;$M191)-SUMIFS($H$190:$H$210,$M$190:$M$210,"&lt;="&amp;$M191))</f>
        <v>3524.78</v>
      </c>
      <c r="J191" s="46" t="str">
        <f aca="true">IF($B191="","",IF($F191&lt;&gt;"",IF($C191&gt;TODAY(),"ADJUSTED","PAID"),IF($C191&lt;TODAY(),"PAST DUE",IF($C191&lt;=TODAY()+7,"DUE","Upcoming"))))</f>
        <v>Upcoming</v>
      </c>
      <c r="L191" s="47" t="n">
        <f aca="false">IF($B191="","",$C191)</f>
        <v>46290</v>
      </c>
      <c r="M191" s="48" t="n">
        <f aca="false">IF($L191="","",COUNTIFS($L$190:$L$210,"&lt;"&amp;$L191)+COUNTIFS($L$190:$L191,$L191))</f>
        <v>2</v>
      </c>
    </row>
    <row r="192" customFormat="false" ht="15" hidden="false" customHeight="false" outlineLevel="0" collapsed="false">
      <c r="B192" s="38" t="str">
        <f aca="false">IFERROR(INDEX(Schedule!$C$4:$C$483,MATCH(8003,Schedule!$K$4:$K$483,0)),"")</f>
        <v>Central Maine Power: Payment Plan</v>
      </c>
      <c r="C192" s="39" t="n">
        <f aca="false">IF($B192="","",INDEX(Schedule!$G$4:$G$483,MATCH(8003,Schedule!$K$4:$K$483,0)))</f>
        <v>46290</v>
      </c>
      <c r="D192" s="40" t="str">
        <f aca="false">IF($B192="","",INDEX(Schedule!$D$4:$D$483,MATCH(8003,Schedule!$K$4:$K$483,0)))</f>
        <v>Expense</v>
      </c>
      <c r="E192" s="41" t="n">
        <f aca="false">IF($B192="","",INDEX(Schedule!$E$4:$E$483,MATCH(8003,Schedule!$K$4:$K$483,0)))</f>
        <v>43.87</v>
      </c>
      <c r="F192" s="42"/>
      <c r="G192" s="43" t="str">
        <f aca="false">IF($B192="","",IF($D192="Income",IF($F192&lt;&gt;"",$F192,$E192),""))</f>
        <v/>
      </c>
      <c r="H192" s="44" t="n">
        <f aca="false">IF($B192="","",IF($D192="Income","",IF($F192&lt;&gt;"",$F192,$E192)))</f>
        <v>43.87</v>
      </c>
      <c r="I192" s="45" t="n">
        <f aca="false">IF($B192="","",$I$188+SUMIFS($G$190:$G$210,$M$190:$M$210,"&lt;="&amp;$M192)-SUMIFS($H$190:$H$210,$M$190:$M$210,"&lt;="&amp;$M192))</f>
        <v>3480.91</v>
      </c>
      <c r="J192" s="46" t="str">
        <f aca="true">IF($B192="","",IF($F192&lt;&gt;"",IF($C192&gt;TODAY(),"ADJUSTED","PAID"),IF($C192&lt;TODAY(),"PAST DUE",IF($C192&lt;=TODAY()+7,"DUE","Upcoming"))))</f>
        <v>Upcoming</v>
      </c>
      <c r="L192" s="47" t="n">
        <f aca="false">IF($B192="","",$C192)</f>
        <v>46290</v>
      </c>
      <c r="M192" s="48" t="n">
        <f aca="false">IF($L192="","",COUNTIFS($L$190:$L$210,"&lt;"&amp;$L192)+COUNTIFS($L$190:$L192,$L192))</f>
        <v>3</v>
      </c>
    </row>
    <row r="193" customFormat="false" ht="15" hidden="false" customHeight="false" outlineLevel="0" collapsed="false">
      <c r="B193" s="38" t="str">
        <f aca="false">IFERROR(INDEX(Schedule!$C$4:$C$483,MATCH(8004,Schedule!$K$4:$K$483,0)),"")</f>
        <v>Bruno's Restaurant (paycheck)</v>
      </c>
      <c r="C193" s="39" t="n">
        <f aca="false">IF($B193="","",INDEX(Schedule!$G$4:$G$483,MATCH(8004,Schedule!$K$4:$K$483,0)))</f>
        <v>46295</v>
      </c>
      <c r="D193" s="40" t="str">
        <f aca="false">IF($B193="","",INDEX(Schedule!$D$4:$D$483,MATCH(8004,Schedule!$K$4:$K$483,0)))</f>
        <v>Income</v>
      </c>
      <c r="E193" s="41" t="n">
        <f aca="false">IF($B193="","",INDEX(Schedule!$E$4:$E$483,MATCH(8004,Schedule!$K$4:$K$483,0)))</f>
        <v>90</v>
      </c>
      <c r="F193" s="42"/>
      <c r="G193" s="43" t="n">
        <f aca="false">IF($B193="","",IF($D193="Income",IF($F193&lt;&gt;"",$F193,$E193),""))</f>
        <v>90</v>
      </c>
      <c r="H193" s="44" t="str">
        <f aca="false">IF($B193="","",IF($D193="Income","",IF($F193&lt;&gt;"",$F193,$E193)))</f>
        <v/>
      </c>
      <c r="I193" s="45" t="n">
        <f aca="false">IF($B193="","",$I$188+SUMIFS($G$190:$G$210,$M$190:$M$210,"&lt;="&amp;$M193)-SUMIFS($H$190:$H$210,$M$190:$M$210,"&lt;="&amp;$M193))</f>
        <v>3570.91</v>
      </c>
      <c r="J193" s="46" t="str">
        <f aca="true">IF($B193="","",IF($F193&lt;&gt;"",IF($C193&gt;TODAY(),"ADJUSTED","PAID"),IF($C193&lt;TODAY(),"PAST DUE",IF($C193&lt;=TODAY()+7,"DUE","Upcoming"))))</f>
        <v>Upcoming</v>
      </c>
      <c r="L193" s="47" t="n">
        <f aca="false">IF($B193="","",$C193)</f>
        <v>46295</v>
      </c>
      <c r="M193" s="48" t="n">
        <f aca="false">IF($L193="","",COUNTIFS($L$190:$L$210,"&lt;"&amp;$L193)+COUNTIFS($L$190:$L193,$L193))</f>
        <v>4</v>
      </c>
    </row>
    <row r="194" customFormat="false" ht="15" hidden="false" customHeight="false" outlineLevel="0" collapsed="false">
      <c r="B194" s="38" t="str">
        <f aca="false">IFERROR(INDEX(Schedule!$C$4:$C$483,MATCH(8005,Schedule!$K$4:$K$483,0)),"")</f>
        <v>Patrick Rombalski (rent)</v>
      </c>
      <c r="C194" s="39" t="n">
        <f aca="false">IF($B194="","",INDEX(Schedule!$G$4:$G$483,MATCH(8005,Schedule!$K$4:$K$483,0)))</f>
        <v>46295</v>
      </c>
      <c r="D194" s="40" t="str">
        <f aca="false">IF($B194="","",INDEX(Schedule!$D$4:$D$483,MATCH(8005,Schedule!$K$4:$K$483,0)))</f>
        <v>Expense</v>
      </c>
      <c r="E194" s="41" t="n">
        <f aca="false">IF($B194="","",INDEX(Schedule!$E$4:$E$483,MATCH(8005,Schedule!$K$4:$K$483,0)))</f>
        <v>350</v>
      </c>
      <c r="F194" s="42"/>
      <c r="G194" s="43" t="str">
        <f aca="false">IF($B194="","",IF($D194="Income",IF($F194&lt;&gt;"",$F194,$E194),""))</f>
        <v/>
      </c>
      <c r="H194" s="44" t="n">
        <f aca="false">IF($B194="","",IF($D194="Income","",IF($F194&lt;&gt;"",$F194,$E194)))</f>
        <v>350</v>
      </c>
      <c r="I194" s="45" t="n">
        <f aca="false">IF($B194="","",$I$188+SUMIFS($G$190:$G$210,$M$190:$M$210,"&lt;="&amp;$M194)-SUMIFS($H$190:$H$210,$M$190:$M$210,"&lt;="&amp;$M194))</f>
        <v>3220.91</v>
      </c>
      <c r="J194" s="46" t="str">
        <f aca="true">IF($B194="","",IF($F194&lt;&gt;"",IF($C194&gt;TODAY(),"ADJUSTED","PAID"),IF($C194&lt;TODAY(),"PAST DUE",IF($C194&lt;=TODAY()+7,"DUE","Upcoming"))))</f>
        <v>Upcoming</v>
      </c>
      <c r="L194" s="47" t="n">
        <f aca="false">IF($B194="","",$C194)</f>
        <v>46295</v>
      </c>
      <c r="M194" s="48" t="n">
        <f aca="false">IF($L194="","",COUNTIFS($L$190:$L$210,"&lt;"&amp;$L194)+COUNTIFS($L$190:$L194,$L194))</f>
        <v>5</v>
      </c>
    </row>
    <row r="195" customFormat="false" ht="15" hidden="false" customHeight="false" outlineLevel="0" collapsed="false">
      <c r="B195" s="38" t="str">
        <f aca="false">IFERROR(INDEX(Schedule!$C$4:$C$483,MATCH(8006,Schedule!$K$4:$K$483,0)),"")</f>
        <v>Maine Revenue Services (2)</v>
      </c>
      <c r="C195" s="39" t="n">
        <f aca="false">IF($B195="","",INDEX(Schedule!$G$4:$G$483,MATCH(8006,Schedule!$K$4:$K$483,0)))</f>
        <v>46295</v>
      </c>
      <c r="D195" s="40" t="str">
        <f aca="false">IF($B195="","",INDEX(Schedule!$D$4:$D$483,MATCH(8006,Schedule!$K$4:$K$483,0)))</f>
        <v>Expense</v>
      </c>
      <c r="E195" s="41" t="n">
        <f aca="false">IF($B195="","",INDEX(Schedule!$E$4:$E$483,MATCH(8006,Schedule!$K$4:$K$483,0)))</f>
        <v>150</v>
      </c>
      <c r="F195" s="42"/>
      <c r="G195" s="43" t="str">
        <f aca="false">IF($B195="","",IF($D195="Income",IF($F195&lt;&gt;"",$F195,$E195),""))</f>
        <v/>
      </c>
      <c r="H195" s="44" t="n">
        <f aca="false">IF($B195="","",IF($D195="Income","",IF($F195&lt;&gt;"",$F195,$E195)))</f>
        <v>150</v>
      </c>
      <c r="I195" s="45" t="n">
        <f aca="false">IF($B195="","",$I$188+SUMIFS($G$190:$G$210,$M$190:$M$210,"&lt;="&amp;$M195)-SUMIFS($H$190:$H$210,$M$190:$M$210,"&lt;="&amp;$M195))</f>
        <v>3070.91</v>
      </c>
      <c r="J195" s="46" t="str">
        <f aca="true">IF($B195="","",IF($F195&lt;&gt;"",IF($C195&gt;TODAY(),"ADJUSTED","PAID"),IF($C195&lt;TODAY(),"PAST DUE",IF($C195&lt;=TODAY()+7,"DUE","Upcoming"))))</f>
        <v>Upcoming</v>
      </c>
      <c r="L195" s="47" t="n">
        <f aca="false">IF($B195="","",$C195)</f>
        <v>46295</v>
      </c>
      <c r="M195" s="48" t="n">
        <f aca="false">IF($L195="","",COUNTIFS($L$190:$L$210,"&lt;"&amp;$L195)+COUNTIFS($L$190:$L195,$L195))</f>
        <v>6</v>
      </c>
    </row>
    <row r="196" customFormat="false" ht="15" hidden="false" customHeight="false" outlineLevel="0" collapsed="false">
      <c r="B196" s="38" t="str">
        <f aca="false">IFERROR(INDEX(Schedule!$C$4:$C$483,MATCH(8007,Schedule!$K$4:$K$483,0)),"")</f>
        <v>Progressive Insurance</v>
      </c>
      <c r="C196" s="39" t="n">
        <f aca="false">IF($B196="","",INDEX(Schedule!$G$4:$G$483,MATCH(8007,Schedule!$K$4:$K$483,0)))</f>
        <v>46295</v>
      </c>
      <c r="D196" s="40" t="str">
        <f aca="false">IF($B196="","",INDEX(Schedule!$D$4:$D$483,MATCH(8007,Schedule!$K$4:$K$483,0)))</f>
        <v>Expense</v>
      </c>
      <c r="E196" s="41" t="n">
        <f aca="false">IF($B196="","",INDEX(Schedule!$E$4:$E$483,MATCH(8007,Schedule!$K$4:$K$483,0)))</f>
        <v>143.37</v>
      </c>
      <c r="F196" s="42"/>
      <c r="G196" s="43" t="str">
        <f aca="false">IF($B196="","",IF($D196="Income",IF($F196&lt;&gt;"",$F196,$E196),""))</f>
        <v/>
      </c>
      <c r="H196" s="44" t="n">
        <f aca="false">IF($B196="","",IF($D196="Income","",IF($F196&lt;&gt;"",$F196,$E196)))</f>
        <v>143.37</v>
      </c>
      <c r="I196" s="45" t="n">
        <f aca="false">IF($B196="","",$I$188+SUMIFS($G$190:$G$210,$M$190:$M$210,"&lt;="&amp;$M196)-SUMIFS($H$190:$H$210,$M$190:$M$210,"&lt;="&amp;$M196))</f>
        <v>2927.54</v>
      </c>
      <c r="J196" s="46" t="str">
        <f aca="true">IF($B196="","",IF($F196&lt;&gt;"",IF($C196&gt;TODAY(),"ADJUSTED","PAID"),IF($C196&lt;TODAY(),"PAST DUE",IF($C196&lt;=TODAY()+7,"DUE","Upcoming"))))</f>
        <v>Upcoming</v>
      </c>
      <c r="L196" s="47" t="n">
        <f aca="false">IF($B196="","",$C196)</f>
        <v>46295</v>
      </c>
      <c r="M196" s="48" t="n">
        <f aca="false">IF($L196="","",COUNTIFS($L$190:$L$210,"&lt;"&amp;$L196)+COUNTIFS($L$190:$L196,$L196))</f>
        <v>7</v>
      </c>
    </row>
    <row r="197" customFormat="false" ht="15" hidden="false" customHeight="false" outlineLevel="0" collapsed="false">
      <c r="B197" s="38" t="str">
        <f aca="false">IFERROR(INDEX(Schedule!$C$4:$C$483,MATCH(8008,Schedule!$K$4:$K$483,0)),"")</f>
        <v/>
      </c>
      <c r="C197" s="39" t="str">
        <f aca="false">IF($B197="","",INDEX(Schedule!$G$4:$G$483,MATCH(8008,Schedule!$K$4:$K$483,0)))</f>
        <v/>
      </c>
      <c r="D197" s="40" t="str">
        <f aca="false">IF($B197="","",INDEX(Schedule!$D$4:$D$483,MATCH(8008,Schedule!$K$4:$K$483,0)))</f>
        <v/>
      </c>
      <c r="E197" s="41" t="str">
        <f aca="false">IF($B197="","",INDEX(Schedule!$E$4:$E$483,MATCH(8008,Schedule!$K$4:$K$483,0)))</f>
        <v/>
      </c>
      <c r="F197" s="42"/>
      <c r="G197" s="43" t="str">
        <f aca="false">IF($B197="","",IF($D197="Income",IF($F197&lt;&gt;"",$F197,$E197),""))</f>
        <v/>
      </c>
      <c r="H197" s="44" t="str">
        <f aca="false">IF($B197="","",IF($D197="Income","",IF($F197&lt;&gt;"",$F197,$E197)))</f>
        <v/>
      </c>
      <c r="I197" s="45" t="str">
        <f aca="false">IF($B197="","",$I$188+SUMIFS($G$190:$G$210,$M$190:$M$210,"&lt;="&amp;$M197)-SUMIFS($H$190:$H$210,$M$190:$M$210,"&lt;="&amp;$M197))</f>
        <v/>
      </c>
      <c r="J197" s="46" t="str">
        <f aca="true">IF($B197="","",IF($F197&lt;&gt;"",IF($C197&gt;TODAY(),"ADJUSTED","PAID"),IF($C197&lt;TODAY(),"PAST DUE",IF($C197&lt;=TODAY()+7,"DUE","Upcoming"))))</f>
        <v/>
      </c>
      <c r="L197" s="0" t="str">
        <f aca="false">IF($B197="","",$C197)</f>
        <v/>
      </c>
      <c r="M197" s="0" t="str">
        <f aca="false">IF($L197="","",COUNTIFS($L$190:$L$210,"&lt;"&amp;$L197)+COUNTIFS($L$190:$L197,$L197))</f>
        <v/>
      </c>
    </row>
    <row r="198" customFormat="false" ht="15" hidden="false" customHeight="false" outlineLevel="0" collapsed="false">
      <c r="B198" s="38" t="str">
        <f aca="false">IFERROR(INDEX(Schedule!$C$4:$C$483,MATCH(8009,Schedule!$K$4:$K$483,0)),"")</f>
        <v/>
      </c>
      <c r="C198" s="39" t="str">
        <f aca="false">IF($B198="","",INDEX(Schedule!$G$4:$G$483,MATCH(8009,Schedule!$K$4:$K$483,0)))</f>
        <v/>
      </c>
      <c r="D198" s="40" t="str">
        <f aca="false">IF($B198="","",INDEX(Schedule!$D$4:$D$483,MATCH(8009,Schedule!$K$4:$K$483,0)))</f>
        <v/>
      </c>
      <c r="E198" s="41" t="str">
        <f aca="false">IF($B198="","",INDEX(Schedule!$E$4:$E$483,MATCH(8009,Schedule!$K$4:$K$483,0)))</f>
        <v/>
      </c>
      <c r="F198" s="42"/>
      <c r="G198" s="43" t="str">
        <f aca="false">IF($B198="","",IF($D198="Income",IF($F198&lt;&gt;"",$F198,$E198),""))</f>
        <v/>
      </c>
      <c r="H198" s="44" t="str">
        <f aca="false">IF($B198="","",IF($D198="Income","",IF($F198&lt;&gt;"",$F198,$E198)))</f>
        <v/>
      </c>
      <c r="I198" s="45" t="str">
        <f aca="false">IF($B198="","",$I$188+SUMIFS($G$190:$G$210,$M$190:$M$210,"&lt;="&amp;$M198)-SUMIFS($H$190:$H$210,$M$190:$M$210,"&lt;="&amp;$M198))</f>
        <v/>
      </c>
      <c r="J198" s="46" t="str">
        <f aca="true">IF($B198="","",IF($F198&lt;&gt;"",IF($C198&gt;TODAY(),"ADJUSTED","PAID"),IF($C198&lt;TODAY(),"PAST DUE",IF($C198&lt;=TODAY()+7,"DUE","Upcoming"))))</f>
        <v/>
      </c>
      <c r="L198" s="0" t="str">
        <f aca="false">IF($B198="","",$C198)</f>
        <v/>
      </c>
      <c r="M198" s="0" t="str">
        <f aca="false">IF($L198="","",COUNTIFS($L$190:$L$210,"&lt;"&amp;$L198)+COUNTIFS($L$190:$L198,$L198))</f>
        <v/>
      </c>
    </row>
    <row r="199" customFormat="false" ht="15" hidden="false" customHeight="false" outlineLevel="0" collapsed="false">
      <c r="B199" s="38" t="str">
        <f aca="false">IFERROR(INDEX(Schedule!$C$4:$C$483,MATCH(8010,Schedule!$K$4:$K$483,0)),"")</f>
        <v/>
      </c>
      <c r="C199" s="39" t="str">
        <f aca="false">IF($B199="","",INDEX(Schedule!$G$4:$G$483,MATCH(8010,Schedule!$K$4:$K$483,0)))</f>
        <v/>
      </c>
      <c r="D199" s="40" t="str">
        <f aca="false">IF($B199="","",INDEX(Schedule!$D$4:$D$483,MATCH(8010,Schedule!$K$4:$K$483,0)))</f>
        <v/>
      </c>
      <c r="E199" s="41" t="str">
        <f aca="false">IF($B199="","",INDEX(Schedule!$E$4:$E$483,MATCH(8010,Schedule!$K$4:$K$483,0)))</f>
        <v/>
      </c>
      <c r="F199" s="42"/>
      <c r="G199" s="43" t="str">
        <f aca="false">IF($B199="","",IF($D199="Income",IF($F199&lt;&gt;"",$F199,$E199),""))</f>
        <v/>
      </c>
      <c r="H199" s="44" t="str">
        <f aca="false">IF($B199="","",IF($D199="Income","",IF($F199&lt;&gt;"",$F199,$E199)))</f>
        <v/>
      </c>
      <c r="I199" s="45" t="str">
        <f aca="false">IF($B199="","",$I$188+SUMIFS($G$190:$G$210,$M$190:$M$210,"&lt;="&amp;$M199)-SUMIFS($H$190:$H$210,$M$190:$M$210,"&lt;="&amp;$M199))</f>
        <v/>
      </c>
      <c r="J199" s="46" t="str">
        <f aca="true">IF($B199="","",IF($F199&lt;&gt;"",IF($C199&gt;TODAY(),"ADJUSTED","PAID"),IF($C199&lt;TODAY(),"PAST DUE",IF($C199&lt;=TODAY()+7,"DUE","Upcoming"))))</f>
        <v/>
      </c>
      <c r="L199" s="0" t="str">
        <f aca="false">IF($B199="","",$C199)</f>
        <v/>
      </c>
      <c r="M199" s="0" t="str">
        <f aca="false">IF($L199="","",COUNTIFS($L$190:$L$210,"&lt;"&amp;$L199)+COUNTIFS($L$190:$L199,$L199))</f>
        <v/>
      </c>
    </row>
    <row r="200" customFormat="false" ht="15" hidden="false" customHeight="false" outlineLevel="0" collapsed="false">
      <c r="B200" s="49" t="s">
        <v>127</v>
      </c>
      <c r="C200" s="50"/>
      <c r="D200" s="50"/>
      <c r="E200" s="50"/>
      <c r="F200" s="50"/>
      <c r="G200" s="50"/>
      <c r="H200" s="50"/>
      <c r="I200" s="50"/>
      <c r="J200" s="50"/>
    </row>
    <row r="201" customFormat="false" ht="15" hidden="false" customHeight="false" outlineLevel="0" collapsed="false">
      <c r="B201" s="6"/>
      <c r="C201" s="51"/>
      <c r="D201" s="52" t="str">
        <f aca="false">IF($B201="","","Expense")</f>
        <v/>
      </c>
      <c r="E201" s="18"/>
      <c r="F201" s="10"/>
      <c r="G201" s="10"/>
      <c r="H201" s="53" t="str">
        <f aca="false">IF($B201="","",N($E201))</f>
        <v/>
      </c>
      <c r="I201" s="54" t="str">
        <f aca="false">IF($B201="","",$I$188+SUMIFS($G$190:$G$210,$M$190:$M$210,"&lt;="&amp;$M201)-SUMIFS($H$190:$H$210,$M$190:$M$210,"&lt;="&amp;$M201))</f>
        <v/>
      </c>
      <c r="J201" s="10"/>
      <c r="L201" s="0" t="str">
        <f aca="false">IF($B201="","",IF($C201="",$E$6+55,$C201))</f>
        <v/>
      </c>
      <c r="M201" s="0" t="str">
        <f aca="false">IF($L201="","",COUNTIFS($L$190:$L$210,"&lt;"&amp;$L201)+COUNTIFS($L$190:$L201,$L201))</f>
        <v/>
      </c>
    </row>
    <row r="202" customFormat="false" ht="15" hidden="false" customHeight="false" outlineLevel="0" collapsed="false">
      <c r="B202" s="6"/>
      <c r="C202" s="51"/>
      <c r="D202" s="52" t="str">
        <f aca="false">IF($B202="","","Expense")</f>
        <v/>
      </c>
      <c r="E202" s="18"/>
      <c r="F202" s="10"/>
      <c r="G202" s="10"/>
      <c r="H202" s="53" t="str">
        <f aca="false">IF($B202="","",N($E202))</f>
        <v/>
      </c>
      <c r="I202" s="54" t="str">
        <f aca="false">IF($B202="","",$I$188+SUMIFS($G$190:$G$210,$M$190:$M$210,"&lt;="&amp;$M202)-SUMIFS($H$190:$H$210,$M$190:$M$210,"&lt;="&amp;$M202))</f>
        <v/>
      </c>
      <c r="J202" s="10"/>
      <c r="L202" s="0" t="str">
        <f aca="false">IF($B202="","",IF($C202="",$E$6+55,$C202))</f>
        <v/>
      </c>
      <c r="M202" s="0" t="str">
        <f aca="false">IF($L202="","",COUNTIFS($L$190:$L$210,"&lt;"&amp;$L202)+COUNTIFS($L$190:$L202,$L202))</f>
        <v/>
      </c>
    </row>
    <row r="203" customFormat="false" ht="15" hidden="false" customHeight="false" outlineLevel="0" collapsed="false">
      <c r="B203" s="6"/>
      <c r="C203" s="51"/>
      <c r="D203" s="52" t="str">
        <f aca="false">IF($B203="","","Expense")</f>
        <v/>
      </c>
      <c r="E203" s="18"/>
      <c r="F203" s="10"/>
      <c r="G203" s="10"/>
      <c r="H203" s="53" t="str">
        <f aca="false">IF($B203="","",N($E203))</f>
        <v/>
      </c>
      <c r="I203" s="54" t="str">
        <f aca="false">IF($B203="","",$I$188+SUMIFS($G$190:$G$210,$M$190:$M$210,"&lt;="&amp;$M203)-SUMIFS($H$190:$H$210,$M$190:$M$210,"&lt;="&amp;$M203))</f>
        <v/>
      </c>
      <c r="J203" s="10"/>
      <c r="L203" s="0" t="str">
        <f aca="false">IF($B203="","",IF($C203="",$E$6+55,$C203))</f>
        <v/>
      </c>
      <c r="M203" s="0" t="str">
        <f aca="false">IF($L203="","",COUNTIFS($L$190:$L$210,"&lt;"&amp;$L203)+COUNTIFS($L$190:$L203,$L203))</f>
        <v/>
      </c>
    </row>
    <row r="204" customFormat="false" ht="15" hidden="false" customHeight="false" outlineLevel="0" collapsed="false">
      <c r="B204" s="6"/>
      <c r="C204" s="51"/>
      <c r="D204" s="52" t="str">
        <f aca="false">IF($B204="","","Expense")</f>
        <v/>
      </c>
      <c r="E204" s="18"/>
      <c r="F204" s="10"/>
      <c r="G204" s="10"/>
      <c r="H204" s="53" t="str">
        <f aca="false">IF($B204="","",N($E204))</f>
        <v/>
      </c>
      <c r="I204" s="54" t="str">
        <f aca="false">IF($B204="","",$I$188+SUMIFS($G$190:$G$210,$M$190:$M$210,"&lt;="&amp;$M204)-SUMIFS($H$190:$H$210,$M$190:$M$210,"&lt;="&amp;$M204))</f>
        <v/>
      </c>
      <c r="J204" s="10"/>
      <c r="L204" s="0" t="str">
        <f aca="false">IF($B204="","",IF($C204="",$E$6+55,$C204))</f>
        <v/>
      </c>
      <c r="M204" s="0" t="str">
        <f aca="false">IF($L204="","",COUNTIFS($L$190:$L$210,"&lt;"&amp;$L204)+COUNTIFS($L$190:$L204,$L204))</f>
        <v/>
      </c>
    </row>
    <row r="205" customFormat="false" ht="15" hidden="false" customHeight="false" outlineLevel="0" collapsed="false">
      <c r="B205" s="6"/>
      <c r="C205" s="51"/>
      <c r="D205" s="52" t="str">
        <f aca="false">IF($B205="","","Expense")</f>
        <v/>
      </c>
      <c r="E205" s="18"/>
      <c r="F205" s="10"/>
      <c r="G205" s="10"/>
      <c r="H205" s="53" t="str">
        <f aca="false">IF($B205="","",N($E205))</f>
        <v/>
      </c>
      <c r="I205" s="54" t="str">
        <f aca="false">IF($B205="","",$I$188+SUMIFS($G$190:$G$210,$M$190:$M$210,"&lt;="&amp;$M205)-SUMIFS($H$190:$H$210,$M$190:$M$210,"&lt;="&amp;$M205))</f>
        <v/>
      </c>
      <c r="J205" s="10"/>
      <c r="L205" s="0" t="str">
        <f aca="false">IF($B205="","",IF($C205="",$E$6+55,$C205))</f>
        <v/>
      </c>
      <c r="M205" s="0" t="str">
        <f aca="false">IF($L205="","",COUNTIFS($L$190:$L$210,"&lt;"&amp;$L205)+COUNTIFS($L$190:$L205,$L205))</f>
        <v/>
      </c>
    </row>
    <row r="206" customFormat="false" ht="15" hidden="false" customHeight="false" outlineLevel="0" collapsed="false">
      <c r="B206" s="6"/>
      <c r="C206" s="51"/>
      <c r="D206" s="52" t="str">
        <f aca="false">IF($B206="","","Expense")</f>
        <v/>
      </c>
      <c r="E206" s="18"/>
      <c r="F206" s="10"/>
      <c r="G206" s="10"/>
      <c r="H206" s="53" t="str">
        <f aca="false">IF($B206="","",N($E206))</f>
        <v/>
      </c>
      <c r="I206" s="54" t="str">
        <f aca="false">IF($B206="","",$I$188+SUMIFS($G$190:$G$210,$M$190:$M$210,"&lt;="&amp;$M206)-SUMIFS($H$190:$H$210,$M$190:$M$210,"&lt;="&amp;$M206))</f>
        <v/>
      </c>
      <c r="J206" s="10"/>
      <c r="L206" s="0" t="str">
        <f aca="false">IF($B206="","",IF($C206="",$E$6+55,$C206))</f>
        <v/>
      </c>
      <c r="M206" s="0" t="str">
        <f aca="false">IF($L206="","",COUNTIFS($L$190:$L$210,"&lt;"&amp;$L206)+COUNTIFS($L$190:$L206,$L206))</f>
        <v/>
      </c>
    </row>
    <row r="207" customFormat="false" ht="15" hidden="false" customHeight="false" outlineLevel="0" collapsed="false">
      <c r="B207" s="6"/>
      <c r="C207" s="51"/>
      <c r="D207" s="52" t="str">
        <f aca="false">IF($B207="","","Expense")</f>
        <v/>
      </c>
      <c r="E207" s="18"/>
      <c r="F207" s="10"/>
      <c r="G207" s="10"/>
      <c r="H207" s="53" t="str">
        <f aca="false">IF($B207="","",N($E207))</f>
        <v/>
      </c>
      <c r="I207" s="54" t="str">
        <f aca="false">IF($B207="","",$I$188+SUMIFS($G$190:$G$210,$M$190:$M$210,"&lt;="&amp;$M207)-SUMIFS($H$190:$H$210,$M$190:$M$210,"&lt;="&amp;$M207))</f>
        <v/>
      </c>
      <c r="J207" s="10"/>
      <c r="L207" s="0" t="str">
        <f aca="false">IF($B207="","",IF($C207="",$E$6+55,$C207))</f>
        <v/>
      </c>
      <c r="M207" s="0" t="str">
        <f aca="false">IF($L207="","",COUNTIFS($L$190:$L$210,"&lt;"&amp;$L207)+COUNTIFS($L$190:$L207,$L207))</f>
        <v/>
      </c>
    </row>
    <row r="208" customFormat="false" ht="15" hidden="false" customHeight="false" outlineLevel="0" collapsed="false">
      <c r="B208" s="6"/>
      <c r="C208" s="51"/>
      <c r="D208" s="52" t="str">
        <f aca="false">IF($B208="","","Expense")</f>
        <v/>
      </c>
      <c r="E208" s="18"/>
      <c r="F208" s="10"/>
      <c r="G208" s="10"/>
      <c r="H208" s="53" t="str">
        <f aca="false">IF($B208="","",N($E208))</f>
        <v/>
      </c>
      <c r="I208" s="54" t="str">
        <f aca="false">IF($B208="","",$I$188+SUMIFS($G$190:$G$210,$M$190:$M$210,"&lt;="&amp;$M208)-SUMIFS($H$190:$H$210,$M$190:$M$210,"&lt;="&amp;$M208))</f>
        <v/>
      </c>
      <c r="J208" s="10"/>
      <c r="L208" s="0" t="str">
        <f aca="false">IF($B208="","",IF($C208="",$E$6+55,$C208))</f>
        <v/>
      </c>
      <c r="M208" s="0" t="str">
        <f aca="false">IF($L208="","",COUNTIFS($L$190:$L$210,"&lt;"&amp;$L208)+COUNTIFS($L$190:$L208,$L208))</f>
        <v/>
      </c>
    </row>
    <row r="209" customFormat="false" ht="15" hidden="false" customHeight="false" outlineLevel="0" collapsed="false">
      <c r="B209" s="6"/>
      <c r="C209" s="51"/>
      <c r="D209" s="52" t="str">
        <f aca="false">IF($B209="","","Expense")</f>
        <v/>
      </c>
      <c r="E209" s="18"/>
      <c r="F209" s="10"/>
      <c r="G209" s="10"/>
      <c r="H209" s="53" t="str">
        <f aca="false">IF($B209="","",N($E209))</f>
        <v/>
      </c>
      <c r="I209" s="54" t="str">
        <f aca="false">IF($B209="","",$I$188+SUMIFS($G$190:$G$210,$M$190:$M$210,"&lt;="&amp;$M209)-SUMIFS($H$190:$H$210,$M$190:$M$210,"&lt;="&amp;$M209))</f>
        <v/>
      </c>
      <c r="J209" s="10"/>
      <c r="L209" s="0" t="str">
        <f aca="false">IF($B209="","",IF($C209="",$E$6+55,$C209))</f>
        <v/>
      </c>
      <c r="M209" s="0" t="str">
        <f aca="false">IF($L209="","",COUNTIFS($L$190:$L$210,"&lt;"&amp;$L209)+COUNTIFS($L$190:$L209,$L209))</f>
        <v/>
      </c>
    </row>
    <row r="210" customFormat="false" ht="15" hidden="false" customHeight="false" outlineLevel="0" collapsed="false">
      <c r="B210" s="6"/>
      <c r="C210" s="51"/>
      <c r="D210" s="52" t="str">
        <f aca="false">IF($B210="","","Expense")</f>
        <v/>
      </c>
      <c r="E210" s="18"/>
      <c r="F210" s="10"/>
      <c r="G210" s="10"/>
      <c r="H210" s="53" t="str">
        <f aca="false">IF($B210="","",N($E210))</f>
        <v/>
      </c>
      <c r="I210" s="54" t="str">
        <f aca="false">IF($B210="","",$I$188+SUMIFS($G$190:$G$210,$M$190:$M$210,"&lt;="&amp;$M210)-SUMIFS($H$190:$H$210,$M$190:$M$210,"&lt;="&amp;$M210))</f>
        <v/>
      </c>
      <c r="J210" s="10"/>
      <c r="L210" s="0" t="str">
        <f aca="false">IF($B210="","",IF($C210="",$E$6+55,$C210))</f>
        <v/>
      </c>
      <c r="M210" s="0" t="str">
        <f aca="false">IF($L210="","",COUNTIFS($L$190:$L$210,"&lt;"&amp;$L210)+COUNTIFS($L$190:$L210,$L210))</f>
        <v/>
      </c>
    </row>
    <row r="211" customFormat="false" ht="15" hidden="false" customHeight="false" outlineLevel="0" collapsed="false">
      <c r="B211" s="55" t="s">
        <v>141</v>
      </c>
      <c r="C211" s="56"/>
      <c r="D211" s="56"/>
      <c r="E211" s="56"/>
      <c r="F211" s="56"/>
      <c r="G211" s="57" t="n">
        <f aca="false">SUM($G$190:$G$210)</f>
        <v>880</v>
      </c>
      <c r="H211" s="57" t="n">
        <f aca="false">SUM($H$190:$H$210)</f>
        <v>700.94</v>
      </c>
      <c r="I211" s="58" t="n">
        <f aca="false">$I$188+$G$211-$H$211</f>
        <v>2927.54</v>
      </c>
      <c r="J211" s="59" t="str">
        <f aca="false">IF($I$211&lt;0,"SHORTFALL",IF($I$211&lt;$E$7,"TIGHT","OK"))</f>
        <v>OK</v>
      </c>
      <c r="K211" s="60" t="str">
        <f aca="false">IF(COUNT($I$190:$I$210)=0,"","Lowest point this week: "&amp;TEXT(MIN($I$190:$I$210),"$#,##0.00;-$#,##0.00")&amp;" on "&amp;TEXT(INDEX($C$190:$C$210,MATCH(MIN($I$190:$I$210),$I$190:$I$210,0)),"ddd mmm d")&amp;"     (in "&amp;TEXT($G$211,"$#,##0.00")&amp;", out "&amp;TEXT($H$211,"$#,##0.00")&amp;")")</f>
        <v>Lowest point this week: $2,927.54 on Wed Sep 30     (in $880.00, out $700.94)</v>
      </c>
    </row>
    <row r="213" customFormat="false" ht="21.75" hidden="false" customHeight="true" outlineLevel="0" collapsed="false">
      <c r="B213" s="31" t="str">
        <f aca="false">"WEEK 9     "&amp;TEXT($E$6+56,"ddd, mmm d")&amp;"   through   "&amp;TEXT($E$6+56+6,"ddd, mmm d, yyyy")</f>
        <v>WEEK 9     Fri, Oct 2   through   Thu, Oct 8, 2026</v>
      </c>
      <c r="C213" s="32"/>
      <c r="D213" s="32"/>
      <c r="E213" s="32"/>
      <c r="F213" s="32"/>
      <c r="G213" s="33" t="s">
        <v>120</v>
      </c>
      <c r="H213" s="32"/>
      <c r="I213" s="34" t="n">
        <f aca="false">$I$211</f>
        <v>2927.54</v>
      </c>
      <c r="J213" s="32"/>
      <c r="K213" s="28" t="str">
        <f aca="false">IF(COUNTIF(Schedule!$I$4:$I$483,9)&gt;10,"! "&amp;COUNTIF(Schedule!$I$4:$I$483,9)-10&amp;" more transaction(s) fall in this week than there are rows to show them.","")</f>
        <v/>
      </c>
    </row>
    <row r="214" customFormat="false" ht="25.5" hidden="false" customHeight="true" outlineLevel="0" collapsed="false">
      <c r="B214" s="35" t="s">
        <v>121</v>
      </c>
      <c r="C214" s="35" t="s">
        <v>122</v>
      </c>
      <c r="D214" s="35" t="s">
        <v>72</v>
      </c>
      <c r="E214" s="35" t="s">
        <v>123</v>
      </c>
      <c r="F214" s="35" t="s">
        <v>124</v>
      </c>
      <c r="G214" s="36" t="s">
        <v>18</v>
      </c>
      <c r="H214" s="37" t="s">
        <v>20</v>
      </c>
      <c r="I214" s="35" t="s">
        <v>125</v>
      </c>
      <c r="J214" s="35" t="s">
        <v>126</v>
      </c>
    </row>
    <row r="215" customFormat="false" ht="15" hidden="false" customHeight="false" outlineLevel="0" collapsed="false">
      <c r="B215" s="38" t="str">
        <f aca="false">IFERROR(INDEX(Schedule!$C$4:$C$483,MATCH(9001,Schedule!$K$4:$K$483,0)),"")</f>
        <v>Compunnel Software (paycheck)</v>
      </c>
      <c r="C215" s="39" t="n">
        <f aca="false">IF($B215="","",INDEX(Schedule!$G$4:$G$483,MATCH(9001,Schedule!$K$4:$K$483,0)))</f>
        <v>46297</v>
      </c>
      <c r="D215" s="40" t="str">
        <f aca="false">IF($B215="","",INDEX(Schedule!$D$4:$D$483,MATCH(9001,Schedule!$K$4:$K$483,0)))</f>
        <v>Income</v>
      </c>
      <c r="E215" s="41" t="n">
        <f aca="false">IF($B215="","",INDEX(Schedule!$E$4:$E$483,MATCH(9001,Schedule!$K$4:$K$483,0)))</f>
        <v>790</v>
      </c>
      <c r="F215" s="42"/>
      <c r="G215" s="43" t="n">
        <f aca="false">IF($B215="","",IF($D215="Income",IF($F215&lt;&gt;"",$F215,$E215),""))</f>
        <v>790</v>
      </c>
      <c r="H215" s="44" t="str">
        <f aca="false">IF($B215="","",IF($D215="Income","",IF($F215&lt;&gt;"",$F215,$E215)))</f>
        <v/>
      </c>
      <c r="I215" s="45" t="n">
        <f aca="false">IF($B215="","",$I$213+SUMIFS($G$215:$G$235,$M$215:$M$235,"&lt;="&amp;$M215)-SUMIFS($H$215:$H$235,$M$215:$M$235,"&lt;="&amp;$M215))</f>
        <v>3717.54</v>
      </c>
      <c r="J215" s="46" t="str">
        <f aca="true">IF($B215="","",IF($F215&lt;&gt;"",IF($C215&gt;TODAY(),"ADJUSTED","PAID"),IF($C215&lt;TODAY(),"PAST DUE",IF($C215&lt;=TODAY()+7,"DUE","Upcoming"))))</f>
        <v>Upcoming</v>
      </c>
      <c r="L215" s="47" t="n">
        <f aca="false">IF($B215="","",$C215)</f>
        <v>46297</v>
      </c>
      <c r="M215" s="48" t="n">
        <f aca="false">IF($L215="","",COUNTIFS($L$215:$L$235,"&lt;"&amp;$L215)+COUNTIFS($L$215:$L215,$L215))</f>
        <v>1</v>
      </c>
    </row>
    <row r="216" customFormat="false" ht="15" hidden="false" customHeight="false" outlineLevel="0" collapsed="false">
      <c r="B216" s="38" t="str">
        <f aca="false">IFERROR(INDEX(Schedule!$C$4:$C$483,MATCH(9002,Schedule!$K$4:$K$483,0)),"")</f>
        <v>Apple: Claude</v>
      </c>
      <c r="C216" s="39" t="n">
        <f aca="false">IF($B216="","",INDEX(Schedule!$G$4:$G$483,MATCH(9002,Schedule!$K$4:$K$483,0)))</f>
        <v>46299</v>
      </c>
      <c r="D216" s="40" t="str">
        <f aca="false">IF($B216="","",INDEX(Schedule!$D$4:$D$483,MATCH(9002,Schedule!$K$4:$K$483,0)))</f>
        <v>Expense</v>
      </c>
      <c r="E216" s="41" t="n">
        <f aca="false">IF($B216="","",INDEX(Schedule!$E$4:$E$483,MATCH(9002,Schedule!$K$4:$K$483,0)))</f>
        <v>21.1</v>
      </c>
      <c r="F216" s="42"/>
      <c r="G216" s="43" t="str">
        <f aca="false">IF($B216="","",IF($D216="Income",IF($F216&lt;&gt;"",$F216,$E216),""))</f>
        <v/>
      </c>
      <c r="H216" s="44" t="n">
        <f aca="false">IF($B216="","",IF($D216="Income","",IF($F216&lt;&gt;"",$F216,$E216)))</f>
        <v>21.1</v>
      </c>
      <c r="I216" s="45" t="n">
        <f aca="false">IF($B216="","",$I$213+SUMIFS($G$215:$G$235,$M$215:$M$235,"&lt;="&amp;$M216)-SUMIFS($H$215:$H$235,$M$215:$M$235,"&lt;="&amp;$M216))</f>
        <v>3696.44</v>
      </c>
      <c r="J216" s="46" t="str">
        <f aca="true">IF($B216="","",IF($F216&lt;&gt;"",IF($C216&gt;TODAY(),"ADJUSTED","PAID"),IF($C216&lt;TODAY(),"PAST DUE",IF($C216&lt;=TODAY()+7,"DUE","Upcoming"))))</f>
        <v>Upcoming</v>
      </c>
      <c r="L216" s="47" t="n">
        <f aca="false">IF($B216="","",$C216)</f>
        <v>46299</v>
      </c>
      <c r="M216" s="48" t="n">
        <f aca="false">IF($L216="","",COUNTIFS($L$215:$L$235,"&lt;"&amp;$L216)+COUNTIFS($L$215:$L216,$L216))</f>
        <v>2</v>
      </c>
    </row>
    <row r="217" customFormat="false" ht="15" hidden="false" customHeight="false" outlineLevel="0" collapsed="false">
      <c r="B217" s="38" t="str">
        <f aca="false">IFERROR(INDEX(Schedule!$C$4:$C$483,MATCH(9003,Schedule!$K$4:$K$483,0)),"")</f>
        <v>OpenAI</v>
      </c>
      <c r="C217" s="39" t="n">
        <f aca="false">IF($B217="","",INDEX(Schedule!$G$4:$G$483,MATCH(9003,Schedule!$K$4:$K$483,0)))</f>
        <v>46300</v>
      </c>
      <c r="D217" s="40" t="str">
        <f aca="false">IF($B217="","",INDEX(Schedule!$D$4:$D$483,MATCH(9003,Schedule!$K$4:$K$483,0)))</f>
        <v>Expense</v>
      </c>
      <c r="E217" s="41" t="n">
        <f aca="false">IF($B217="","",INDEX(Schedule!$E$4:$E$483,MATCH(9003,Schedule!$K$4:$K$483,0)))</f>
        <v>20</v>
      </c>
      <c r="F217" s="42"/>
      <c r="G217" s="43" t="str">
        <f aca="false">IF($B217="","",IF($D217="Income",IF($F217&lt;&gt;"",$F217,$E217),""))</f>
        <v/>
      </c>
      <c r="H217" s="44" t="n">
        <f aca="false">IF($B217="","",IF($D217="Income","",IF($F217&lt;&gt;"",$F217,$E217)))</f>
        <v>20</v>
      </c>
      <c r="I217" s="45" t="n">
        <f aca="false">IF($B217="","",$I$213+SUMIFS($G$215:$G$235,$M$215:$M$235,"&lt;="&amp;$M217)-SUMIFS($H$215:$H$235,$M$215:$M$235,"&lt;="&amp;$M217))</f>
        <v>3676.44</v>
      </c>
      <c r="J217" s="46" t="str">
        <f aca="true">IF($B217="","",IF($F217&lt;&gt;"",IF($C217&gt;TODAY(),"ADJUSTED","PAID"),IF($C217&lt;TODAY(),"PAST DUE",IF($C217&lt;=TODAY()+7,"DUE","Upcoming"))))</f>
        <v>Upcoming</v>
      </c>
      <c r="L217" s="47" t="n">
        <f aca="false">IF($B217="","",$C217)</f>
        <v>46300</v>
      </c>
      <c r="M217" s="48" t="n">
        <f aca="false">IF($L217="","",COUNTIFS($L$215:$L$235,"&lt;"&amp;$L217)+COUNTIFS($L$215:$L217,$L217))</f>
        <v>3</v>
      </c>
    </row>
    <row r="218" customFormat="false" ht="15" hidden="false" customHeight="false" outlineLevel="0" collapsed="false">
      <c r="B218" s="38" t="str">
        <f aca="false">IFERROR(INDEX(Schedule!$C$4:$C$483,MATCH(9004,Schedule!$K$4:$K$483,0)),"")</f>
        <v>Obsidian</v>
      </c>
      <c r="C218" s="39" t="n">
        <f aca="false">IF($B218="","",INDEX(Schedule!$G$4:$G$483,MATCH(9004,Schedule!$K$4:$K$483,0)))</f>
        <v>46300</v>
      </c>
      <c r="D218" s="40" t="str">
        <f aca="false">IF($B218="","",INDEX(Schedule!$D$4:$D$483,MATCH(9004,Schedule!$K$4:$K$483,0)))</f>
        <v>Expense</v>
      </c>
      <c r="E218" s="41" t="n">
        <f aca="false">IF($B218="","",INDEX(Schedule!$E$4:$E$483,MATCH(9004,Schedule!$K$4:$K$483,0)))</f>
        <v>10</v>
      </c>
      <c r="F218" s="42"/>
      <c r="G218" s="43" t="str">
        <f aca="false">IF($B218="","",IF($D218="Income",IF($F218&lt;&gt;"",$F218,$E218),""))</f>
        <v/>
      </c>
      <c r="H218" s="44" t="n">
        <f aca="false">IF($B218="","",IF($D218="Income","",IF($F218&lt;&gt;"",$F218,$E218)))</f>
        <v>10</v>
      </c>
      <c r="I218" s="45" t="n">
        <f aca="false">IF($B218="","",$I$213+SUMIFS($G$215:$G$235,$M$215:$M$235,"&lt;="&amp;$M218)-SUMIFS($H$215:$H$235,$M$215:$M$235,"&lt;="&amp;$M218))</f>
        <v>3666.44</v>
      </c>
      <c r="J218" s="46" t="str">
        <f aca="true">IF($B218="","",IF($F218&lt;&gt;"",IF($C218&gt;TODAY(),"ADJUSTED","PAID"),IF($C218&lt;TODAY(),"PAST DUE",IF($C218&lt;=TODAY()+7,"DUE","Upcoming"))))</f>
        <v>Upcoming</v>
      </c>
      <c r="L218" s="47" t="n">
        <f aca="false">IF($B218="","",$C218)</f>
        <v>46300</v>
      </c>
      <c r="M218" s="48" t="n">
        <f aca="false">IF($L218="","",COUNTIFS($L$215:$L$235,"&lt;"&amp;$L218)+COUNTIFS($L$215:$L218,$L218))</f>
        <v>4</v>
      </c>
    </row>
    <row r="219" customFormat="false" ht="15" hidden="false" customHeight="false" outlineLevel="0" collapsed="false">
      <c r="B219" s="38" t="str">
        <f aca="false">IFERROR(INDEX(Schedule!$C$4:$C$483,MATCH(9005,Schedule!$K$4:$K$483,0)),"")</f>
        <v>Bruno's Restaurant (paycheck)</v>
      </c>
      <c r="C219" s="39" t="n">
        <f aca="false">IF($B219="","",INDEX(Schedule!$G$4:$G$483,MATCH(9005,Schedule!$K$4:$K$483,0)))</f>
        <v>46302</v>
      </c>
      <c r="D219" s="40" t="str">
        <f aca="false">IF($B219="","",INDEX(Schedule!$D$4:$D$483,MATCH(9005,Schedule!$K$4:$K$483,0)))</f>
        <v>Income</v>
      </c>
      <c r="E219" s="41" t="n">
        <f aca="false">IF($B219="","",INDEX(Schedule!$E$4:$E$483,MATCH(9005,Schedule!$K$4:$K$483,0)))</f>
        <v>90</v>
      </c>
      <c r="F219" s="42"/>
      <c r="G219" s="43" t="n">
        <f aca="false">IF($B219="","",IF($D219="Income",IF($F219&lt;&gt;"",$F219,$E219),""))</f>
        <v>90</v>
      </c>
      <c r="H219" s="44" t="str">
        <f aca="false">IF($B219="","",IF($D219="Income","",IF($F219&lt;&gt;"",$F219,$E219)))</f>
        <v/>
      </c>
      <c r="I219" s="45" t="n">
        <f aca="false">IF($B219="","",$I$213+SUMIFS($G$215:$G$235,$M$215:$M$235,"&lt;="&amp;$M219)-SUMIFS($H$215:$H$235,$M$215:$M$235,"&lt;="&amp;$M219))</f>
        <v>3756.44</v>
      </c>
      <c r="J219" s="46" t="str">
        <f aca="true">IF($B219="","",IF($F219&lt;&gt;"",IF($C219&gt;TODAY(),"ADJUSTED","PAID"),IF($C219&lt;TODAY(),"PAST DUE",IF($C219&lt;=TODAY()+7,"DUE","Upcoming"))))</f>
        <v>Upcoming</v>
      </c>
      <c r="L219" s="47" t="n">
        <f aca="false">IF($B219="","",$C219)</f>
        <v>46302</v>
      </c>
      <c r="M219" s="48" t="n">
        <f aca="false">IF($L219="","",COUNTIFS($L$215:$L$235,"&lt;"&amp;$L219)+COUNTIFS($L$215:$L219,$L219))</f>
        <v>5</v>
      </c>
    </row>
    <row r="220" customFormat="false" ht="15" hidden="false" customHeight="false" outlineLevel="0" collapsed="false">
      <c r="B220" s="38" t="str">
        <f aca="false">IFERROR(INDEX(Schedule!$C$4:$C$483,MATCH(9006,Schedule!$K$4:$K$483,0)),"")</f>
        <v>Google One</v>
      </c>
      <c r="C220" s="39" t="n">
        <f aca="false">IF($B220="","",INDEX(Schedule!$G$4:$G$483,MATCH(9006,Schedule!$K$4:$K$483,0)))</f>
        <v>46302</v>
      </c>
      <c r="D220" s="40" t="str">
        <f aca="false">IF($B220="","",INDEX(Schedule!$D$4:$D$483,MATCH(9006,Schedule!$K$4:$K$483,0)))</f>
        <v>Expense</v>
      </c>
      <c r="E220" s="41" t="n">
        <f aca="false">IF($B220="","",INDEX(Schedule!$E$4:$E$483,MATCH(9006,Schedule!$K$4:$K$483,0)))</f>
        <v>4.99</v>
      </c>
      <c r="F220" s="42"/>
      <c r="G220" s="43" t="str">
        <f aca="false">IF($B220="","",IF($D220="Income",IF($F220&lt;&gt;"",$F220,$E220),""))</f>
        <v/>
      </c>
      <c r="H220" s="44" t="n">
        <f aca="false">IF($B220="","",IF($D220="Income","",IF($F220&lt;&gt;"",$F220,$E220)))</f>
        <v>4.99</v>
      </c>
      <c r="I220" s="45" t="n">
        <f aca="false">IF($B220="","",$I$213+SUMIFS($G$215:$G$235,$M$215:$M$235,"&lt;="&amp;$M220)-SUMIFS($H$215:$H$235,$M$215:$M$235,"&lt;="&amp;$M220))</f>
        <v>3751.45</v>
      </c>
      <c r="J220" s="46" t="str">
        <f aca="true">IF($B220="","",IF($F220&lt;&gt;"",IF($C220&gt;TODAY(),"ADJUSTED","PAID"),IF($C220&lt;TODAY(),"PAST DUE",IF($C220&lt;=TODAY()+7,"DUE","Upcoming"))))</f>
        <v>Upcoming</v>
      </c>
      <c r="L220" s="47" t="n">
        <f aca="false">IF($B220="","",$C220)</f>
        <v>46302</v>
      </c>
      <c r="M220" s="48" t="n">
        <f aca="false">IF($L220="","",COUNTIFS($L$215:$L$235,"&lt;"&amp;$L220)+COUNTIFS($L$215:$L220,$L220))</f>
        <v>6</v>
      </c>
    </row>
    <row r="221" customFormat="false" ht="15" hidden="false" customHeight="false" outlineLevel="0" collapsed="false">
      <c r="B221" s="38" t="str">
        <f aca="false">IFERROR(INDEX(Schedule!$C$4:$C$483,MATCH(9007,Schedule!$K$4:$K$483,0)),"")</f>
        <v>Upstart (loan)</v>
      </c>
      <c r="C221" s="39" t="n">
        <f aca="false">IF($B221="","",INDEX(Schedule!$G$4:$G$483,MATCH(9007,Schedule!$K$4:$K$483,0)))</f>
        <v>46302</v>
      </c>
      <c r="D221" s="40" t="str">
        <f aca="false">IF($B221="","",INDEX(Schedule!$D$4:$D$483,MATCH(9007,Schedule!$K$4:$K$483,0)))</f>
        <v>Expense</v>
      </c>
      <c r="E221" s="41" t="n">
        <f aca="false">IF($B221="","",INDEX(Schedule!$E$4:$E$483,MATCH(9007,Schedule!$K$4:$K$483,0)))</f>
        <v>500</v>
      </c>
      <c r="F221" s="42"/>
      <c r="G221" s="43" t="str">
        <f aca="false">IF($B221="","",IF($D221="Income",IF($F221&lt;&gt;"",$F221,$E221),""))</f>
        <v/>
      </c>
      <c r="H221" s="44" t="n">
        <f aca="false">IF($B221="","",IF($D221="Income","",IF($F221&lt;&gt;"",$F221,$E221)))</f>
        <v>500</v>
      </c>
      <c r="I221" s="45" t="n">
        <f aca="false">IF($B221="","",$I$213+SUMIFS($G$215:$G$235,$M$215:$M$235,"&lt;="&amp;$M221)-SUMIFS($H$215:$H$235,$M$215:$M$235,"&lt;="&amp;$M221))</f>
        <v>3251.45</v>
      </c>
      <c r="J221" s="46" t="str">
        <f aca="true">IF($B221="","",IF($F221&lt;&gt;"",IF($C221&gt;TODAY(),"ADJUSTED","PAID"),IF($C221&lt;TODAY(),"PAST DUE",IF($C221&lt;=TODAY()+7,"DUE","Upcoming"))))</f>
        <v>Upcoming</v>
      </c>
      <c r="L221" s="47" t="n">
        <f aca="false">IF($B221="","",$C221)</f>
        <v>46302</v>
      </c>
      <c r="M221" s="48" t="n">
        <f aca="false">IF($L221="","",COUNTIFS($L$215:$L$235,"&lt;"&amp;$L221)+COUNTIFS($L$215:$L221,$L221))</f>
        <v>7</v>
      </c>
    </row>
    <row r="222" customFormat="false" ht="15" hidden="false" customHeight="false" outlineLevel="0" collapsed="false">
      <c r="B222" s="38" t="str">
        <f aca="false">IFERROR(INDEX(Schedule!$C$4:$C$483,MATCH(9008,Schedule!$K$4:$K$483,0)),"")</f>
        <v/>
      </c>
      <c r="C222" s="39" t="str">
        <f aca="false">IF($B222="","",INDEX(Schedule!$G$4:$G$483,MATCH(9008,Schedule!$K$4:$K$483,0)))</f>
        <v/>
      </c>
      <c r="D222" s="40" t="str">
        <f aca="false">IF($B222="","",INDEX(Schedule!$D$4:$D$483,MATCH(9008,Schedule!$K$4:$K$483,0)))</f>
        <v/>
      </c>
      <c r="E222" s="41" t="str">
        <f aca="false">IF($B222="","",INDEX(Schedule!$E$4:$E$483,MATCH(9008,Schedule!$K$4:$K$483,0)))</f>
        <v/>
      </c>
      <c r="F222" s="42"/>
      <c r="G222" s="43" t="str">
        <f aca="false">IF($B222="","",IF($D222="Income",IF($F222&lt;&gt;"",$F222,$E222),""))</f>
        <v/>
      </c>
      <c r="H222" s="44" t="str">
        <f aca="false">IF($B222="","",IF($D222="Income","",IF($F222&lt;&gt;"",$F222,$E222)))</f>
        <v/>
      </c>
      <c r="I222" s="45" t="str">
        <f aca="false">IF($B222="","",$I$213+SUMIFS($G$215:$G$235,$M$215:$M$235,"&lt;="&amp;$M222)-SUMIFS($H$215:$H$235,$M$215:$M$235,"&lt;="&amp;$M222))</f>
        <v/>
      </c>
      <c r="J222" s="46" t="str">
        <f aca="true">IF($B222="","",IF($F222&lt;&gt;"",IF($C222&gt;TODAY(),"ADJUSTED","PAID"),IF($C222&lt;TODAY(),"PAST DUE",IF($C222&lt;=TODAY()+7,"DUE","Upcoming"))))</f>
        <v/>
      </c>
      <c r="L222" s="0" t="str">
        <f aca="false">IF($B222="","",$C222)</f>
        <v/>
      </c>
      <c r="M222" s="0" t="str">
        <f aca="false">IF($L222="","",COUNTIFS($L$215:$L$235,"&lt;"&amp;$L222)+COUNTIFS($L$215:$L222,$L222))</f>
        <v/>
      </c>
    </row>
    <row r="223" customFormat="false" ht="15" hidden="false" customHeight="false" outlineLevel="0" collapsed="false">
      <c r="B223" s="38" t="str">
        <f aca="false">IFERROR(INDEX(Schedule!$C$4:$C$483,MATCH(9009,Schedule!$K$4:$K$483,0)),"")</f>
        <v/>
      </c>
      <c r="C223" s="39" t="str">
        <f aca="false">IF($B223="","",INDEX(Schedule!$G$4:$G$483,MATCH(9009,Schedule!$K$4:$K$483,0)))</f>
        <v/>
      </c>
      <c r="D223" s="40" t="str">
        <f aca="false">IF($B223="","",INDEX(Schedule!$D$4:$D$483,MATCH(9009,Schedule!$K$4:$K$483,0)))</f>
        <v/>
      </c>
      <c r="E223" s="41" t="str">
        <f aca="false">IF($B223="","",INDEX(Schedule!$E$4:$E$483,MATCH(9009,Schedule!$K$4:$K$483,0)))</f>
        <v/>
      </c>
      <c r="F223" s="42"/>
      <c r="G223" s="43" t="str">
        <f aca="false">IF($B223="","",IF($D223="Income",IF($F223&lt;&gt;"",$F223,$E223),""))</f>
        <v/>
      </c>
      <c r="H223" s="44" t="str">
        <f aca="false">IF($B223="","",IF($D223="Income","",IF($F223&lt;&gt;"",$F223,$E223)))</f>
        <v/>
      </c>
      <c r="I223" s="45" t="str">
        <f aca="false">IF($B223="","",$I$213+SUMIFS($G$215:$G$235,$M$215:$M$235,"&lt;="&amp;$M223)-SUMIFS($H$215:$H$235,$M$215:$M$235,"&lt;="&amp;$M223))</f>
        <v/>
      </c>
      <c r="J223" s="46" t="str">
        <f aca="true">IF($B223="","",IF($F223&lt;&gt;"",IF($C223&gt;TODAY(),"ADJUSTED","PAID"),IF($C223&lt;TODAY(),"PAST DUE",IF($C223&lt;=TODAY()+7,"DUE","Upcoming"))))</f>
        <v/>
      </c>
      <c r="L223" s="0" t="str">
        <f aca="false">IF($B223="","",$C223)</f>
        <v/>
      </c>
      <c r="M223" s="0" t="str">
        <f aca="false">IF($L223="","",COUNTIFS($L$215:$L$235,"&lt;"&amp;$L223)+COUNTIFS($L$215:$L223,$L223))</f>
        <v/>
      </c>
    </row>
    <row r="224" customFormat="false" ht="15" hidden="false" customHeight="false" outlineLevel="0" collapsed="false">
      <c r="B224" s="38" t="str">
        <f aca="false">IFERROR(INDEX(Schedule!$C$4:$C$483,MATCH(9010,Schedule!$K$4:$K$483,0)),"")</f>
        <v/>
      </c>
      <c r="C224" s="39" t="str">
        <f aca="false">IF($B224="","",INDEX(Schedule!$G$4:$G$483,MATCH(9010,Schedule!$K$4:$K$483,0)))</f>
        <v/>
      </c>
      <c r="D224" s="40" t="str">
        <f aca="false">IF($B224="","",INDEX(Schedule!$D$4:$D$483,MATCH(9010,Schedule!$K$4:$K$483,0)))</f>
        <v/>
      </c>
      <c r="E224" s="41" t="str">
        <f aca="false">IF($B224="","",INDEX(Schedule!$E$4:$E$483,MATCH(9010,Schedule!$K$4:$K$483,0)))</f>
        <v/>
      </c>
      <c r="F224" s="42"/>
      <c r="G224" s="43" t="str">
        <f aca="false">IF($B224="","",IF($D224="Income",IF($F224&lt;&gt;"",$F224,$E224),""))</f>
        <v/>
      </c>
      <c r="H224" s="44" t="str">
        <f aca="false">IF($B224="","",IF($D224="Income","",IF($F224&lt;&gt;"",$F224,$E224)))</f>
        <v/>
      </c>
      <c r="I224" s="45" t="str">
        <f aca="false">IF($B224="","",$I$213+SUMIFS($G$215:$G$235,$M$215:$M$235,"&lt;="&amp;$M224)-SUMIFS($H$215:$H$235,$M$215:$M$235,"&lt;="&amp;$M224))</f>
        <v/>
      </c>
      <c r="J224" s="46" t="str">
        <f aca="true">IF($B224="","",IF($F224&lt;&gt;"",IF($C224&gt;TODAY(),"ADJUSTED","PAID"),IF($C224&lt;TODAY(),"PAST DUE",IF($C224&lt;=TODAY()+7,"DUE","Upcoming"))))</f>
        <v/>
      </c>
      <c r="L224" s="0" t="str">
        <f aca="false">IF($B224="","",$C224)</f>
        <v/>
      </c>
      <c r="M224" s="0" t="str">
        <f aca="false">IF($L224="","",COUNTIFS($L$215:$L$235,"&lt;"&amp;$L224)+COUNTIFS($L$215:$L224,$L224))</f>
        <v/>
      </c>
    </row>
    <row r="225" customFormat="false" ht="15" hidden="false" customHeight="false" outlineLevel="0" collapsed="false">
      <c r="B225" s="49" t="s">
        <v>127</v>
      </c>
      <c r="C225" s="50"/>
      <c r="D225" s="50"/>
      <c r="E225" s="50"/>
      <c r="F225" s="50"/>
      <c r="G225" s="50"/>
      <c r="H225" s="50"/>
      <c r="I225" s="50"/>
      <c r="J225" s="50"/>
    </row>
    <row r="226" customFormat="false" ht="15" hidden="false" customHeight="false" outlineLevel="0" collapsed="false">
      <c r="B226" s="6"/>
      <c r="C226" s="51"/>
      <c r="D226" s="52" t="str">
        <f aca="false">IF($B226="","","Expense")</f>
        <v/>
      </c>
      <c r="E226" s="18"/>
      <c r="F226" s="10"/>
      <c r="G226" s="10"/>
      <c r="H226" s="53" t="str">
        <f aca="false">IF($B226="","",N($E226))</f>
        <v/>
      </c>
      <c r="I226" s="54" t="str">
        <f aca="false">IF($B226="","",$I$213+SUMIFS($G$215:$G$235,$M$215:$M$235,"&lt;="&amp;$M226)-SUMIFS($H$215:$H$235,$M$215:$M$235,"&lt;="&amp;$M226))</f>
        <v/>
      </c>
      <c r="J226" s="10"/>
      <c r="L226" s="0" t="str">
        <f aca="false">IF($B226="","",IF($C226="",$E$6+62,$C226))</f>
        <v/>
      </c>
      <c r="M226" s="0" t="str">
        <f aca="false">IF($L226="","",COUNTIFS($L$215:$L$235,"&lt;"&amp;$L226)+COUNTIFS($L$215:$L226,$L226))</f>
        <v/>
      </c>
    </row>
    <row r="227" customFormat="false" ht="15" hidden="false" customHeight="false" outlineLevel="0" collapsed="false">
      <c r="B227" s="6"/>
      <c r="C227" s="51"/>
      <c r="D227" s="52" t="str">
        <f aca="false">IF($B227="","","Expense")</f>
        <v/>
      </c>
      <c r="E227" s="18"/>
      <c r="F227" s="10"/>
      <c r="G227" s="10"/>
      <c r="H227" s="53" t="str">
        <f aca="false">IF($B227="","",N($E227))</f>
        <v/>
      </c>
      <c r="I227" s="54" t="str">
        <f aca="false">IF($B227="","",$I$213+SUMIFS($G$215:$G$235,$M$215:$M$235,"&lt;="&amp;$M227)-SUMIFS($H$215:$H$235,$M$215:$M$235,"&lt;="&amp;$M227))</f>
        <v/>
      </c>
      <c r="J227" s="10"/>
      <c r="L227" s="0" t="str">
        <f aca="false">IF($B227="","",IF($C227="",$E$6+62,$C227))</f>
        <v/>
      </c>
      <c r="M227" s="0" t="str">
        <f aca="false">IF($L227="","",COUNTIFS($L$215:$L$235,"&lt;"&amp;$L227)+COUNTIFS($L$215:$L227,$L227))</f>
        <v/>
      </c>
    </row>
    <row r="228" customFormat="false" ht="15" hidden="false" customHeight="false" outlineLevel="0" collapsed="false">
      <c r="B228" s="6"/>
      <c r="C228" s="51"/>
      <c r="D228" s="52" t="str">
        <f aca="false">IF($B228="","","Expense")</f>
        <v/>
      </c>
      <c r="E228" s="18"/>
      <c r="F228" s="10"/>
      <c r="G228" s="10"/>
      <c r="H228" s="53" t="str">
        <f aca="false">IF($B228="","",N($E228))</f>
        <v/>
      </c>
      <c r="I228" s="54" t="str">
        <f aca="false">IF($B228="","",$I$213+SUMIFS($G$215:$G$235,$M$215:$M$235,"&lt;="&amp;$M228)-SUMIFS($H$215:$H$235,$M$215:$M$235,"&lt;="&amp;$M228))</f>
        <v/>
      </c>
      <c r="J228" s="10"/>
      <c r="L228" s="0" t="str">
        <f aca="false">IF($B228="","",IF($C228="",$E$6+62,$C228))</f>
        <v/>
      </c>
      <c r="M228" s="0" t="str">
        <f aca="false">IF($L228="","",COUNTIFS($L$215:$L$235,"&lt;"&amp;$L228)+COUNTIFS($L$215:$L228,$L228))</f>
        <v/>
      </c>
    </row>
    <row r="229" customFormat="false" ht="15" hidden="false" customHeight="false" outlineLevel="0" collapsed="false">
      <c r="B229" s="6"/>
      <c r="C229" s="51"/>
      <c r="D229" s="52" t="str">
        <f aca="false">IF($B229="","","Expense")</f>
        <v/>
      </c>
      <c r="E229" s="18"/>
      <c r="F229" s="10"/>
      <c r="G229" s="10"/>
      <c r="H229" s="53" t="str">
        <f aca="false">IF($B229="","",N($E229))</f>
        <v/>
      </c>
      <c r="I229" s="54" t="str">
        <f aca="false">IF($B229="","",$I$213+SUMIFS($G$215:$G$235,$M$215:$M$235,"&lt;="&amp;$M229)-SUMIFS($H$215:$H$235,$M$215:$M$235,"&lt;="&amp;$M229))</f>
        <v/>
      </c>
      <c r="J229" s="10"/>
      <c r="L229" s="0" t="str">
        <f aca="false">IF($B229="","",IF($C229="",$E$6+62,$C229))</f>
        <v/>
      </c>
      <c r="M229" s="0" t="str">
        <f aca="false">IF($L229="","",COUNTIFS($L$215:$L$235,"&lt;"&amp;$L229)+COUNTIFS($L$215:$L229,$L229))</f>
        <v/>
      </c>
    </row>
    <row r="230" customFormat="false" ht="15" hidden="false" customHeight="false" outlineLevel="0" collapsed="false">
      <c r="B230" s="6"/>
      <c r="C230" s="51"/>
      <c r="D230" s="52" t="str">
        <f aca="false">IF($B230="","","Expense")</f>
        <v/>
      </c>
      <c r="E230" s="18"/>
      <c r="F230" s="10"/>
      <c r="G230" s="10"/>
      <c r="H230" s="53" t="str">
        <f aca="false">IF($B230="","",N($E230))</f>
        <v/>
      </c>
      <c r="I230" s="54" t="str">
        <f aca="false">IF($B230="","",$I$213+SUMIFS($G$215:$G$235,$M$215:$M$235,"&lt;="&amp;$M230)-SUMIFS($H$215:$H$235,$M$215:$M$235,"&lt;="&amp;$M230))</f>
        <v/>
      </c>
      <c r="J230" s="10"/>
      <c r="L230" s="0" t="str">
        <f aca="false">IF($B230="","",IF($C230="",$E$6+62,$C230))</f>
        <v/>
      </c>
      <c r="M230" s="0" t="str">
        <f aca="false">IF($L230="","",COUNTIFS($L$215:$L$235,"&lt;"&amp;$L230)+COUNTIFS($L$215:$L230,$L230))</f>
        <v/>
      </c>
    </row>
    <row r="231" customFormat="false" ht="15" hidden="false" customHeight="false" outlineLevel="0" collapsed="false">
      <c r="B231" s="6"/>
      <c r="C231" s="51"/>
      <c r="D231" s="52" t="str">
        <f aca="false">IF($B231="","","Expense")</f>
        <v/>
      </c>
      <c r="E231" s="18"/>
      <c r="F231" s="10"/>
      <c r="G231" s="10"/>
      <c r="H231" s="53" t="str">
        <f aca="false">IF($B231="","",N($E231))</f>
        <v/>
      </c>
      <c r="I231" s="54" t="str">
        <f aca="false">IF($B231="","",$I$213+SUMIFS($G$215:$G$235,$M$215:$M$235,"&lt;="&amp;$M231)-SUMIFS($H$215:$H$235,$M$215:$M$235,"&lt;="&amp;$M231))</f>
        <v/>
      </c>
      <c r="J231" s="10"/>
      <c r="L231" s="0" t="str">
        <f aca="false">IF($B231="","",IF($C231="",$E$6+62,$C231))</f>
        <v/>
      </c>
      <c r="M231" s="0" t="str">
        <f aca="false">IF($L231="","",COUNTIFS($L$215:$L$235,"&lt;"&amp;$L231)+COUNTIFS($L$215:$L231,$L231))</f>
        <v/>
      </c>
    </row>
    <row r="232" customFormat="false" ht="15" hidden="false" customHeight="false" outlineLevel="0" collapsed="false">
      <c r="B232" s="6"/>
      <c r="C232" s="51"/>
      <c r="D232" s="52" t="str">
        <f aca="false">IF($B232="","","Expense")</f>
        <v/>
      </c>
      <c r="E232" s="18"/>
      <c r="F232" s="10"/>
      <c r="G232" s="10"/>
      <c r="H232" s="53" t="str">
        <f aca="false">IF($B232="","",N($E232))</f>
        <v/>
      </c>
      <c r="I232" s="54" t="str">
        <f aca="false">IF($B232="","",$I$213+SUMIFS($G$215:$G$235,$M$215:$M$235,"&lt;="&amp;$M232)-SUMIFS($H$215:$H$235,$M$215:$M$235,"&lt;="&amp;$M232))</f>
        <v/>
      </c>
      <c r="J232" s="10"/>
      <c r="L232" s="0" t="str">
        <f aca="false">IF($B232="","",IF($C232="",$E$6+62,$C232))</f>
        <v/>
      </c>
      <c r="M232" s="0" t="str">
        <f aca="false">IF($L232="","",COUNTIFS($L$215:$L$235,"&lt;"&amp;$L232)+COUNTIFS($L$215:$L232,$L232))</f>
        <v/>
      </c>
    </row>
    <row r="233" customFormat="false" ht="15" hidden="false" customHeight="false" outlineLevel="0" collapsed="false">
      <c r="B233" s="6"/>
      <c r="C233" s="51"/>
      <c r="D233" s="52" t="str">
        <f aca="false">IF($B233="","","Expense")</f>
        <v/>
      </c>
      <c r="E233" s="18"/>
      <c r="F233" s="10"/>
      <c r="G233" s="10"/>
      <c r="H233" s="53" t="str">
        <f aca="false">IF($B233="","",N($E233))</f>
        <v/>
      </c>
      <c r="I233" s="54" t="str">
        <f aca="false">IF($B233="","",$I$213+SUMIFS($G$215:$G$235,$M$215:$M$235,"&lt;="&amp;$M233)-SUMIFS($H$215:$H$235,$M$215:$M$235,"&lt;="&amp;$M233))</f>
        <v/>
      </c>
      <c r="J233" s="10"/>
      <c r="L233" s="0" t="str">
        <f aca="false">IF($B233="","",IF($C233="",$E$6+62,$C233))</f>
        <v/>
      </c>
      <c r="M233" s="0" t="str">
        <f aca="false">IF($L233="","",COUNTIFS($L$215:$L$235,"&lt;"&amp;$L233)+COUNTIFS($L$215:$L233,$L233))</f>
        <v/>
      </c>
    </row>
    <row r="234" customFormat="false" ht="15" hidden="false" customHeight="false" outlineLevel="0" collapsed="false">
      <c r="B234" s="6"/>
      <c r="C234" s="51"/>
      <c r="D234" s="52" t="str">
        <f aca="false">IF($B234="","","Expense")</f>
        <v/>
      </c>
      <c r="E234" s="18"/>
      <c r="F234" s="10"/>
      <c r="G234" s="10"/>
      <c r="H234" s="53" t="str">
        <f aca="false">IF($B234="","",N($E234))</f>
        <v/>
      </c>
      <c r="I234" s="54" t="str">
        <f aca="false">IF($B234="","",$I$213+SUMIFS($G$215:$G$235,$M$215:$M$235,"&lt;="&amp;$M234)-SUMIFS($H$215:$H$235,$M$215:$M$235,"&lt;="&amp;$M234))</f>
        <v/>
      </c>
      <c r="J234" s="10"/>
      <c r="L234" s="0" t="str">
        <f aca="false">IF($B234="","",IF($C234="",$E$6+62,$C234))</f>
        <v/>
      </c>
      <c r="M234" s="0" t="str">
        <f aca="false">IF($L234="","",COUNTIFS($L$215:$L$235,"&lt;"&amp;$L234)+COUNTIFS($L$215:$L234,$L234))</f>
        <v/>
      </c>
    </row>
    <row r="235" customFormat="false" ht="15" hidden="false" customHeight="false" outlineLevel="0" collapsed="false">
      <c r="B235" s="6"/>
      <c r="C235" s="51"/>
      <c r="D235" s="52" t="str">
        <f aca="false">IF($B235="","","Expense")</f>
        <v/>
      </c>
      <c r="E235" s="18"/>
      <c r="F235" s="10"/>
      <c r="G235" s="10"/>
      <c r="H235" s="53" t="str">
        <f aca="false">IF($B235="","",N($E235))</f>
        <v/>
      </c>
      <c r="I235" s="54" t="str">
        <f aca="false">IF($B235="","",$I$213+SUMIFS($G$215:$G$235,$M$215:$M$235,"&lt;="&amp;$M235)-SUMIFS($H$215:$H$235,$M$215:$M$235,"&lt;="&amp;$M235))</f>
        <v/>
      </c>
      <c r="J235" s="10"/>
      <c r="L235" s="0" t="str">
        <f aca="false">IF($B235="","",IF($C235="",$E$6+62,$C235))</f>
        <v/>
      </c>
      <c r="M235" s="0" t="str">
        <f aca="false">IF($L235="","",COUNTIFS($L$215:$L$235,"&lt;"&amp;$L235)+COUNTIFS($L$215:$L235,$L235))</f>
        <v/>
      </c>
    </row>
    <row r="236" customFormat="false" ht="15" hidden="false" customHeight="false" outlineLevel="0" collapsed="false">
      <c r="B236" s="55" t="s">
        <v>142</v>
      </c>
      <c r="C236" s="56"/>
      <c r="D236" s="56"/>
      <c r="E236" s="56"/>
      <c r="F236" s="56"/>
      <c r="G236" s="57" t="n">
        <f aca="false">SUM($G$215:$G$235)</f>
        <v>880</v>
      </c>
      <c r="H236" s="57" t="n">
        <f aca="false">SUM($H$215:$H$235)</f>
        <v>556.09</v>
      </c>
      <c r="I236" s="58" t="n">
        <f aca="false">$I$213+$G$236-$H$236</f>
        <v>3251.45</v>
      </c>
      <c r="J236" s="59" t="str">
        <f aca="false">IF($I$236&lt;0,"SHORTFALL",IF($I$236&lt;$E$7,"TIGHT","OK"))</f>
        <v>OK</v>
      </c>
      <c r="K236" s="60" t="str">
        <f aca="false">IF(COUNT($I$215:$I$235)=0,"","Lowest point this week: "&amp;TEXT(MIN($I$215:$I$235),"$#,##0.00;-$#,##0.00")&amp;" on "&amp;TEXT(INDEX($C$215:$C$235,MATCH(MIN($I$215:$I$235),$I$215:$I$235,0)),"ddd mmm d")&amp;"     (in "&amp;TEXT($G$236,"$#,##0.00")&amp;", out "&amp;TEXT($H$236,"$#,##0.00")&amp;")")</f>
        <v>Lowest point this week: $3,251.45 on Wed Oct 7     (in $880.00, out $556.09)</v>
      </c>
    </row>
    <row r="238" customFormat="false" ht="21.75" hidden="false" customHeight="true" outlineLevel="0" collapsed="false">
      <c r="B238" s="31" t="str">
        <f aca="false">"WEEK 10     "&amp;TEXT($E$6+63,"ddd, mmm d")&amp;"   through   "&amp;TEXT($E$6+63+6,"ddd, mmm d, yyyy")</f>
        <v>WEEK 10     Fri, Oct 9   through   Thu, Oct 15, 2026</v>
      </c>
      <c r="C238" s="32"/>
      <c r="D238" s="32"/>
      <c r="E238" s="32"/>
      <c r="F238" s="32"/>
      <c r="G238" s="33" t="s">
        <v>120</v>
      </c>
      <c r="H238" s="32"/>
      <c r="I238" s="34" t="n">
        <f aca="false">$I$236</f>
        <v>3251.45</v>
      </c>
      <c r="J238" s="32"/>
      <c r="K238" s="28" t="str">
        <f aca="false">IF(COUNTIF(Schedule!$I$4:$I$483,10)&gt;10,"! "&amp;COUNTIF(Schedule!$I$4:$I$483,10)-10&amp;" more transaction(s) fall in this week than there are rows to show them.","")</f>
        <v/>
      </c>
    </row>
    <row r="239" customFormat="false" ht="25.5" hidden="false" customHeight="true" outlineLevel="0" collapsed="false">
      <c r="B239" s="35" t="s">
        <v>121</v>
      </c>
      <c r="C239" s="35" t="s">
        <v>122</v>
      </c>
      <c r="D239" s="35" t="s">
        <v>72</v>
      </c>
      <c r="E239" s="35" t="s">
        <v>123</v>
      </c>
      <c r="F239" s="35" t="s">
        <v>124</v>
      </c>
      <c r="G239" s="36" t="s">
        <v>18</v>
      </c>
      <c r="H239" s="37" t="s">
        <v>20</v>
      </c>
      <c r="I239" s="35" t="s">
        <v>125</v>
      </c>
      <c r="J239" s="35" t="s">
        <v>126</v>
      </c>
    </row>
    <row r="240" customFormat="false" ht="15" hidden="false" customHeight="false" outlineLevel="0" collapsed="false">
      <c r="B240" s="38" t="str">
        <f aca="false">IFERROR(INDEX(Schedule!$C$4:$C$483,MATCH(10001,Schedule!$K$4:$K$483,0)),"")</f>
        <v>Compunnel Software (paycheck)</v>
      </c>
      <c r="C240" s="39" t="n">
        <f aca="false">IF($B240="","",INDEX(Schedule!$G$4:$G$483,MATCH(10001,Schedule!$K$4:$K$483,0)))</f>
        <v>46304</v>
      </c>
      <c r="D240" s="40" t="str">
        <f aca="false">IF($B240="","",INDEX(Schedule!$D$4:$D$483,MATCH(10001,Schedule!$K$4:$K$483,0)))</f>
        <v>Income</v>
      </c>
      <c r="E240" s="41" t="n">
        <f aca="false">IF($B240="","",INDEX(Schedule!$E$4:$E$483,MATCH(10001,Schedule!$K$4:$K$483,0)))</f>
        <v>790</v>
      </c>
      <c r="F240" s="42"/>
      <c r="G240" s="43" t="n">
        <f aca="false">IF($B240="","",IF($D240="Income",IF($F240&lt;&gt;"",$F240,$E240),""))</f>
        <v>790</v>
      </c>
      <c r="H240" s="44" t="str">
        <f aca="false">IF($B240="","",IF($D240="Income","",IF($F240&lt;&gt;"",$F240,$E240)))</f>
        <v/>
      </c>
      <c r="I240" s="45" t="n">
        <f aca="false">IF($B240="","",$I$238+SUMIFS($G$240:$G$260,$M$240:$M$260,"&lt;="&amp;$M240)-SUMIFS($H$240:$H$260,$M$240:$M$260,"&lt;="&amp;$M240))</f>
        <v>4041.45</v>
      </c>
      <c r="J240" s="46" t="str">
        <f aca="true">IF($B240="","",IF($F240&lt;&gt;"",IF($C240&gt;TODAY(),"ADJUSTED","PAID"),IF($C240&lt;TODAY(),"PAST DUE",IF($C240&lt;=TODAY()+7,"DUE","Upcoming"))))</f>
        <v>Upcoming</v>
      </c>
      <c r="L240" s="47" t="n">
        <f aca="false">IF($B240="","",$C240)</f>
        <v>46304</v>
      </c>
      <c r="M240" s="48" t="n">
        <f aca="false">IF($L240="","",COUNTIFS($L$240:$L$260,"&lt;"&amp;$L240)+COUNTIFS($L$240:$L240,$L240))</f>
        <v>1</v>
      </c>
    </row>
    <row r="241" customFormat="false" ht="15" hidden="false" customHeight="false" outlineLevel="0" collapsed="false">
      <c r="B241" s="38" t="str">
        <f aca="false">IFERROR(INDEX(Schedule!$C$4:$C$483,MATCH(10002,Schedule!$K$4:$K$483,0)),"")</f>
        <v>Central Maine Power Co.</v>
      </c>
      <c r="C241" s="39" t="n">
        <f aca="false">IF($B241="","",INDEX(Schedule!$G$4:$G$483,MATCH(10002,Schedule!$K$4:$K$483,0)))</f>
        <v>46305</v>
      </c>
      <c r="D241" s="40" t="str">
        <f aca="false">IF($B241="","",INDEX(Schedule!$D$4:$D$483,MATCH(10002,Schedule!$K$4:$K$483,0)))</f>
        <v>Expense</v>
      </c>
      <c r="E241" s="41" t="n">
        <f aca="false">IF($B241="","",INDEX(Schedule!$E$4:$E$483,MATCH(10002,Schedule!$K$4:$K$483,0)))</f>
        <v>163.5</v>
      </c>
      <c r="F241" s="42"/>
      <c r="G241" s="43" t="str">
        <f aca="false">IF($B241="","",IF($D241="Income",IF($F241&lt;&gt;"",$F241,$E241),""))</f>
        <v/>
      </c>
      <c r="H241" s="44" t="n">
        <f aca="false">IF($B241="","",IF($D241="Income","",IF($F241&lt;&gt;"",$F241,$E241)))</f>
        <v>163.5</v>
      </c>
      <c r="I241" s="45" t="n">
        <f aca="false">IF($B241="","",$I$238+SUMIFS($G$240:$G$260,$M$240:$M$260,"&lt;="&amp;$M241)-SUMIFS($H$240:$H$260,$M$240:$M$260,"&lt;="&amp;$M241))</f>
        <v>3877.95</v>
      </c>
      <c r="J241" s="46" t="str">
        <f aca="true">IF($B241="","",IF($F241&lt;&gt;"",IF($C241&gt;TODAY(),"ADJUSTED","PAID"),IF($C241&lt;TODAY(),"PAST DUE",IF($C241&lt;=TODAY()+7,"DUE","Upcoming"))))</f>
        <v>Upcoming</v>
      </c>
      <c r="L241" s="47" t="n">
        <f aca="false">IF($B241="","",$C241)</f>
        <v>46305</v>
      </c>
      <c r="M241" s="48" t="n">
        <f aca="false">IF($L241="","",COUNTIFS($L$240:$L$260,"&lt;"&amp;$L241)+COUNTIFS($L$240:$L241,$L241))</f>
        <v>2</v>
      </c>
    </row>
    <row r="242" customFormat="false" ht="15" hidden="false" customHeight="false" outlineLevel="0" collapsed="false">
      <c r="B242" s="38" t="str">
        <f aca="false">IFERROR(INDEX(Schedule!$C$4:$C$483,MATCH(10003,Schedule!$K$4:$K$483,0)),"")</f>
        <v>Apple: iCloud</v>
      </c>
      <c r="C242" s="39" t="n">
        <f aca="false">IF($B242="","",INDEX(Schedule!$G$4:$G$483,MATCH(10003,Schedule!$K$4:$K$483,0)))</f>
        <v>46308</v>
      </c>
      <c r="D242" s="40" t="str">
        <f aca="false">IF($B242="","",INDEX(Schedule!$D$4:$D$483,MATCH(10003,Schedule!$K$4:$K$483,0)))</f>
        <v>Expense</v>
      </c>
      <c r="E242" s="41" t="n">
        <f aca="false">IF($B242="","",INDEX(Schedule!$E$4:$E$483,MATCH(10003,Schedule!$K$4:$K$483,0)))</f>
        <v>2.99</v>
      </c>
      <c r="F242" s="42"/>
      <c r="G242" s="43" t="str">
        <f aca="false">IF($B242="","",IF($D242="Income",IF($F242&lt;&gt;"",$F242,$E242),""))</f>
        <v/>
      </c>
      <c r="H242" s="44" t="n">
        <f aca="false">IF($B242="","",IF($D242="Income","",IF($F242&lt;&gt;"",$F242,$E242)))</f>
        <v>2.99</v>
      </c>
      <c r="I242" s="45" t="n">
        <f aca="false">IF($B242="","",$I$238+SUMIFS($G$240:$G$260,$M$240:$M$260,"&lt;="&amp;$M242)-SUMIFS($H$240:$H$260,$M$240:$M$260,"&lt;="&amp;$M242))</f>
        <v>3874.96</v>
      </c>
      <c r="J242" s="46" t="str">
        <f aca="true">IF($B242="","",IF($F242&lt;&gt;"",IF($C242&gt;TODAY(),"ADJUSTED","PAID"),IF($C242&lt;TODAY(),"PAST DUE",IF($C242&lt;=TODAY()+7,"DUE","Upcoming"))))</f>
        <v>Upcoming</v>
      </c>
      <c r="L242" s="47" t="n">
        <f aca="false">IF($B242="","",$C242)</f>
        <v>46308</v>
      </c>
      <c r="M242" s="48" t="n">
        <f aca="false">IF($L242="","",COUNTIFS($L$240:$L$260,"&lt;"&amp;$L242)+COUNTIFS($L$240:$L242,$L242))</f>
        <v>3</v>
      </c>
    </row>
    <row r="243" customFormat="false" ht="15" hidden="false" customHeight="false" outlineLevel="0" collapsed="false">
      <c r="B243" s="38" t="str">
        <f aca="false">IFERROR(INDEX(Schedule!$C$4:$C$483,MATCH(10004,Schedule!$K$4:$K$483,0)),"")</f>
        <v>Bruno's Restaurant (paycheck)</v>
      </c>
      <c r="C243" s="39" t="n">
        <f aca="false">IF($B243="","",INDEX(Schedule!$G$4:$G$483,MATCH(10004,Schedule!$K$4:$K$483,0)))</f>
        <v>46309</v>
      </c>
      <c r="D243" s="40" t="str">
        <f aca="false">IF($B243="","",INDEX(Schedule!$D$4:$D$483,MATCH(10004,Schedule!$K$4:$K$483,0)))</f>
        <v>Income</v>
      </c>
      <c r="E243" s="41" t="n">
        <f aca="false">IF($B243="","",INDEX(Schedule!$E$4:$E$483,MATCH(10004,Schedule!$K$4:$K$483,0)))</f>
        <v>90</v>
      </c>
      <c r="F243" s="42"/>
      <c r="G243" s="43" t="n">
        <f aca="false">IF($B243="","",IF($D243="Income",IF($F243&lt;&gt;"",$F243,$E243),""))</f>
        <v>90</v>
      </c>
      <c r="H243" s="44" t="str">
        <f aca="false">IF($B243="","",IF($D243="Income","",IF($F243&lt;&gt;"",$F243,$E243)))</f>
        <v/>
      </c>
      <c r="I243" s="45" t="n">
        <f aca="false">IF($B243="","",$I$238+SUMIFS($G$240:$G$260,$M$240:$M$260,"&lt;="&amp;$M243)-SUMIFS($H$240:$H$260,$M$240:$M$260,"&lt;="&amp;$M243))</f>
        <v>3964.96</v>
      </c>
      <c r="J243" s="46" t="str">
        <f aca="true">IF($B243="","",IF($F243&lt;&gt;"",IF($C243&gt;TODAY(),"ADJUSTED","PAID"),IF($C243&lt;TODAY(),"PAST DUE",IF($C243&lt;=TODAY()+7,"DUE","Upcoming"))))</f>
        <v>Upcoming</v>
      </c>
      <c r="L243" s="47" t="n">
        <f aca="false">IF($B243="","",$C243)</f>
        <v>46309</v>
      </c>
      <c r="M243" s="48" t="n">
        <f aca="false">IF($L243="","",COUNTIFS($L$240:$L$260,"&lt;"&amp;$L243)+COUNTIFS($L$240:$L243,$L243))</f>
        <v>4</v>
      </c>
    </row>
    <row r="244" customFormat="false" ht="15" hidden="false" customHeight="false" outlineLevel="0" collapsed="false">
      <c r="B244" s="38" t="str">
        <f aca="false">IFERROR(INDEX(Schedule!$C$4:$C$483,MATCH(10005,Schedule!$K$4:$K$483,0)),"")</f>
        <v>Patrick Rombalski (rent)</v>
      </c>
      <c r="C244" s="39" t="n">
        <f aca="false">IF($B244="","",INDEX(Schedule!$G$4:$G$483,MATCH(10005,Schedule!$K$4:$K$483,0)))</f>
        <v>46310</v>
      </c>
      <c r="D244" s="40" t="str">
        <f aca="false">IF($B244="","",INDEX(Schedule!$D$4:$D$483,MATCH(10005,Schedule!$K$4:$K$483,0)))</f>
        <v>Expense</v>
      </c>
      <c r="E244" s="41" t="n">
        <f aca="false">IF($B244="","",INDEX(Schedule!$E$4:$E$483,MATCH(10005,Schedule!$K$4:$K$483,0)))</f>
        <v>350</v>
      </c>
      <c r="F244" s="42"/>
      <c r="G244" s="43" t="str">
        <f aca="false">IF($B244="","",IF($D244="Income",IF($F244&lt;&gt;"",$F244,$E244),""))</f>
        <v/>
      </c>
      <c r="H244" s="44" t="n">
        <f aca="false">IF($B244="","",IF($D244="Income","",IF($F244&lt;&gt;"",$F244,$E244)))</f>
        <v>350</v>
      </c>
      <c r="I244" s="45" t="n">
        <f aca="false">IF($B244="","",$I$238+SUMIFS($G$240:$G$260,$M$240:$M$260,"&lt;="&amp;$M244)-SUMIFS($H$240:$H$260,$M$240:$M$260,"&lt;="&amp;$M244))</f>
        <v>3614.96</v>
      </c>
      <c r="J244" s="46" t="str">
        <f aca="true">IF($B244="","",IF($F244&lt;&gt;"",IF($C244&gt;TODAY(),"ADJUSTED","PAID"),IF($C244&lt;TODAY(),"PAST DUE",IF($C244&lt;=TODAY()+7,"DUE","Upcoming"))))</f>
        <v>Upcoming</v>
      </c>
      <c r="L244" s="47" t="n">
        <f aca="false">IF($B244="","",$C244)</f>
        <v>46310</v>
      </c>
      <c r="M244" s="48" t="n">
        <f aca="false">IF($L244="","",COUNTIFS($L$240:$L$260,"&lt;"&amp;$L244)+COUNTIFS($L$240:$L244,$L244))</f>
        <v>5</v>
      </c>
    </row>
    <row r="245" customFormat="false" ht="15" hidden="false" customHeight="false" outlineLevel="0" collapsed="false">
      <c r="B245" s="38" t="str">
        <f aca="false">IFERROR(INDEX(Schedule!$C$4:$C$483,MATCH(10006,Schedule!$K$4:$K$483,0)),"")</f>
        <v/>
      </c>
      <c r="C245" s="39" t="str">
        <f aca="false">IF($B245="","",INDEX(Schedule!$G$4:$G$483,MATCH(10006,Schedule!$K$4:$K$483,0)))</f>
        <v/>
      </c>
      <c r="D245" s="40" t="str">
        <f aca="false">IF($B245="","",INDEX(Schedule!$D$4:$D$483,MATCH(10006,Schedule!$K$4:$K$483,0)))</f>
        <v/>
      </c>
      <c r="E245" s="41" t="str">
        <f aca="false">IF($B245="","",INDEX(Schedule!$E$4:$E$483,MATCH(10006,Schedule!$K$4:$K$483,0)))</f>
        <v/>
      </c>
      <c r="F245" s="42"/>
      <c r="G245" s="43" t="str">
        <f aca="false">IF($B245="","",IF($D245="Income",IF($F245&lt;&gt;"",$F245,$E245),""))</f>
        <v/>
      </c>
      <c r="H245" s="44" t="str">
        <f aca="false">IF($B245="","",IF($D245="Income","",IF($F245&lt;&gt;"",$F245,$E245)))</f>
        <v/>
      </c>
      <c r="I245" s="45" t="str">
        <f aca="false">IF($B245="","",$I$238+SUMIFS($G$240:$G$260,$M$240:$M$260,"&lt;="&amp;$M245)-SUMIFS($H$240:$H$260,$M$240:$M$260,"&lt;="&amp;$M245))</f>
        <v/>
      </c>
      <c r="J245" s="46" t="str">
        <f aca="true">IF($B245="","",IF($F245&lt;&gt;"",IF($C245&gt;TODAY(),"ADJUSTED","PAID"),IF($C245&lt;TODAY(),"PAST DUE",IF($C245&lt;=TODAY()+7,"DUE","Upcoming"))))</f>
        <v/>
      </c>
      <c r="L245" s="0" t="str">
        <f aca="false">IF($B245="","",$C245)</f>
        <v/>
      </c>
      <c r="M245" s="0" t="str">
        <f aca="false">IF($L245="","",COUNTIFS($L$240:$L$260,"&lt;"&amp;$L245)+COUNTIFS($L$240:$L245,$L245))</f>
        <v/>
      </c>
    </row>
    <row r="246" customFormat="false" ht="15" hidden="false" customHeight="false" outlineLevel="0" collapsed="false">
      <c r="B246" s="38" t="str">
        <f aca="false">IFERROR(INDEX(Schedule!$C$4:$C$483,MATCH(10007,Schedule!$K$4:$K$483,0)),"")</f>
        <v/>
      </c>
      <c r="C246" s="39" t="str">
        <f aca="false">IF($B246="","",INDEX(Schedule!$G$4:$G$483,MATCH(10007,Schedule!$K$4:$K$483,0)))</f>
        <v/>
      </c>
      <c r="D246" s="40" t="str">
        <f aca="false">IF($B246="","",INDEX(Schedule!$D$4:$D$483,MATCH(10007,Schedule!$K$4:$K$483,0)))</f>
        <v/>
      </c>
      <c r="E246" s="41" t="str">
        <f aca="false">IF($B246="","",INDEX(Schedule!$E$4:$E$483,MATCH(10007,Schedule!$K$4:$K$483,0)))</f>
        <v/>
      </c>
      <c r="F246" s="42"/>
      <c r="G246" s="43" t="str">
        <f aca="false">IF($B246="","",IF($D246="Income",IF($F246&lt;&gt;"",$F246,$E246),""))</f>
        <v/>
      </c>
      <c r="H246" s="44" t="str">
        <f aca="false">IF($B246="","",IF($D246="Income","",IF($F246&lt;&gt;"",$F246,$E246)))</f>
        <v/>
      </c>
      <c r="I246" s="45" t="str">
        <f aca="false">IF($B246="","",$I$238+SUMIFS($G$240:$G$260,$M$240:$M$260,"&lt;="&amp;$M246)-SUMIFS($H$240:$H$260,$M$240:$M$260,"&lt;="&amp;$M246))</f>
        <v/>
      </c>
      <c r="J246" s="46" t="str">
        <f aca="true">IF($B246="","",IF($F246&lt;&gt;"",IF($C246&gt;TODAY(),"ADJUSTED","PAID"),IF($C246&lt;TODAY(),"PAST DUE",IF($C246&lt;=TODAY()+7,"DUE","Upcoming"))))</f>
        <v/>
      </c>
      <c r="L246" s="0" t="str">
        <f aca="false">IF($B246="","",$C246)</f>
        <v/>
      </c>
      <c r="M246" s="0" t="str">
        <f aca="false">IF($L246="","",COUNTIFS($L$240:$L$260,"&lt;"&amp;$L246)+COUNTIFS($L$240:$L246,$L246))</f>
        <v/>
      </c>
    </row>
    <row r="247" customFormat="false" ht="15" hidden="false" customHeight="false" outlineLevel="0" collapsed="false">
      <c r="B247" s="38" t="str">
        <f aca="false">IFERROR(INDEX(Schedule!$C$4:$C$483,MATCH(10008,Schedule!$K$4:$K$483,0)),"")</f>
        <v/>
      </c>
      <c r="C247" s="39" t="str">
        <f aca="false">IF($B247="","",INDEX(Schedule!$G$4:$G$483,MATCH(10008,Schedule!$K$4:$K$483,0)))</f>
        <v/>
      </c>
      <c r="D247" s="40" t="str">
        <f aca="false">IF($B247="","",INDEX(Schedule!$D$4:$D$483,MATCH(10008,Schedule!$K$4:$K$483,0)))</f>
        <v/>
      </c>
      <c r="E247" s="41" t="str">
        <f aca="false">IF($B247="","",INDEX(Schedule!$E$4:$E$483,MATCH(10008,Schedule!$K$4:$K$483,0)))</f>
        <v/>
      </c>
      <c r="F247" s="42"/>
      <c r="G247" s="43" t="str">
        <f aca="false">IF($B247="","",IF($D247="Income",IF($F247&lt;&gt;"",$F247,$E247),""))</f>
        <v/>
      </c>
      <c r="H247" s="44" t="str">
        <f aca="false">IF($B247="","",IF($D247="Income","",IF($F247&lt;&gt;"",$F247,$E247)))</f>
        <v/>
      </c>
      <c r="I247" s="45" t="str">
        <f aca="false">IF($B247="","",$I$238+SUMIFS($G$240:$G$260,$M$240:$M$260,"&lt;="&amp;$M247)-SUMIFS($H$240:$H$260,$M$240:$M$260,"&lt;="&amp;$M247))</f>
        <v/>
      </c>
      <c r="J247" s="46" t="str">
        <f aca="true">IF($B247="","",IF($F247&lt;&gt;"",IF($C247&gt;TODAY(),"ADJUSTED","PAID"),IF($C247&lt;TODAY(),"PAST DUE",IF($C247&lt;=TODAY()+7,"DUE","Upcoming"))))</f>
        <v/>
      </c>
      <c r="L247" s="0" t="str">
        <f aca="false">IF($B247="","",$C247)</f>
        <v/>
      </c>
      <c r="M247" s="0" t="str">
        <f aca="false">IF($L247="","",COUNTIFS($L$240:$L$260,"&lt;"&amp;$L247)+COUNTIFS($L$240:$L247,$L247))</f>
        <v/>
      </c>
    </row>
    <row r="248" customFormat="false" ht="15" hidden="false" customHeight="false" outlineLevel="0" collapsed="false">
      <c r="B248" s="38" t="str">
        <f aca="false">IFERROR(INDEX(Schedule!$C$4:$C$483,MATCH(10009,Schedule!$K$4:$K$483,0)),"")</f>
        <v/>
      </c>
      <c r="C248" s="39" t="str">
        <f aca="false">IF($B248="","",INDEX(Schedule!$G$4:$G$483,MATCH(10009,Schedule!$K$4:$K$483,0)))</f>
        <v/>
      </c>
      <c r="D248" s="40" t="str">
        <f aca="false">IF($B248="","",INDEX(Schedule!$D$4:$D$483,MATCH(10009,Schedule!$K$4:$K$483,0)))</f>
        <v/>
      </c>
      <c r="E248" s="41" t="str">
        <f aca="false">IF($B248="","",INDEX(Schedule!$E$4:$E$483,MATCH(10009,Schedule!$K$4:$K$483,0)))</f>
        <v/>
      </c>
      <c r="F248" s="42"/>
      <c r="G248" s="43" t="str">
        <f aca="false">IF($B248="","",IF($D248="Income",IF($F248&lt;&gt;"",$F248,$E248),""))</f>
        <v/>
      </c>
      <c r="H248" s="44" t="str">
        <f aca="false">IF($B248="","",IF($D248="Income","",IF($F248&lt;&gt;"",$F248,$E248)))</f>
        <v/>
      </c>
      <c r="I248" s="45" t="str">
        <f aca="false">IF($B248="","",$I$238+SUMIFS($G$240:$G$260,$M$240:$M$260,"&lt;="&amp;$M248)-SUMIFS($H$240:$H$260,$M$240:$M$260,"&lt;="&amp;$M248))</f>
        <v/>
      </c>
      <c r="J248" s="46" t="str">
        <f aca="true">IF($B248="","",IF($F248&lt;&gt;"",IF($C248&gt;TODAY(),"ADJUSTED","PAID"),IF($C248&lt;TODAY(),"PAST DUE",IF($C248&lt;=TODAY()+7,"DUE","Upcoming"))))</f>
        <v/>
      </c>
      <c r="L248" s="0" t="str">
        <f aca="false">IF($B248="","",$C248)</f>
        <v/>
      </c>
      <c r="M248" s="0" t="str">
        <f aca="false">IF($L248="","",COUNTIFS($L$240:$L$260,"&lt;"&amp;$L248)+COUNTIFS($L$240:$L248,$L248))</f>
        <v/>
      </c>
    </row>
    <row r="249" customFormat="false" ht="15" hidden="false" customHeight="false" outlineLevel="0" collapsed="false">
      <c r="B249" s="38" t="str">
        <f aca="false">IFERROR(INDEX(Schedule!$C$4:$C$483,MATCH(10010,Schedule!$K$4:$K$483,0)),"")</f>
        <v/>
      </c>
      <c r="C249" s="39" t="str">
        <f aca="false">IF($B249="","",INDEX(Schedule!$G$4:$G$483,MATCH(10010,Schedule!$K$4:$K$483,0)))</f>
        <v/>
      </c>
      <c r="D249" s="40" t="str">
        <f aca="false">IF($B249="","",INDEX(Schedule!$D$4:$D$483,MATCH(10010,Schedule!$K$4:$K$483,0)))</f>
        <v/>
      </c>
      <c r="E249" s="41" t="str">
        <f aca="false">IF($B249="","",INDEX(Schedule!$E$4:$E$483,MATCH(10010,Schedule!$K$4:$K$483,0)))</f>
        <v/>
      </c>
      <c r="F249" s="42"/>
      <c r="G249" s="43" t="str">
        <f aca="false">IF($B249="","",IF($D249="Income",IF($F249&lt;&gt;"",$F249,$E249),""))</f>
        <v/>
      </c>
      <c r="H249" s="44" t="str">
        <f aca="false">IF($B249="","",IF($D249="Income","",IF($F249&lt;&gt;"",$F249,$E249)))</f>
        <v/>
      </c>
      <c r="I249" s="45" t="str">
        <f aca="false">IF($B249="","",$I$238+SUMIFS($G$240:$G$260,$M$240:$M$260,"&lt;="&amp;$M249)-SUMIFS($H$240:$H$260,$M$240:$M$260,"&lt;="&amp;$M249))</f>
        <v/>
      </c>
      <c r="J249" s="46" t="str">
        <f aca="true">IF($B249="","",IF($F249&lt;&gt;"",IF($C249&gt;TODAY(),"ADJUSTED","PAID"),IF($C249&lt;TODAY(),"PAST DUE",IF($C249&lt;=TODAY()+7,"DUE","Upcoming"))))</f>
        <v/>
      </c>
      <c r="L249" s="0" t="str">
        <f aca="false">IF($B249="","",$C249)</f>
        <v/>
      </c>
      <c r="M249" s="0" t="str">
        <f aca="false">IF($L249="","",COUNTIFS($L$240:$L$260,"&lt;"&amp;$L249)+COUNTIFS($L$240:$L249,$L249))</f>
        <v/>
      </c>
    </row>
    <row r="250" customFormat="false" ht="15" hidden="false" customHeight="false" outlineLevel="0" collapsed="false">
      <c r="B250" s="49" t="s">
        <v>127</v>
      </c>
      <c r="C250" s="50"/>
      <c r="D250" s="50"/>
      <c r="E250" s="50"/>
      <c r="F250" s="50"/>
      <c r="G250" s="50"/>
      <c r="H250" s="50"/>
      <c r="I250" s="50"/>
      <c r="J250" s="50"/>
    </row>
    <row r="251" customFormat="false" ht="15" hidden="false" customHeight="false" outlineLevel="0" collapsed="false">
      <c r="B251" s="6"/>
      <c r="C251" s="51"/>
      <c r="D251" s="52" t="str">
        <f aca="false">IF($B251="","","Expense")</f>
        <v/>
      </c>
      <c r="E251" s="18"/>
      <c r="F251" s="10"/>
      <c r="G251" s="10"/>
      <c r="H251" s="53" t="str">
        <f aca="false">IF($B251="","",N($E251))</f>
        <v/>
      </c>
      <c r="I251" s="54" t="str">
        <f aca="false">IF($B251="","",$I$238+SUMIFS($G$240:$G$260,$M$240:$M$260,"&lt;="&amp;$M251)-SUMIFS($H$240:$H$260,$M$240:$M$260,"&lt;="&amp;$M251))</f>
        <v/>
      </c>
      <c r="J251" s="10"/>
      <c r="L251" s="0" t="str">
        <f aca="false">IF($B251="","",IF($C251="",$E$6+69,$C251))</f>
        <v/>
      </c>
      <c r="M251" s="0" t="str">
        <f aca="false">IF($L251="","",COUNTIFS($L$240:$L$260,"&lt;"&amp;$L251)+COUNTIFS($L$240:$L251,$L251))</f>
        <v/>
      </c>
    </row>
    <row r="252" customFormat="false" ht="15" hidden="false" customHeight="false" outlineLevel="0" collapsed="false">
      <c r="B252" s="6"/>
      <c r="C252" s="51"/>
      <c r="D252" s="52" t="str">
        <f aca="false">IF($B252="","","Expense")</f>
        <v/>
      </c>
      <c r="E252" s="18"/>
      <c r="F252" s="10"/>
      <c r="G252" s="10"/>
      <c r="H252" s="53" t="str">
        <f aca="false">IF($B252="","",N($E252))</f>
        <v/>
      </c>
      <c r="I252" s="54" t="str">
        <f aca="false">IF($B252="","",$I$238+SUMIFS($G$240:$G$260,$M$240:$M$260,"&lt;="&amp;$M252)-SUMIFS($H$240:$H$260,$M$240:$M$260,"&lt;="&amp;$M252))</f>
        <v/>
      </c>
      <c r="J252" s="10"/>
      <c r="L252" s="0" t="str">
        <f aca="false">IF($B252="","",IF($C252="",$E$6+69,$C252))</f>
        <v/>
      </c>
      <c r="M252" s="0" t="str">
        <f aca="false">IF($L252="","",COUNTIFS($L$240:$L$260,"&lt;"&amp;$L252)+COUNTIFS($L$240:$L252,$L252))</f>
        <v/>
      </c>
    </row>
    <row r="253" customFormat="false" ht="15" hidden="false" customHeight="false" outlineLevel="0" collapsed="false">
      <c r="B253" s="6"/>
      <c r="C253" s="51"/>
      <c r="D253" s="52" t="str">
        <f aca="false">IF($B253="","","Expense")</f>
        <v/>
      </c>
      <c r="E253" s="18"/>
      <c r="F253" s="10"/>
      <c r="G253" s="10"/>
      <c r="H253" s="53" t="str">
        <f aca="false">IF($B253="","",N($E253))</f>
        <v/>
      </c>
      <c r="I253" s="54" t="str">
        <f aca="false">IF($B253="","",$I$238+SUMIFS($G$240:$G$260,$M$240:$M$260,"&lt;="&amp;$M253)-SUMIFS($H$240:$H$260,$M$240:$M$260,"&lt;="&amp;$M253))</f>
        <v/>
      </c>
      <c r="J253" s="10"/>
      <c r="L253" s="0" t="str">
        <f aca="false">IF($B253="","",IF($C253="",$E$6+69,$C253))</f>
        <v/>
      </c>
      <c r="M253" s="0" t="str">
        <f aca="false">IF($L253="","",COUNTIFS($L$240:$L$260,"&lt;"&amp;$L253)+COUNTIFS($L$240:$L253,$L253))</f>
        <v/>
      </c>
    </row>
    <row r="254" customFormat="false" ht="15" hidden="false" customHeight="false" outlineLevel="0" collapsed="false">
      <c r="B254" s="6"/>
      <c r="C254" s="51"/>
      <c r="D254" s="52" t="str">
        <f aca="false">IF($B254="","","Expense")</f>
        <v/>
      </c>
      <c r="E254" s="18"/>
      <c r="F254" s="10"/>
      <c r="G254" s="10"/>
      <c r="H254" s="53" t="str">
        <f aca="false">IF($B254="","",N($E254))</f>
        <v/>
      </c>
      <c r="I254" s="54" t="str">
        <f aca="false">IF($B254="","",$I$238+SUMIFS($G$240:$G$260,$M$240:$M$260,"&lt;="&amp;$M254)-SUMIFS($H$240:$H$260,$M$240:$M$260,"&lt;="&amp;$M254))</f>
        <v/>
      </c>
      <c r="J254" s="10"/>
      <c r="L254" s="0" t="str">
        <f aca="false">IF($B254="","",IF($C254="",$E$6+69,$C254))</f>
        <v/>
      </c>
      <c r="M254" s="0" t="str">
        <f aca="false">IF($L254="","",COUNTIFS($L$240:$L$260,"&lt;"&amp;$L254)+COUNTIFS($L$240:$L254,$L254))</f>
        <v/>
      </c>
    </row>
    <row r="255" customFormat="false" ht="15" hidden="false" customHeight="false" outlineLevel="0" collapsed="false">
      <c r="B255" s="6"/>
      <c r="C255" s="51"/>
      <c r="D255" s="52" t="str">
        <f aca="false">IF($B255="","","Expense")</f>
        <v/>
      </c>
      <c r="E255" s="18"/>
      <c r="F255" s="10"/>
      <c r="G255" s="10"/>
      <c r="H255" s="53" t="str">
        <f aca="false">IF($B255="","",N($E255))</f>
        <v/>
      </c>
      <c r="I255" s="54" t="str">
        <f aca="false">IF($B255="","",$I$238+SUMIFS($G$240:$G$260,$M$240:$M$260,"&lt;="&amp;$M255)-SUMIFS($H$240:$H$260,$M$240:$M$260,"&lt;="&amp;$M255))</f>
        <v/>
      </c>
      <c r="J255" s="10"/>
      <c r="L255" s="0" t="str">
        <f aca="false">IF($B255="","",IF($C255="",$E$6+69,$C255))</f>
        <v/>
      </c>
      <c r="M255" s="0" t="str">
        <f aca="false">IF($L255="","",COUNTIFS($L$240:$L$260,"&lt;"&amp;$L255)+COUNTIFS($L$240:$L255,$L255))</f>
        <v/>
      </c>
    </row>
    <row r="256" customFormat="false" ht="15" hidden="false" customHeight="false" outlineLevel="0" collapsed="false">
      <c r="B256" s="6"/>
      <c r="C256" s="51"/>
      <c r="D256" s="52" t="str">
        <f aca="false">IF($B256="","","Expense")</f>
        <v/>
      </c>
      <c r="E256" s="18"/>
      <c r="F256" s="10"/>
      <c r="G256" s="10"/>
      <c r="H256" s="53" t="str">
        <f aca="false">IF($B256="","",N($E256))</f>
        <v/>
      </c>
      <c r="I256" s="54" t="str">
        <f aca="false">IF($B256="","",$I$238+SUMIFS($G$240:$G$260,$M$240:$M$260,"&lt;="&amp;$M256)-SUMIFS($H$240:$H$260,$M$240:$M$260,"&lt;="&amp;$M256))</f>
        <v/>
      </c>
      <c r="J256" s="10"/>
      <c r="L256" s="0" t="str">
        <f aca="false">IF($B256="","",IF($C256="",$E$6+69,$C256))</f>
        <v/>
      </c>
      <c r="M256" s="0" t="str">
        <f aca="false">IF($L256="","",COUNTIFS($L$240:$L$260,"&lt;"&amp;$L256)+COUNTIFS($L$240:$L256,$L256))</f>
        <v/>
      </c>
    </row>
    <row r="257" customFormat="false" ht="15" hidden="false" customHeight="false" outlineLevel="0" collapsed="false">
      <c r="B257" s="6"/>
      <c r="C257" s="51"/>
      <c r="D257" s="52" t="str">
        <f aca="false">IF($B257="","","Expense")</f>
        <v/>
      </c>
      <c r="E257" s="18"/>
      <c r="F257" s="10"/>
      <c r="G257" s="10"/>
      <c r="H257" s="53" t="str">
        <f aca="false">IF($B257="","",N($E257))</f>
        <v/>
      </c>
      <c r="I257" s="54" t="str">
        <f aca="false">IF($B257="","",$I$238+SUMIFS($G$240:$G$260,$M$240:$M$260,"&lt;="&amp;$M257)-SUMIFS($H$240:$H$260,$M$240:$M$260,"&lt;="&amp;$M257))</f>
        <v/>
      </c>
      <c r="J257" s="10"/>
      <c r="L257" s="0" t="str">
        <f aca="false">IF($B257="","",IF($C257="",$E$6+69,$C257))</f>
        <v/>
      </c>
      <c r="M257" s="0" t="str">
        <f aca="false">IF($L257="","",COUNTIFS($L$240:$L$260,"&lt;"&amp;$L257)+COUNTIFS($L$240:$L257,$L257))</f>
        <v/>
      </c>
    </row>
    <row r="258" customFormat="false" ht="15" hidden="false" customHeight="false" outlineLevel="0" collapsed="false">
      <c r="B258" s="6"/>
      <c r="C258" s="51"/>
      <c r="D258" s="52" t="str">
        <f aca="false">IF($B258="","","Expense")</f>
        <v/>
      </c>
      <c r="E258" s="18"/>
      <c r="F258" s="10"/>
      <c r="G258" s="10"/>
      <c r="H258" s="53" t="str">
        <f aca="false">IF($B258="","",N($E258))</f>
        <v/>
      </c>
      <c r="I258" s="54" t="str">
        <f aca="false">IF($B258="","",$I$238+SUMIFS($G$240:$G$260,$M$240:$M$260,"&lt;="&amp;$M258)-SUMIFS($H$240:$H$260,$M$240:$M$260,"&lt;="&amp;$M258))</f>
        <v/>
      </c>
      <c r="J258" s="10"/>
      <c r="L258" s="0" t="str">
        <f aca="false">IF($B258="","",IF($C258="",$E$6+69,$C258))</f>
        <v/>
      </c>
      <c r="M258" s="0" t="str">
        <f aca="false">IF($L258="","",COUNTIFS($L$240:$L$260,"&lt;"&amp;$L258)+COUNTIFS($L$240:$L258,$L258))</f>
        <v/>
      </c>
    </row>
    <row r="259" customFormat="false" ht="15" hidden="false" customHeight="false" outlineLevel="0" collapsed="false">
      <c r="B259" s="6"/>
      <c r="C259" s="51"/>
      <c r="D259" s="52" t="str">
        <f aca="false">IF($B259="","","Expense")</f>
        <v/>
      </c>
      <c r="E259" s="18"/>
      <c r="F259" s="10"/>
      <c r="G259" s="10"/>
      <c r="H259" s="53" t="str">
        <f aca="false">IF($B259="","",N($E259))</f>
        <v/>
      </c>
      <c r="I259" s="54" t="str">
        <f aca="false">IF($B259="","",$I$238+SUMIFS($G$240:$G$260,$M$240:$M$260,"&lt;="&amp;$M259)-SUMIFS($H$240:$H$260,$M$240:$M$260,"&lt;="&amp;$M259))</f>
        <v/>
      </c>
      <c r="J259" s="10"/>
      <c r="L259" s="0" t="str">
        <f aca="false">IF($B259="","",IF($C259="",$E$6+69,$C259))</f>
        <v/>
      </c>
      <c r="M259" s="0" t="str">
        <f aca="false">IF($L259="","",COUNTIFS($L$240:$L$260,"&lt;"&amp;$L259)+COUNTIFS($L$240:$L259,$L259))</f>
        <v/>
      </c>
    </row>
    <row r="260" customFormat="false" ht="15" hidden="false" customHeight="false" outlineLevel="0" collapsed="false">
      <c r="B260" s="6"/>
      <c r="C260" s="51"/>
      <c r="D260" s="52" t="str">
        <f aca="false">IF($B260="","","Expense")</f>
        <v/>
      </c>
      <c r="E260" s="18"/>
      <c r="F260" s="10"/>
      <c r="G260" s="10"/>
      <c r="H260" s="53" t="str">
        <f aca="false">IF($B260="","",N($E260))</f>
        <v/>
      </c>
      <c r="I260" s="54" t="str">
        <f aca="false">IF($B260="","",$I$238+SUMIFS($G$240:$G$260,$M$240:$M$260,"&lt;="&amp;$M260)-SUMIFS($H$240:$H$260,$M$240:$M$260,"&lt;="&amp;$M260))</f>
        <v/>
      </c>
      <c r="J260" s="10"/>
      <c r="L260" s="0" t="str">
        <f aca="false">IF($B260="","",IF($C260="",$E$6+69,$C260))</f>
        <v/>
      </c>
      <c r="M260" s="0" t="str">
        <f aca="false">IF($L260="","",COUNTIFS($L$240:$L$260,"&lt;"&amp;$L260)+COUNTIFS($L$240:$L260,$L260))</f>
        <v/>
      </c>
    </row>
    <row r="261" customFormat="false" ht="15" hidden="false" customHeight="false" outlineLevel="0" collapsed="false">
      <c r="B261" s="55" t="s">
        <v>143</v>
      </c>
      <c r="C261" s="56"/>
      <c r="D261" s="56"/>
      <c r="E261" s="56"/>
      <c r="F261" s="56"/>
      <c r="G261" s="57" t="n">
        <f aca="false">SUM($G$240:$G$260)</f>
        <v>880</v>
      </c>
      <c r="H261" s="57" t="n">
        <f aca="false">SUM($H$240:$H$260)</f>
        <v>516.49</v>
      </c>
      <c r="I261" s="58" t="n">
        <f aca="false">$I$238+$G$261-$H$261</f>
        <v>3614.96</v>
      </c>
      <c r="J261" s="59" t="str">
        <f aca="false">IF($I$261&lt;0,"SHORTFALL",IF($I$261&lt;$E$7,"TIGHT","OK"))</f>
        <v>OK</v>
      </c>
      <c r="K261" s="60" t="str">
        <f aca="false">IF(COUNT($I$240:$I$260)=0,"","Lowest point this week: "&amp;TEXT(MIN($I$240:$I$260),"$#,##0.00;-$#,##0.00")&amp;" on "&amp;TEXT(INDEX($C$240:$C$260,MATCH(MIN($I$240:$I$260),$I$240:$I$260,0)),"ddd mmm d")&amp;"     (in "&amp;TEXT($G$261,"$#,##0.00")&amp;", out "&amp;TEXT($H$261,"$#,##0.00")&amp;")")</f>
        <v>Lowest point this week: $3,614.96 on Thu Oct 15     (in $880.00, out $516.49)</v>
      </c>
    </row>
    <row r="263" customFormat="false" ht="21.75" hidden="false" customHeight="true" outlineLevel="0" collapsed="false">
      <c r="B263" s="31" t="str">
        <f aca="false">"WEEK 11     "&amp;TEXT($E$6+70,"ddd, mmm d")&amp;"   through   "&amp;TEXT($E$6+70+6,"ddd, mmm d, yyyy")</f>
        <v>WEEK 11     Fri, Oct 16   through   Thu, Oct 22, 2026</v>
      </c>
      <c r="C263" s="32"/>
      <c r="D263" s="32"/>
      <c r="E263" s="32"/>
      <c r="F263" s="32"/>
      <c r="G263" s="33" t="s">
        <v>120</v>
      </c>
      <c r="H263" s="32"/>
      <c r="I263" s="34" t="n">
        <f aca="false">$I$261</f>
        <v>3614.96</v>
      </c>
      <c r="J263" s="32"/>
      <c r="K263" s="28" t="str">
        <f aca="false">IF(COUNTIF(Schedule!$I$4:$I$483,11)&gt;10,"! "&amp;COUNTIF(Schedule!$I$4:$I$483,11)-10&amp;" more transaction(s) fall in this week than there are rows to show them.","")</f>
        <v/>
      </c>
    </row>
    <row r="264" customFormat="false" ht="25.5" hidden="false" customHeight="true" outlineLevel="0" collapsed="false">
      <c r="B264" s="35" t="s">
        <v>121</v>
      </c>
      <c r="C264" s="35" t="s">
        <v>122</v>
      </c>
      <c r="D264" s="35" t="s">
        <v>72</v>
      </c>
      <c r="E264" s="35" t="s">
        <v>123</v>
      </c>
      <c r="F264" s="35" t="s">
        <v>124</v>
      </c>
      <c r="G264" s="36" t="s">
        <v>18</v>
      </c>
      <c r="H264" s="37" t="s">
        <v>20</v>
      </c>
      <c r="I264" s="35" t="s">
        <v>125</v>
      </c>
      <c r="J264" s="35" t="s">
        <v>126</v>
      </c>
    </row>
    <row r="265" customFormat="false" ht="15" hidden="false" customHeight="false" outlineLevel="0" collapsed="false">
      <c r="B265" s="38" t="str">
        <f aca="false">IFERROR(INDEX(Schedule!$C$4:$C$483,MATCH(11001,Schedule!$K$4:$K$483,0)),"")</f>
        <v>Compunnel Software (paycheck)</v>
      </c>
      <c r="C265" s="39" t="n">
        <f aca="false">IF($B265="","",INDEX(Schedule!$G$4:$G$483,MATCH(11001,Schedule!$K$4:$K$483,0)))</f>
        <v>46311</v>
      </c>
      <c r="D265" s="40" t="str">
        <f aca="false">IF($B265="","",INDEX(Schedule!$D$4:$D$483,MATCH(11001,Schedule!$K$4:$K$483,0)))</f>
        <v>Income</v>
      </c>
      <c r="E265" s="41" t="n">
        <f aca="false">IF($B265="","",INDEX(Schedule!$E$4:$E$483,MATCH(11001,Schedule!$K$4:$K$483,0)))</f>
        <v>790</v>
      </c>
      <c r="F265" s="42"/>
      <c r="G265" s="43" t="n">
        <f aca="false">IF($B265="","",IF($D265="Income",IF($F265&lt;&gt;"",$F265,$E265),""))</f>
        <v>790</v>
      </c>
      <c r="H265" s="44" t="str">
        <f aca="false">IF($B265="","",IF($D265="Income","",IF($F265&lt;&gt;"",$F265,$E265)))</f>
        <v/>
      </c>
      <c r="I265" s="45" t="n">
        <f aca="false">IF($B265="","",$I$263+SUMIFS($G$265:$G$285,$M$265:$M$285,"&lt;="&amp;$M265)-SUMIFS($H$265:$H$285,$M$265:$M$285,"&lt;="&amp;$M265))</f>
        <v>4404.96</v>
      </c>
      <c r="J265" s="46" t="str">
        <f aca="true">IF($B265="","",IF($F265&lt;&gt;"",IF($C265&gt;TODAY(),"ADJUSTED","PAID"),IF($C265&lt;TODAY(),"PAST DUE",IF($C265&lt;=TODAY()+7,"DUE","Upcoming"))))</f>
        <v>Upcoming</v>
      </c>
      <c r="L265" s="47" t="n">
        <f aca="false">IF($B265="","",$C265)</f>
        <v>46311</v>
      </c>
      <c r="M265" s="48" t="n">
        <f aca="false">IF($L265="","",COUNTIFS($L$265:$L$285,"&lt;"&amp;$L265)+COUNTIFS($L$265:$L265,$L265))</f>
        <v>1</v>
      </c>
    </row>
    <row r="266" customFormat="false" ht="15" hidden="false" customHeight="false" outlineLevel="0" collapsed="false">
      <c r="B266" s="38" t="str">
        <f aca="false">IFERROR(INDEX(Schedule!$C$4:$C$483,MATCH(11002,Schedule!$K$4:$K$483,0)),"")</f>
        <v>Spectrum</v>
      </c>
      <c r="C266" s="39" t="n">
        <f aca="false">IF($B266="","",INDEX(Schedule!$G$4:$G$483,MATCH(11002,Schedule!$K$4:$K$483,0)))</f>
        <v>46311</v>
      </c>
      <c r="D266" s="40" t="str">
        <f aca="false">IF($B266="","",INDEX(Schedule!$D$4:$D$483,MATCH(11002,Schedule!$K$4:$K$483,0)))</f>
        <v>Expense</v>
      </c>
      <c r="E266" s="41" t="n">
        <f aca="false">IF($B266="","",INDEX(Schedule!$E$4:$E$483,MATCH(11002,Schedule!$K$4:$K$483,0)))</f>
        <v>171.1</v>
      </c>
      <c r="F266" s="42"/>
      <c r="G266" s="43" t="str">
        <f aca="false">IF($B266="","",IF($D266="Income",IF($F266&lt;&gt;"",$F266,$E266),""))</f>
        <v/>
      </c>
      <c r="H266" s="44" t="n">
        <f aca="false">IF($B266="","",IF($D266="Income","",IF($F266&lt;&gt;"",$F266,$E266)))</f>
        <v>171.1</v>
      </c>
      <c r="I266" s="45" t="n">
        <f aca="false">IF($B266="","",$I$263+SUMIFS($G$265:$G$285,$M$265:$M$285,"&lt;="&amp;$M266)-SUMIFS($H$265:$H$285,$M$265:$M$285,"&lt;="&amp;$M266))</f>
        <v>4233.86</v>
      </c>
      <c r="J266" s="46" t="str">
        <f aca="true">IF($B266="","",IF($F266&lt;&gt;"",IF($C266&gt;TODAY(),"ADJUSTED","PAID"),IF($C266&lt;TODAY(),"PAST DUE",IF($C266&lt;=TODAY()+7,"DUE","Upcoming"))))</f>
        <v>Upcoming</v>
      </c>
      <c r="L266" s="47" t="n">
        <f aca="false">IF($B266="","",$C266)</f>
        <v>46311</v>
      </c>
      <c r="M266" s="48" t="n">
        <f aca="false">IF($L266="","",COUNTIFS($L$265:$L$285,"&lt;"&amp;$L266)+COUNTIFS($L$265:$L266,$L266))</f>
        <v>2</v>
      </c>
    </row>
    <row r="267" customFormat="false" ht="15" hidden="false" customHeight="false" outlineLevel="0" collapsed="false">
      <c r="B267" s="38" t="str">
        <f aca="false">IFERROR(INDEX(Schedule!$C$4:$C$483,MATCH(11003,Schedule!$K$4:$K$483,0)),"")</f>
        <v>Maine Revenue Services</v>
      </c>
      <c r="C267" s="39" t="n">
        <f aca="false">IF($B267="","",INDEX(Schedule!$G$4:$G$483,MATCH(11003,Schedule!$K$4:$K$483,0)))</f>
        <v>46311</v>
      </c>
      <c r="D267" s="40" t="str">
        <f aca="false">IF($B267="","",INDEX(Schedule!$D$4:$D$483,MATCH(11003,Schedule!$K$4:$K$483,0)))</f>
        <v>Expense</v>
      </c>
      <c r="E267" s="41" t="n">
        <f aca="false">IF($B267="","",INDEX(Schedule!$E$4:$E$483,MATCH(11003,Schedule!$K$4:$K$483,0)))</f>
        <v>45</v>
      </c>
      <c r="F267" s="42"/>
      <c r="G267" s="43" t="str">
        <f aca="false">IF($B267="","",IF($D267="Income",IF($F267&lt;&gt;"",$F267,$E267),""))</f>
        <v/>
      </c>
      <c r="H267" s="44" t="n">
        <f aca="false">IF($B267="","",IF($D267="Income","",IF($F267&lt;&gt;"",$F267,$E267)))</f>
        <v>45</v>
      </c>
      <c r="I267" s="45" t="n">
        <f aca="false">IF($B267="","",$I$263+SUMIFS($G$265:$G$285,$M$265:$M$285,"&lt;="&amp;$M267)-SUMIFS($H$265:$H$285,$M$265:$M$285,"&lt;="&amp;$M267))</f>
        <v>4188.86</v>
      </c>
      <c r="J267" s="46" t="str">
        <f aca="true">IF($B267="","",IF($F267&lt;&gt;"",IF($C267&gt;TODAY(),"ADJUSTED","PAID"),IF($C267&lt;TODAY(),"PAST DUE",IF($C267&lt;=TODAY()+7,"DUE","Upcoming"))))</f>
        <v>Upcoming</v>
      </c>
      <c r="L267" s="47" t="n">
        <f aca="false">IF($B267="","",$C267)</f>
        <v>46311</v>
      </c>
      <c r="M267" s="48" t="n">
        <f aca="false">IF($L267="","",COUNTIFS($L$265:$L$285,"&lt;"&amp;$L267)+COUNTIFS($L$265:$L267,$L267))</f>
        <v>3</v>
      </c>
    </row>
    <row r="268" customFormat="false" ht="15" hidden="false" customHeight="false" outlineLevel="0" collapsed="false">
      <c r="B268" s="38" t="str">
        <f aca="false">IFERROR(INDEX(Schedule!$C$4:$C$483,MATCH(11004,Schedule!$K$4:$K$483,0)),"")</f>
        <v>Metal Copy</v>
      </c>
      <c r="C268" s="39" t="n">
        <f aca="false">IF($B268="","",INDEX(Schedule!$G$4:$G$483,MATCH(11004,Schedule!$K$4:$K$483,0)))</f>
        <v>46313</v>
      </c>
      <c r="D268" s="40" t="str">
        <f aca="false">IF($B268="","",INDEX(Schedule!$D$4:$D$483,MATCH(11004,Schedule!$K$4:$K$483,0)))</f>
        <v>Expense</v>
      </c>
      <c r="E268" s="41" t="n">
        <f aca="false">IF($B268="","",INDEX(Schedule!$E$4:$E$483,MATCH(11004,Schedule!$K$4:$K$483,0)))</f>
        <v>16.99</v>
      </c>
      <c r="F268" s="42"/>
      <c r="G268" s="43" t="str">
        <f aca="false">IF($B268="","",IF($D268="Income",IF($F268&lt;&gt;"",$F268,$E268),""))</f>
        <v/>
      </c>
      <c r="H268" s="44" t="n">
        <f aca="false">IF($B268="","",IF($D268="Income","",IF($F268&lt;&gt;"",$F268,$E268)))</f>
        <v>16.99</v>
      </c>
      <c r="I268" s="45" t="n">
        <f aca="false">IF($B268="","",$I$263+SUMIFS($G$265:$G$285,$M$265:$M$285,"&lt;="&amp;$M268)-SUMIFS($H$265:$H$285,$M$265:$M$285,"&lt;="&amp;$M268))</f>
        <v>4171.87</v>
      </c>
      <c r="J268" s="46" t="str">
        <f aca="true">IF($B268="","",IF($F268&lt;&gt;"",IF($C268&gt;TODAY(),"ADJUSTED","PAID"),IF($C268&lt;TODAY(),"PAST DUE",IF($C268&lt;=TODAY()+7,"DUE","Upcoming"))))</f>
        <v>Upcoming</v>
      </c>
      <c r="L268" s="47" t="n">
        <f aca="false">IF($B268="","",$C268)</f>
        <v>46313</v>
      </c>
      <c r="M268" s="48" t="n">
        <f aca="false">IF($L268="","",COUNTIFS($L$265:$L$285,"&lt;"&amp;$L268)+COUNTIFS($L$265:$L268,$L268))</f>
        <v>4</v>
      </c>
    </row>
    <row r="269" customFormat="false" ht="15" hidden="false" customHeight="false" outlineLevel="0" collapsed="false">
      <c r="B269" s="38" t="str">
        <f aca="false">IFERROR(INDEX(Schedule!$C$4:$C$483,MATCH(11005,Schedule!$K$4:$K$483,0)),"")</f>
        <v>Bruno's Restaurant (paycheck)</v>
      </c>
      <c r="C269" s="39" t="n">
        <f aca="false">IF($B269="","",INDEX(Schedule!$G$4:$G$483,MATCH(11005,Schedule!$K$4:$K$483,0)))</f>
        <v>46316</v>
      </c>
      <c r="D269" s="40" t="str">
        <f aca="false">IF($B269="","",INDEX(Schedule!$D$4:$D$483,MATCH(11005,Schedule!$K$4:$K$483,0)))</f>
        <v>Income</v>
      </c>
      <c r="E269" s="41" t="n">
        <f aca="false">IF($B269="","",INDEX(Schedule!$E$4:$E$483,MATCH(11005,Schedule!$K$4:$K$483,0)))</f>
        <v>90</v>
      </c>
      <c r="F269" s="42"/>
      <c r="G269" s="43" t="n">
        <f aca="false">IF($B269="","",IF($D269="Income",IF($F269&lt;&gt;"",$F269,$E269),""))</f>
        <v>90</v>
      </c>
      <c r="H269" s="44" t="str">
        <f aca="false">IF($B269="","",IF($D269="Income","",IF($F269&lt;&gt;"",$F269,$E269)))</f>
        <v/>
      </c>
      <c r="I269" s="45" t="n">
        <f aca="false">IF($B269="","",$I$263+SUMIFS($G$265:$G$285,$M$265:$M$285,"&lt;="&amp;$M269)-SUMIFS($H$265:$H$285,$M$265:$M$285,"&lt;="&amp;$M269))</f>
        <v>4261.87</v>
      </c>
      <c r="J269" s="46" t="str">
        <f aca="true">IF($B269="","",IF($F269&lt;&gt;"",IF($C269&gt;TODAY(),"ADJUSTED","PAID"),IF($C269&lt;TODAY(),"PAST DUE",IF($C269&lt;=TODAY()+7,"DUE","Upcoming"))))</f>
        <v>Upcoming</v>
      </c>
      <c r="L269" s="47" t="n">
        <f aca="false">IF($B269="","",$C269)</f>
        <v>46316</v>
      </c>
      <c r="M269" s="48" t="n">
        <f aca="false">IF($L269="","",COUNTIFS($L$265:$L$285,"&lt;"&amp;$L269)+COUNTIFS($L$265:$L269,$L269))</f>
        <v>5</v>
      </c>
    </row>
    <row r="270" customFormat="false" ht="15" hidden="false" customHeight="false" outlineLevel="0" collapsed="false">
      <c r="B270" s="38" t="str">
        <f aca="false">IFERROR(INDEX(Schedule!$C$4:$C$483,MATCH(11006,Schedule!$K$4:$K$483,0)),"")</f>
        <v/>
      </c>
      <c r="C270" s="39" t="str">
        <f aca="false">IF($B270="","",INDEX(Schedule!$G$4:$G$483,MATCH(11006,Schedule!$K$4:$K$483,0)))</f>
        <v/>
      </c>
      <c r="D270" s="40" t="str">
        <f aca="false">IF($B270="","",INDEX(Schedule!$D$4:$D$483,MATCH(11006,Schedule!$K$4:$K$483,0)))</f>
        <v/>
      </c>
      <c r="E270" s="41" t="str">
        <f aca="false">IF($B270="","",INDEX(Schedule!$E$4:$E$483,MATCH(11006,Schedule!$K$4:$K$483,0)))</f>
        <v/>
      </c>
      <c r="F270" s="42"/>
      <c r="G270" s="43" t="str">
        <f aca="false">IF($B270="","",IF($D270="Income",IF($F270&lt;&gt;"",$F270,$E270),""))</f>
        <v/>
      </c>
      <c r="H270" s="44" t="str">
        <f aca="false">IF($B270="","",IF($D270="Income","",IF($F270&lt;&gt;"",$F270,$E270)))</f>
        <v/>
      </c>
      <c r="I270" s="45" t="str">
        <f aca="false">IF($B270="","",$I$263+SUMIFS($G$265:$G$285,$M$265:$M$285,"&lt;="&amp;$M270)-SUMIFS($H$265:$H$285,$M$265:$M$285,"&lt;="&amp;$M270))</f>
        <v/>
      </c>
      <c r="J270" s="46" t="str">
        <f aca="true">IF($B270="","",IF($F270&lt;&gt;"",IF($C270&gt;TODAY(),"ADJUSTED","PAID"),IF($C270&lt;TODAY(),"PAST DUE",IF($C270&lt;=TODAY()+7,"DUE","Upcoming"))))</f>
        <v/>
      </c>
      <c r="L270" s="0" t="str">
        <f aca="false">IF($B270="","",$C270)</f>
        <v/>
      </c>
      <c r="M270" s="0" t="str">
        <f aca="false">IF($L270="","",COUNTIFS($L$265:$L$285,"&lt;"&amp;$L270)+COUNTIFS($L$265:$L270,$L270))</f>
        <v/>
      </c>
    </row>
    <row r="271" customFormat="false" ht="15" hidden="false" customHeight="false" outlineLevel="0" collapsed="false">
      <c r="B271" s="38" t="str">
        <f aca="false">IFERROR(INDEX(Schedule!$C$4:$C$483,MATCH(11007,Schedule!$K$4:$K$483,0)),"")</f>
        <v/>
      </c>
      <c r="C271" s="39" t="str">
        <f aca="false">IF($B271="","",INDEX(Schedule!$G$4:$G$483,MATCH(11007,Schedule!$K$4:$K$483,0)))</f>
        <v/>
      </c>
      <c r="D271" s="40" t="str">
        <f aca="false">IF($B271="","",INDEX(Schedule!$D$4:$D$483,MATCH(11007,Schedule!$K$4:$K$483,0)))</f>
        <v/>
      </c>
      <c r="E271" s="41" t="str">
        <f aca="false">IF($B271="","",INDEX(Schedule!$E$4:$E$483,MATCH(11007,Schedule!$K$4:$K$483,0)))</f>
        <v/>
      </c>
      <c r="F271" s="42"/>
      <c r="G271" s="43" t="str">
        <f aca="false">IF($B271="","",IF($D271="Income",IF($F271&lt;&gt;"",$F271,$E271),""))</f>
        <v/>
      </c>
      <c r="H271" s="44" t="str">
        <f aca="false">IF($B271="","",IF($D271="Income","",IF($F271&lt;&gt;"",$F271,$E271)))</f>
        <v/>
      </c>
      <c r="I271" s="45" t="str">
        <f aca="false">IF($B271="","",$I$263+SUMIFS($G$265:$G$285,$M$265:$M$285,"&lt;="&amp;$M271)-SUMIFS($H$265:$H$285,$M$265:$M$285,"&lt;="&amp;$M271))</f>
        <v/>
      </c>
      <c r="J271" s="46" t="str">
        <f aca="true">IF($B271="","",IF($F271&lt;&gt;"",IF($C271&gt;TODAY(),"ADJUSTED","PAID"),IF($C271&lt;TODAY(),"PAST DUE",IF($C271&lt;=TODAY()+7,"DUE","Upcoming"))))</f>
        <v/>
      </c>
      <c r="L271" s="0" t="str">
        <f aca="false">IF($B271="","",$C271)</f>
        <v/>
      </c>
      <c r="M271" s="0" t="str">
        <f aca="false">IF($L271="","",COUNTIFS($L$265:$L$285,"&lt;"&amp;$L271)+COUNTIFS($L$265:$L271,$L271))</f>
        <v/>
      </c>
    </row>
    <row r="272" customFormat="false" ht="15" hidden="false" customHeight="false" outlineLevel="0" collapsed="false">
      <c r="B272" s="38" t="str">
        <f aca="false">IFERROR(INDEX(Schedule!$C$4:$C$483,MATCH(11008,Schedule!$K$4:$K$483,0)),"")</f>
        <v/>
      </c>
      <c r="C272" s="39" t="str">
        <f aca="false">IF($B272="","",INDEX(Schedule!$G$4:$G$483,MATCH(11008,Schedule!$K$4:$K$483,0)))</f>
        <v/>
      </c>
      <c r="D272" s="40" t="str">
        <f aca="false">IF($B272="","",INDEX(Schedule!$D$4:$D$483,MATCH(11008,Schedule!$K$4:$K$483,0)))</f>
        <v/>
      </c>
      <c r="E272" s="41" t="str">
        <f aca="false">IF($B272="","",INDEX(Schedule!$E$4:$E$483,MATCH(11008,Schedule!$K$4:$K$483,0)))</f>
        <v/>
      </c>
      <c r="F272" s="42"/>
      <c r="G272" s="43" t="str">
        <f aca="false">IF($B272="","",IF($D272="Income",IF($F272&lt;&gt;"",$F272,$E272),""))</f>
        <v/>
      </c>
      <c r="H272" s="44" t="str">
        <f aca="false">IF($B272="","",IF($D272="Income","",IF($F272&lt;&gt;"",$F272,$E272)))</f>
        <v/>
      </c>
      <c r="I272" s="45" t="str">
        <f aca="false">IF($B272="","",$I$263+SUMIFS($G$265:$G$285,$M$265:$M$285,"&lt;="&amp;$M272)-SUMIFS($H$265:$H$285,$M$265:$M$285,"&lt;="&amp;$M272))</f>
        <v/>
      </c>
      <c r="J272" s="46" t="str">
        <f aca="true">IF($B272="","",IF($F272&lt;&gt;"",IF($C272&gt;TODAY(),"ADJUSTED","PAID"),IF($C272&lt;TODAY(),"PAST DUE",IF($C272&lt;=TODAY()+7,"DUE","Upcoming"))))</f>
        <v/>
      </c>
      <c r="L272" s="0" t="str">
        <f aca="false">IF($B272="","",$C272)</f>
        <v/>
      </c>
      <c r="M272" s="0" t="str">
        <f aca="false">IF($L272="","",COUNTIFS($L$265:$L$285,"&lt;"&amp;$L272)+COUNTIFS($L$265:$L272,$L272))</f>
        <v/>
      </c>
    </row>
    <row r="273" customFormat="false" ht="15" hidden="false" customHeight="false" outlineLevel="0" collapsed="false">
      <c r="B273" s="38" t="str">
        <f aca="false">IFERROR(INDEX(Schedule!$C$4:$C$483,MATCH(11009,Schedule!$K$4:$K$483,0)),"")</f>
        <v/>
      </c>
      <c r="C273" s="39" t="str">
        <f aca="false">IF($B273="","",INDEX(Schedule!$G$4:$G$483,MATCH(11009,Schedule!$K$4:$K$483,0)))</f>
        <v/>
      </c>
      <c r="D273" s="40" t="str">
        <f aca="false">IF($B273="","",INDEX(Schedule!$D$4:$D$483,MATCH(11009,Schedule!$K$4:$K$483,0)))</f>
        <v/>
      </c>
      <c r="E273" s="41" t="str">
        <f aca="false">IF($B273="","",INDEX(Schedule!$E$4:$E$483,MATCH(11009,Schedule!$K$4:$K$483,0)))</f>
        <v/>
      </c>
      <c r="F273" s="42"/>
      <c r="G273" s="43" t="str">
        <f aca="false">IF($B273="","",IF($D273="Income",IF($F273&lt;&gt;"",$F273,$E273),""))</f>
        <v/>
      </c>
      <c r="H273" s="44" t="str">
        <f aca="false">IF($B273="","",IF($D273="Income","",IF($F273&lt;&gt;"",$F273,$E273)))</f>
        <v/>
      </c>
      <c r="I273" s="45" t="str">
        <f aca="false">IF($B273="","",$I$263+SUMIFS($G$265:$G$285,$M$265:$M$285,"&lt;="&amp;$M273)-SUMIFS($H$265:$H$285,$M$265:$M$285,"&lt;="&amp;$M273))</f>
        <v/>
      </c>
      <c r="J273" s="46" t="str">
        <f aca="true">IF($B273="","",IF($F273&lt;&gt;"",IF($C273&gt;TODAY(),"ADJUSTED","PAID"),IF($C273&lt;TODAY(),"PAST DUE",IF($C273&lt;=TODAY()+7,"DUE","Upcoming"))))</f>
        <v/>
      </c>
      <c r="L273" s="0" t="str">
        <f aca="false">IF($B273="","",$C273)</f>
        <v/>
      </c>
      <c r="M273" s="0" t="str">
        <f aca="false">IF($L273="","",COUNTIFS($L$265:$L$285,"&lt;"&amp;$L273)+COUNTIFS($L$265:$L273,$L273))</f>
        <v/>
      </c>
    </row>
    <row r="274" customFormat="false" ht="15" hidden="false" customHeight="false" outlineLevel="0" collapsed="false">
      <c r="B274" s="38" t="str">
        <f aca="false">IFERROR(INDEX(Schedule!$C$4:$C$483,MATCH(11010,Schedule!$K$4:$K$483,0)),"")</f>
        <v/>
      </c>
      <c r="C274" s="39" t="str">
        <f aca="false">IF($B274="","",INDEX(Schedule!$G$4:$G$483,MATCH(11010,Schedule!$K$4:$K$483,0)))</f>
        <v/>
      </c>
      <c r="D274" s="40" t="str">
        <f aca="false">IF($B274="","",INDEX(Schedule!$D$4:$D$483,MATCH(11010,Schedule!$K$4:$K$483,0)))</f>
        <v/>
      </c>
      <c r="E274" s="41" t="str">
        <f aca="false">IF($B274="","",INDEX(Schedule!$E$4:$E$483,MATCH(11010,Schedule!$K$4:$K$483,0)))</f>
        <v/>
      </c>
      <c r="F274" s="42"/>
      <c r="G274" s="43" t="str">
        <f aca="false">IF($B274="","",IF($D274="Income",IF($F274&lt;&gt;"",$F274,$E274),""))</f>
        <v/>
      </c>
      <c r="H274" s="44" t="str">
        <f aca="false">IF($B274="","",IF($D274="Income","",IF($F274&lt;&gt;"",$F274,$E274)))</f>
        <v/>
      </c>
      <c r="I274" s="45" t="str">
        <f aca="false">IF($B274="","",$I$263+SUMIFS($G$265:$G$285,$M$265:$M$285,"&lt;="&amp;$M274)-SUMIFS($H$265:$H$285,$M$265:$M$285,"&lt;="&amp;$M274))</f>
        <v/>
      </c>
      <c r="J274" s="46" t="str">
        <f aca="true">IF($B274="","",IF($F274&lt;&gt;"",IF($C274&gt;TODAY(),"ADJUSTED","PAID"),IF($C274&lt;TODAY(),"PAST DUE",IF($C274&lt;=TODAY()+7,"DUE","Upcoming"))))</f>
        <v/>
      </c>
      <c r="L274" s="0" t="str">
        <f aca="false">IF($B274="","",$C274)</f>
        <v/>
      </c>
      <c r="M274" s="0" t="str">
        <f aca="false">IF($L274="","",COUNTIFS($L$265:$L$285,"&lt;"&amp;$L274)+COUNTIFS($L$265:$L274,$L274))</f>
        <v/>
      </c>
    </row>
    <row r="275" customFormat="false" ht="15" hidden="false" customHeight="false" outlineLevel="0" collapsed="false">
      <c r="B275" s="49" t="s">
        <v>127</v>
      </c>
      <c r="C275" s="50"/>
      <c r="D275" s="50"/>
      <c r="E275" s="50"/>
      <c r="F275" s="50"/>
      <c r="G275" s="50"/>
      <c r="H275" s="50"/>
      <c r="I275" s="50"/>
      <c r="J275" s="50"/>
    </row>
    <row r="276" customFormat="false" ht="15" hidden="false" customHeight="false" outlineLevel="0" collapsed="false">
      <c r="B276" s="6"/>
      <c r="C276" s="51"/>
      <c r="D276" s="52" t="str">
        <f aca="false">IF($B276="","","Expense")</f>
        <v/>
      </c>
      <c r="E276" s="18"/>
      <c r="F276" s="10"/>
      <c r="G276" s="10"/>
      <c r="H276" s="53" t="str">
        <f aca="false">IF($B276="","",N($E276))</f>
        <v/>
      </c>
      <c r="I276" s="54" t="str">
        <f aca="false">IF($B276="","",$I$263+SUMIFS($G$265:$G$285,$M$265:$M$285,"&lt;="&amp;$M276)-SUMIFS($H$265:$H$285,$M$265:$M$285,"&lt;="&amp;$M276))</f>
        <v/>
      </c>
      <c r="J276" s="10"/>
      <c r="L276" s="0" t="str">
        <f aca="false">IF($B276="","",IF($C276="",$E$6+76,$C276))</f>
        <v/>
      </c>
      <c r="M276" s="0" t="str">
        <f aca="false">IF($L276="","",COUNTIFS($L$265:$L$285,"&lt;"&amp;$L276)+COUNTIFS($L$265:$L276,$L276))</f>
        <v/>
      </c>
    </row>
    <row r="277" customFormat="false" ht="15" hidden="false" customHeight="false" outlineLevel="0" collapsed="false">
      <c r="B277" s="6"/>
      <c r="C277" s="51"/>
      <c r="D277" s="52" t="str">
        <f aca="false">IF($B277="","","Expense")</f>
        <v/>
      </c>
      <c r="E277" s="18"/>
      <c r="F277" s="10"/>
      <c r="G277" s="10"/>
      <c r="H277" s="53" t="str">
        <f aca="false">IF($B277="","",N($E277))</f>
        <v/>
      </c>
      <c r="I277" s="54" t="str">
        <f aca="false">IF($B277="","",$I$263+SUMIFS($G$265:$G$285,$M$265:$M$285,"&lt;="&amp;$M277)-SUMIFS($H$265:$H$285,$M$265:$M$285,"&lt;="&amp;$M277))</f>
        <v/>
      </c>
      <c r="J277" s="10"/>
      <c r="L277" s="0" t="str">
        <f aca="false">IF($B277="","",IF($C277="",$E$6+76,$C277))</f>
        <v/>
      </c>
      <c r="M277" s="0" t="str">
        <f aca="false">IF($L277="","",COUNTIFS($L$265:$L$285,"&lt;"&amp;$L277)+COUNTIFS($L$265:$L277,$L277))</f>
        <v/>
      </c>
    </row>
    <row r="278" customFormat="false" ht="15" hidden="false" customHeight="false" outlineLevel="0" collapsed="false">
      <c r="B278" s="6"/>
      <c r="C278" s="51"/>
      <c r="D278" s="52" t="str">
        <f aca="false">IF($B278="","","Expense")</f>
        <v/>
      </c>
      <c r="E278" s="18"/>
      <c r="F278" s="10"/>
      <c r="G278" s="10"/>
      <c r="H278" s="53" t="str">
        <f aca="false">IF($B278="","",N($E278))</f>
        <v/>
      </c>
      <c r="I278" s="54" t="str">
        <f aca="false">IF($B278="","",$I$263+SUMIFS($G$265:$G$285,$M$265:$M$285,"&lt;="&amp;$M278)-SUMIFS($H$265:$H$285,$M$265:$M$285,"&lt;="&amp;$M278))</f>
        <v/>
      </c>
      <c r="J278" s="10"/>
      <c r="L278" s="0" t="str">
        <f aca="false">IF($B278="","",IF($C278="",$E$6+76,$C278))</f>
        <v/>
      </c>
      <c r="M278" s="0" t="str">
        <f aca="false">IF($L278="","",COUNTIFS($L$265:$L$285,"&lt;"&amp;$L278)+COUNTIFS($L$265:$L278,$L278))</f>
        <v/>
      </c>
    </row>
    <row r="279" customFormat="false" ht="15" hidden="false" customHeight="false" outlineLevel="0" collapsed="false">
      <c r="B279" s="6"/>
      <c r="C279" s="51"/>
      <c r="D279" s="52" t="str">
        <f aca="false">IF($B279="","","Expense")</f>
        <v/>
      </c>
      <c r="E279" s="18"/>
      <c r="F279" s="10"/>
      <c r="G279" s="10"/>
      <c r="H279" s="53" t="str">
        <f aca="false">IF($B279="","",N($E279))</f>
        <v/>
      </c>
      <c r="I279" s="54" t="str">
        <f aca="false">IF($B279="","",$I$263+SUMIFS($G$265:$G$285,$M$265:$M$285,"&lt;="&amp;$M279)-SUMIFS($H$265:$H$285,$M$265:$M$285,"&lt;="&amp;$M279))</f>
        <v/>
      </c>
      <c r="J279" s="10"/>
      <c r="L279" s="0" t="str">
        <f aca="false">IF($B279="","",IF($C279="",$E$6+76,$C279))</f>
        <v/>
      </c>
      <c r="M279" s="0" t="str">
        <f aca="false">IF($L279="","",COUNTIFS($L$265:$L$285,"&lt;"&amp;$L279)+COUNTIFS($L$265:$L279,$L279))</f>
        <v/>
      </c>
    </row>
    <row r="280" customFormat="false" ht="15" hidden="false" customHeight="false" outlineLevel="0" collapsed="false">
      <c r="B280" s="6"/>
      <c r="C280" s="51"/>
      <c r="D280" s="52" t="str">
        <f aca="false">IF($B280="","","Expense")</f>
        <v/>
      </c>
      <c r="E280" s="18"/>
      <c r="F280" s="10"/>
      <c r="G280" s="10"/>
      <c r="H280" s="53" t="str">
        <f aca="false">IF($B280="","",N($E280))</f>
        <v/>
      </c>
      <c r="I280" s="54" t="str">
        <f aca="false">IF($B280="","",$I$263+SUMIFS($G$265:$G$285,$M$265:$M$285,"&lt;="&amp;$M280)-SUMIFS($H$265:$H$285,$M$265:$M$285,"&lt;="&amp;$M280))</f>
        <v/>
      </c>
      <c r="J280" s="10"/>
      <c r="L280" s="0" t="str">
        <f aca="false">IF($B280="","",IF($C280="",$E$6+76,$C280))</f>
        <v/>
      </c>
      <c r="M280" s="0" t="str">
        <f aca="false">IF($L280="","",COUNTIFS($L$265:$L$285,"&lt;"&amp;$L280)+COUNTIFS($L$265:$L280,$L280))</f>
        <v/>
      </c>
    </row>
    <row r="281" customFormat="false" ht="15" hidden="false" customHeight="false" outlineLevel="0" collapsed="false">
      <c r="B281" s="6"/>
      <c r="C281" s="51"/>
      <c r="D281" s="52" t="str">
        <f aca="false">IF($B281="","","Expense")</f>
        <v/>
      </c>
      <c r="E281" s="18"/>
      <c r="F281" s="10"/>
      <c r="G281" s="10"/>
      <c r="H281" s="53" t="str">
        <f aca="false">IF($B281="","",N($E281))</f>
        <v/>
      </c>
      <c r="I281" s="54" t="str">
        <f aca="false">IF($B281="","",$I$263+SUMIFS($G$265:$G$285,$M$265:$M$285,"&lt;="&amp;$M281)-SUMIFS($H$265:$H$285,$M$265:$M$285,"&lt;="&amp;$M281))</f>
        <v/>
      </c>
      <c r="J281" s="10"/>
      <c r="L281" s="0" t="str">
        <f aca="false">IF($B281="","",IF($C281="",$E$6+76,$C281))</f>
        <v/>
      </c>
      <c r="M281" s="0" t="str">
        <f aca="false">IF($L281="","",COUNTIFS($L$265:$L$285,"&lt;"&amp;$L281)+COUNTIFS($L$265:$L281,$L281))</f>
        <v/>
      </c>
    </row>
    <row r="282" customFormat="false" ht="15" hidden="false" customHeight="false" outlineLevel="0" collapsed="false">
      <c r="B282" s="6"/>
      <c r="C282" s="51"/>
      <c r="D282" s="52" t="str">
        <f aca="false">IF($B282="","","Expense")</f>
        <v/>
      </c>
      <c r="E282" s="18"/>
      <c r="F282" s="10"/>
      <c r="G282" s="10"/>
      <c r="H282" s="53" t="str">
        <f aca="false">IF($B282="","",N($E282))</f>
        <v/>
      </c>
      <c r="I282" s="54" t="str">
        <f aca="false">IF($B282="","",$I$263+SUMIFS($G$265:$G$285,$M$265:$M$285,"&lt;="&amp;$M282)-SUMIFS($H$265:$H$285,$M$265:$M$285,"&lt;="&amp;$M282))</f>
        <v/>
      </c>
      <c r="J282" s="10"/>
      <c r="L282" s="0" t="str">
        <f aca="false">IF($B282="","",IF($C282="",$E$6+76,$C282))</f>
        <v/>
      </c>
      <c r="M282" s="0" t="str">
        <f aca="false">IF($L282="","",COUNTIFS($L$265:$L$285,"&lt;"&amp;$L282)+COUNTIFS($L$265:$L282,$L282))</f>
        <v/>
      </c>
    </row>
    <row r="283" customFormat="false" ht="15" hidden="false" customHeight="false" outlineLevel="0" collapsed="false">
      <c r="B283" s="6"/>
      <c r="C283" s="51"/>
      <c r="D283" s="52" t="str">
        <f aca="false">IF($B283="","","Expense")</f>
        <v/>
      </c>
      <c r="E283" s="18"/>
      <c r="F283" s="10"/>
      <c r="G283" s="10"/>
      <c r="H283" s="53" t="str">
        <f aca="false">IF($B283="","",N($E283))</f>
        <v/>
      </c>
      <c r="I283" s="54" t="str">
        <f aca="false">IF($B283="","",$I$263+SUMIFS($G$265:$G$285,$M$265:$M$285,"&lt;="&amp;$M283)-SUMIFS($H$265:$H$285,$M$265:$M$285,"&lt;="&amp;$M283))</f>
        <v/>
      </c>
      <c r="J283" s="10"/>
      <c r="L283" s="0" t="str">
        <f aca="false">IF($B283="","",IF($C283="",$E$6+76,$C283))</f>
        <v/>
      </c>
      <c r="M283" s="0" t="str">
        <f aca="false">IF($L283="","",COUNTIFS($L$265:$L$285,"&lt;"&amp;$L283)+COUNTIFS($L$265:$L283,$L283))</f>
        <v/>
      </c>
    </row>
    <row r="284" customFormat="false" ht="15" hidden="false" customHeight="false" outlineLevel="0" collapsed="false">
      <c r="B284" s="6"/>
      <c r="C284" s="51"/>
      <c r="D284" s="52" t="str">
        <f aca="false">IF($B284="","","Expense")</f>
        <v/>
      </c>
      <c r="E284" s="18"/>
      <c r="F284" s="10"/>
      <c r="G284" s="10"/>
      <c r="H284" s="53" t="str">
        <f aca="false">IF($B284="","",N($E284))</f>
        <v/>
      </c>
      <c r="I284" s="54" t="str">
        <f aca="false">IF($B284="","",$I$263+SUMIFS($G$265:$G$285,$M$265:$M$285,"&lt;="&amp;$M284)-SUMIFS($H$265:$H$285,$M$265:$M$285,"&lt;="&amp;$M284))</f>
        <v/>
      </c>
      <c r="J284" s="10"/>
      <c r="L284" s="0" t="str">
        <f aca="false">IF($B284="","",IF($C284="",$E$6+76,$C284))</f>
        <v/>
      </c>
      <c r="M284" s="0" t="str">
        <f aca="false">IF($L284="","",COUNTIFS($L$265:$L$285,"&lt;"&amp;$L284)+COUNTIFS($L$265:$L284,$L284))</f>
        <v/>
      </c>
    </row>
    <row r="285" customFormat="false" ht="15" hidden="false" customHeight="false" outlineLevel="0" collapsed="false">
      <c r="B285" s="6"/>
      <c r="C285" s="51"/>
      <c r="D285" s="52" t="str">
        <f aca="false">IF($B285="","","Expense")</f>
        <v/>
      </c>
      <c r="E285" s="18"/>
      <c r="F285" s="10"/>
      <c r="G285" s="10"/>
      <c r="H285" s="53" t="str">
        <f aca="false">IF($B285="","",N($E285))</f>
        <v/>
      </c>
      <c r="I285" s="54" t="str">
        <f aca="false">IF($B285="","",$I$263+SUMIFS($G$265:$G$285,$M$265:$M$285,"&lt;="&amp;$M285)-SUMIFS($H$265:$H$285,$M$265:$M$285,"&lt;="&amp;$M285))</f>
        <v/>
      </c>
      <c r="J285" s="10"/>
      <c r="L285" s="0" t="str">
        <f aca="false">IF($B285="","",IF($C285="",$E$6+76,$C285))</f>
        <v/>
      </c>
      <c r="M285" s="0" t="str">
        <f aca="false">IF($L285="","",COUNTIFS($L$265:$L$285,"&lt;"&amp;$L285)+COUNTIFS($L$265:$L285,$L285))</f>
        <v/>
      </c>
    </row>
    <row r="286" customFormat="false" ht="15" hidden="false" customHeight="false" outlineLevel="0" collapsed="false">
      <c r="B286" s="55" t="s">
        <v>144</v>
      </c>
      <c r="C286" s="56"/>
      <c r="D286" s="56"/>
      <c r="E286" s="56"/>
      <c r="F286" s="56"/>
      <c r="G286" s="57" t="n">
        <f aca="false">SUM($G$265:$G$285)</f>
        <v>880</v>
      </c>
      <c r="H286" s="57" t="n">
        <f aca="false">SUM($H$265:$H$285)</f>
        <v>233.09</v>
      </c>
      <c r="I286" s="58" t="n">
        <f aca="false">$I$263+$G$286-$H$286</f>
        <v>4261.87</v>
      </c>
      <c r="J286" s="59" t="str">
        <f aca="false">IF($I$286&lt;0,"SHORTFALL",IF($I$286&lt;$E$7,"TIGHT","OK"))</f>
        <v>OK</v>
      </c>
      <c r="K286" s="60" t="str">
        <f aca="false">IF(COUNT($I$265:$I$285)=0,"","Lowest point this week: "&amp;TEXT(MIN($I$265:$I$285),"$#,##0.00;-$#,##0.00")&amp;" on "&amp;TEXT(INDEX($C$265:$C$285,MATCH(MIN($I$265:$I$285),$I$265:$I$285,0)),"ddd mmm d")&amp;"     (in "&amp;TEXT($G$286,"$#,##0.00")&amp;", out "&amp;TEXT($H$286,"$#,##0.00")&amp;")")</f>
        <v>Lowest point this week: $4,171.87 on Sun Oct 18     (in $880.00, out $233.09)</v>
      </c>
    </row>
    <row r="288" customFormat="false" ht="21.75" hidden="false" customHeight="true" outlineLevel="0" collapsed="false">
      <c r="B288" s="31" t="str">
        <f aca="false">"WEEK 12     "&amp;TEXT($E$6+77,"ddd, mmm d")&amp;"   through   "&amp;TEXT($E$6+77+6,"ddd, mmm d, yyyy")</f>
        <v>WEEK 12     Fri, Oct 23   through   Thu, Oct 29, 2026</v>
      </c>
      <c r="C288" s="32"/>
      <c r="D288" s="32"/>
      <c r="E288" s="32"/>
      <c r="F288" s="32"/>
      <c r="G288" s="33" t="s">
        <v>120</v>
      </c>
      <c r="H288" s="32"/>
      <c r="I288" s="34" t="n">
        <f aca="false">$I$286</f>
        <v>4261.87</v>
      </c>
      <c r="J288" s="32"/>
      <c r="K288" s="28" t="str">
        <f aca="false">IF(COUNTIF(Schedule!$I$4:$I$483,12)&gt;10,"! "&amp;COUNTIF(Schedule!$I$4:$I$483,12)-10&amp;" more transaction(s) fall in this week than there are rows to show them.","")</f>
        <v/>
      </c>
    </row>
    <row r="289" customFormat="false" ht="25.5" hidden="false" customHeight="true" outlineLevel="0" collapsed="false">
      <c r="B289" s="35" t="s">
        <v>121</v>
      </c>
      <c r="C289" s="35" t="s">
        <v>122</v>
      </c>
      <c r="D289" s="35" t="s">
        <v>72</v>
      </c>
      <c r="E289" s="35" t="s">
        <v>123</v>
      </c>
      <c r="F289" s="35" t="s">
        <v>124</v>
      </c>
      <c r="G289" s="36" t="s">
        <v>18</v>
      </c>
      <c r="H289" s="37" t="s">
        <v>20</v>
      </c>
      <c r="I289" s="35" t="s">
        <v>125</v>
      </c>
      <c r="J289" s="35" t="s">
        <v>126</v>
      </c>
    </row>
    <row r="290" customFormat="false" ht="15" hidden="false" customHeight="false" outlineLevel="0" collapsed="false">
      <c r="B290" s="38" t="str">
        <f aca="false">IFERROR(INDEX(Schedule!$C$4:$C$483,MATCH(12001,Schedule!$K$4:$K$483,0)),"")</f>
        <v>Compunnel Software (paycheck)</v>
      </c>
      <c r="C290" s="39" t="n">
        <f aca="false">IF($B290="","",INDEX(Schedule!$G$4:$G$483,MATCH(12001,Schedule!$K$4:$K$483,0)))</f>
        <v>46318</v>
      </c>
      <c r="D290" s="40" t="str">
        <f aca="false">IF($B290="","",INDEX(Schedule!$D$4:$D$483,MATCH(12001,Schedule!$K$4:$K$483,0)))</f>
        <v>Income</v>
      </c>
      <c r="E290" s="41" t="n">
        <f aca="false">IF($B290="","",INDEX(Schedule!$E$4:$E$483,MATCH(12001,Schedule!$K$4:$K$483,0)))</f>
        <v>790</v>
      </c>
      <c r="F290" s="42"/>
      <c r="G290" s="43" t="n">
        <f aca="false">IF($B290="","",IF($D290="Income",IF($F290&lt;&gt;"",$F290,$E290),""))</f>
        <v>790</v>
      </c>
      <c r="H290" s="44" t="str">
        <f aca="false">IF($B290="","",IF($D290="Income","",IF($F290&lt;&gt;"",$F290,$E290)))</f>
        <v/>
      </c>
      <c r="I290" s="45" t="n">
        <f aca="false">IF($B290="","",$I$288+SUMIFS($G$290:$G$310,$M$290:$M$310,"&lt;="&amp;$M290)-SUMIFS($H$290:$H$310,$M$290:$M$310,"&lt;="&amp;$M290))</f>
        <v>5051.87</v>
      </c>
      <c r="J290" s="46" t="str">
        <f aca="true">IF($B290="","",IF($F290&lt;&gt;"",IF($C290&gt;TODAY(),"ADJUSTED","PAID"),IF($C290&lt;TODAY(),"PAST DUE",IF($C290&lt;=TODAY()+7,"DUE","Upcoming"))))</f>
        <v>Upcoming</v>
      </c>
      <c r="L290" s="47" t="n">
        <f aca="false">IF($B290="","",$C290)</f>
        <v>46318</v>
      </c>
      <c r="M290" s="48" t="n">
        <f aca="false">IF($L290="","",COUNTIFS($L$290:$L$310,"&lt;"&amp;$L290)+COUNTIFS($L$290:$L290,$L290))</f>
        <v>1</v>
      </c>
    </row>
    <row r="291" customFormat="false" ht="15" hidden="false" customHeight="false" outlineLevel="0" collapsed="false">
      <c r="B291" s="38" t="str">
        <f aca="false">IFERROR(INDEX(Schedule!$C$4:$C$483,MATCH(12002,Schedule!$K$4:$K$483,0)),"")</f>
        <v>Microsoft</v>
      </c>
      <c r="C291" s="39" t="n">
        <f aca="false">IF($B291="","",INDEX(Schedule!$G$4:$G$483,MATCH(12002,Schedule!$K$4:$K$483,0)))</f>
        <v>46320</v>
      </c>
      <c r="D291" s="40" t="str">
        <f aca="false">IF($B291="","",INDEX(Schedule!$D$4:$D$483,MATCH(12002,Schedule!$K$4:$K$483,0)))</f>
        <v>Expense</v>
      </c>
      <c r="E291" s="41" t="n">
        <f aca="false">IF($B291="","",INDEX(Schedule!$E$4:$E$483,MATCH(12002,Schedule!$K$4:$K$483,0)))</f>
        <v>13.7</v>
      </c>
      <c r="F291" s="42"/>
      <c r="G291" s="43" t="str">
        <f aca="false">IF($B291="","",IF($D291="Income",IF($F291&lt;&gt;"",$F291,$E291),""))</f>
        <v/>
      </c>
      <c r="H291" s="44" t="n">
        <f aca="false">IF($B291="","",IF($D291="Income","",IF($F291&lt;&gt;"",$F291,$E291)))</f>
        <v>13.7</v>
      </c>
      <c r="I291" s="45" t="n">
        <f aca="false">IF($B291="","",$I$288+SUMIFS($G$290:$G$310,$M$290:$M$310,"&lt;="&amp;$M291)-SUMIFS($H$290:$H$310,$M$290:$M$310,"&lt;="&amp;$M291))</f>
        <v>5038.17</v>
      </c>
      <c r="J291" s="46" t="str">
        <f aca="true">IF($B291="","",IF($F291&lt;&gt;"",IF($C291&gt;TODAY(),"ADJUSTED","PAID"),IF($C291&lt;TODAY(),"PAST DUE",IF($C291&lt;=TODAY()+7,"DUE","Upcoming"))))</f>
        <v>Upcoming</v>
      </c>
      <c r="L291" s="47" t="n">
        <f aca="false">IF($B291="","",$C291)</f>
        <v>46320</v>
      </c>
      <c r="M291" s="48" t="n">
        <f aca="false">IF($L291="","",COUNTIFS($L$290:$L$310,"&lt;"&amp;$L291)+COUNTIFS($L$290:$L291,$L291))</f>
        <v>2</v>
      </c>
    </row>
    <row r="292" customFormat="false" ht="15" hidden="false" customHeight="false" outlineLevel="0" collapsed="false">
      <c r="B292" s="38" t="str">
        <f aca="false">IFERROR(INDEX(Schedule!$C$4:$C$483,MATCH(12003,Schedule!$K$4:$K$483,0)),"")</f>
        <v>Central Maine Power: Payment Plan</v>
      </c>
      <c r="C292" s="39" t="n">
        <f aca="false">IF($B292="","",INDEX(Schedule!$G$4:$G$483,MATCH(12003,Schedule!$K$4:$K$483,0)))</f>
        <v>46320</v>
      </c>
      <c r="D292" s="40" t="str">
        <f aca="false">IF($B292="","",INDEX(Schedule!$D$4:$D$483,MATCH(12003,Schedule!$K$4:$K$483,0)))</f>
        <v>Expense</v>
      </c>
      <c r="E292" s="41" t="n">
        <f aca="false">IF($B292="","",INDEX(Schedule!$E$4:$E$483,MATCH(12003,Schedule!$K$4:$K$483,0)))</f>
        <v>43.87</v>
      </c>
      <c r="F292" s="42"/>
      <c r="G292" s="43" t="str">
        <f aca="false">IF($B292="","",IF($D292="Income",IF($F292&lt;&gt;"",$F292,$E292),""))</f>
        <v/>
      </c>
      <c r="H292" s="44" t="n">
        <f aca="false">IF($B292="","",IF($D292="Income","",IF($F292&lt;&gt;"",$F292,$E292)))</f>
        <v>43.87</v>
      </c>
      <c r="I292" s="45" t="n">
        <f aca="false">IF($B292="","",$I$288+SUMIFS($G$290:$G$310,$M$290:$M$310,"&lt;="&amp;$M292)-SUMIFS($H$290:$H$310,$M$290:$M$310,"&lt;="&amp;$M292))</f>
        <v>4994.3</v>
      </c>
      <c r="J292" s="46" t="str">
        <f aca="true">IF($B292="","",IF($F292&lt;&gt;"",IF($C292&gt;TODAY(),"ADJUSTED","PAID"),IF($C292&lt;TODAY(),"PAST DUE",IF($C292&lt;=TODAY()+7,"DUE","Upcoming"))))</f>
        <v>Upcoming</v>
      </c>
      <c r="L292" s="47" t="n">
        <f aca="false">IF($B292="","",$C292)</f>
        <v>46320</v>
      </c>
      <c r="M292" s="48" t="n">
        <f aca="false">IF($L292="","",COUNTIFS($L$290:$L$310,"&lt;"&amp;$L292)+COUNTIFS($L$290:$L292,$L292))</f>
        <v>3</v>
      </c>
    </row>
    <row r="293" customFormat="false" ht="15" hidden="false" customHeight="false" outlineLevel="0" collapsed="false">
      <c r="B293" s="38" t="str">
        <f aca="false">IFERROR(INDEX(Schedule!$C$4:$C$483,MATCH(12004,Schedule!$K$4:$K$483,0)),"")</f>
        <v>Bruno's Restaurant (paycheck)</v>
      </c>
      <c r="C293" s="39" t="n">
        <f aca="false">IF($B293="","",INDEX(Schedule!$G$4:$G$483,MATCH(12004,Schedule!$K$4:$K$483,0)))</f>
        <v>46323</v>
      </c>
      <c r="D293" s="40" t="str">
        <f aca="false">IF($B293="","",INDEX(Schedule!$D$4:$D$483,MATCH(12004,Schedule!$K$4:$K$483,0)))</f>
        <v>Income</v>
      </c>
      <c r="E293" s="41" t="n">
        <f aca="false">IF($B293="","",INDEX(Schedule!$E$4:$E$483,MATCH(12004,Schedule!$K$4:$K$483,0)))</f>
        <v>90</v>
      </c>
      <c r="F293" s="42"/>
      <c r="G293" s="43" t="n">
        <f aca="false">IF($B293="","",IF($D293="Income",IF($F293&lt;&gt;"",$F293,$E293),""))</f>
        <v>90</v>
      </c>
      <c r="H293" s="44" t="str">
        <f aca="false">IF($B293="","",IF($D293="Income","",IF($F293&lt;&gt;"",$F293,$E293)))</f>
        <v/>
      </c>
      <c r="I293" s="45" t="n">
        <f aca="false">IF($B293="","",$I$288+SUMIFS($G$290:$G$310,$M$290:$M$310,"&lt;="&amp;$M293)-SUMIFS($H$290:$H$310,$M$290:$M$310,"&lt;="&amp;$M293))</f>
        <v>5084.3</v>
      </c>
      <c r="J293" s="46" t="str">
        <f aca="true">IF($B293="","",IF($F293&lt;&gt;"",IF($C293&gt;TODAY(),"ADJUSTED","PAID"),IF($C293&lt;TODAY(),"PAST DUE",IF($C293&lt;=TODAY()+7,"DUE","Upcoming"))))</f>
        <v>Upcoming</v>
      </c>
      <c r="L293" s="47" t="n">
        <f aca="false">IF($B293="","",$C293)</f>
        <v>46323</v>
      </c>
      <c r="M293" s="48" t="n">
        <f aca="false">IF($L293="","",COUNTIFS($L$290:$L$310,"&lt;"&amp;$L293)+COUNTIFS($L$290:$L293,$L293))</f>
        <v>4</v>
      </c>
    </row>
    <row r="294" customFormat="false" ht="15" hidden="false" customHeight="false" outlineLevel="0" collapsed="false">
      <c r="B294" s="38" t="str">
        <f aca="false">IFERROR(INDEX(Schedule!$C$4:$C$483,MATCH(12005,Schedule!$K$4:$K$483,0)),"")</f>
        <v/>
      </c>
      <c r="C294" s="39" t="str">
        <f aca="false">IF($B294="","",INDEX(Schedule!$G$4:$G$483,MATCH(12005,Schedule!$K$4:$K$483,0)))</f>
        <v/>
      </c>
      <c r="D294" s="40" t="str">
        <f aca="false">IF($B294="","",INDEX(Schedule!$D$4:$D$483,MATCH(12005,Schedule!$K$4:$K$483,0)))</f>
        <v/>
      </c>
      <c r="E294" s="41" t="str">
        <f aca="false">IF($B294="","",INDEX(Schedule!$E$4:$E$483,MATCH(12005,Schedule!$K$4:$K$483,0)))</f>
        <v/>
      </c>
      <c r="F294" s="42"/>
      <c r="G294" s="43" t="str">
        <f aca="false">IF($B294="","",IF($D294="Income",IF($F294&lt;&gt;"",$F294,$E294),""))</f>
        <v/>
      </c>
      <c r="H294" s="44" t="str">
        <f aca="false">IF($B294="","",IF($D294="Income","",IF($F294&lt;&gt;"",$F294,$E294)))</f>
        <v/>
      </c>
      <c r="I294" s="45" t="str">
        <f aca="false">IF($B294="","",$I$288+SUMIFS($G$290:$G$310,$M$290:$M$310,"&lt;="&amp;$M294)-SUMIFS($H$290:$H$310,$M$290:$M$310,"&lt;="&amp;$M294))</f>
        <v/>
      </c>
      <c r="J294" s="46" t="str">
        <f aca="true">IF($B294="","",IF($F294&lt;&gt;"",IF($C294&gt;TODAY(),"ADJUSTED","PAID"),IF($C294&lt;TODAY(),"PAST DUE",IF($C294&lt;=TODAY()+7,"DUE","Upcoming"))))</f>
        <v/>
      </c>
      <c r="L294" s="0" t="str">
        <f aca="false">IF($B294="","",$C294)</f>
        <v/>
      </c>
      <c r="M294" s="0" t="str">
        <f aca="false">IF($L294="","",COUNTIFS($L$290:$L$310,"&lt;"&amp;$L294)+COUNTIFS($L$290:$L294,$L294))</f>
        <v/>
      </c>
    </row>
    <row r="295" customFormat="false" ht="15" hidden="false" customHeight="false" outlineLevel="0" collapsed="false">
      <c r="B295" s="38" t="str">
        <f aca="false">IFERROR(INDEX(Schedule!$C$4:$C$483,MATCH(12006,Schedule!$K$4:$K$483,0)),"")</f>
        <v/>
      </c>
      <c r="C295" s="39" t="str">
        <f aca="false">IF($B295="","",INDEX(Schedule!$G$4:$G$483,MATCH(12006,Schedule!$K$4:$K$483,0)))</f>
        <v/>
      </c>
      <c r="D295" s="40" t="str">
        <f aca="false">IF($B295="","",INDEX(Schedule!$D$4:$D$483,MATCH(12006,Schedule!$K$4:$K$483,0)))</f>
        <v/>
      </c>
      <c r="E295" s="41" t="str">
        <f aca="false">IF($B295="","",INDEX(Schedule!$E$4:$E$483,MATCH(12006,Schedule!$K$4:$K$483,0)))</f>
        <v/>
      </c>
      <c r="F295" s="42"/>
      <c r="G295" s="43" t="str">
        <f aca="false">IF($B295="","",IF($D295="Income",IF($F295&lt;&gt;"",$F295,$E295),""))</f>
        <v/>
      </c>
      <c r="H295" s="44" t="str">
        <f aca="false">IF($B295="","",IF($D295="Income","",IF($F295&lt;&gt;"",$F295,$E295)))</f>
        <v/>
      </c>
      <c r="I295" s="45" t="str">
        <f aca="false">IF($B295="","",$I$288+SUMIFS($G$290:$G$310,$M$290:$M$310,"&lt;="&amp;$M295)-SUMIFS($H$290:$H$310,$M$290:$M$310,"&lt;="&amp;$M295))</f>
        <v/>
      </c>
      <c r="J295" s="46" t="str">
        <f aca="true">IF($B295="","",IF($F295&lt;&gt;"",IF($C295&gt;TODAY(),"ADJUSTED","PAID"),IF($C295&lt;TODAY(),"PAST DUE",IF($C295&lt;=TODAY()+7,"DUE","Upcoming"))))</f>
        <v/>
      </c>
      <c r="L295" s="0" t="str">
        <f aca="false">IF($B295="","",$C295)</f>
        <v/>
      </c>
      <c r="M295" s="0" t="str">
        <f aca="false">IF($L295="","",COUNTIFS($L$290:$L$310,"&lt;"&amp;$L295)+COUNTIFS($L$290:$L295,$L295))</f>
        <v/>
      </c>
    </row>
    <row r="296" customFormat="false" ht="15" hidden="false" customHeight="false" outlineLevel="0" collapsed="false">
      <c r="B296" s="38" t="str">
        <f aca="false">IFERROR(INDEX(Schedule!$C$4:$C$483,MATCH(12007,Schedule!$K$4:$K$483,0)),"")</f>
        <v/>
      </c>
      <c r="C296" s="39" t="str">
        <f aca="false">IF($B296="","",INDEX(Schedule!$G$4:$G$483,MATCH(12007,Schedule!$K$4:$K$483,0)))</f>
        <v/>
      </c>
      <c r="D296" s="40" t="str">
        <f aca="false">IF($B296="","",INDEX(Schedule!$D$4:$D$483,MATCH(12007,Schedule!$K$4:$K$483,0)))</f>
        <v/>
      </c>
      <c r="E296" s="41" t="str">
        <f aca="false">IF($B296="","",INDEX(Schedule!$E$4:$E$483,MATCH(12007,Schedule!$K$4:$K$483,0)))</f>
        <v/>
      </c>
      <c r="F296" s="42"/>
      <c r="G296" s="43" t="str">
        <f aca="false">IF($B296="","",IF($D296="Income",IF($F296&lt;&gt;"",$F296,$E296),""))</f>
        <v/>
      </c>
      <c r="H296" s="44" t="str">
        <f aca="false">IF($B296="","",IF($D296="Income","",IF($F296&lt;&gt;"",$F296,$E296)))</f>
        <v/>
      </c>
      <c r="I296" s="45" t="str">
        <f aca="false">IF($B296="","",$I$288+SUMIFS($G$290:$G$310,$M$290:$M$310,"&lt;="&amp;$M296)-SUMIFS($H$290:$H$310,$M$290:$M$310,"&lt;="&amp;$M296))</f>
        <v/>
      </c>
      <c r="J296" s="46" t="str">
        <f aca="true">IF($B296="","",IF($F296&lt;&gt;"",IF($C296&gt;TODAY(),"ADJUSTED","PAID"),IF($C296&lt;TODAY(),"PAST DUE",IF($C296&lt;=TODAY()+7,"DUE","Upcoming"))))</f>
        <v/>
      </c>
      <c r="L296" s="0" t="str">
        <f aca="false">IF($B296="","",$C296)</f>
        <v/>
      </c>
      <c r="M296" s="0" t="str">
        <f aca="false">IF($L296="","",COUNTIFS($L$290:$L$310,"&lt;"&amp;$L296)+COUNTIFS($L$290:$L296,$L296))</f>
        <v/>
      </c>
    </row>
    <row r="297" customFormat="false" ht="15" hidden="false" customHeight="false" outlineLevel="0" collapsed="false">
      <c r="B297" s="38" t="str">
        <f aca="false">IFERROR(INDEX(Schedule!$C$4:$C$483,MATCH(12008,Schedule!$K$4:$K$483,0)),"")</f>
        <v/>
      </c>
      <c r="C297" s="39" t="str">
        <f aca="false">IF($B297="","",INDEX(Schedule!$G$4:$G$483,MATCH(12008,Schedule!$K$4:$K$483,0)))</f>
        <v/>
      </c>
      <c r="D297" s="40" t="str">
        <f aca="false">IF($B297="","",INDEX(Schedule!$D$4:$D$483,MATCH(12008,Schedule!$K$4:$K$483,0)))</f>
        <v/>
      </c>
      <c r="E297" s="41" t="str">
        <f aca="false">IF($B297="","",INDEX(Schedule!$E$4:$E$483,MATCH(12008,Schedule!$K$4:$K$483,0)))</f>
        <v/>
      </c>
      <c r="F297" s="42"/>
      <c r="G297" s="43" t="str">
        <f aca="false">IF($B297="","",IF($D297="Income",IF($F297&lt;&gt;"",$F297,$E297),""))</f>
        <v/>
      </c>
      <c r="H297" s="44" t="str">
        <f aca="false">IF($B297="","",IF($D297="Income","",IF($F297&lt;&gt;"",$F297,$E297)))</f>
        <v/>
      </c>
      <c r="I297" s="45" t="str">
        <f aca="false">IF($B297="","",$I$288+SUMIFS($G$290:$G$310,$M$290:$M$310,"&lt;="&amp;$M297)-SUMIFS($H$290:$H$310,$M$290:$M$310,"&lt;="&amp;$M297))</f>
        <v/>
      </c>
      <c r="J297" s="46" t="str">
        <f aca="true">IF($B297="","",IF($F297&lt;&gt;"",IF($C297&gt;TODAY(),"ADJUSTED","PAID"),IF($C297&lt;TODAY(),"PAST DUE",IF($C297&lt;=TODAY()+7,"DUE","Upcoming"))))</f>
        <v/>
      </c>
      <c r="L297" s="0" t="str">
        <f aca="false">IF($B297="","",$C297)</f>
        <v/>
      </c>
      <c r="M297" s="0" t="str">
        <f aca="false">IF($L297="","",COUNTIFS($L$290:$L$310,"&lt;"&amp;$L297)+COUNTIFS($L$290:$L297,$L297))</f>
        <v/>
      </c>
    </row>
    <row r="298" customFormat="false" ht="15" hidden="false" customHeight="false" outlineLevel="0" collapsed="false">
      <c r="B298" s="38" t="str">
        <f aca="false">IFERROR(INDEX(Schedule!$C$4:$C$483,MATCH(12009,Schedule!$K$4:$K$483,0)),"")</f>
        <v/>
      </c>
      <c r="C298" s="39" t="str">
        <f aca="false">IF($B298="","",INDEX(Schedule!$G$4:$G$483,MATCH(12009,Schedule!$K$4:$K$483,0)))</f>
        <v/>
      </c>
      <c r="D298" s="40" t="str">
        <f aca="false">IF($B298="","",INDEX(Schedule!$D$4:$D$483,MATCH(12009,Schedule!$K$4:$K$483,0)))</f>
        <v/>
      </c>
      <c r="E298" s="41" t="str">
        <f aca="false">IF($B298="","",INDEX(Schedule!$E$4:$E$483,MATCH(12009,Schedule!$K$4:$K$483,0)))</f>
        <v/>
      </c>
      <c r="F298" s="42"/>
      <c r="G298" s="43" t="str">
        <f aca="false">IF($B298="","",IF($D298="Income",IF($F298&lt;&gt;"",$F298,$E298),""))</f>
        <v/>
      </c>
      <c r="H298" s="44" t="str">
        <f aca="false">IF($B298="","",IF($D298="Income","",IF($F298&lt;&gt;"",$F298,$E298)))</f>
        <v/>
      </c>
      <c r="I298" s="45" t="str">
        <f aca="false">IF($B298="","",$I$288+SUMIFS($G$290:$G$310,$M$290:$M$310,"&lt;="&amp;$M298)-SUMIFS($H$290:$H$310,$M$290:$M$310,"&lt;="&amp;$M298))</f>
        <v/>
      </c>
      <c r="J298" s="46" t="str">
        <f aca="true">IF($B298="","",IF($F298&lt;&gt;"",IF($C298&gt;TODAY(),"ADJUSTED","PAID"),IF($C298&lt;TODAY(),"PAST DUE",IF($C298&lt;=TODAY()+7,"DUE","Upcoming"))))</f>
        <v/>
      </c>
      <c r="L298" s="0" t="str">
        <f aca="false">IF($B298="","",$C298)</f>
        <v/>
      </c>
      <c r="M298" s="0" t="str">
        <f aca="false">IF($L298="","",COUNTIFS($L$290:$L$310,"&lt;"&amp;$L298)+COUNTIFS($L$290:$L298,$L298))</f>
        <v/>
      </c>
    </row>
    <row r="299" customFormat="false" ht="15" hidden="false" customHeight="false" outlineLevel="0" collapsed="false">
      <c r="B299" s="38" t="str">
        <f aca="false">IFERROR(INDEX(Schedule!$C$4:$C$483,MATCH(12010,Schedule!$K$4:$K$483,0)),"")</f>
        <v/>
      </c>
      <c r="C299" s="39" t="str">
        <f aca="false">IF($B299="","",INDEX(Schedule!$G$4:$G$483,MATCH(12010,Schedule!$K$4:$K$483,0)))</f>
        <v/>
      </c>
      <c r="D299" s="40" t="str">
        <f aca="false">IF($B299="","",INDEX(Schedule!$D$4:$D$483,MATCH(12010,Schedule!$K$4:$K$483,0)))</f>
        <v/>
      </c>
      <c r="E299" s="41" t="str">
        <f aca="false">IF($B299="","",INDEX(Schedule!$E$4:$E$483,MATCH(12010,Schedule!$K$4:$K$483,0)))</f>
        <v/>
      </c>
      <c r="F299" s="42"/>
      <c r="G299" s="43" t="str">
        <f aca="false">IF($B299="","",IF($D299="Income",IF($F299&lt;&gt;"",$F299,$E299),""))</f>
        <v/>
      </c>
      <c r="H299" s="44" t="str">
        <f aca="false">IF($B299="","",IF($D299="Income","",IF($F299&lt;&gt;"",$F299,$E299)))</f>
        <v/>
      </c>
      <c r="I299" s="45" t="str">
        <f aca="false">IF($B299="","",$I$288+SUMIFS($G$290:$G$310,$M$290:$M$310,"&lt;="&amp;$M299)-SUMIFS($H$290:$H$310,$M$290:$M$310,"&lt;="&amp;$M299))</f>
        <v/>
      </c>
      <c r="J299" s="46" t="str">
        <f aca="true">IF($B299="","",IF($F299&lt;&gt;"",IF($C299&gt;TODAY(),"ADJUSTED","PAID"),IF($C299&lt;TODAY(),"PAST DUE",IF($C299&lt;=TODAY()+7,"DUE","Upcoming"))))</f>
        <v/>
      </c>
      <c r="L299" s="0" t="str">
        <f aca="false">IF($B299="","",$C299)</f>
        <v/>
      </c>
      <c r="M299" s="0" t="str">
        <f aca="false">IF($L299="","",COUNTIFS($L$290:$L$310,"&lt;"&amp;$L299)+COUNTIFS($L$290:$L299,$L299))</f>
        <v/>
      </c>
    </row>
    <row r="300" customFormat="false" ht="15" hidden="false" customHeight="false" outlineLevel="0" collapsed="false">
      <c r="B300" s="49" t="s">
        <v>127</v>
      </c>
      <c r="C300" s="50"/>
      <c r="D300" s="50"/>
      <c r="E300" s="50"/>
      <c r="F300" s="50"/>
      <c r="G300" s="50"/>
      <c r="H300" s="50"/>
      <c r="I300" s="50"/>
      <c r="J300" s="50"/>
    </row>
    <row r="301" customFormat="false" ht="15" hidden="false" customHeight="false" outlineLevel="0" collapsed="false">
      <c r="B301" s="6"/>
      <c r="C301" s="51"/>
      <c r="D301" s="52" t="str">
        <f aca="false">IF($B301="","","Expense")</f>
        <v/>
      </c>
      <c r="E301" s="18"/>
      <c r="F301" s="10"/>
      <c r="G301" s="10"/>
      <c r="H301" s="53" t="str">
        <f aca="false">IF($B301="","",N($E301))</f>
        <v/>
      </c>
      <c r="I301" s="54" t="str">
        <f aca="false">IF($B301="","",$I$288+SUMIFS($G$290:$G$310,$M$290:$M$310,"&lt;="&amp;$M301)-SUMIFS($H$290:$H$310,$M$290:$M$310,"&lt;="&amp;$M301))</f>
        <v/>
      </c>
      <c r="J301" s="10"/>
      <c r="L301" s="0" t="str">
        <f aca="false">IF($B301="","",IF($C301="",$E$6+83,$C301))</f>
        <v/>
      </c>
      <c r="M301" s="0" t="str">
        <f aca="false">IF($L301="","",COUNTIFS($L$290:$L$310,"&lt;"&amp;$L301)+COUNTIFS($L$290:$L301,$L301))</f>
        <v/>
      </c>
    </row>
    <row r="302" customFormat="false" ht="15" hidden="false" customHeight="false" outlineLevel="0" collapsed="false">
      <c r="B302" s="6"/>
      <c r="C302" s="51"/>
      <c r="D302" s="52" t="str">
        <f aca="false">IF($B302="","","Expense")</f>
        <v/>
      </c>
      <c r="E302" s="18"/>
      <c r="F302" s="10"/>
      <c r="G302" s="10"/>
      <c r="H302" s="53" t="str">
        <f aca="false">IF($B302="","",N($E302))</f>
        <v/>
      </c>
      <c r="I302" s="54" t="str">
        <f aca="false">IF($B302="","",$I$288+SUMIFS($G$290:$G$310,$M$290:$M$310,"&lt;="&amp;$M302)-SUMIFS($H$290:$H$310,$M$290:$M$310,"&lt;="&amp;$M302))</f>
        <v/>
      </c>
      <c r="J302" s="10"/>
      <c r="L302" s="0" t="str">
        <f aca="false">IF($B302="","",IF($C302="",$E$6+83,$C302))</f>
        <v/>
      </c>
      <c r="M302" s="0" t="str">
        <f aca="false">IF($L302="","",COUNTIFS($L$290:$L$310,"&lt;"&amp;$L302)+COUNTIFS($L$290:$L302,$L302))</f>
        <v/>
      </c>
    </row>
    <row r="303" customFormat="false" ht="15" hidden="false" customHeight="false" outlineLevel="0" collapsed="false">
      <c r="B303" s="6"/>
      <c r="C303" s="51"/>
      <c r="D303" s="52" t="str">
        <f aca="false">IF($B303="","","Expense")</f>
        <v/>
      </c>
      <c r="E303" s="18"/>
      <c r="F303" s="10"/>
      <c r="G303" s="10"/>
      <c r="H303" s="53" t="str">
        <f aca="false">IF($B303="","",N($E303))</f>
        <v/>
      </c>
      <c r="I303" s="54" t="str">
        <f aca="false">IF($B303="","",$I$288+SUMIFS($G$290:$G$310,$M$290:$M$310,"&lt;="&amp;$M303)-SUMIFS($H$290:$H$310,$M$290:$M$310,"&lt;="&amp;$M303))</f>
        <v/>
      </c>
      <c r="J303" s="10"/>
      <c r="L303" s="0" t="str">
        <f aca="false">IF($B303="","",IF($C303="",$E$6+83,$C303))</f>
        <v/>
      </c>
      <c r="M303" s="0" t="str">
        <f aca="false">IF($L303="","",COUNTIFS($L$290:$L$310,"&lt;"&amp;$L303)+COUNTIFS($L$290:$L303,$L303))</f>
        <v/>
      </c>
    </row>
    <row r="304" customFormat="false" ht="15" hidden="false" customHeight="false" outlineLevel="0" collapsed="false">
      <c r="B304" s="6"/>
      <c r="C304" s="51"/>
      <c r="D304" s="52" t="str">
        <f aca="false">IF($B304="","","Expense")</f>
        <v/>
      </c>
      <c r="E304" s="18"/>
      <c r="F304" s="10"/>
      <c r="G304" s="10"/>
      <c r="H304" s="53" t="str">
        <f aca="false">IF($B304="","",N($E304))</f>
        <v/>
      </c>
      <c r="I304" s="54" t="str">
        <f aca="false">IF($B304="","",$I$288+SUMIFS($G$290:$G$310,$M$290:$M$310,"&lt;="&amp;$M304)-SUMIFS($H$290:$H$310,$M$290:$M$310,"&lt;="&amp;$M304))</f>
        <v/>
      </c>
      <c r="J304" s="10"/>
      <c r="L304" s="0" t="str">
        <f aca="false">IF($B304="","",IF($C304="",$E$6+83,$C304))</f>
        <v/>
      </c>
      <c r="M304" s="0" t="str">
        <f aca="false">IF($L304="","",COUNTIFS($L$290:$L$310,"&lt;"&amp;$L304)+COUNTIFS($L$290:$L304,$L304))</f>
        <v/>
      </c>
    </row>
    <row r="305" customFormat="false" ht="15" hidden="false" customHeight="false" outlineLevel="0" collapsed="false">
      <c r="B305" s="6"/>
      <c r="C305" s="51"/>
      <c r="D305" s="52" t="str">
        <f aca="false">IF($B305="","","Expense")</f>
        <v/>
      </c>
      <c r="E305" s="18"/>
      <c r="F305" s="10"/>
      <c r="G305" s="10"/>
      <c r="H305" s="53" t="str">
        <f aca="false">IF($B305="","",N($E305))</f>
        <v/>
      </c>
      <c r="I305" s="54" t="str">
        <f aca="false">IF($B305="","",$I$288+SUMIFS($G$290:$G$310,$M$290:$M$310,"&lt;="&amp;$M305)-SUMIFS($H$290:$H$310,$M$290:$M$310,"&lt;="&amp;$M305))</f>
        <v/>
      </c>
      <c r="J305" s="10"/>
      <c r="L305" s="0" t="str">
        <f aca="false">IF($B305="","",IF($C305="",$E$6+83,$C305))</f>
        <v/>
      </c>
      <c r="M305" s="0" t="str">
        <f aca="false">IF($L305="","",COUNTIFS($L$290:$L$310,"&lt;"&amp;$L305)+COUNTIFS($L$290:$L305,$L305))</f>
        <v/>
      </c>
    </row>
    <row r="306" customFormat="false" ht="15" hidden="false" customHeight="false" outlineLevel="0" collapsed="false">
      <c r="B306" s="6"/>
      <c r="C306" s="51"/>
      <c r="D306" s="52" t="str">
        <f aca="false">IF($B306="","","Expense")</f>
        <v/>
      </c>
      <c r="E306" s="18"/>
      <c r="F306" s="10"/>
      <c r="G306" s="10"/>
      <c r="H306" s="53" t="str">
        <f aca="false">IF($B306="","",N($E306))</f>
        <v/>
      </c>
      <c r="I306" s="54" t="str">
        <f aca="false">IF($B306="","",$I$288+SUMIFS($G$290:$G$310,$M$290:$M$310,"&lt;="&amp;$M306)-SUMIFS($H$290:$H$310,$M$290:$M$310,"&lt;="&amp;$M306))</f>
        <v/>
      </c>
      <c r="J306" s="10"/>
      <c r="L306" s="0" t="str">
        <f aca="false">IF($B306="","",IF($C306="",$E$6+83,$C306))</f>
        <v/>
      </c>
      <c r="M306" s="0" t="str">
        <f aca="false">IF($L306="","",COUNTIFS($L$290:$L$310,"&lt;"&amp;$L306)+COUNTIFS($L$290:$L306,$L306))</f>
        <v/>
      </c>
    </row>
    <row r="307" customFormat="false" ht="15" hidden="false" customHeight="false" outlineLevel="0" collapsed="false">
      <c r="B307" s="6"/>
      <c r="C307" s="51"/>
      <c r="D307" s="52" t="str">
        <f aca="false">IF($B307="","","Expense")</f>
        <v/>
      </c>
      <c r="E307" s="18"/>
      <c r="F307" s="10"/>
      <c r="G307" s="10"/>
      <c r="H307" s="53" t="str">
        <f aca="false">IF($B307="","",N($E307))</f>
        <v/>
      </c>
      <c r="I307" s="54" t="str">
        <f aca="false">IF($B307="","",$I$288+SUMIFS($G$290:$G$310,$M$290:$M$310,"&lt;="&amp;$M307)-SUMIFS($H$290:$H$310,$M$290:$M$310,"&lt;="&amp;$M307))</f>
        <v/>
      </c>
      <c r="J307" s="10"/>
      <c r="L307" s="0" t="str">
        <f aca="false">IF($B307="","",IF($C307="",$E$6+83,$C307))</f>
        <v/>
      </c>
      <c r="M307" s="0" t="str">
        <f aca="false">IF($L307="","",COUNTIFS($L$290:$L$310,"&lt;"&amp;$L307)+COUNTIFS($L$290:$L307,$L307))</f>
        <v/>
      </c>
    </row>
    <row r="308" customFormat="false" ht="15" hidden="false" customHeight="false" outlineLevel="0" collapsed="false">
      <c r="B308" s="6"/>
      <c r="C308" s="51"/>
      <c r="D308" s="52" t="str">
        <f aca="false">IF($B308="","","Expense")</f>
        <v/>
      </c>
      <c r="E308" s="18"/>
      <c r="F308" s="10"/>
      <c r="G308" s="10"/>
      <c r="H308" s="53" t="str">
        <f aca="false">IF($B308="","",N($E308))</f>
        <v/>
      </c>
      <c r="I308" s="54" t="str">
        <f aca="false">IF($B308="","",$I$288+SUMIFS($G$290:$G$310,$M$290:$M$310,"&lt;="&amp;$M308)-SUMIFS($H$290:$H$310,$M$290:$M$310,"&lt;="&amp;$M308))</f>
        <v/>
      </c>
      <c r="J308" s="10"/>
      <c r="L308" s="0" t="str">
        <f aca="false">IF($B308="","",IF($C308="",$E$6+83,$C308))</f>
        <v/>
      </c>
      <c r="M308" s="0" t="str">
        <f aca="false">IF($L308="","",COUNTIFS($L$290:$L$310,"&lt;"&amp;$L308)+COUNTIFS($L$290:$L308,$L308))</f>
        <v/>
      </c>
    </row>
    <row r="309" customFormat="false" ht="15" hidden="false" customHeight="false" outlineLevel="0" collapsed="false">
      <c r="B309" s="6"/>
      <c r="C309" s="51"/>
      <c r="D309" s="52" t="str">
        <f aca="false">IF($B309="","","Expense")</f>
        <v/>
      </c>
      <c r="E309" s="18"/>
      <c r="F309" s="10"/>
      <c r="G309" s="10"/>
      <c r="H309" s="53" t="str">
        <f aca="false">IF($B309="","",N($E309))</f>
        <v/>
      </c>
      <c r="I309" s="54" t="str">
        <f aca="false">IF($B309="","",$I$288+SUMIFS($G$290:$G$310,$M$290:$M$310,"&lt;="&amp;$M309)-SUMIFS($H$290:$H$310,$M$290:$M$310,"&lt;="&amp;$M309))</f>
        <v/>
      </c>
      <c r="J309" s="10"/>
      <c r="L309" s="0" t="str">
        <f aca="false">IF($B309="","",IF($C309="",$E$6+83,$C309))</f>
        <v/>
      </c>
      <c r="M309" s="0" t="str">
        <f aca="false">IF($L309="","",COUNTIFS($L$290:$L$310,"&lt;"&amp;$L309)+COUNTIFS($L$290:$L309,$L309))</f>
        <v/>
      </c>
    </row>
    <row r="310" customFormat="false" ht="15" hidden="false" customHeight="false" outlineLevel="0" collapsed="false">
      <c r="B310" s="6"/>
      <c r="C310" s="51"/>
      <c r="D310" s="52" t="str">
        <f aca="false">IF($B310="","","Expense")</f>
        <v/>
      </c>
      <c r="E310" s="18"/>
      <c r="F310" s="10"/>
      <c r="G310" s="10"/>
      <c r="H310" s="53" t="str">
        <f aca="false">IF($B310="","",N($E310))</f>
        <v/>
      </c>
      <c r="I310" s="54" t="str">
        <f aca="false">IF($B310="","",$I$288+SUMIFS($G$290:$G$310,$M$290:$M$310,"&lt;="&amp;$M310)-SUMIFS($H$290:$H$310,$M$290:$M$310,"&lt;="&amp;$M310))</f>
        <v/>
      </c>
      <c r="J310" s="10"/>
      <c r="L310" s="0" t="str">
        <f aca="false">IF($B310="","",IF($C310="",$E$6+83,$C310))</f>
        <v/>
      </c>
      <c r="M310" s="0" t="str">
        <f aca="false">IF($L310="","",COUNTIFS($L$290:$L$310,"&lt;"&amp;$L310)+COUNTIFS($L$290:$L310,$L310))</f>
        <v/>
      </c>
    </row>
    <row r="311" customFormat="false" ht="15" hidden="false" customHeight="false" outlineLevel="0" collapsed="false">
      <c r="B311" s="55" t="s">
        <v>145</v>
      </c>
      <c r="C311" s="56"/>
      <c r="D311" s="56"/>
      <c r="E311" s="56"/>
      <c r="F311" s="56"/>
      <c r="G311" s="57" t="n">
        <f aca="false">SUM($G$290:$G$310)</f>
        <v>880</v>
      </c>
      <c r="H311" s="57" t="n">
        <f aca="false">SUM($H$290:$H$310)</f>
        <v>57.57</v>
      </c>
      <c r="I311" s="58" t="n">
        <f aca="false">$I$288+$G$311-$H$311</f>
        <v>5084.3</v>
      </c>
      <c r="J311" s="59" t="str">
        <f aca="false">IF($I$311&lt;0,"SHORTFALL",IF($I$311&lt;$E$7,"TIGHT","OK"))</f>
        <v>OK</v>
      </c>
      <c r="K311" s="60" t="str">
        <f aca="false">IF(COUNT($I$290:$I$310)=0,"","Lowest point this week: "&amp;TEXT(MIN($I$290:$I$310),"$#,##0.00;-$#,##0.00")&amp;" on "&amp;TEXT(INDEX($C$290:$C$310,MATCH(MIN($I$290:$I$310),$I$290:$I$310,0)),"ddd mmm d")&amp;"     (in "&amp;TEXT($G$311,"$#,##0.00")&amp;", out "&amp;TEXT($H$311,"$#,##0.00")&amp;")")</f>
        <v>Lowest point this week: $4,994.30 on Sun Oct 25     (in $880.00, out $57.57)</v>
      </c>
    </row>
    <row r="313" customFormat="false" ht="21.75" hidden="false" customHeight="true" outlineLevel="0" collapsed="false">
      <c r="B313" s="31" t="str">
        <f aca="false">"WEEK 13     "&amp;TEXT($E$6+84,"ddd, mmm d")&amp;"   through   "&amp;TEXT($E$6+84+6,"ddd, mmm d, yyyy")</f>
        <v>WEEK 13     Fri, Oct 30   through   Thu, Nov 5, 2026</v>
      </c>
      <c r="C313" s="32"/>
      <c r="D313" s="32"/>
      <c r="E313" s="32"/>
      <c r="F313" s="32"/>
      <c r="G313" s="33" t="s">
        <v>120</v>
      </c>
      <c r="H313" s="32"/>
      <c r="I313" s="34" t="n">
        <f aca="false">$I$311</f>
        <v>5084.3</v>
      </c>
      <c r="J313" s="32"/>
      <c r="K313" s="28" t="str">
        <f aca="false">IF(COUNTIF(Schedule!$I$4:$I$483,13)&gt;10,"! "&amp;COUNTIF(Schedule!$I$4:$I$483,13)-10&amp;" more transaction(s) fall in this week than there are rows to show them.","")</f>
        <v/>
      </c>
    </row>
    <row r="314" customFormat="false" ht="25.5" hidden="false" customHeight="true" outlineLevel="0" collapsed="false">
      <c r="B314" s="35" t="s">
        <v>121</v>
      </c>
      <c r="C314" s="35" t="s">
        <v>122</v>
      </c>
      <c r="D314" s="35" t="s">
        <v>72</v>
      </c>
      <c r="E314" s="35" t="s">
        <v>123</v>
      </c>
      <c r="F314" s="35" t="s">
        <v>124</v>
      </c>
      <c r="G314" s="36" t="s">
        <v>18</v>
      </c>
      <c r="H314" s="37" t="s">
        <v>20</v>
      </c>
      <c r="I314" s="35" t="s">
        <v>125</v>
      </c>
      <c r="J314" s="35" t="s">
        <v>126</v>
      </c>
    </row>
    <row r="315" customFormat="false" ht="15" hidden="false" customHeight="false" outlineLevel="0" collapsed="false">
      <c r="B315" s="38" t="str">
        <f aca="false">IFERROR(INDEX(Schedule!$C$4:$C$483,MATCH(13001,Schedule!$K$4:$K$483,0)),"")</f>
        <v>Compunnel Software (paycheck)</v>
      </c>
      <c r="C315" s="39" t="n">
        <f aca="false">IF($B315="","",INDEX(Schedule!$G$4:$G$483,MATCH(13001,Schedule!$K$4:$K$483,0)))</f>
        <v>46325</v>
      </c>
      <c r="D315" s="40" t="str">
        <f aca="false">IF($B315="","",INDEX(Schedule!$D$4:$D$483,MATCH(13001,Schedule!$K$4:$K$483,0)))</f>
        <v>Income</v>
      </c>
      <c r="E315" s="41" t="n">
        <f aca="false">IF($B315="","",INDEX(Schedule!$E$4:$E$483,MATCH(13001,Schedule!$K$4:$K$483,0)))</f>
        <v>790</v>
      </c>
      <c r="F315" s="42"/>
      <c r="G315" s="43" t="n">
        <f aca="false">IF($B315="","",IF($D315="Income",IF($F315&lt;&gt;"",$F315,$E315),""))</f>
        <v>790</v>
      </c>
      <c r="H315" s="44" t="str">
        <f aca="false">IF($B315="","",IF($D315="Income","",IF($F315&lt;&gt;"",$F315,$E315)))</f>
        <v/>
      </c>
      <c r="I315" s="45" t="n">
        <f aca="false">IF($B315="","",$I$313+SUMIFS($G$315:$G$335,$M$315:$M$335,"&lt;="&amp;$M315)-SUMIFS($H$315:$H$335,$M$315:$M$335,"&lt;="&amp;$M315))</f>
        <v>5874.3</v>
      </c>
      <c r="J315" s="46" t="str">
        <f aca="true">IF($B315="","",IF($F315&lt;&gt;"",IF($C315&gt;TODAY(),"ADJUSTED","PAID"),IF($C315&lt;TODAY(),"PAST DUE",IF($C315&lt;=TODAY()+7,"DUE","Upcoming"))))</f>
        <v>Upcoming</v>
      </c>
      <c r="L315" s="47" t="n">
        <f aca="false">IF($B315="","",$C315)</f>
        <v>46325</v>
      </c>
      <c r="M315" s="48" t="n">
        <f aca="false">IF($L315="","",COUNTIFS($L$315:$L$335,"&lt;"&amp;$L315)+COUNTIFS($L$315:$L315,$L315))</f>
        <v>1</v>
      </c>
    </row>
    <row r="316" customFormat="false" ht="15" hidden="false" customHeight="false" outlineLevel="0" collapsed="false">
      <c r="B316" s="38" t="str">
        <f aca="false">IFERROR(INDEX(Schedule!$C$4:$C$483,MATCH(13002,Schedule!$K$4:$K$483,0)),"")</f>
        <v>Patrick Rombalski (rent)</v>
      </c>
      <c r="C316" s="39" t="n">
        <f aca="false">IF($B316="","",INDEX(Schedule!$G$4:$G$483,MATCH(13002,Schedule!$K$4:$K$483,0)))</f>
        <v>46325</v>
      </c>
      <c r="D316" s="40" t="str">
        <f aca="false">IF($B316="","",INDEX(Schedule!$D$4:$D$483,MATCH(13002,Schedule!$K$4:$K$483,0)))</f>
        <v>Expense</v>
      </c>
      <c r="E316" s="41" t="n">
        <f aca="false">IF($B316="","",INDEX(Schedule!$E$4:$E$483,MATCH(13002,Schedule!$K$4:$K$483,0)))</f>
        <v>350</v>
      </c>
      <c r="F316" s="42"/>
      <c r="G316" s="43" t="str">
        <f aca="false">IF($B316="","",IF($D316="Income",IF($F316&lt;&gt;"",$F316,$E316),""))</f>
        <v/>
      </c>
      <c r="H316" s="44" t="n">
        <f aca="false">IF($B316="","",IF($D316="Income","",IF($F316&lt;&gt;"",$F316,$E316)))</f>
        <v>350</v>
      </c>
      <c r="I316" s="45" t="n">
        <f aca="false">IF($B316="","",$I$313+SUMIFS($G$315:$G$335,$M$315:$M$335,"&lt;="&amp;$M316)-SUMIFS($H$315:$H$335,$M$315:$M$335,"&lt;="&amp;$M316))</f>
        <v>5524.3</v>
      </c>
      <c r="J316" s="46" t="str">
        <f aca="true">IF($B316="","",IF($F316&lt;&gt;"",IF($C316&gt;TODAY(),"ADJUSTED","PAID"),IF($C316&lt;TODAY(),"PAST DUE",IF($C316&lt;=TODAY()+7,"DUE","Upcoming"))))</f>
        <v>Upcoming</v>
      </c>
      <c r="L316" s="47" t="n">
        <f aca="false">IF($B316="","",$C316)</f>
        <v>46325</v>
      </c>
      <c r="M316" s="48" t="n">
        <f aca="false">IF($L316="","",COUNTIFS($L$315:$L$335,"&lt;"&amp;$L316)+COUNTIFS($L$315:$L316,$L316))</f>
        <v>2</v>
      </c>
    </row>
    <row r="317" customFormat="false" ht="15" hidden="false" customHeight="false" outlineLevel="0" collapsed="false">
      <c r="B317" s="38" t="str">
        <f aca="false">IFERROR(INDEX(Schedule!$C$4:$C$483,MATCH(13003,Schedule!$K$4:$K$483,0)),"")</f>
        <v>Maine Revenue Services (2)</v>
      </c>
      <c r="C317" s="39" t="n">
        <f aca="false">IF($B317="","",INDEX(Schedule!$G$4:$G$483,MATCH(13003,Schedule!$K$4:$K$483,0)))</f>
        <v>46325</v>
      </c>
      <c r="D317" s="40" t="str">
        <f aca="false">IF($B317="","",INDEX(Schedule!$D$4:$D$483,MATCH(13003,Schedule!$K$4:$K$483,0)))</f>
        <v>Expense</v>
      </c>
      <c r="E317" s="41" t="n">
        <f aca="false">IF($B317="","",INDEX(Schedule!$E$4:$E$483,MATCH(13003,Schedule!$K$4:$K$483,0)))</f>
        <v>150</v>
      </c>
      <c r="F317" s="42"/>
      <c r="G317" s="43" t="str">
        <f aca="false">IF($B317="","",IF($D317="Income",IF($F317&lt;&gt;"",$F317,$E317),""))</f>
        <v/>
      </c>
      <c r="H317" s="44" t="n">
        <f aca="false">IF($B317="","",IF($D317="Income","",IF($F317&lt;&gt;"",$F317,$E317)))</f>
        <v>150</v>
      </c>
      <c r="I317" s="45" t="n">
        <f aca="false">IF($B317="","",$I$313+SUMIFS($G$315:$G$335,$M$315:$M$335,"&lt;="&amp;$M317)-SUMIFS($H$315:$H$335,$M$315:$M$335,"&lt;="&amp;$M317))</f>
        <v>5374.3</v>
      </c>
      <c r="J317" s="46" t="str">
        <f aca="true">IF($B317="","",IF($F317&lt;&gt;"",IF($C317&gt;TODAY(),"ADJUSTED","PAID"),IF($C317&lt;TODAY(),"PAST DUE",IF($C317&lt;=TODAY()+7,"DUE","Upcoming"))))</f>
        <v>Upcoming</v>
      </c>
      <c r="L317" s="47" t="n">
        <f aca="false">IF($B317="","",$C317)</f>
        <v>46325</v>
      </c>
      <c r="M317" s="48" t="n">
        <f aca="false">IF($L317="","",COUNTIFS($L$315:$L$335,"&lt;"&amp;$L317)+COUNTIFS($L$315:$L317,$L317))</f>
        <v>3</v>
      </c>
    </row>
    <row r="318" customFormat="false" ht="15" hidden="false" customHeight="false" outlineLevel="0" collapsed="false">
      <c r="B318" s="38" t="str">
        <f aca="false">IFERROR(INDEX(Schedule!$C$4:$C$483,MATCH(13004,Schedule!$K$4:$K$483,0)),"")</f>
        <v>Progressive Insurance</v>
      </c>
      <c r="C318" s="39" t="n">
        <f aca="false">IF($B318="","",INDEX(Schedule!$G$4:$G$483,MATCH(13004,Schedule!$K$4:$K$483,0)))</f>
        <v>46326</v>
      </c>
      <c r="D318" s="40" t="str">
        <f aca="false">IF($B318="","",INDEX(Schedule!$D$4:$D$483,MATCH(13004,Schedule!$K$4:$K$483,0)))</f>
        <v>Expense</v>
      </c>
      <c r="E318" s="41" t="n">
        <f aca="false">IF($B318="","",INDEX(Schedule!$E$4:$E$483,MATCH(13004,Schedule!$K$4:$K$483,0)))</f>
        <v>143.37</v>
      </c>
      <c r="F318" s="42"/>
      <c r="G318" s="43" t="str">
        <f aca="false">IF($B318="","",IF($D318="Income",IF($F318&lt;&gt;"",$F318,$E318),""))</f>
        <v/>
      </c>
      <c r="H318" s="44" t="n">
        <f aca="false">IF($B318="","",IF($D318="Income","",IF($F318&lt;&gt;"",$F318,$E318)))</f>
        <v>143.37</v>
      </c>
      <c r="I318" s="45" t="n">
        <f aca="false">IF($B318="","",$I$313+SUMIFS($G$315:$G$335,$M$315:$M$335,"&lt;="&amp;$M318)-SUMIFS($H$315:$H$335,$M$315:$M$335,"&lt;="&amp;$M318))</f>
        <v>5230.93</v>
      </c>
      <c r="J318" s="46" t="str">
        <f aca="true">IF($B318="","",IF($F318&lt;&gt;"",IF($C318&gt;TODAY(),"ADJUSTED","PAID"),IF($C318&lt;TODAY(),"PAST DUE",IF($C318&lt;=TODAY()+7,"DUE","Upcoming"))))</f>
        <v>Upcoming</v>
      </c>
      <c r="L318" s="47" t="n">
        <f aca="false">IF($B318="","",$C318)</f>
        <v>46326</v>
      </c>
      <c r="M318" s="48" t="n">
        <f aca="false">IF($L318="","",COUNTIFS($L$315:$L$335,"&lt;"&amp;$L318)+COUNTIFS($L$315:$L318,$L318))</f>
        <v>4</v>
      </c>
    </row>
    <row r="319" customFormat="false" ht="15" hidden="false" customHeight="false" outlineLevel="0" collapsed="false">
      <c r="B319" s="38" t="str">
        <f aca="false">IFERROR(INDEX(Schedule!$C$4:$C$483,MATCH(13005,Schedule!$K$4:$K$483,0)),"")</f>
        <v>Bruno's Restaurant (paycheck)</v>
      </c>
      <c r="C319" s="39" t="n">
        <f aca="false">IF($B319="","",INDEX(Schedule!$G$4:$G$483,MATCH(13005,Schedule!$K$4:$K$483,0)))</f>
        <v>46330</v>
      </c>
      <c r="D319" s="40" t="str">
        <f aca="false">IF($B319="","",INDEX(Schedule!$D$4:$D$483,MATCH(13005,Schedule!$K$4:$K$483,0)))</f>
        <v>Income</v>
      </c>
      <c r="E319" s="41" t="n">
        <f aca="false">IF($B319="","",INDEX(Schedule!$E$4:$E$483,MATCH(13005,Schedule!$K$4:$K$483,0)))</f>
        <v>90</v>
      </c>
      <c r="F319" s="42"/>
      <c r="G319" s="43" t="n">
        <f aca="false">IF($B319="","",IF($D319="Income",IF($F319&lt;&gt;"",$F319,$E319),""))</f>
        <v>90</v>
      </c>
      <c r="H319" s="44" t="str">
        <f aca="false">IF($B319="","",IF($D319="Income","",IF($F319&lt;&gt;"",$F319,$E319)))</f>
        <v/>
      </c>
      <c r="I319" s="45" t="n">
        <f aca="false">IF($B319="","",$I$313+SUMIFS($G$315:$G$335,$M$315:$M$335,"&lt;="&amp;$M319)-SUMIFS($H$315:$H$335,$M$315:$M$335,"&lt;="&amp;$M319))</f>
        <v>5320.93</v>
      </c>
      <c r="J319" s="46" t="str">
        <f aca="true">IF($B319="","",IF($F319&lt;&gt;"",IF($C319&gt;TODAY(),"ADJUSTED","PAID"),IF($C319&lt;TODAY(),"PAST DUE",IF($C319&lt;=TODAY()+7,"DUE","Upcoming"))))</f>
        <v>Upcoming</v>
      </c>
      <c r="L319" s="47" t="n">
        <f aca="false">IF($B319="","",$C319)</f>
        <v>46330</v>
      </c>
      <c r="M319" s="48" t="n">
        <f aca="false">IF($L319="","",COUNTIFS($L$315:$L$335,"&lt;"&amp;$L319)+COUNTIFS($L$315:$L319,$L319))</f>
        <v>5</v>
      </c>
    </row>
    <row r="320" customFormat="false" ht="15" hidden="false" customHeight="false" outlineLevel="0" collapsed="false">
      <c r="B320" s="38" t="str">
        <f aca="false">IFERROR(INDEX(Schedule!$C$4:$C$483,MATCH(13006,Schedule!$K$4:$K$483,0)),"")</f>
        <v>Apple: Claude</v>
      </c>
      <c r="C320" s="39" t="n">
        <f aca="false">IF($B320="","",INDEX(Schedule!$G$4:$G$483,MATCH(13006,Schedule!$K$4:$K$483,0)))</f>
        <v>46330</v>
      </c>
      <c r="D320" s="40" t="str">
        <f aca="false">IF($B320="","",INDEX(Schedule!$D$4:$D$483,MATCH(13006,Schedule!$K$4:$K$483,0)))</f>
        <v>Expense</v>
      </c>
      <c r="E320" s="41" t="n">
        <f aca="false">IF($B320="","",INDEX(Schedule!$E$4:$E$483,MATCH(13006,Schedule!$K$4:$K$483,0)))</f>
        <v>21.1</v>
      </c>
      <c r="F320" s="42"/>
      <c r="G320" s="43" t="str">
        <f aca="false">IF($B320="","",IF($D320="Income",IF($F320&lt;&gt;"",$F320,$E320),""))</f>
        <v/>
      </c>
      <c r="H320" s="44" t="n">
        <f aca="false">IF($B320="","",IF($D320="Income","",IF($F320&lt;&gt;"",$F320,$E320)))</f>
        <v>21.1</v>
      </c>
      <c r="I320" s="45" t="n">
        <f aca="false">IF($B320="","",$I$313+SUMIFS($G$315:$G$335,$M$315:$M$335,"&lt;="&amp;$M320)-SUMIFS($H$315:$H$335,$M$315:$M$335,"&lt;="&amp;$M320))</f>
        <v>5299.83</v>
      </c>
      <c r="J320" s="46" t="str">
        <f aca="true">IF($B320="","",IF($F320&lt;&gt;"",IF($C320&gt;TODAY(),"ADJUSTED","PAID"),IF($C320&lt;TODAY(),"PAST DUE",IF($C320&lt;=TODAY()+7,"DUE","Upcoming"))))</f>
        <v>Upcoming</v>
      </c>
      <c r="L320" s="47" t="n">
        <f aca="false">IF($B320="","",$C320)</f>
        <v>46330</v>
      </c>
      <c r="M320" s="48" t="n">
        <f aca="false">IF($L320="","",COUNTIFS($L$315:$L$335,"&lt;"&amp;$L320)+COUNTIFS($L$315:$L320,$L320))</f>
        <v>6</v>
      </c>
    </row>
    <row r="321" customFormat="false" ht="15" hidden="false" customHeight="false" outlineLevel="0" collapsed="false">
      <c r="B321" s="38" t="str">
        <f aca="false">IFERROR(INDEX(Schedule!$C$4:$C$483,MATCH(13007,Schedule!$K$4:$K$483,0)),"")</f>
        <v>OpenAI</v>
      </c>
      <c r="C321" s="39" t="n">
        <f aca="false">IF($B321="","",INDEX(Schedule!$G$4:$G$483,MATCH(13007,Schedule!$K$4:$K$483,0)))</f>
        <v>46331</v>
      </c>
      <c r="D321" s="40" t="str">
        <f aca="false">IF($B321="","",INDEX(Schedule!$D$4:$D$483,MATCH(13007,Schedule!$K$4:$K$483,0)))</f>
        <v>Expense</v>
      </c>
      <c r="E321" s="41" t="n">
        <f aca="false">IF($B321="","",INDEX(Schedule!$E$4:$E$483,MATCH(13007,Schedule!$K$4:$K$483,0)))</f>
        <v>20</v>
      </c>
      <c r="F321" s="42"/>
      <c r="G321" s="43" t="str">
        <f aca="false">IF($B321="","",IF($D321="Income",IF($F321&lt;&gt;"",$F321,$E321),""))</f>
        <v/>
      </c>
      <c r="H321" s="44" t="n">
        <f aca="false">IF($B321="","",IF($D321="Income","",IF($F321&lt;&gt;"",$F321,$E321)))</f>
        <v>20</v>
      </c>
      <c r="I321" s="45" t="n">
        <f aca="false">IF($B321="","",$I$313+SUMIFS($G$315:$G$335,$M$315:$M$335,"&lt;="&amp;$M321)-SUMIFS($H$315:$H$335,$M$315:$M$335,"&lt;="&amp;$M321))</f>
        <v>5279.83</v>
      </c>
      <c r="J321" s="46" t="str">
        <f aca="true">IF($B321="","",IF($F321&lt;&gt;"",IF($C321&gt;TODAY(),"ADJUSTED","PAID"),IF($C321&lt;TODAY(),"PAST DUE",IF($C321&lt;=TODAY()+7,"DUE","Upcoming"))))</f>
        <v>Upcoming</v>
      </c>
      <c r="L321" s="47" t="n">
        <f aca="false">IF($B321="","",$C321)</f>
        <v>46331</v>
      </c>
      <c r="M321" s="48" t="n">
        <f aca="false">IF($L321="","",COUNTIFS($L$315:$L$335,"&lt;"&amp;$L321)+COUNTIFS($L$315:$L321,$L321))</f>
        <v>7</v>
      </c>
    </row>
    <row r="322" customFormat="false" ht="15" hidden="false" customHeight="false" outlineLevel="0" collapsed="false">
      <c r="B322" s="38" t="str">
        <f aca="false">IFERROR(INDEX(Schedule!$C$4:$C$483,MATCH(13008,Schedule!$K$4:$K$483,0)),"")</f>
        <v>Obsidian</v>
      </c>
      <c r="C322" s="39" t="n">
        <f aca="false">IF($B322="","",INDEX(Schedule!$G$4:$G$483,MATCH(13008,Schedule!$K$4:$K$483,0)))</f>
        <v>46331</v>
      </c>
      <c r="D322" s="40" t="str">
        <f aca="false">IF($B322="","",INDEX(Schedule!$D$4:$D$483,MATCH(13008,Schedule!$K$4:$K$483,0)))</f>
        <v>Expense</v>
      </c>
      <c r="E322" s="41" t="n">
        <f aca="false">IF($B322="","",INDEX(Schedule!$E$4:$E$483,MATCH(13008,Schedule!$K$4:$K$483,0)))</f>
        <v>10</v>
      </c>
      <c r="F322" s="42"/>
      <c r="G322" s="43" t="str">
        <f aca="false">IF($B322="","",IF($D322="Income",IF($F322&lt;&gt;"",$F322,$E322),""))</f>
        <v/>
      </c>
      <c r="H322" s="44" t="n">
        <f aca="false">IF($B322="","",IF($D322="Income","",IF($F322&lt;&gt;"",$F322,$E322)))</f>
        <v>10</v>
      </c>
      <c r="I322" s="45" t="n">
        <f aca="false">IF($B322="","",$I$313+SUMIFS($G$315:$G$335,$M$315:$M$335,"&lt;="&amp;$M322)-SUMIFS($H$315:$H$335,$M$315:$M$335,"&lt;="&amp;$M322))</f>
        <v>5269.83</v>
      </c>
      <c r="J322" s="46" t="str">
        <f aca="true">IF($B322="","",IF($F322&lt;&gt;"",IF($C322&gt;TODAY(),"ADJUSTED","PAID"),IF($C322&lt;TODAY(),"PAST DUE",IF($C322&lt;=TODAY()+7,"DUE","Upcoming"))))</f>
        <v>Upcoming</v>
      </c>
      <c r="L322" s="47" t="n">
        <f aca="false">IF($B322="","",$C322)</f>
        <v>46331</v>
      </c>
      <c r="M322" s="48" t="n">
        <f aca="false">IF($L322="","",COUNTIFS($L$315:$L$335,"&lt;"&amp;$L322)+COUNTIFS($L$315:$L322,$L322))</f>
        <v>8</v>
      </c>
    </row>
    <row r="323" customFormat="false" ht="15" hidden="false" customHeight="false" outlineLevel="0" collapsed="false">
      <c r="B323" s="38" t="str">
        <f aca="false">IFERROR(INDEX(Schedule!$C$4:$C$483,MATCH(13009,Schedule!$K$4:$K$483,0)),"")</f>
        <v/>
      </c>
      <c r="C323" s="39" t="str">
        <f aca="false">IF($B323="","",INDEX(Schedule!$G$4:$G$483,MATCH(13009,Schedule!$K$4:$K$483,0)))</f>
        <v/>
      </c>
      <c r="D323" s="40" t="str">
        <f aca="false">IF($B323="","",INDEX(Schedule!$D$4:$D$483,MATCH(13009,Schedule!$K$4:$K$483,0)))</f>
        <v/>
      </c>
      <c r="E323" s="41" t="str">
        <f aca="false">IF($B323="","",INDEX(Schedule!$E$4:$E$483,MATCH(13009,Schedule!$K$4:$K$483,0)))</f>
        <v/>
      </c>
      <c r="F323" s="42"/>
      <c r="G323" s="43" t="str">
        <f aca="false">IF($B323="","",IF($D323="Income",IF($F323&lt;&gt;"",$F323,$E323),""))</f>
        <v/>
      </c>
      <c r="H323" s="44" t="str">
        <f aca="false">IF($B323="","",IF($D323="Income","",IF($F323&lt;&gt;"",$F323,$E323)))</f>
        <v/>
      </c>
      <c r="I323" s="45" t="str">
        <f aca="false">IF($B323="","",$I$313+SUMIFS($G$315:$G$335,$M$315:$M$335,"&lt;="&amp;$M323)-SUMIFS($H$315:$H$335,$M$315:$M$335,"&lt;="&amp;$M323))</f>
        <v/>
      </c>
      <c r="J323" s="46" t="str">
        <f aca="true">IF($B323="","",IF($F323&lt;&gt;"",IF($C323&gt;TODAY(),"ADJUSTED","PAID"),IF($C323&lt;TODAY(),"PAST DUE",IF($C323&lt;=TODAY()+7,"DUE","Upcoming"))))</f>
        <v/>
      </c>
      <c r="L323" s="0" t="str">
        <f aca="false">IF($B323="","",$C323)</f>
        <v/>
      </c>
      <c r="M323" s="0" t="str">
        <f aca="false">IF($L323="","",COUNTIFS($L$315:$L$335,"&lt;"&amp;$L323)+COUNTIFS($L$315:$L323,$L323))</f>
        <v/>
      </c>
    </row>
    <row r="324" customFormat="false" ht="15" hidden="false" customHeight="false" outlineLevel="0" collapsed="false">
      <c r="B324" s="38" t="str">
        <f aca="false">IFERROR(INDEX(Schedule!$C$4:$C$483,MATCH(13010,Schedule!$K$4:$K$483,0)),"")</f>
        <v/>
      </c>
      <c r="C324" s="39" t="str">
        <f aca="false">IF($B324="","",INDEX(Schedule!$G$4:$G$483,MATCH(13010,Schedule!$K$4:$K$483,0)))</f>
        <v/>
      </c>
      <c r="D324" s="40" t="str">
        <f aca="false">IF($B324="","",INDEX(Schedule!$D$4:$D$483,MATCH(13010,Schedule!$K$4:$K$483,0)))</f>
        <v/>
      </c>
      <c r="E324" s="41" t="str">
        <f aca="false">IF($B324="","",INDEX(Schedule!$E$4:$E$483,MATCH(13010,Schedule!$K$4:$K$483,0)))</f>
        <v/>
      </c>
      <c r="F324" s="42"/>
      <c r="G324" s="43" t="str">
        <f aca="false">IF($B324="","",IF($D324="Income",IF($F324&lt;&gt;"",$F324,$E324),""))</f>
        <v/>
      </c>
      <c r="H324" s="44" t="str">
        <f aca="false">IF($B324="","",IF($D324="Income","",IF($F324&lt;&gt;"",$F324,$E324)))</f>
        <v/>
      </c>
      <c r="I324" s="45" t="str">
        <f aca="false">IF($B324="","",$I$313+SUMIFS($G$315:$G$335,$M$315:$M$335,"&lt;="&amp;$M324)-SUMIFS($H$315:$H$335,$M$315:$M$335,"&lt;="&amp;$M324))</f>
        <v/>
      </c>
      <c r="J324" s="46" t="str">
        <f aca="true">IF($B324="","",IF($F324&lt;&gt;"",IF($C324&gt;TODAY(),"ADJUSTED","PAID"),IF($C324&lt;TODAY(),"PAST DUE",IF($C324&lt;=TODAY()+7,"DUE","Upcoming"))))</f>
        <v/>
      </c>
      <c r="L324" s="0" t="str">
        <f aca="false">IF($B324="","",$C324)</f>
        <v/>
      </c>
      <c r="M324" s="0" t="str">
        <f aca="false">IF($L324="","",COUNTIFS($L$315:$L$335,"&lt;"&amp;$L324)+COUNTIFS($L$315:$L324,$L324))</f>
        <v/>
      </c>
    </row>
    <row r="325" customFormat="false" ht="15" hidden="false" customHeight="false" outlineLevel="0" collapsed="false">
      <c r="B325" s="49" t="s">
        <v>127</v>
      </c>
      <c r="C325" s="50"/>
      <c r="D325" s="50"/>
      <c r="E325" s="50"/>
      <c r="F325" s="50"/>
      <c r="G325" s="50"/>
      <c r="H325" s="50"/>
      <c r="I325" s="50"/>
      <c r="J325" s="50"/>
    </row>
    <row r="326" customFormat="false" ht="15" hidden="false" customHeight="false" outlineLevel="0" collapsed="false">
      <c r="B326" s="6"/>
      <c r="C326" s="51"/>
      <c r="D326" s="52" t="str">
        <f aca="false">IF($B326="","","Expense")</f>
        <v/>
      </c>
      <c r="E326" s="18"/>
      <c r="F326" s="10"/>
      <c r="G326" s="10"/>
      <c r="H326" s="53" t="str">
        <f aca="false">IF($B326="","",N($E326))</f>
        <v/>
      </c>
      <c r="I326" s="54" t="str">
        <f aca="false">IF($B326="","",$I$313+SUMIFS($G$315:$G$335,$M$315:$M$335,"&lt;="&amp;$M326)-SUMIFS($H$315:$H$335,$M$315:$M$335,"&lt;="&amp;$M326))</f>
        <v/>
      </c>
      <c r="J326" s="10"/>
      <c r="L326" s="0" t="str">
        <f aca="false">IF($B326="","",IF($C326="",$E$6+90,$C326))</f>
        <v/>
      </c>
      <c r="M326" s="0" t="str">
        <f aca="false">IF($L326="","",COUNTIFS($L$315:$L$335,"&lt;"&amp;$L326)+COUNTIFS($L$315:$L326,$L326))</f>
        <v/>
      </c>
    </row>
    <row r="327" customFormat="false" ht="15" hidden="false" customHeight="false" outlineLevel="0" collapsed="false">
      <c r="B327" s="6"/>
      <c r="C327" s="51"/>
      <c r="D327" s="52" t="str">
        <f aca="false">IF($B327="","","Expense")</f>
        <v/>
      </c>
      <c r="E327" s="18"/>
      <c r="F327" s="10"/>
      <c r="G327" s="10"/>
      <c r="H327" s="53" t="str">
        <f aca="false">IF($B327="","",N($E327))</f>
        <v/>
      </c>
      <c r="I327" s="54" t="str">
        <f aca="false">IF($B327="","",$I$313+SUMIFS($G$315:$G$335,$M$315:$M$335,"&lt;="&amp;$M327)-SUMIFS($H$315:$H$335,$M$315:$M$335,"&lt;="&amp;$M327))</f>
        <v/>
      </c>
      <c r="J327" s="10"/>
      <c r="L327" s="0" t="str">
        <f aca="false">IF($B327="","",IF($C327="",$E$6+90,$C327))</f>
        <v/>
      </c>
      <c r="M327" s="0" t="str">
        <f aca="false">IF($L327="","",COUNTIFS($L$315:$L$335,"&lt;"&amp;$L327)+COUNTIFS($L$315:$L327,$L327))</f>
        <v/>
      </c>
    </row>
    <row r="328" customFormat="false" ht="15" hidden="false" customHeight="false" outlineLevel="0" collapsed="false">
      <c r="B328" s="6"/>
      <c r="C328" s="51"/>
      <c r="D328" s="52" t="str">
        <f aca="false">IF($B328="","","Expense")</f>
        <v/>
      </c>
      <c r="E328" s="18"/>
      <c r="F328" s="10"/>
      <c r="G328" s="10"/>
      <c r="H328" s="53" t="str">
        <f aca="false">IF($B328="","",N($E328))</f>
        <v/>
      </c>
      <c r="I328" s="54" t="str">
        <f aca="false">IF($B328="","",$I$313+SUMIFS($G$315:$G$335,$M$315:$M$335,"&lt;="&amp;$M328)-SUMIFS($H$315:$H$335,$M$315:$M$335,"&lt;="&amp;$M328))</f>
        <v/>
      </c>
      <c r="J328" s="10"/>
      <c r="L328" s="0" t="str">
        <f aca="false">IF($B328="","",IF($C328="",$E$6+90,$C328))</f>
        <v/>
      </c>
      <c r="M328" s="0" t="str">
        <f aca="false">IF($L328="","",COUNTIFS($L$315:$L$335,"&lt;"&amp;$L328)+COUNTIFS($L$315:$L328,$L328))</f>
        <v/>
      </c>
    </row>
    <row r="329" customFormat="false" ht="15" hidden="false" customHeight="false" outlineLevel="0" collapsed="false">
      <c r="B329" s="6"/>
      <c r="C329" s="51"/>
      <c r="D329" s="52" t="str">
        <f aca="false">IF($B329="","","Expense")</f>
        <v/>
      </c>
      <c r="E329" s="18"/>
      <c r="F329" s="10"/>
      <c r="G329" s="10"/>
      <c r="H329" s="53" t="str">
        <f aca="false">IF($B329="","",N($E329))</f>
        <v/>
      </c>
      <c r="I329" s="54" t="str">
        <f aca="false">IF($B329="","",$I$313+SUMIFS($G$315:$G$335,$M$315:$M$335,"&lt;="&amp;$M329)-SUMIFS($H$315:$H$335,$M$315:$M$335,"&lt;="&amp;$M329))</f>
        <v/>
      </c>
      <c r="J329" s="10"/>
      <c r="L329" s="0" t="str">
        <f aca="false">IF($B329="","",IF($C329="",$E$6+90,$C329))</f>
        <v/>
      </c>
      <c r="M329" s="0" t="str">
        <f aca="false">IF($L329="","",COUNTIFS($L$315:$L$335,"&lt;"&amp;$L329)+COUNTIFS($L$315:$L329,$L329))</f>
        <v/>
      </c>
    </row>
    <row r="330" customFormat="false" ht="15" hidden="false" customHeight="false" outlineLevel="0" collapsed="false">
      <c r="B330" s="6"/>
      <c r="C330" s="51"/>
      <c r="D330" s="52" t="str">
        <f aca="false">IF($B330="","","Expense")</f>
        <v/>
      </c>
      <c r="E330" s="18"/>
      <c r="F330" s="10"/>
      <c r="G330" s="10"/>
      <c r="H330" s="53" t="str">
        <f aca="false">IF($B330="","",N($E330))</f>
        <v/>
      </c>
      <c r="I330" s="54" t="str">
        <f aca="false">IF($B330="","",$I$313+SUMIFS($G$315:$G$335,$M$315:$M$335,"&lt;="&amp;$M330)-SUMIFS($H$315:$H$335,$M$315:$M$335,"&lt;="&amp;$M330))</f>
        <v/>
      </c>
      <c r="J330" s="10"/>
      <c r="L330" s="0" t="str">
        <f aca="false">IF($B330="","",IF($C330="",$E$6+90,$C330))</f>
        <v/>
      </c>
      <c r="M330" s="0" t="str">
        <f aca="false">IF($L330="","",COUNTIFS($L$315:$L$335,"&lt;"&amp;$L330)+COUNTIFS($L$315:$L330,$L330))</f>
        <v/>
      </c>
    </row>
    <row r="331" customFormat="false" ht="15" hidden="false" customHeight="false" outlineLevel="0" collapsed="false">
      <c r="B331" s="6"/>
      <c r="C331" s="51"/>
      <c r="D331" s="52" t="str">
        <f aca="false">IF($B331="","","Expense")</f>
        <v/>
      </c>
      <c r="E331" s="18"/>
      <c r="F331" s="10"/>
      <c r="G331" s="10"/>
      <c r="H331" s="53" t="str">
        <f aca="false">IF($B331="","",N($E331))</f>
        <v/>
      </c>
      <c r="I331" s="54" t="str">
        <f aca="false">IF($B331="","",$I$313+SUMIFS($G$315:$G$335,$M$315:$M$335,"&lt;="&amp;$M331)-SUMIFS($H$315:$H$335,$M$315:$M$335,"&lt;="&amp;$M331))</f>
        <v/>
      </c>
      <c r="J331" s="10"/>
      <c r="L331" s="0" t="str">
        <f aca="false">IF($B331="","",IF($C331="",$E$6+90,$C331))</f>
        <v/>
      </c>
      <c r="M331" s="0" t="str">
        <f aca="false">IF($L331="","",COUNTIFS($L$315:$L$335,"&lt;"&amp;$L331)+COUNTIFS($L$315:$L331,$L331))</f>
        <v/>
      </c>
    </row>
    <row r="332" customFormat="false" ht="15" hidden="false" customHeight="false" outlineLevel="0" collapsed="false">
      <c r="B332" s="6"/>
      <c r="C332" s="51"/>
      <c r="D332" s="52" t="str">
        <f aca="false">IF($B332="","","Expense")</f>
        <v/>
      </c>
      <c r="E332" s="18"/>
      <c r="F332" s="10"/>
      <c r="G332" s="10"/>
      <c r="H332" s="53" t="str">
        <f aca="false">IF($B332="","",N($E332))</f>
        <v/>
      </c>
      <c r="I332" s="54" t="str">
        <f aca="false">IF($B332="","",$I$313+SUMIFS($G$315:$G$335,$M$315:$M$335,"&lt;="&amp;$M332)-SUMIFS($H$315:$H$335,$M$315:$M$335,"&lt;="&amp;$M332))</f>
        <v/>
      </c>
      <c r="J332" s="10"/>
      <c r="L332" s="0" t="str">
        <f aca="false">IF($B332="","",IF($C332="",$E$6+90,$C332))</f>
        <v/>
      </c>
      <c r="M332" s="0" t="str">
        <f aca="false">IF($L332="","",COUNTIFS($L$315:$L$335,"&lt;"&amp;$L332)+COUNTIFS($L$315:$L332,$L332))</f>
        <v/>
      </c>
    </row>
    <row r="333" customFormat="false" ht="15" hidden="false" customHeight="false" outlineLevel="0" collapsed="false">
      <c r="B333" s="6"/>
      <c r="C333" s="51"/>
      <c r="D333" s="52" t="str">
        <f aca="false">IF($B333="","","Expense")</f>
        <v/>
      </c>
      <c r="E333" s="18"/>
      <c r="F333" s="10"/>
      <c r="G333" s="10"/>
      <c r="H333" s="53" t="str">
        <f aca="false">IF($B333="","",N($E333))</f>
        <v/>
      </c>
      <c r="I333" s="54" t="str">
        <f aca="false">IF($B333="","",$I$313+SUMIFS($G$315:$G$335,$M$315:$M$335,"&lt;="&amp;$M333)-SUMIFS($H$315:$H$335,$M$315:$M$335,"&lt;="&amp;$M333))</f>
        <v/>
      </c>
      <c r="J333" s="10"/>
      <c r="L333" s="0" t="str">
        <f aca="false">IF($B333="","",IF($C333="",$E$6+90,$C333))</f>
        <v/>
      </c>
      <c r="M333" s="0" t="str">
        <f aca="false">IF($L333="","",COUNTIFS($L$315:$L$335,"&lt;"&amp;$L333)+COUNTIFS($L$315:$L333,$L333))</f>
        <v/>
      </c>
    </row>
    <row r="334" customFormat="false" ht="15" hidden="false" customHeight="false" outlineLevel="0" collapsed="false">
      <c r="B334" s="6"/>
      <c r="C334" s="51"/>
      <c r="D334" s="52" t="str">
        <f aca="false">IF($B334="","","Expense")</f>
        <v/>
      </c>
      <c r="E334" s="18"/>
      <c r="F334" s="10"/>
      <c r="G334" s="10"/>
      <c r="H334" s="53" t="str">
        <f aca="false">IF($B334="","",N($E334))</f>
        <v/>
      </c>
      <c r="I334" s="54" t="str">
        <f aca="false">IF($B334="","",$I$313+SUMIFS($G$315:$G$335,$M$315:$M$335,"&lt;="&amp;$M334)-SUMIFS($H$315:$H$335,$M$315:$M$335,"&lt;="&amp;$M334))</f>
        <v/>
      </c>
      <c r="J334" s="10"/>
      <c r="L334" s="0" t="str">
        <f aca="false">IF($B334="","",IF($C334="",$E$6+90,$C334))</f>
        <v/>
      </c>
      <c r="M334" s="0" t="str">
        <f aca="false">IF($L334="","",COUNTIFS($L$315:$L$335,"&lt;"&amp;$L334)+COUNTIFS($L$315:$L334,$L334))</f>
        <v/>
      </c>
    </row>
    <row r="335" customFormat="false" ht="15" hidden="false" customHeight="false" outlineLevel="0" collapsed="false">
      <c r="B335" s="6"/>
      <c r="C335" s="51"/>
      <c r="D335" s="52" t="str">
        <f aca="false">IF($B335="","","Expense")</f>
        <v/>
      </c>
      <c r="E335" s="18"/>
      <c r="F335" s="10"/>
      <c r="G335" s="10"/>
      <c r="H335" s="53" t="str">
        <f aca="false">IF($B335="","",N($E335))</f>
        <v/>
      </c>
      <c r="I335" s="54" t="str">
        <f aca="false">IF($B335="","",$I$313+SUMIFS($G$315:$G$335,$M$315:$M$335,"&lt;="&amp;$M335)-SUMIFS($H$315:$H$335,$M$315:$M$335,"&lt;="&amp;$M335))</f>
        <v/>
      </c>
      <c r="J335" s="10"/>
      <c r="L335" s="0" t="str">
        <f aca="false">IF($B335="","",IF($C335="",$E$6+90,$C335))</f>
        <v/>
      </c>
      <c r="M335" s="0" t="str">
        <f aca="false">IF($L335="","",COUNTIFS($L$315:$L$335,"&lt;"&amp;$L335)+COUNTIFS($L$315:$L335,$L335))</f>
        <v/>
      </c>
    </row>
    <row r="336" customFormat="false" ht="15" hidden="false" customHeight="false" outlineLevel="0" collapsed="false">
      <c r="B336" s="55" t="s">
        <v>146</v>
      </c>
      <c r="C336" s="56"/>
      <c r="D336" s="56"/>
      <c r="E336" s="56"/>
      <c r="F336" s="56"/>
      <c r="G336" s="57" t="n">
        <f aca="false">SUM($G$315:$G$335)</f>
        <v>880</v>
      </c>
      <c r="H336" s="57" t="n">
        <f aca="false">SUM($H$315:$H$335)</f>
        <v>694.47</v>
      </c>
      <c r="I336" s="58" t="n">
        <f aca="false">$I$313+$G$336-$H$336</f>
        <v>5269.83</v>
      </c>
      <c r="J336" s="59" t="str">
        <f aca="false">IF($I$336&lt;0,"SHORTFALL",IF($I$336&lt;$E$7,"TIGHT","OK"))</f>
        <v>OK</v>
      </c>
      <c r="K336" s="60" t="str">
        <f aca="false">IF(COUNT($I$315:$I$335)=0,"","Lowest point this week: "&amp;TEXT(MIN($I$315:$I$335),"$#,##0.00;-$#,##0.00")&amp;" on "&amp;TEXT(INDEX($C$315:$C$335,MATCH(MIN($I$315:$I$335),$I$315:$I$335,0)),"ddd mmm d")&amp;"     (in "&amp;TEXT($G$336,"$#,##0.00")&amp;", out "&amp;TEXT($H$336,"$#,##0.00")&amp;")")</f>
        <v>Lowest point this week: $5,230.93 on Sat Oct 31     (in $880.00, out $694.47)</v>
      </c>
    </row>
  </sheetData>
  <conditionalFormatting sqref="B15:J24 B40:J49 B65:J74 B90:J99 B115:J124 B140:J149 B165:J174 B190:J199 B215:J224 B240:J249 B265:J274 B290:J299 B315:J324">
    <cfRule type="expression" priority="2" aboveAverage="0" equalAverage="0" bottom="0" percent="0" rank="0" text="" dxfId="2">
      <formula>$B15&lt;&gt;""</formula>
    </cfRule>
  </conditionalFormatting>
  <conditionalFormatting sqref="F15:F24 F40:F49 F65:F74 F90:F99 F115:F124 F140:F149 F165:F174 F190:F199 F215:F224 F240:F249 F265:F274 F290:F299 F315:F324">
    <cfRule type="expression" priority="3" aboveAverage="0" equalAverage="0" bottom="0" percent="0" rank="0" text="" dxfId="3">
      <formula>AND($B15&lt;&gt;"",$F15="",$C15&lt;=TODAY())</formula>
    </cfRule>
  </conditionalFormatting>
  <conditionalFormatting sqref="J15:J24 J36 J40:J49 J61 J65:J74 J86 J90:J99 J111 J115:J124 J136 J140:J149 J161 J165:J174 J186 J190:J199 J211 J215:J224 J236 J240:J249 J261 J265:J274 J286 J290:J299 J311 J315:J324 J33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6 I40:I61 I65:I86 I90:I111 I115:I136 I140:I161 I165:I186 I190:I211 I215:I236 I240:I261 I265:I286 I290:I311 I315:I33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147</v>
      </c>
    </row>
    <row r="2" customFormat="false" ht="15" hidden="false" customHeight="false" outlineLevel="0" collapsed="false">
      <c r="B2" s="2" t="s">
        <v>148</v>
      </c>
    </row>
    <row r="4" customFormat="false" ht="15" hidden="false" customHeight="false" outlineLevel="0" collapsed="false">
      <c r="B4" s="61" t="s">
        <v>149</v>
      </c>
      <c r="C4" s="61"/>
      <c r="D4" s="61"/>
      <c r="E4" s="62" t="n">
        <f aca="false">MIN($I$13:$I$25)</f>
        <v>58.18</v>
      </c>
    </row>
    <row r="5" customFormat="false" ht="15" hidden="false" customHeight="false" outlineLevel="0" collapsed="false">
      <c r="B5" s="61" t="s">
        <v>150</v>
      </c>
      <c r="C5" s="61"/>
      <c r="D5" s="61"/>
      <c r="E5" s="63" t="str">
        <f aca="false">"Week "&amp;INDEX($B$13:$B$25,MATCH(MIN($I$13:$I$25),$I$13:$I$25,0))&amp;", beginning "&amp;TEXT(INDEX($C$13:$C$25,MATCH(MIN($I$13:$I$25),$I$13:$I$25,0)),"mmm d, yyyy")</f>
        <v>Week 1, beginning Aug 7, 2026</v>
      </c>
      <c r="F5" s="63"/>
      <c r="G5" s="63"/>
      <c r="H5" s="63"/>
      <c r="I5" s="63"/>
    </row>
    <row r="6" customFormat="false" ht="15" hidden="false" customHeight="false" outlineLevel="0" collapsed="false">
      <c r="B6" s="61" t="s">
        <v>151</v>
      </c>
      <c r="C6" s="61"/>
      <c r="D6" s="61"/>
      <c r="E6" s="63" t="str">
        <f aca="false">IF(MIN($K$13:$K$25)=999,"None — you stay above zero all 13 weeks","Week "&amp;MIN($K$13:$K$25)&amp;"  ("&amp;TEXT(INDEX($C$13:$C$25,MATCH(MIN($K$13:$K$25),$B$13:$B$25,0)),"mmm d, yyyy")&amp;")")</f>
        <v>None — you stay above zero all 13 weeks</v>
      </c>
      <c r="F6" s="63"/>
      <c r="G6" s="63"/>
      <c r="H6" s="63"/>
      <c r="I6" s="63"/>
    </row>
    <row r="7" customFormat="false" ht="15" hidden="false" customHeight="false" outlineLevel="0" collapsed="false">
      <c r="B7" s="61" t="s">
        <v>152</v>
      </c>
      <c r="C7" s="61"/>
      <c r="D7" s="61"/>
      <c r="E7" s="64" t="n">
        <f aca="false">SUM($E$13:$E$25)</f>
        <v>10792.63</v>
      </c>
    </row>
    <row r="8" customFormat="false" ht="15" hidden="false" customHeight="false" outlineLevel="0" collapsed="false">
      <c r="B8" s="61" t="s">
        <v>153</v>
      </c>
      <c r="C8" s="61"/>
      <c r="D8" s="61"/>
      <c r="E8" s="64" t="n">
        <f aca="false">SUM($F$13:$F$25)+SUM($G$13:$G$25)</f>
        <v>5574.19</v>
      </c>
    </row>
    <row r="9" customFormat="false" ht="15" hidden="false" customHeight="false" outlineLevel="0" collapsed="false">
      <c r="B9" s="61" t="s">
        <v>154</v>
      </c>
      <c r="C9" s="61"/>
      <c r="D9" s="61"/>
      <c r="E9" s="62" t="n">
        <f aca="false">SUM($H$13:$H$25)</f>
        <v>5218.44</v>
      </c>
    </row>
    <row r="10" customFormat="false" ht="15" hidden="false" customHeight="false" outlineLevel="0" collapsed="false">
      <c r="B10" s="61" t="s">
        <v>155</v>
      </c>
      <c r="C10" s="61"/>
      <c r="D10" s="61"/>
      <c r="E10" s="62" t="n">
        <f aca="false">$I$25</f>
        <v>5269.83</v>
      </c>
    </row>
    <row r="12" customFormat="false" ht="30" hidden="false" customHeight="true" outlineLevel="0" collapsed="false">
      <c r="B12" s="15" t="s">
        <v>156</v>
      </c>
      <c r="C12" s="15" t="s">
        <v>157</v>
      </c>
      <c r="D12" s="15" t="s">
        <v>158</v>
      </c>
      <c r="E12" s="15" t="s">
        <v>81</v>
      </c>
      <c r="F12" s="15" t="s">
        <v>159</v>
      </c>
      <c r="G12" s="15" t="s">
        <v>160</v>
      </c>
      <c r="H12" s="15" t="s">
        <v>161</v>
      </c>
      <c r="I12" s="15" t="s">
        <v>162</v>
      </c>
      <c r="J12" s="15" t="s">
        <v>126</v>
      </c>
      <c r="K12" s="15" t="s">
        <v>163</v>
      </c>
    </row>
    <row r="13" customFormat="false" ht="15" hidden="false" customHeight="false" outlineLevel="0" collapsed="false">
      <c r="B13" s="16" t="n">
        <v>1</v>
      </c>
      <c r="C13" s="65" t="n">
        <f aca="false">'Cash Flow'!$E$6+0</f>
        <v>46241</v>
      </c>
      <c r="D13" s="66" t="n">
        <f aca="false">'Cash Flow'!$I$13</f>
        <v>51.39</v>
      </c>
      <c r="E13" s="67" t="n">
        <f aca="false">SUM('Cash Flow'!$G$15:$G$35)</f>
        <v>232.63</v>
      </c>
      <c r="F13" s="67" t="n">
        <f aca="false">SUM('Cash Flow'!$H$15:$H$24)</f>
        <v>54.09</v>
      </c>
      <c r="G13" s="67" t="n">
        <f aca="false">SUM('Cash Flow'!$H$26:$H$35)</f>
        <v>171.75</v>
      </c>
      <c r="H13" s="68" t="n">
        <f aca="false">$E13-$F13-$G13</f>
        <v>6.78999999999999</v>
      </c>
      <c r="I13" s="68" t="n">
        <f aca="false">'Cash Flow'!$I$36</f>
        <v>58.18</v>
      </c>
      <c r="J13" s="69" t="str">
        <f aca="false">IF($I13&lt;0,"SHORTFALL",IF($I13&lt;'Cash Flow'!$E$7,"TIGHT","OK"))</f>
        <v>TIGHT</v>
      </c>
      <c r="K13" s="29" t="n">
        <f aca="false">IF($I13&lt;0,$B13,999)</f>
        <v>999</v>
      </c>
    </row>
    <row r="14" customFormat="false" ht="15" hidden="false" customHeight="false" outlineLevel="0" collapsed="false">
      <c r="B14" s="20" t="n">
        <v>2</v>
      </c>
      <c r="C14" s="70" t="n">
        <f aca="false">'Cash Flow'!$E$6+7</f>
        <v>46248</v>
      </c>
      <c r="D14" s="71" t="n">
        <f aca="false">'Cash Flow'!$I$38</f>
        <v>58.18</v>
      </c>
      <c r="E14" s="72" t="n">
        <f aca="false">SUM('Cash Flow'!$G$40:$G$60)</f>
        <v>880</v>
      </c>
      <c r="F14" s="72" t="n">
        <f aca="false">SUM('Cash Flow'!$H$40:$H$49)</f>
        <v>583.09</v>
      </c>
      <c r="G14" s="72" t="n">
        <f aca="false">SUM('Cash Flow'!$H$51:$H$60)</f>
        <v>0</v>
      </c>
      <c r="H14" s="73" t="n">
        <f aca="false">$E14-$F14-$G14</f>
        <v>296.91</v>
      </c>
      <c r="I14" s="73" t="n">
        <f aca="false">'Cash Flow'!$I$61</f>
        <v>355.09</v>
      </c>
      <c r="J14" s="74" t="str">
        <f aca="false">IF($I14&lt;0,"SHORTFALL",IF($I14&lt;'Cash Flow'!$E$7,"TIGHT","OK"))</f>
        <v>OK</v>
      </c>
      <c r="K14" s="29" t="n">
        <f aca="false">IF($I14&lt;0,$B14,999)</f>
        <v>999</v>
      </c>
    </row>
    <row r="15" customFormat="false" ht="15" hidden="false" customHeight="false" outlineLevel="0" collapsed="false">
      <c r="B15" s="16" t="n">
        <v>3</v>
      </c>
      <c r="C15" s="65" t="n">
        <f aca="false">'Cash Flow'!$E$6+14</f>
        <v>46255</v>
      </c>
      <c r="D15" s="66" t="n">
        <f aca="false">'Cash Flow'!$I$63</f>
        <v>355.09</v>
      </c>
      <c r="E15" s="67" t="n">
        <f aca="false">SUM('Cash Flow'!$G$65:$G$85)</f>
        <v>880</v>
      </c>
      <c r="F15" s="67" t="n">
        <f aca="false">SUM('Cash Flow'!$H$65:$H$74)</f>
        <v>57.57</v>
      </c>
      <c r="G15" s="67" t="n">
        <f aca="false">SUM('Cash Flow'!$H$76:$H$85)</f>
        <v>0</v>
      </c>
      <c r="H15" s="68" t="n">
        <f aca="false">$E15-$F15-$G15</f>
        <v>822.43</v>
      </c>
      <c r="I15" s="68" t="n">
        <f aca="false">'Cash Flow'!$I$86</f>
        <v>1177.52</v>
      </c>
      <c r="J15" s="69" t="str">
        <f aca="false">IF($I15&lt;0,"SHORTFALL",IF($I15&lt;'Cash Flow'!$E$7,"TIGHT","OK"))</f>
        <v>OK</v>
      </c>
      <c r="K15" s="29" t="n">
        <f aca="false">IF($I15&lt;0,$B15,999)</f>
        <v>999</v>
      </c>
    </row>
    <row r="16" customFormat="false" ht="15" hidden="false" customHeight="false" outlineLevel="0" collapsed="false">
      <c r="B16" s="20" t="n">
        <v>4</v>
      </c>
      <c r="C16" s="70" t="n">
        <f aca="false">'Cash Flow'!$E$6+21</f>
        <v>46262</v>
      </c>
      <c r="D16" s="71" t="n">
        <f aca="false">'Cash Flow'!$I$88</f>
        <v>1177.52</v>
      </c>
      <c r="E16" s="72" t="n">
        <f aca="false">SUM('Cash Flow'!$G$90:$G$110)</f>
        <v>880</v>
      </c>
      <c r="F16" s="72" t="n">
        <f aca="false">SUM('Cash Flow'!$H$90:$H$99)</f>
        <v>643.37</v>
      </c>
      <c r="G16" s="72" t="n">
        <f aca="false">SUM('Cash Flow'!$H$101:$H$110)</f>
        <v>0</v>
      </c>
      <c r="H16" s="73" t="n">
        <f aca="false">$E16-$F16-$G16</f>
        <v>236.63</v>
      </c>
      <c r="I16" s="73" t="n">
        <f aca="false">'Cash Flow'!$I$111</f>
        <v>1414.15</v>
      </c>
      <c r="J16" s="74" t="str">
        <f aca="false">IF($I16&lt;0,"SHORTFALL",IF($I16&lt;'Cash Flow'!$E$7,"TIGHT","OK"))</f>
        <v>OK</v>
      </c>
      <c r="K16" s="29" t="n">
        <f aca="false">IF($I16&lt;0,$B16,999)</f>
        <v>999</v>
      </c>
    </row>
    <row r="17" customFormat="false" ht="15" hidden="false" customHeight="false" outlineLevel="0" collapsed="false">
      <c r="B17" s="16" t="n">
        <v>5</v>
      </c>
      <c r="C17" s="65" t="n">
        <f aca="false">'Cash Flow'!$E$6+28</f>
        <v>46269</v>
      </c>
      <c r="D17" s="66" t="n">
        <f aca="false">'Cash Flow'!$I$113</f>
        <v>1414.15</v>
      </c>
      <c r="E17" s="67" t="n">
        <f aca="false">SUM('Cash Flow'!$G$115:$G$135)</f>
        <v>880</v>
      </c>
      <c r="F17" s="67" t="n">
        <f aca="false">SUM('Cash Flow'!$H$115:$H$124)</f>
        <v>719.59</v>
      </c>
      <c r="G17" s="67" t="n">
        <f aca="false">SUM('Cash Flow'!$H$126:$H$135)</f>
        <v>0</v>
      </c>
      <c r="H17" s="68" t="n">
        <f aca="false">$E17-$F17-$G17</f>
        <v>160.41</v>
      </c>
      <c r="I17" s="68" t="n">
        <f aca="false">'Cash Flow'!$I$136</f>
        <v>1574.56</v>
      </c>
      <c r="J17" s="69" t="str">
        <f aca="false">IF($I17&lt;0,"SHORTFALL",IF($I17&lt;'Cash Flow'!$E$7,"TIGHT","OK"))</f>
        <v>OK</v>
      </c>
      <c r="K17" s="29" t="n">
        <f aca="false">IF($I17&lt;0,$B17,999)</f>
        <v>999</v>
      </c>
    </row>
    <row r="18" customFormat="false" ht="15" hidden="false" customHeight="false" outlineLevel="0" collapsed="false">
      <c r="B18" s="20" t="n">
        <v>6</v>
      </c>
      <c r="C18" s="70" t="n">
        <f aca="false">'Cash Flow'!$E$6+35</f>
        <v>46276</v>
      </c>
      <c r="D18" s="71" t="n">
        <f aca="false">'Cash Flow'!$I$138</f>
        <v>1574.56</v>
      </c>
      <c r="E18" s="72" t="n">
        <f aca="false">SUM('Cash Flow'!$G$140:$G$160)</f>
        <v>880</v>
      </c>
      <c r="F18" s="72" t="n">
        <f aca="false">SUM('Cash Flow'!$H$140:$H$149)</f>
        <v>569.09</v>
      </c>
      <c r="G18" s="72" t="n">
        <f aca="false">SUM('Cash Flow'!$H$151:$H$160)</f>
        <v>0</v>
      </c>
      <c r="H18" s="73" t="n">
        <f aca="false">$E18-$F18-$G18</f>
        <v>310.91</v>
      </c>
      <c r="I18" s="73" t="n">
        <f aca="false">'Cash Flow'!$I$161</f>
        <v>1885.47</v>
      </c>
      <c r="J18" s="74" t="str">
        <f aca="false">IF($I18&lt;0,"SHORTFALL",IF($I18&lt;'Cash Flow'!$E$7,"TIGHT","OK"))</f>
        <v>OK</v>
      </c>
      <c r="K18" s="29" t="n">
        <f aca="false">IF($I18&lt;0,$B18,999)</f>
        <v>999</v>
      </c>
    </row>
    <row r="19" customFormat="false" ht="15" hidden="false" customHeight="false" outlineLevel="0" collapsed="false">
      <c r="B19" s="16" t="n">
        <v>7</v>
      </c>
      <c r="C19" s="65" t="n">
        <f aca="false">'Cash Flow'!$E$6+42</f>
        <v>46283</v>
      </c>
      <c r="D19" s="66" t="n">
        <f aca="false">'Cash Flow'!$I$163</f>
        <v>1885.47</v>
      </c>
      <c r="E19" s="67" t="n">
        <f aca="false">SUM('Cash Flow'!$G$165:$G$185)</f>
        <v>880</v>
      </c>
      <c r="F19" s="67" t="n">
        <f aca="false">SUM('Cash Flow'!$H$165:$H$174)</f>
        <v>16.99</v>
      </c>
      <c r="G19" s="67" t="n">
        <f aca="false">SUM('Cash Flow'!$H$176:$H$185)</f>
        <v>0</v>
      </c>
      <c r="H19" s="68" t="n">
        <f aca="false">$E19-$F19-$G19</f>
        <v>863.01</v>
      </c>
      <c r="I19" s="68" t="n">
        <f aca="false">'Cash Flow'!$I$186</f>
        <v>2748.48</v>
      </c>
      <c r="J19" s="69" t="str">
        <f aca="false">IF($I19&lt;0,"SHORTFALL",IF($I19&lt;'Cash Flow'!$E$7,"TIGHT","OK"))</f>
        <v>OK</v>
      </c>
      <c r="K19" s="29" t="n">
        <f aca="false">IF($I19&lt;0,$B19,999)</f>
        <v>999</v>
      </c>
    </row>
    <row r="20" customFormat="false" ht="15" hidden="false" customHeight="false" outlineLevel="0" collapsed="false">
      <c r="B20" s="20" t="n">
        <v>8</v>
      </c>
      <c r="C20" s="70" t="n">
        <f aca="false">'Cash Flow'!$E$6+49</f>
        <v>46290</v>
      </c>
      <c r="D20" s="71" t="n">
        <f aca="false">'Cash Flow'!$I$188</f>
        <v>2748.48</v>
      </c>
      <c r="E20" s="72" t="n">
        <f aca="false">SUM('Cash Flow'!$G$190:$G$210)</f>
        <v>880</v>
      </c>
      <c r="F20" s="72" t="n">
        <f aca="false">SUM('Cash Flow'!$H$190:$H$199)</f>
        <v>700.94</v>
      </c>
      <c r="G20" s="72" t="n">
        <f aca="false">SUM('Cash Flow'!$H$201:$H$210)</f>
        <v>0</v>
      </c>
      <c r="H20" s="73" t="n">
        <f aca="false">$E20-$F20-$G20</f>
        <v>179.06</v>
      </c>
      <c r="I20" s="73" t="n">
        <f aca="false">'Cash Flow'!$I$211</f>
        <v>2927.54</v>
      </c>
      <c r="J20" s="74" t="str">
        <f aca="false">IF($I20&lt;0,"SHORTFALL",IF($I20&lt;'Cash Flow'!$E$7,"TIGHT","OK"))</f>
        <v>OK</v>
      </c>
      <c r="K20" s="29" t="n">
        <f aca="false">IF($I20&lt;0,$B20,999)</f>
        <v>999</v>
      </c>
    </row>
    <row r="21" customFormat="false" ht="15" hidden="false" customHeight="false" outlineLevel="0" collapsed="false">
      <c r="B21" s="16" t="n">
        <v>9</v>
      </c>
      <c r="C21" s="65" t="n">
        <f aca="false">'Cash Flow'!$E$6+56</f>
        <v>46297</v>
      </c>
      <c r="D21" s="66" t="n">
        <f aca="false">'Cash Flow'!$I$213</f>
        <v>2927.54</v>
      </c>
      <c r="E21" s="67" t="n">
        <f aca="false">SUM('Cash Flow'!$G$215:$G$235)</f>
        <v>880</v>
      </c>
      <c r="F21" s="67" t="n">
        <f aca="false">SUM('Cash Flow'!$H$215:$H$224)</f>
        <v>556.09</v>
      </c>
      <c r="G21" s="67" t="n">
        <f aca="false">SUM('Cash Flow'!$H$226:$H$235)</f>
        <v>0</v>
      </c>
      <c r="H21" s="68" t="n">
        <f aca="false">$E21-$F21-$G21</f>
        <v>323.91</v>
      </c>
      <c r="I21" s="68" t="n">
        <f aca="false">'Cash Flow'!$I$236</f>
        <v>3251.45</v>
      </c>
      <c r="J21" s="69" t="str">
        <f aca="false">IF($I21&lt;0,"SHORTFALL",IF($I21&lt;'Cash Flow'!$E$7,"TIGHT","OK"))</f>
        <v>OK</v>
      </c>
      <c r="K21" s="29" t="n">
        <f aca="false">IF($I21&lt;0,$B21,999)</f>
        <v>999</v>
      </c>
    </row>
    <row r="22" customFormat="false" ht="15" hidden="false" customHeight="false" outlineLevel="0" collapsed="false">
      <c r="B22" s="20" t="n">
        <v>10</v>
      </c>
      <c r="C22" s="70" t="n">
        <f aca="false">'Cash Flow'!$E$6+63</f>
        <v>46304</v>
      </c>
      <c r="D22" s="71" t="n">
        <f aca="false">'Cash Flow'!$I$238</f>
        <v>3251.45</v>
      </c>
      <c r="E22" s="72" t="n">
        <f aca="false">SUM('Cash Flow'!$G$240:$G$260)</f>
        <v>880</v>
      </c>
      <c r="F22" s="72" t="n">
        <f aca="false">SUM('Cash Flow'!$H$240:$H$249)</f>
        <v>516.49</v>
      </c>
      <c r="G22" s="72" t="n">
        <f aca="false">SUM('Cash Flow'!$H$251:$H$260)</f>
        <v>0</v>
      </c>
      <c r="H22" s="73" t="n">
        <f aca="false">$E22-$F22-$G22</f>
        <v>363.51</v>
      </c>
      <c r="I22" s="73" t="n">
        <f aca="false">'Cash Flow'!$I$261</f>
        <v>3614.96</v>
      </c>
      <c r="J22" s="74" t="str">
        <f aca="false">IF($I22&lt;0,"SHORTFALL",IF($I22&lt;'Cash Flow'!$E$7,"TIGHT","OK"))</f>
        <v>OK</v>
      </c>
      <c r="K22" s="29" t="n">
        <f aca="false">IF($I22&lt;0,$B22,999)</f>
        <v>999</v>
      </c>
    </row>
    <row r="23" customFormat="false" ht="15" hidden="false" customHeight="false" outlineLevel="0" collapsed="false">
      <c r="B23" s="16" t="n">
        <v>11</v>
      </c>
      <c r="C23" s="65" t="n">
        <f aca="false">'Cash Flow'!$E$6+70</f>
        <v>46311</v>
      </c>
      <c r="D23" s="66" t="n">
        <f aca="false">'Cash Flow'!$I$263</f>
        <v>3614.96</v>
      </c>
      <c r="E23" s="67" t="n">
        <f aca="false">SUM('Cash Flow'!$G$265:$G$285)</f>
        <v>880</v>
      </c>
      <c r="F23" s="67" t="n">
        <f aca="false">SUM('Cash Flow'!$H$265:$H$274)</f>
        <v>233.09</v>
      </c>
      <c r="G23" s="67" t="n">
        <f aca="false">SUM('Cash Flow'!$H$276:$H$285)</f>
        <v>0</v>
      </c>
      <c r="H23" s="68" t="n">
        <f aca="false">$E23-$F23-$G23</f>
        <v>646.91</v>
      </c>
      <c r="I23" s="68" t="n">
        <f aca="false">'Cash Flow'!$I$286</f>
        <v>4261.87</v>
      </c>
      <c r="J23" s="69" t="str">
        <f aca="false">IF($I23&lt;0,"SHORTFALL",IF($I23&lt;'Cash Flow'!$E$7,"TIGHT","OK"))</f>
        <v>OK</v>
      </c>
      <c r="K23" s="29" t="n">
        <f aca="false">IF($I23&lt;0,$B23,999)</f>
        <v>999</v>
      </c>
    </row>
    <row r="24" customFormat="false" ht="15" hidden="false" customHeight="false" outlineLevel="0" collapsed="false">
      <c r="B24" s="20" t="n">
        <v>12</v>
      </c>
      <c r="C24" s="70" t="n">
        <f aca="false">'Cash Flow'!$E$6+77</f>
        <v>46318</v>
      </c>
      <c r="D24" s="71" t="n">
        <f aca="false">'Cash Flow'!$I$288</f>
        <v>4261.87</v>
      </c>
      <c r="E24" s="72" t="n">
        <f aca="false">SUM('Cash Flow'!$G$290:$G$310)</f>
        <v>880</v>
      </c>
      <c r="F24" s="72" t="n">
        <f aca="false">SUM('Cash Flow'!$H$290:$H$299)</f>
        <v>57.57</v>
      </c>
      <c r="G24" s="72" t="n">
        <f aca="false">SUM('Cash Flow'!$H$301:$H$310)</f>
        <v>0</v>
      </c>
      <c r="H24" s="73" t="n">
        <f aca="false">$E24-$F24-$G24</f>
        <v>822.43</v>
      </c>
      <c r="I24" s="73" t="n">
        <f aca="false">'Cash Flow'!$I$311</f>
        <v>5084.3</v>
      </c>
      <c r="J24" s="74" t="str">
        <f aca="false">IF($I24&lt;0,"SHORTFALL",IF($I24&lt;'Cash Flow'!$E$7,"TIGHT","OK"))</f>
        <v>OK</v>
      </c>
      <c r="K24" s="29" t="n">
        <f aca="false">IF($I24&lt;0,$B24,999)</f>
        <v>999</v>
      </c>
    </row>
    <row r="25" customFormat="false" ht="15" hidden="false" customHeight="false" outlineLevel="0" collapsed="false">
      <c r="B25" s="16" t="n">
        <v>13</v>
      </c>
      <c r="C25" s="65" t="n">
        <f aca="false">'Cash Flow'!$E$6+84</f>
        <v>46325</v>
      </c>
      <c r="D25" s="66" t="n">
        <f aca="false">'Cash Flow'!$I$313</f>
        <v>5084.3</v>
      </c>
      <c r="E25" s="67" t="n">
        <f aca="false">SUM('Cash Flow'!$G$315:$G$335)</f>
        <v>880</v>
      </c>
      <c r="F25" s="67" t="n">
        <f aca="false">SUM('Cash Flow'!$H$315:$H$324)</f>
        <v>694.47</v>
      </c>
      <c r="G25" s="67" t="n">
        <f aca="false">SUM('Cash Flow'!$H$326:$H$335)</f>
        <v>0</v>
      </c>
      <c r="H25" s="68" t="n">
        <f aca="false">$E25-$F25-$G25</f>
        <v>185.53</v>
      </c>
      <c r="I25" s="68" t="n">
        <f aca="false">'Cash Flow'!$I$336</f>
        <v>5269.83</v>
      </c>
      <c r="J25" s="69" t="str">
        <f aca="false">IF($I25&lt;0,"SHORTFALL",IF($I25&lt;'Cash Flow'!$E$7,"TIGHT","OK"))</f>
        <v>OK</v>
      </c>
      <c r="K25" s="29" t="n">
        <f aca="false">IF($I25&lt;0,$B25,999)</f>
        <v>999</v>
      </c>
    </row>
    <row r="26" customFormat="false" ht="15" hidden="false" customHeight="false" outlineLevel="0" collapsed="false">
      <c r="B26" s="59" t="s">
        <v>164</v>
      </c>
      <c r="C26" s="75" t="s">
        <v>165</v>
      </c>
      <c r="D26" s="76" t="n">
        <f aca="false">$D$13</f>
        <v>51.39</v>
      </c>
      <c r="E26" s="57" t="n">
        <f aca="false">SUM($E$13:$E$25)</f>
        <v>10792.63</v>
      </c>
      <c r="F26" s="57" t="n">
        <f aca="false">SUM($F$13:$F$25)</f>
        <v>5402.44</v>
      </c>
      <c r="G26" s="57" t="n">
        <f aca="false">SUM($G$13:$G$25)</f>
        <v>171.75</v>
      </c>
      <c r="H26" s="76" t="n">
        <f aca="false">SUM($H$13:$H$25)</f>
        <v>5218.44</v>
      </c>
      <c r="I26" s="76" t="n">
        <f aca="false">$I$25</f>
        <v>5269.83</v>
      </c>
      <c r="J26" s="56"/>
    </row>
    <row r="28" customFormat="false" ht="30" hidden="false" customHeight="true" outlineLevel="0" collapsed="false">
      <c r="B28" s="77" t="s">
        <v>166</v>
      </c>
      <c r="C28" s="77"/>
      <c r="D28" s="77"/>
      <c r="E28" s="77"/>
      <c r="F28" s="77"/>
      <c r="G28" s="77"/>
      <c r="H28" s="77"/>
      <c r="I28" s="77"/>
      <c r="J28" s="77"/>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78" t="s">
        <v>167</v>
      </c>
    </row>
    <row r="2" customFormat="false" ht="15" hidden="false" customHeight="false" outlineLevel="0" collapsed="false">
      <c r="A2" s="2" t="s">
        <v>168</v>
      </c>
    </row>
    <row r="3" customFormat="false" ht="15" hidden="false" customHeight="false" outlineLevel="0" collapsed="false">
      <c r="A3" s="79" t="s">
        <v>169</v>
      </c>
      <c r="B3" s="79" t="s">
        <v>170</v>
      </c>
      <c r="C3" s="79" t="s">
        <v>71</v>
      </c>
      <c r="D3" s="79" t="s">
        <v>72</v>
      </c>
      <c r="E3" s="79" t="s">
        <v>73</v>
      </c>
      <c r="F3" s="79" t="s">
        <v>171</v>
      </c>
      <c r="G3" s="79" t="s">
        <v>172</v>
      </c>
      <c r="H3" s="79" t="s">
        <v>173</v>
      </c>
      <c r="I3" s="79" t="s">
        <v>174</v>
      </c>
      <c r="J3" s="79" t="s">
        <v>175</v>
      </c>
      <c r="K3" s="79" t="s">
        <v>176</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80" t="n">
        <f aca="false">IF($C4="","",Recurring!$D$5)</f>
        <v>90</v>
      </c>
      <c r="F4" s="8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81" t="n">
        <f aca="false">IF($F4="","",IF(Recurring!$G$5="Move Before",IF(WEEKDAY($F4,2)=6,$F4-1,IF(WEEKDAY($F4,2)=7,$F4-2,$F4)),IF(Recurring!$G$5="Move After",IF(WEEKDAY($F4,2)=6,$F4+2,IF(WEEKDAY($F4,2)=7,$F4+1,$F4)),$F4)))</f>
        <v>46246</v>
      </c>
      <c r="H4" s="82" t="n">
        <f aca="false">IF($G4="",0,IF(AND($G4&gt;='Cash Flow'!$E$6-90,$G4&lt;'Cash Flow'!$E$6+91),1,0))</f>
        <v>1</v>
      </c>
      <c r="I4" s="82"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80" t="n">
        <f aca="false">IF($C5="","",Recurring!$D$5)</f>
        <v>90</v>
      </c>
      <c r="F5" s="8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81" t="n">
        <f aca="false">IF($F5="","",IF(Recurring!$G$5="Move Before",IF(WEEKDAY($F5,2)=6,$F5-1,IF(WEEKDAY($F5,2)=7,$F5-2,$F5)),IF(Recurring!$G$5="Move After",IF(WEEKDAY($F5,2)=6,$F5+2,IF(WEEKDAY($F5,2)=7,$F5+1,$F5)),$F5)))</f>
        <v>46253</v>
      </c>
      <c r="H5" s="82" t="n">
        <f aca="false">IF($G5="",0,IF(AND($G5&gt;='Cash Flow'!$E$6,$G5&lt;'Cash Flow'!$E$6+91),1,0))</f>
        <v>1</v>
      </c>
      <c r="I5" s="82"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80" t="n">
        <f aca="false">IF($C6="","",Recurring!$D$5)</f>
        <v>90</v>
      </c>
      <c r="F6" s="8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81" t="n">
        <f aca="false">IF($F6="","",IF(Recurring!$G$5="Move Before",IF(WEEKDAY($F6,2)=6,$F6-1,IF(WEEKDAY($F6,2)=7,$F6-2,$F6)),IF(Recurring!$G$5="Move After",IF(WEEKDAY($F6,2)=6,$F6+2,IF(WEEKDAY($F6,2)=7,$F6+1,$F6)),$F6)))</f>
        <v>46260</v>
      </c>
      <c r="H6" s="82" t="n">
        <f aca="false">IF($G6="",0,IF(AND($G6&gt;='Cash Flow'!$E$6,$G6&lt;'Cash Flow'!$E$6+91),1,0))</f>
        <v>1</v>
      </c>
      <c r="I6" s="82"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80" t="n">
        <f aca="false">IF($C7="","",Recurring!$D$5)</f>
        <v>90</v>
      </c>
      <c r="F7" s="8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81" t="n">
        <f aca="false">IF($F7="","",IF(Recurring!$G$5="Move Before",IF(WEEKDAY($F7,2)=6,$F7-1,IF(WEEKDAY($F7,2)=7,$F7-2,$F7)),IF(Recurring!$G$5="Move After",IF(WEEKDAY($F7,2)=6,$F7+2,IF(WEEKDAY($F7,2)=7,$F7+1,$F7)),$F7)))</f>
        <v>46267</v>
      </c>
      <c r="H7" s="82" t="n">
        <f aca="false">IF($G7="",0,IF(AND($G7&gt;='Cash Flow'!$E$6,$G7&lt;'Cash Flow'!$E$6+91),1,0))</f>
        <v>1</v>
      </c>
      <c r="I7" s="82"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80" t="n">
        <f aca="false">IF($C8="","",Recurring!$D$5)</f>
        <v>90</v>
      </c>
      <c r="F8" s="8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81" t="n">
        <f aca="false">IF($F8="","",IF(Recurring!$G$5="Move Before",IF(WEEKDAY($F8,2)=6,$F8-1,IF(WEEKDAY($F8,2)=7,$F8-2,$F8)),IF(Recurring!$G$5="Move After",IF(WEEKDAY($F8,2)=6,$F8+2,IF(WEEKDAY($F8,2)=7,$F8+1,$F8)),$F8)))</f>
        <v>46274</v>
      </c>
      <c r="H8" s="82" t="n">
        <f aca="false">IF($G8="",0,IF(AND($G8&gt;='Cash Flow'!$E$6,$G8&lt;'Cash Flow'!$E$6+91),1,0))</f>
        <v>1</v>
      </c>
      <c r="I8" s="82"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80" t="n">
        <f aca="false">IF($C9="","",Recurring!$D$5)</f>
        <v>90</v>
      </c>
      <c r="F9" s="8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81" t="n">
        <f aca="false">IF($F9="","",IF(Recurring!$G$5="Move Before",IF(WEEKDAY($F9,2)=6,$F9-1,IF(WEEKDAY($F9,2)=7,$F9-2,$F9)),IF(Recurring!$G$5="Move After",IF(WEEKDAY($F9,2)=6,$F9+2,IF(WEEKDAY($F9,2)=7,$F9+1,$F9)),$F9)))</f>
        <v>46281</v>
      </c>
      <c r="H9" s="82" t="n">
        <f aca="false">IF($G9="",0,IF(AND($G9&gt;='Cash Flow'!$E$6,$G9&lt;'Cash Flow'!$E$6+91),1,0))</f>
        <v>1</v>
      </c>
      <c r="I9" s="82"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80" t="n">
        <f aca="false">IF($C10="","",Recurring!$D$5)</f>
        <v>90</v>
      </c>
      <c r="F10" s="8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81" t="n">
        <f aca="false">IF($F10="","",IF(Recurring!$G$5="Move Before",IF(WEEKDAY($F10,2)=6,$F10-1,IF(WEEKDAY($F10,2)=7,$F10-2,$F10)),IF(Recurring!$G$5="Move After",IF(WEEKDAY($F10,2)=6,$F10+2,IF(WEEKDAY($F10,2)=7,$F10+1,$F10)),$F10)))</f>
        <v>46288</v>
      </c>
      <c r="H10" s="82" t="n">
        <f aca="false">IF($G10="",0,IF(AND($G10&gt;='Cash Flow'!$E$6,$G10&lt;'Cash Flow'!$E$6+91),1,0))</f>
        <v>1</v>
      </c>
      <c r="I10" s="82"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80" t="n">
        <f aca="false">IF($C11="","",Recurring!$D$5)</f>
        <v>90</v>
      </c>
      <c r="F11" s="8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81" t="n">
        <f aca="false">IF($F11="","",IF(Recurring!$G$5="Move Before",IF(WEEKDAY($F11,2)=6,$F11-1,IF(WEEKDAY($F11,2)=7,$F11-2,$F11)),IF(Recurring!$G$5="Move After",IF(WEEKDAY($F11,2)=6,$F11+2,IF(WEEKDAY($F11,2)=7,$F11+1,$F11)),$F11)))</f>
        <v>46295</v>
      </c>
      <c r="H11" s="82" t="n">
        <f aca="false">IF($G11="",0,IF(AND($G11&gt;='Cash Flow'!$E$6,$G11&lt;'Cash Flow'!$E$6+91),1,0))</f>
        <v>1</v>
      </c>
      <c r="I11" s="82"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80" t="n">
        <f aca="false">IF($C12="","",Recurring!$D$5)</f>
        <v>90</v>
      </c>
      <c r="F12" s="8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81" t="n">
        <f aca="false">IF($F12="","",IF(Recurring!$G$5="Move Before",IF(WEEKDAY($F12,2)=6,$F12-1,IF(WEEKDAY($F12,2)=7,$F12-2,$F12)),IF(Recurring!$G$5="Move After",IF(WEEKDAY($F12,2)=6,$F12+2,IF(WEEKDAY($F12,2)=7,$F12+1,$F12)),$F12)))</f>
        <v>46302</v>
      </c>
      <c r="H12" s="82" t="n">
        <f aca="false">IF($G12="",0,IF(AND($G12&gt;='Cash Flow'!$E$6,$G12&lt;'Cash Flow'!$E$6+91),1,0))</f>
        <v>1</v>
      </c>
      <c r="I12" s="82"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80" t="n">
        <f aca="false">IF($C13="","",Recurring!$D$5)</f>
        <v>90</v>
      </c>
      <c r="F13" s="8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81" t="n">
        <f aca="false">IF($F13="","",IF(Recurring!$G$5="Move Before",IF(WEEKDAY($F13,2)=6,$F13-1,IF(WEEKDAY($F13,2)=7,$F13-2,$F13)),IF(Recurring!$G$5="Move After",IF(WEEKDAY($F13,2)=6,$F13+2,IF(WEEKDAY($F13,2)=7,$F13+1,$F13)),$F13)))</f>
        <v>46309</v>
      </c>
      <c r="H13" s="82" t="n">
        <f aca="false">IF($G13="",0,IF(AND($G13&gt;='Cash Flow'!$E$6,$G13&lt;'Cash Flow'!$E$6+91),1,0))</f>
        <v>1</v>
      </c>
      <c r="I13" s="82"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80" t="n">
        <f aca="false">IF($C14="","",Recurring!$D$5)</f>
        <v>90</v>
      </c>
      <c r="F14" s="8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81" t="n">
        <f aca="false">IF($F14="","",IF(Recurring!$G$5="Move Before",IF(WEEKDAY($F14,2)=6,$F14-1,IF(WEEKDAY($F14,2)=7,$F14-2,$F14)),IF(Recurring!$G$5="Move After",IF(WEEKDAY($F14,2)=6,$F14+2,IF(WEEKDAY($F14,2)=7,$F14+1,$F14)),$F14)))</f>
        <v>46316</v>
      </c>
      <c r="H14" s="82" t="n">
        <f aca="false">IF($G14="",0,IF(AND($G14&gt;='Cash Flow'!$E$6,$G14&lt;'Cash Flow'!$E$6+91),1,0))</f>
        <v>1</v>
      </c>
      <c r="I14" s="82"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80" t="n">
        <f aca="false">IF($C15="","",Recurring!$D$5)</f>
        <v>90</v>
      </c>
      <c r="F15" s="8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81" t="n">
        <f aca="false">IF($F15="","",IF(Recurring!$G$5="Move Before",IF(WEEKDAY($F15,2)=6,$F15-1,IF(WEEKDAY($F15,2)=7,$F15-2,$F15)),IF(Recurring!$G$5="Move After",IF(WEEKDAY($F15,2)=6,$F15+2,IF(WEEKDAY($F15,2)=7,$F15+1,$F15)),$F15)))</f>
        <v>46323</v>
      </c>
      <c r="H15" s="82" t="n">
        <f aca="false">IF($G15="",0,IF(AND($G15&gt;='Cash Flow'!$E$6,$G15&lt;'Cash Flow'!$E$6+91),1,0))</f>
        <v>1</v>
      </c>
      <c r="I15" s="82"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80" t="n">
        <f aca="false">IF($C16="","",Recurring!$D$5)</f>
        <v>90</v>
      </c>
      <c r="F16" s="8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81" t="n">
        <f aca="false">IF($F16="","",IF(Recurring!$G$5="Move Before",IF(WEEKDAY($F16,2)=6,$F16-1,IF(WEEKDAY($F16,2)=7,$F16-2,$F16)),IF(Recurring!$G$5="Move After",IF(WEEKDAY($F16,2)=6,$F16+2,IF(WEEKDAY($F16,2)=7,$F16+1,$F16)),$F16)))</f>
        <v>46330</v>
      </c>
      <c r="H16" s="82" t="n">
        <f aca="false">IF($G16="",0,IF(AND($G16&gt;='Cash Flow'!$E$6,$G16&lt;'Cash Flow'!$E$6+91),1,0))</f>
        <v>1</v>
      </c>
      <c r="I16" s="82"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80" t="n">
        <f aca="false">IF($C17="","",Recurring!$D$5)</f>
        <v>90</v>
      </c>
      <c r="F17" s="8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81" t="n">
        <f aca="false">IF($F17="","",IF(Recurring!$G$5="Move Before",IF(WEEKDAY($F17,2)=6,$F17-1,IF(WEEKDAY($F17,2)=7,$F17-2,$F17)),IF(Recurring!$G$5="Move After",IF(WEEKDAY($F17,2)=6,$F17+2,IF(WEEKDAY($F17,2)=7,$F17+1,$F17)),$F17)))</f>
        <v>46337</v>
      </c>
      <c r="H17" s="82" t="n">
        <f aca="false">IF($G17="",0,IF(AND($G17&gt;='Cash Flow'!$E$6,$G17&lt;'Cash Flow'!$E$6+91),1,0))</f>
        <v>0</v>
      </c>
      <c r="I17" s="82"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80" t="n">
        <f aca="false">IF($C18="","",Recurring!$D$5)</f>
        <v>90</v>
      </c>
      <c r="F18" s="8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81" t="n">
        <f aca="false">IF($F18="","",IF(Recurring!$G$5="Move Before",IF(WEEKDAY($F18,2)=6,$F18-1,IF(WEEKDAY($F18,2)=7,$F18-2,$F18)),IF(Recurring!$G$5="Move After",IF(WEEKDAY($F18,2)=6,$F18+2,IF(WEEKDAY($F18,2)=7,$F18+1,$F18)),$F18)))</f>
        <v>46344</v>
      </c>
      <c r="H18" s="82" t="n">
        <f aca="false">IF($G18="",0,IF(AND($G18&gt;='Cash Flow'!$E$6,$G18&lt;'Cash Flow'!$E$6+91),1,0))</f>
        <v>0</v>
      </c>
      <c r="I18" s="82"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80" t="n">
        <f aca="false">IF($C19="","",Recurring!$D$5)</f>
        <v>90</v>
      </c>
      <c r="F19" s="8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81" t="n">
        <f aca="false">IF($F19="","",IF(Recurring!$G$5="Move Before",IF(WEEKDAY($F19,2)=6,$F19-1,IF(WEEKDAY($F19,2)=7,$F19-2,$F19)),IF(Recurring!$G$5="Move After",IF(WEEKDAY($F19,2)=6,$F19+2,IF(WEEKDAY($F19,2)=7,$F19+1,$F19)),$F19)))</f>
        <v>46351</v>
      </c>
      <c r="H19" s="82" t="n">
        <f aca="false">IF($G19="",0,IF(AND($G19&gt;='Cash Flow'!$E$6,$G19&lt;'Cash Flow'!$E$6+91),1,0))</f>
        <v>0</v>
      </c>
      <c r="I19" s="82"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80" t="n">
        <f aca="false">IF($C20="","",Recurring!$D$6)</f>
        <v>790</v>
      </c>
      <c r="F20" s="8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81" t="n">
        <f aca="false">IF($F20="","",IF(Recurring!$G$6="Move Before",IF(WEEKDAY($F20,2)=6,$F20-1,IF(WEEKDAY($F20,2)=7,$F20-2,$F20)),IF(Recurring!$G$6="Move After",IF(WEEKDAY($F20,2)=6,$F20+2,IF(WEEKDAY($F20,2)=7,$F20+1,$F20)),$F20)))</f>
        <v>46248</v>
      </c>
      <c r="H20" s="82" t="n">
        <f aca="false">IF($G20="",0,IF(AND($G20&gt;='Cash Flow'!$E$6-90,$G20&lt;'Cash Flow'!$E$6+91),1,0))</f>
        <v>1</v>
      </c>
      <c r="I20" s="82"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80" t="n">
        <f aca="false">IF($C21="","",Recurring!$D$6)</f>
        <v>790</v>
      </c>
      <c r="F21" s="8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81" t="n">
        <f aca="false">IF($F21="","",IF(Recurring!$G$6="Move Before",IF(WEEKDAY($F21,2)=6,$F21-1,IF(WEEKDAY($F21,2)=7,$F21-2,$F21)),IF(Recurring!$G$6="Move After",IF(WEEKDAY($F21,2)=6,$F21+2,IF(WEEKDAY($F21,2)=7,$F21+1,$F21)),$F21)))</f>
        <v>46255</v>
      </c>
      <c r="H21" s="82" t="n">
        <f aca="false">IF($G21="",0,IF(AND($G21&gt;='Cash Flow'!$E$6,$G21&lt;'Cash Flow'!$E$6+91),1,0))</f>
        <v>1</v>
      </c>
      <c r="I21" s="82"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80" t="n">
        <f aca="false">IF($C22="","",Recurring!$D$6)</f>
        <v>790</v>
      </c>
      <c r="F22" s="8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81" t="n">
        <f aca="false">IF($F22="","",IF(Recurring!$G$6="Move Before",IF(WEEKDAY($F22,2)=6,$F22-1,IF(WEEKDAY($F22,2)=7,$F22-2,$F22)),IF(Recurring!$G$6="Move After",IF(WEEKDAY($F22,2)=6,$F22+2,IF(WEEKDAY($F22,2)=7,$F22+1,$F22)),$F22)))</f>
        <v>46262</v>
      </c>
      <c r="H22" s="82" t="n">
        <f aca="false">IF($G22="",0,IF(AND($G22&gt;='Cash Flow'!$E$6,$G22&lt;'Cash Flow'!$E$6+91),1,0))</f>
        <v>1</v>
      </c>
      <c r="I22" s="82"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80" t="n">
        <f aca="false">IF($C23="","",Recurring!$D$6)</f>
        <v>790</v>
      </c>
      <c r="F23" s="8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81" t="n">
        <f aca="false">IF($F23="","",IF(Recurring!$G$6="Move Before",IF(WEEKDAY($F23,2)=6,$F23-1,IF(WEEKDAY($F23,2)=7,$F23-2,$F23)),IF(Recurring!$G$6="Move After",IF(WEEKDAY($F23,2)=6,$F23+2,IF(WEEKDAY($F23,2)=7,$F23+1,$F23)),$F23)))</f>
        <v>46269</v>
      </c>
      <c r="H23" s="82" t="n">
        <f aca="false">IF($G23="",0,IF(AND($G23&gt;='Cash Flow'!$E$6,$G23&lt;'Cash Flow'!$E$6+91),1,0))</f>
        <v>1</v>
      </c>
      <c r="I23" s="82"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80" t="n">
        <f aca="false">IF($C24="","",Recurring!$D$6)</f>
        <v>790</v>
      </c>
      <c r="F24" s="8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81" t="n">
        <f aca="false">IF($F24="","",IF(Recurring!$G$6="Move Before",IF(WEEKDAY($F24,2)=6,$F24-1,IF(WEEKDAY($F24,2)=7,$F24-2,$F24)),IF(Recurring!$G$6="Move After",IF(WEEKDAY($F24,2)=6,$F24+2,IF(WEEKDAY($F24,2)=7,$F24+1,$F24)),$F24)))</f>
        <v>46276</v>
      </c>
      <c r="H24" s="82" t="n">
        <f aca="false">IF($G24="",0,IF(AND($G24&gt;='Cash Flow'!$E$6,$G24&lt;'Cash Flow'!$E$6+91),1,0))</f>
        <v>1</v>
      </c>
      <c r="I24" s="82"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80" t="n">
        <f aca="false">IF($C25="","",Recurring!$D$6)</f>
        <v>790</v>
      </c>
      <c r="F25" s="8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81" t="n">
        <f aca="false">IF($F25="","",IF(Recurring!$G$6="Move Before",IF(WEEKDAY($F25,2)=6,$F25-1,IF(WEEKDAY($F25,2)=7,$F25-2,$F25)),IF(Recurring!$G$6="Move After",IF(WEEKDAY($F25,2)=6,$F25+2,IF(WEEKDAY($F25,2)=7,$F25+1,$F25)),$F25)))</f>
        <v>46283</v>
      </c>
      <c r="H25" s="82" t="n">
        <f aca="false">IF($G25="",0,IF(AND($G25&gt;='Cash Flow'!$E$6,$G25&lt;'Cash Flow'!$E$6+91),1,0))</f>
        <v>1</v>
      </c>
      <c r="I25" s="82"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80" t="n">
        <f aca="false">IF($C26="","",Recurring!$D$6)</f>
        <v>790</v>
      </c>
      <c r="F26" s="8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81" t="n">
        <f aca="false">IF($F26="","",IF(Recurring!$G$6="Move Before",IF(WEEKDAY($F26,2)=6,$F26-1,IF(WEEKDAY($F26,2)=7,$F26-2,$F26)),IF(Recurring!$G$6="Move After",IF(WEEKDAY($F26,2)=6,$F26+2,IF(WEEKDAY($F26,2)=7,$F26+1,$F26)),$F26)))</f>
        <v>46290</v>
      </c>
      <c r="H26" s="82" t="n">
        <f aca="false">IF($G26="",0,IF(AND($G26&gt;='Cash Flow'!$E$6,$G26&lt;'Cash Flow'!$E$6+91),1,0))</f>
        <v>1</v>
      </c>
      <c r="I26" s="82"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80" t="n">
        <f aca="false">IF($C27="","",Recurring!$D$6)</f>
        <v>790</v>
      </c>
      <c r="F27" s="8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81" t="n">
        <f aca="false">IF($F27="","",IF(Recurring!$G$6="Move Before",IF(WEEKDAY($F27,2)=6,$F27-1,IF(WEEKDAY($F27,2)=7,$F27-2,$F27)),IF(Recurring!$G$6="Move After",IF(WEEKDAY($F27,2)=6,$F27+2,IF(WEEKDAY($F27,2)=7,$F27+1,$F27)),$F27)))</f>
        <v>46297</v>
      </c>
      <c r="H27" s="82" t="n">
        <f aca="false">IF($G27="",0,IF(AND($G27&gt;='Cash Flow'!$E$6,$G27&lt;'Cash Flow'!$E$6+91),1,0))</f>
        <v>1</v>
      </c>
      <c r="I27" s="82"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80" t="n">
        <f aca="false">IF($C28="","",Recurring!$D$6)</f>
        <v>790</v>
      </c>
      <c r="F28" s="8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81" t="n">
        <f aca="false">IF($F28="","",IF(Recurring!$G$6="Move Before",IF(WEEKDAY($F28,2)=6,$F28-1,IF(WEEKDAY($F28,2)=7,$F28-2,$F28)),IF(Recurring!$G$6="Move After",IF(WEEKDAY($F28,2)=6,$F28+2,IF(WEEKDAY($F28,2)=7,$F28+1,$F28)),$F28)))</f>
        <v>46304</v>
      </c>
      <c r="H28" s="82" t="n">
        <f aca="false">IF($G28="",0,IF(AND($G28&gt;='Cash Flow'!$E$6,$G28&lt;'Cash Flow'!$E$6+91),1,0))</f>
        <v>1</v>
      </c>
      <c r="I28" s="82"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80" t="n">
        <f aca="false">IF($C29="","",Recurring!$D$6)</f>
        <v>790</v>
      </c>
      <c r="F29" s="8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81" t="n">
        <f aca="false">IF($F29="","",IF(Recurring!$G$6="Move Before",IF(WEEKDAY($F29,2)=6,$F29-1,IF(WEEKDAY($F29,2)=7,$F29-2,$F29)),IF(Recurring!$G$6="Move After",IF(WEEKDAY($F29,2)=6,$F29+2,IF(WEEKDAY($F29,2)=7,$F29+1,$F29)),$F29)))</f>
        <v>46311</v>
      </c>
      <c r="H29" s="82" t="n">
        <f aca="false">IF($G29="",0,IF(AND($G29&gt;='Cash Flow'!$E$6,$G29&lt;'Cash Flow'!$E$6+91),1,0))</f>
        <v>1</v>
      </c>
      <c r="I29" s="82"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80" t="n">
        <f aca="false">IF($C30="","",Recurring!$D$6)</f>
        <v>790</v>
      </c>
      <c r="F30" s="8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81" t="n">
        <f aca="false">IF($F30="","",IF(Recurring!$G$6="Move Before",IF(WEEKDAY($F30,2)=6,$F30-1,IF(WEEKDAY($F30,2)=7,$F30-2,$F30)),IF(Recurring!$G$6="Move After",IF(WEEKDAY($F30,2)=6,$F30+2,IF(WEEKDAY($F30,2)=7,$F30+1,$F30)),$F30)))</f>
        <v>46318</v>
      </c>
      <c r="H30" s="82" t="n">
        <f aca="false">IF($G30="",0,IF(AND($G30&gt;='Cash Flow'!$E$6,$G30&lt;'Cash Flow'!$E$6+91),1,0))</f>
        <v>1</v>
      </c>
      <c r="I30" s="82"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80" t="n">
        <f aca="false">IF($C31="","",Recurring!$D$6)</f>
        <v>790</v>
      </c>
      <c r="F31" s="8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81" t="n">
        <f aca="false">IF($F31="","",IF(Recurring!$G$6="Move Before",IF(WEEKDAY($F31,2)=6,$F31-1,IF(WEEKDAY($F31,2)=7,$F31-2,$F31)),IF(Recurring!$G$6="Move After",IF(WEEKDAY($F31,2)=6,$F31+2,IF(WEEKDAY($F31,2)=7,$F31+1,$F31)),$F31)))</f>
        <v>46325</v>
      </c>
      <c r="H31" s="82" t="n">
        <f aca="false">IF($G31="",0,IF(AND($G31&gt;='Cash Flow'!$E$6,$G31&lt;'Cash Flow'!$E$6+91),1,0))</f>
        <v>1</v>
      </c>
      <c r="I31" s="82"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80" t="n">
        <f aca="false">IF($C32="","",Recurring!$D$6)</f>
        <v>790</v>
      </c>
      <c r="F32" s="8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81" t="n">
        <f aca="false">IF($F32="","",IF(Recurring!$G$6="Move Before",IF(WEEKDAY($F32,2)=6,$F32-1,IF(WEEKDAY($F32,2)=7,$F32-2,$F32)),IF(Recurring!$G$6="Move After",IF(WEEKDAY($F32,2)=6,$F32+2,IF(WEEKDAY($F32,2)=7,$F32+1,$F32)),$F32)))</f>
        <v>46332</v>
      </c>
      <c r="H32" s="82" t="n">
        <f aca="false">IF($G32="",0,IF(AND($G32&gt;='Cash Flow'!$E$6,$G32&lt;'Cash Flow'!$E$6+91),1,0))</f>
        <v>0</v>
      </c>
      <c r="I32" s="82"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80" t="n">
        <f aca="false">IF($C33="","",Recurring!$D$6)</f>
        <v>790</v>
      </c>
      <c r="F33" s="8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81" t="n">
        <f aca="false">IF($F33="","",IF(Recurring!$G$6="Move Before",IF(WEEKDAY($F33,2)=6,$F33-1,IF(WEEKDAY($F33,2)=7,$F33-2,$F33)),IF(Recurring!$G$6="Move After",IF(WEEKDAY($F33,2)=6,$F33+2,IF(WEEKDAY($F33,2)=7,$F33+1,$F33)),$F33)))</f>
        <v>46339</v>
      </c>
      <c r="H33" s="82" t="n">
        <f aca="false">IF($G33="",0,IF(AND($G33&gt;='Cash Flow'!$E$6,$G33&lt;'Cash Flow'!$E$6+91),1,0))</f>
        <v>0</v>
      </c>
      <c r="I33" s="82"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80" t="n">
        <f aca="false">IF($C34="","",Recurring!$D$6)</f>
        <v>790</v>
      </c>
      <c r="F34" s="8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81" t="n">
        <f aca="false">IF($F34="","",IF(Recurring!$G$6="Move Before",IF(WEEKDAY($F34,2)=6,$F34-1,IF(WEEKDAY($F34,2)=7,$F34-2,$F34)),IF(Recurring!$G$6="Move After",IF(WEEKDAY($F34,2)=6,$F34+2,IF(WEEKDAY($F34,2)=7,$F34+1,$F34)),$F34)))</f>
        <v>46346</v>
      </c>
      <c r="H34" s="82" t="n">
        <f aca="false">IF($G34="",0,IF(AND($G34&gt;='Cash Flow'!$E$6,$G34&lt;'Cash Flow'!$E$6+91),1,0))</f>
        <v>0</v>
      </c>
      <c r="I34" s="82"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80" t="n">
        <f aca="false">IF($C35="","",Recurring!$D$6)</f>
        <v>790</v>
      </c>
      <c r="F35" s="8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81" t="n">
        <f aca="false">IF($F35="","",IF(Recurring!$G$6="Move Before",IF(WEEKDAY($F35,2)=6,$F35-1,IF(WEEKDAY($F35,2)=7,$F35-2,$F35)),IF(Recurring!$G$6="Move After",IF(WEEKDAY($F35,2)=6,$F35+2,IF(WEEKDAY($F35,2)=7,$F35+1,$F35)),$F35)))</f>
        <v>46353</v>
      </c>
      <c r="H35" s="82" t="n">
        <f aca="false">IF($G35="",0,IF(AND($G35&gt;='Cash Flow'!$E$6,$G35&lt;'Cash Flow'!$E$6+91),1,0))</f>
        <v>0</v>
      </c>
      <c r="I35" s="82"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80" t="n">
        <f aca="false">IF($C36="","",Recurring!$D$7)</f>
        <v>21.1</v>
      </c>
      <c r="F36" s="8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81" t="n">
        <f aca="false">IF($F36="","",IF(Recurring!$G$7="Move Before",IF(WEEKDAY($F36,2)=6,$F36-1,IF(WEEKDAY($F36,2)=7,$F36-2,$F36)),IF(Recurring!$G$7="Move After",IF(WEEKDAY($F36,2)=6,$F36+2,IF(WEEKDAY($F36,2)=7,$F36+1,$F36)),$F36)))</f>
        <v>46238</v>
      </c>
      <c r="H36" s="82" t="n">
        <f aca="false">IF($G36="",0,IF(AND($G36&gt;='Cash Flow'!$E$6-90,$G36&lt;'Cash Flow'!$E$6+91),1,0))</f>
        <v>1</v>
      </c>
      <c r="I36" s="82"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80" t="n">
        <f aca="false">IF($C37="","",Recurring!$D$7)</f>
        <v>21.1</v>
      </c>
      <c r="F37" s="8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81" t="n">
        <f aca="false">IF($F37="","",IF(Recurring!$G$7="Move Before",IF(WEEKDAY($F37,2)=6,$F37-1,IF(WEEKDAY($F37,2)=7,$F37-2,$F37)),IF(Recurring!$G$7="Move After",IF(WEEKDAY($F37,2)=6,$F37+2,IF(WEEKDAY($F37,2)=7,$F37+1,$F37)),$F37)))</f>
        <v>46269</v>
      </c>
      <c r="H37" s="82" t="n">
        <f aca="false">IF($G37="",0,IF(AND($G37&gt;='Cash Flow'!$E$6,$G37&lt;'Cash Flow'!$E$6+91),1,0))</f>
        <v>1</v>
      </c>
      <c r="I37" s="82"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80" t="n">
        <f aca="false">IF($C38="","",Recurring!$D$7)</f>
        <v>21.1</v>
      </c>
      <c r="F38" s="8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81" t="n">
        <f aca="false">IF($F38="","",IF(Recurring!$G$7="Move Before",IF(WEEKDAY($F38,2)=6,$F38-1,IF(WEEKDAY($F38,2)=7,$F38-2,$F38)),IF(Recurring!$G$7="Move After",IF(WEEKDAY($F38,2)=6,$F38+2,IF(WEEKDAY($F38,2)=7,$F38+1,$F38)),$F38)))</f>
        <v>46299</v>
      </c>
      <c r="H38" s="82" t="n">
        <f aca="false">IF($G38="",0,IF(AND($G38&gt;='Cash Flow'!$E$6,$G38&lt;'Cash Flow'!$E$6+91),1,0))</f>
        <v>1</v>
      </c>
      <c r="I38" s="82"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80" t="n">
        <f aca="false">IF($C39="","",Recurring!$D$7)</f>
        <v>21.1</v>
      </c>
      <c r="F39" s="8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81" t="n">
        <f aca="false">IF($F39="","",IF(Recurring!$G$7="Move Before",IF(WEEKDAY($F39,2)=6,$F39-1,IF(WEEKDAY($F39,2)=7,$F39-2,$F39)),IF(Recurring!$G$7="Move After",IF(WEEKDAY($F39,2)=6,$F39+2,IF(WEEKDAY($F39,2)=7,$F39+1,$F39)),$F39)))</f>
        <v>46330</v>
      </c>
      <c r="H39" s="82" t="n">
        <f aca="false">IF($G39="",0,IF(AND($G39&gt;='Cash Flow'!$E$6,$G39&lt;'Cash Flow'!$E$6+91),1,0))</f>
        <v>1</v>
      </c>
      <c r="I39" s="82"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80" t="n">
        <f aca="false">IF($C40="","",Recurring!$D$7)</f>
        <v>21.1</v>
      </c>
      <c r="F40" s="8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81" t="n">
        <f aca="false">IF($F40="","",IF(Recurring!$G$7="Move Before",IF(WEEKDAY($F40,2)=6,$F40-1,IF(WEEKDAY($F40,2)=7,$F40-2,$F40)),IF(Recurring!$G$7="Move After",IF(WEEKDAY($F40,2)=6,$F40+2,IF(WEEKDAY($F40,2)=7,$F40+1,$F40)),$F40)))</f>
        <v>46360</v>
      </c>
      <c r="H40" s="82" t="n">
        <f aca="false">IF($G40="",0,IF(AND($G40&gt;='Cash Flow'!$E$6,$G40&lt;'Cash Flow'!$E$6+91),1,0))</f>
        <v>0</v>
      </c>
      <c r="I40" s="82"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80" t="n">
        <f aca="false">IF($C41="","",Recurring!$D$7)</f>
        <v>21.1</v>
      </c>
      <c r="F41" s="8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81" t="n">
        <f aca="false">IF($F41="","",IF(Recurring!$G$7="Move Before",IF(WEEKDAY($F41,2)=6,$F41-1,IF(WEEKDAY($F41,2)=7,$F41-2,$F41)),IF(Recurring!$G$7="Move After",IF(WEEKDAY($F41,2)=6,$F41+2,IF(WEEKDAY($F41,2)=7,$F41+1,$F41)),$F41)))</f>
        <v>46391</v>
      </c>
      <c r="H41" s="82" t="n">
        <f aca="false">IF($G41="",0,IF(AND($G41&gt;='Cash Flow'!$E$6,$G41&lt;'Cash Flow'!$E$6+91),1,0))</f>
        <v>0</v>
      </c>
      <c r="I41" s="82"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80" t="n">
        <f aca="false">IF($C42="","",Recurring!$D$7)</f>
        <v>21.1</v>
      </c>
      <c r="F42" s="8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81" t="n">
        <f aca="false">IF($F42="","",IF(Recurring!$G$7="Move Before",IF(WEEKDAY($F42,2)=6,$F42-1,IF(WEEKDAY($F42,2)=7,$F42-2,$F42)),IF(Recurring!$G$7="Move After",IF(WEEKDAY($F42,2)=6,$F42+2,IF(WEEKDAY($F42,2)=7,$F42+1,$F42)),$F42)))</f>
        <v>46422</v>
      </c>
      <c r="H42" s="82" t="n">
        <f aca="false">IF($G42="",0,IF(AND($G42&gt;='Cash Flow'!$E$6,$G42&lt;'Cash Flow'!$E$6+91),1,0))</f>
        <v>0</v>
      </c>
      <c r="I42" s="82"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80" t="n">
        <f aca="false">IF($C43="","",Recurring!$D$7)</f>
        <v>21.1</v>
      </c>
      <c r="F43" s="8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81" t="n">
        <f aca="false">IF($F43="","",IF(Recurring!$G$7="Move Before",IF(WEEKDAY($F43,2)=6,$F43-1,IF(WEEKDAY($F43,2)=7,$F43-2,$F43)),IF(Recurring!$G$7="Move After",IF(WEEKDAY($F43,2)=6,$F43+2,IF(WEEKDAY($F43,2)=7,$F43+1,$F43)),$F43)))</f>
        <v>46450</v>
      </c>
      <c r="H43" s="82" t="n">
        <f aca="false">IF($G43="",0,IF(AND($G43&gt;='Cash Flow'!$E$6,$G43&lt;'Cash Flow'!$E$6+91),1,0))</f>
        <v>0</v>
      </c>
      <c r="I43" s="82"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80" t="n">
        <f aca="false">IF($C44="","",Recurring!$D$7)</f>
        <v>21.1</v>
      </c>
      <c r="F44" s="8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81" t="n">
        <f aca="false">IF($F44="","",IF(Recurring!$G$7="Move Before",IF(WEEKDAY($F44,2)=6,$F44-1,IF(WEEKDAY($F44,2)=7,$F44-2,$F44)),IF(Recurring!$G$7="Move After",IF(WEEKDAY($F44,2)=6,$F44+2,IF(WEEKDAY($F44,2)=7,$F44+1,$F44)),$F44)))</f>
        <v>46481</v>
      </c>
      <c r="H44" s="82" t="n">
        <f aca="false">IF($G44="",0,IF(AND($G44&gt;='Cash Flow'!$E$6,$G44&lt;'Cash Flow'!$E$6+91),1,0))</f>
        <v>0</v>
      </c>
      <c r="I44" s="82"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80" t="n">
        <f aca="false">IF($C45="","",Recurring!$D$7)</f>
        <v>21.1</v>
      </c>
      <c r="F45" s="8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81" t="n">
        <f aca="false">IF($F45="","",IF(Recurring!$G$7="Move Before",IF(WEEKDAY($F45,2)=6,$F45-1,IF(WEEKDAY($F45,2)=7,$F45-2,$F45)),IF(Recurring!$G$7="Move After",IF(WEEKDAY($F45,2)=6,$F45+2,IF(WEEKDAY($F45,2)=7,$F45+1,$F45)),$F45)))</f>
        <v>46511</v>
      </c>
      <c r="H45" s="82" t="n">
        <f aca="false">IF($G45="",0,IF(AND($G45&gt;='Cash Flow'!$E$6,$G45&lt;'Cash Flow'!$E$6+91),1,0))</f>
        <v>0</v>
      </c>
      <c r="I45" s="82"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80" t="n">
        <f aca="false">IF($C46="","",Recurring!$D$7)</f>
        <v>21.1</v>
      </c>
      <c r="F46" s="8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81" t="n">
        <f aca="false">IF($F46="","",IF(Recurring!$G$7="Move Before",IF(WEEKDAY($F46,2)=6,$F46-1,IF(WEEKDAY($F46,2)=7,$F46-2,$F46)),IF(Recurring!$G$7="Move After",IF(WEEKDAY($F46,2)=6,$F46+2,IF(WEEKDAY($F46,2)=7,$F46+1,$F46)),$F46)))</f>
        <v>46542</v>
      </c>
      <c r="H46" s="82" t="n">
        <f aca="false">IF($G46="",0,IF(AND($G46&gt;='Cash Flow'!$E$6,$G46&lt;'Cash Flow'!$E$6+91),1,0))</f>
        <v>0</v>
      </c>
      <c r="I46" s="82"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80" t="n">
        <f aca="false">IF($C47="","",Recurring!$D$7)</f>
        <v>21.1</v>
      </c>
      <c r="F47" s="8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81" t="n">
        <f aca="false">IF($F47="","",IF(Recurring!$G$7="Move Before",IF(WEEKDAY($F47,2)=6,$F47-1,IF(WEEKDAY($F47,2)=7,$F47-2,$F47)),IF(Recurring!$G$7="Move After",IF(WEEKDAY($F47,2)=6,$F47+2,IF(WEEKDAY($F47,2)=7,$F47+1,$F47)),$F47)))</f>
        <v>46572</v>
      </c>
      <c r="H47" s="82" t="n">
        <f aca="false">IF($G47="",0,IF(AND($G47&gt;='Cash Flow'!$E$6,$G47&lt;'Cash Flow'!$E$6+91),1,0))</f>
        <v>0</v>
      </c>
      <c r="I47" s="82"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80" t="n">
        <f aca="false">IF($C48="","",Recurring!$D$7)</f>
        <v>21.1</v>
      </c>
      <c r="F48" s="8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81" t="n">
        <f aca="false">IF($F48="","",IF(Recurring!$G$7="Move Before",IF(WEEKDAY($F48,2)=6,$F48-1,IF(WEEKDAY($F48,2)=7,$F48-2,$F48)),IF(Recurring!$G$7="Move After",IF(WEEKDAY($F48,2)=6,$F48+2,IF(WEEKDAY($F48,2)=7,$F48+1,$F48)),$F48)))</f>
        <v>46603</v>
      </c>
      <c r="H48" s="82" t="n">
        <f aca="false">IF($G48="",0,IF(AND($G48&gt;='Cash Flow'!$E$6,$G48&lt;'Cash Flow'!$E$6+91),1,0))</f>
        <v>0</v>
      </c>
      <c r="I48" s="82"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80" t="n">
        <f aca="false">IF($C49="","",Recurring!$D$7)</f>
        <v>21.1</v>
      </c>
      <c r="F49" s="8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81" t="n">
        <f aca="false">IF($F49="","",IF(Recurring!$G$7="Move Before",IF(WEEKDAY($F49,2)=6,$F49-1,IF(WEEKDAY($F49,2)=7,$F49-2,$F49)),IF(Recurring!$G$7="Move After",IF(WEEKDAY($F49,2)=6,$F49+2,IF(WEEKDAY($F49,2)=7,$F49+1,$F49)),$F49)))</f>
        <v>46634</v>
      </c>
      <c r="H49" s="82" t="n">
        <f aca="false">IF($G49="",0,IF(AND($G49&gt;='Cash Flow'!$E$6,$G49&lt;'Cash Flow'!$E$6+91),1,0))</f>
        <v>0</v>
      </c>
      <c r="I49" s="82"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80" t="n">
        <f aca="false">IF($C50="","",Recurring!$D$7)</f>
        <v>21.1</v>
      </c>
      <c r="F50" s="8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81" t="n">
        <f aca="false">IF($F50="","",IF(Recurring!$G$7="Move Before",IF(WEEKDAY($F50,2)=6,$F50-1,IF(WEEKDAY($F50,2)=7,$F50-2,$F50)),IF(Recurring!$G$7="Move After",IF(WEEKDAY($F50,2)=6,$F50+2,IF(WEEKDAY($F50,2)=7,$F50+1,$F50)),$F50)))</f>
        <v>46664</v>
      </c>
      <c r="H50" s="82" t="n">
        <f aca="false">IF($G50="",0,IF(AND($G50&gt;='Cash Flow'!$E$6,$G50&lt;'Cash Flow'!$E$6+91),1,0))</f>
        <v>0</v>
      </c>
      <c r="I50" s="82"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80" t="n">
        <f aca="false">IF($C51="","",Recurring!$D$7)</f>
        <v>21.1</v>
      </c>
      <c r="F51" s="8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81" t="n">
        <f aca="false">IF($F51="","",IF(Recurring!$G$7="Move Before",IF(WEEKDAY($F51,2)=6,$F51-1,IF(WEEKDAY($F51,2)=7,$F51-2,$F51)),IF(Recurring!$G$7="Move After",IF(WEEKDAY($F51,2)=6,$F51+2,IF(WEEKDAY($F51,2)=7,$F51+1,$F51)),$F51)))</f>
        <v>46695</v>
      </c>
      <c r="H51" s="82" t="n">
        <f aca="false">IF($G51="",0,IF(AND($G51&gt;='Cash Flow'!$E$6,$G51&lt;'Cash Flow'!$E$6+91),1,0))</f>
        <v>0</v>
      </c>
      <c r="I51" s="82"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80" t="n">
        <f aca="false">IF($C52="","",Recurring!$D$8)</f>
        <v>20</v>
      </c>
      <c r="F52" s="8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81" t="n">
        <f aca="false">IF($F52="","",IF(Recurring!$G$8="Move Before",IF(WEEKDAY($F52,2)=6,$F52-1,IF(WEEKDAY($F52,2)=7,$F52-2,$F52)),IF(Recurring!$G$8="Move After",IF(WEEKDAY($F52,2)=6,$F52+2,IF(WEEKDAY($F52,2)=7,$F52+1,$F52)),$F52)))</f>
        <v>46239</v>
      </c>
      <c r="H52" s="82" t="n">
        <f aca="false">IF($G52="",0,IF(AND($G52&gt;='Cash Flow'!$E$6-90,$G52&lt;'Cash Flow'!$E$6+91),1,0))</f>
        <v>1</v>
      </c>
      <c r="I52" s="82"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80" t="n">
        <f aca="false">IF($C53="","",Recurring!$D$8)</f>
        <v>20</v>
      </c>
      <c r="F53" s="8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81" t="n">
        <f aca="false">IF($F53="","",IF(Recurring!$G$8="Move Before",IF(WEEKDAY($F53,2)=6,$F53-1,IF(WEEKDAY($F53,2)=7,$F53-2,$F53)),IF(Recurring!$G$8="Move After",IF(WEEKDAY($F53,2)=6,$F53+2,IF(WEEKDAY($F53,2)=7,$F53+1,$F53)),$F53)))</f>
        <v>46270</v>
      </c>
      <c r="H53" s="82" t="n">
        <f aca="false">IF($G53="",0,IF(AND($G53&gt;='Cash Flow'!$E$6,$G53&lt;'Cash Flow'!$E$6+91),1,0))</f>
        <v>1</v>
      </c>
      <c r="I53" s="82"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80" t="n">
        <f aca="false">IF($C54="","",Recurring!$D$8)</f>
        <v>20</v>
      </c>
      <c r="F54" s="8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81" t="n">
        <f aca="false">IF($F54="","",IF(Recurring!$G$8="Move Before",IF(WEEKDAY($F54,2)=6,$F54-1,IF(WEEKDAY($F54,2)=7,$F54-2,$F54)),IF(Recurring!$G$8="Move After",IF(WEEKDAY($F54,2)=6,$F54+2,IF(WEEKDAY($F54,2)=7,$F54+1,$F54)),$F54)))</f>
        <v>46300</v>
      </c>
      <c r="H54" s="82" t="n">
        <f aca="false">IF($G54="",0,IF(AND($G54&gt;='Cash Flow'!$E$6,$G54&lt;'Cash Flow'!$E$6+91),1,0))</f>
        <v>1</v>
      </c>
      <c r="I54" s="82"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80" t="n">
        <f aca="false">IF($C55="","",Recurring!$D$8)</f>
        <v>20</v>
      </c>
      <c r="F55" s="8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81" t="n">
        <f aca="false">IF($F55="","",IF(Recurring!$G$8="Move Before",IF(WEEKDAY($F55,2)=6,$F55-1,IF(WEEKDAY($F55,2)=7,$F55-2,$F55)),IF(Recurring!$G$8="Move After",IF(WEEKDAY($F55,2)=6,$F55+2,IF(WEEKDAY($F55,2)=7,$F55+1,$F55)),$F55)))</f>
        <v>46331</v>
      </c>
      <c r="H55" s="82" t="n">
        <f aca="false">IF($G55="",0,IF(AND($G55&gt;='Cash Flow'!$E$6,$G55&lt;'Cash Flow'!$E$6+91),1,0))</f>
        <v>1</v>
      </c>
      <c r="I55" s="82"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80" t="n">
        <f aca="false">IF($C56="","",Recurring!$D$8)</f>
        <v>20</v>
      </c>
      <c r="F56" s="8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81" t="n">
        <f aca="false">IF($F56="","",IF(Recurring!$G$8="Move Before",IF(WEEKDAY($F56,2)=6,$F56-1,IF(WEEKDAY($F56,2)=7,$F56-2,$F56)),IF(Recurring!$G$8="Move After",IF(WEEKDAY($F56,2)=6,$F56+2,IF(WEEKDAY($F56,2)=7,$F56+1,$F56)),$F56)))</f>
        <v>46361</v>
      </c>
      <c r="H56" s="82" t="n">
        <f aca="false">IF($G56="",0,IF(AND($G56&gt;='Cash Flow'!$E$6,$G56&lt;'Cash Flow'!$E$6+91),1,0))</f>
        <v>0</v>
      </c>
      <c r="I56" s="82"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80" t="n">
        <f aca="false">IF($C57="","",Recurring!$D$8)</f>
        <v>20</v>
      </c>
      <c r="F57" s="8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81" t="n">
        <f aca="false">IF($F57="","",IF(Recurring!$G$8="Move Before",IF(WEEKDAY($F57,2)=6,$F57-1,IF(WEEKDAY($F57,2)=7,$F57-2,$F57)),IF(Recurring!$G$8="Move After",IF(WEEKDAY($F57,2)=6,$F57+2,IF(WEEKDAY($F57,2)=7,$F57+1,$F57)),$F57)))</f>
        <v>46392</v>
      </c>
      <c r="H57" s="82" t="n">
        <f aca="false">IF($G57="",0,IF(AND($G57&gt;='Cash Flow'!$E$6,$G57&lt;'Cash Flow'!$E$6+91),1,0))</f>
        <v>0</v>
      </c>
      <c r="I57" s="82"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80" t="n">
        <f aca="false">IF($C58="","",Recurring!$D$8)</f>
        <v>20</v>
      </c>
      <c r="F58" s="8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81" t="n">
        <f aca="false">IF($F58="","",IF(Recurring!$G$8="Move Before",IF(WEEKDAY($F58,2)=6,$F58-1,IF(WEEKDAY($F58,2)=7,$F58-2,$F58)),IF(Recurring!$G$8="Move After",IF(WEEKDAY($F58,2)=6,$F58+2,IF(WEEKDAY($F58,2)=7,$F58+1,$F58)),$F58)))</f>
        <v>46423</v>
      </c>
      <c r="H58" s="82" t="n">
        <f aca="false">IF($G58="",0,IF(AND($G58&gt;='Cash Flow'!$E$6,$G58&lt;'Cash Flow'!$E$6+91),1,0))</f>
        <v>0</v>
      </c>
      <c r="I58" s="82"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80" t="n">
        <f aca="false">IF($C59="","",Recurring!$D$8)</f>
        <v>20</v>
      </c>
      <c r="F59" s="8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81" t="n">
        <f aca="false">IF($F59="","",IF(Recurring!$G$8="Move Before",IF(WEEKDAY($F59,2)=6,$F59-1,IF(WEEKDAY($F59,2)=7,$F59-2,$F59)),IF(Recurring!$G$8="Move After",IF(WEEKDAY($F59,2)=6,$F59+2,IF(WEEKDAY($F59,2)=7,$F59+1,$F59)),$F59)))</f>
        <v>46451</v>
      </c>
      <c r="H59" s="82" t="n">
        <f aca="false">IF($G59="",0,IF(AND($G59&gt;='Cash Flow'!$E$6,$G59&lt;'Cash Flow'!$E$6+91),1,0))</f>
        <v>0</v>
      </c>
      <c r="I59" s="82"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80" t="n">
        <f aca="false">IF($C60="","",Recurring!$D$8)</f>
        <v>20</v>
      </c>
      <c r="F60" s="8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81" t="n">
        <f aca="false">IF($F60="","",IF(Recurring!$G$8="Move Before",IF(WEEKDAY($F60,2)=6,$F60-1,IF(WEEKDAY($F60,2)=7,$F60-2,$F60)),IF(Recurring!$G$8="Move After",IF(WEEKDAY($F60,2)=6,$F60+2,IF(WEEKDAY($F60,2)=7,$F60+1,$F60)),$F60)))</f>
        <v>46482</v>
      </c>
      <c r="H60" s="82" t="n">
        <f aca="false">IF($G60="",0,IF(AND($G60&gt;='Cash Flow'!$E$6,$G60&lt;'Cash Flow'!$E$6+91),1,0))</f>
        <v>0</v>
      </c>
      <c r="I60" s="82"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80" t="n">
        <f aca="false">IF($C61="","",Recurring!$D$8)</f>
        <v>20</v>
      </c>
      <c r="F61" s="8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81" t="n">
        <f aca="false">IF($F61="","",IF(Recurring!$G$8="Move Before",IF(WEEKDAY($F61,2)=6,$F61-1,IF(WEEKDAY($F61,2)=7,$F61-2,$F61)),IF(Recurring!$G$8="Move After",IF(WEEKDAY($F61,2)=6,$F61+2,IF(WEEKDAY($F61,2)=7,$F61+1,$F61)),$F61)))</f>
        <v>46512</v>
      </c>
      <c r="H61" s="82" t="n">
        <f aca="false">IF($G61="",0,IF(AND($G61&gt;='Cash Flow'!$E$6,$G61&lt;'Cash Flow'!$E$6+91),1,0))</f>
        <v>0</v>
      </c>
      <c r="I61" s="82"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80" t="n">
        <f aca="false">IF($C62="","",Recurring!$D$8)</f>
        <v>20</v>
      </c>
      <c r="F62" s="8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81" t="n">
        <f aca="false">IF($F62="","",IF(Recurring!$G$8="Move Before",IF(WEEKDAY($F62,2)=6,$F62-1,IF(WEEKDAY($F62,2)=7,$F62-2,$F62)),IF(Recurring!$G$8="Move After",IF(WEEKDAY($F62,2)=6,$F62+2,IF(WEEKDAY($F62,2)=7,$F62+1,$F62)),$F62)))</f>
        <v>46543</v>
      </c>
      <c r="H62" s="82" t="n">
        <f aca="false">IF($G62="",0,IF(AND($G62&gt;='Cash Flow'!$E$6,$G62&lt;'Cash Flow'!$E$6+91),1,0))</f>
        <v>0</v>
      </c>
      <c r="I62" s="82"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80" t="n">
        <f aca="false">IF($C63="","",Recurring!$D$8)</f>
        <v>20</v>
      </c>
      <c r="F63" s="8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81" t="n">
        <f aca="false">IF($F63="","",IF(Recurring!$G$8="Move Before",IF(WEEKDAY($F63,2)=6,$F63-1,IF(WEEKDAY($F63,2)=7,$F63-2,$F63)),IF(Recurring!$G$8="Move After",IF(WEEKDAY($F63,2)=6,$F63+2,IF(WEEKDAY($F63,2)=7,$F63+1,$F63)),$F63)))</f>
        <v>46573</v>
      </c>
      <c r="H63" s="82" t="n">
        <f aca="false">IF($G63="",0,IF(AND($G63&gt;='Cash Flow'!$E$6,$G63&lt;'Cash Flow'!$E$6+91),1,0))</f>
        <v>0</v>
      </c>
      <c r="I63" s="82"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80" t="n">
        <f aca="false">IF($C64="","",Recurring!$D$8)</f>
        <v>20</v>
      </c>
      <c r="F64" s="8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81" t="n">
        <f aca="false">IF($F64="","",IF(Recurring!$G$8="Move Before",IF(WEEKDAY($F64,2)=6,$F64-1,IF(WEEKDAY($F64,2)=7,$F64-2,$F64)),IF(Recurring!$G$8="Move After",IF(WEEKDAY($F64,2)=6,$F64+2,IF(WEEKDAY($F64,2)=7,$F64+1,$F64)),$F64)))</f>
        <v>46604</v>
      </c>
      <c r="H64" s="82" t="n">
        <f aca="false">IF($G64="",0,IF(AND($G64&gt;='Cash Flow'!$E$6,$G64&lt;'Cash Flow'!$E$6+91),1,0))</f>
        <v>0</v>
      </c>
      <c r="I64" s="82"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80" t="n">
        <f aca="false">IF($C65="","",Recurring!$D$8)</f>
        <v>20</v>
      </c>
      <c r="F65" s="8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81" t="n">
        <f aca="false">IF($F65="","",IF(Recurring!$G$8="Move Before",IF(WEEKDAY($F65,2)=6,$F65-1,IF(WEEKDAY($F65,2)=7,$F65-2,$F65)),IF(Recurring!$G$8="Move After",IF(WEEKDAY($F65,2)=6,$F65+2,IF(WEEKDAY($F65,2)=7,$F65+1,$F65)),$F65)))</f>
        <v>46635</v>
      </c>
      <c r="H65" s="82" t="n">
        <f aca="false">IF($G65="",0,IF(AND($G65&gt;='Cash Flow'!$E$6,$G65&lt;'Cash Flow'!$E$6+91),1,0))</f>
        <v>0</v>
      </c>
      <c r="I65" s="82"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80" t="n">
        <f aca="false">IF($C66="","",Recurring!$D$8)</f>
        <v>20</v>
      </c>
      <c r="F66" s="8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81" t="n">
        <f aca="false">IF($F66="","",IF(Recurring!$G$8="Move Before",IF(WEEKDAY($F66,2)=6,$F66-1,IF(WEEKDAY($F66,2)=7,$F66-2,$F66)),IF(Recurring!$G$8="Move After",IF(WEEKDAY($F66,2)=6,$F66+2,IF(WEEKDAY($F66,2)=7,$F66+1,$F66)),$F66)))</f>
        <v>46665</v>
      </c>
      <c r="H66" s="82" t="n">
        <f aca="false">IF($G66="",0,IF(AND($G66&gt;='Cash Flow'!$E$6,$G66&lt;'Cash Flow'!$E$6+91),1,0))</f>
        <v>0</v>
      </c>
      <c r="I66" s="82"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80" t="n">
        <f aca="false">IF($C67="","",Recurring!$D$8)</f>
        <v>20</v>
      </c>
      <c r="F67" s="8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81" t="n">
        <f aca="false">IF($F67="","",IF(Recurring!$G$8="Move Before",IF(WEEKDAY($F67,2)=6,$F67-1,IF(WEEKDAY($F67,2)=7,$F67-2,$F67)),IF(Recurring!$G$8="Move After",IF(WEEKDAY($F67,2)=6,$F67+2,IF(WEEKDAY($F67,2)=7,$F67+1,$F67)),$F67)))</f>
        <v>46696</v>
      </c>
      <c r="H67" s="82" t="n">
        <f aca="false">IF($G67="",0,IF(AND($G67&gt;='Cash Flow'!$E$6,$G67&lt;'Cash Flow'!$E$6+91),1,0))</f>
        <v>0</v>
      </c>
      <c r="I67" s="82"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80" t="n">
        <f aca="false">IF($C68="","",Recurring!$D$9)</f>
        <v>10</v>
      </c>
      <c r="F68" s="8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81" t="n">
        <f aca="false">IF($F68="","",IF(Recurring!$G$9="Move Before",IF(WEEKDAY($F68,2)=6,$F68-1,IF(WEEKDAY($F68,2)=7,$F68-2,$F68)),IF(Recurring!$G$9="Move After",IF(WEEKDAY($F68,2)=6,$F68+2,IF(WEEKDAY($F68,2)=7,$F68+1,$F68)),$F68)))</f>
        <v>46239</v>
      </c>
      <c r="H68" s="82" t="n">
        <f aca="false">IF($G68="",0,IF(AND($G68&gt;='Cash Flow'!$E$6-90,$G68&lt;'Cash Flow'!$E$6+91),1,0))</f>
        <v>1</v>
      </c>
      <c r="I68" s="82"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80" t="n">
        <f aca="false">IF($C69="","",Recurring!$D$9)</f>
        <v>10</v>
      </c>
      <c r="F69" s="8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81" t="n">
        <f aca="false">IF($F69="","",IF(Recurring!$G$9="Move Before",IF(WEEKDAY($F69,2)=6,$F69-1,IF(WEEKDAY($F69,2)=7,$F69-2,$F69)),IF(Recurring!$G$9="Move After",IF(WEEKDAY($F69,2)=6,$F69+2,IF(WEEKDAY($F69,2)=7,$F69+1,$F69)),$F69)))</f>
        <v>46270</v>
      </c>
      <c r="H69" s="82" t="n">
        <f aca="false">IF($G69="",0,IF(AND($G69&gt;='Cash Flow'!$E$6,$G69&lt;'Cash Flow'!$E$6+91),1,0))</f>
        <v>1</v>
      </c>
      <c r="I69" s="82"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80" t="n">
        <f aca="false">IF($C70="","",Recurring!$D$9)</f>
        <v>10</v>
      </c>
      <c r="F70" s="8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81" t="n">
        <f aca="false">IF($F70="","",IF(Recurring!$G$9="Move Before",IF(WEEKDAY($F70,2)=6,$F70-1,IF(WEEKDAY($F70,2)=7,$F70-2,$F70)),IF(Recurring!$G$9="Move After",IF(WEEKDAY($F70,2)=6,$F70+2,IF(WEEKDAY($F70,2)=7,$F70+1,$F70)),$F70)))</f>
        <v>46300</v>
      </c>
      <c r="H70" s="82" t="n">
        <f aca="false">IF($G70="",0,IF(AND($G70&gt;='Cash Flow'!$E$6,$G70&lt;'Cash Flow'!$E$6+91),1,0))</f>
        <v>1</v>
      </c>
      <c r="I70" s="82"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80" t="n">
        <f aca="false">IF($C71="","",Recurring!$D$9)</f>
        <v>10</v>
      </c>
      <c r="F71" s="8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81" t="n">
        <f aca="false">IF($F71="","",IF(Recurring!$G$9="Move Before",IF(WEEKDAY($F71,2)=6,$F71-1,IF(WEEKDAY($F71,2)=7,$F71-2,$F71)),IF(Recurring!$G$9="Move After",IF(WEEKDAY($F71,2)=6,$F71+2,IF(WEEKDAY($F71,2)=7,$F71+1,$F71)),$F71)))</f>
        <v>46331</v>
      </c>
      <c r="H71" s="82" t="n">
        <f aca="false">IF($G71="",0,IF(AND($G71&gt;='Cash Flow'!$E$6,$G71&lt;'Cash Flow'!$E$6+91),1,0))</f>
        <v>1</v>
      </c>
      <c r="I71" s="82"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80" t="n">
        <f aca="false">IF($C72="","",Recurring!$D$9)</f>
        <v>10</v>
      </c>
      <c r="F72" s="8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81" t="n">
        <f aca="false">IF($F72="","",IF(Recurring!$G$9="Move Before",IF(WEEKDAY($F72,2)=6,$F72-1,IF(WEEKDAY($F72,2)=7,$F72-2,$F72)),IF(Recurring!$G$9="Move After",IF(WEEKDAY($F72,2)=6,$F72+2,IF(WEEKDAY($F72,2)=7,$F72+1,$F72)),$F72)))</f>
        <v>46361</v>
      </c>
      <c r="H72" s="82" t="n">
        <f aca="false">IF($G72="",0,IF(AND($G72&gt;='Cash Flow'!$E$6,$G72&lt;'Cash Flow'!$E$6+91),1,0))</f>
        <v>0</v>
      </c>
      <c r="I72" s="82"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80" t="n">
        <f aca="false">IF($C73="","",Recurring!$D$9)</f>
        <v>10</v>
      </c>
      <c r="F73" s="8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81" t="n">
        <f aca="false">IF($F73="","",IF(Recurring!$G$9="Move Before",IF(WEEKDAY($F73,2)=6,$F73-1,IF(WEEKDAY($F73,2)=7,$F73-2,$F73)),IF(Recurring!$G$9="Move After",IF(WEEKDAY($F73,2)=6,$F73+2,IF(WEEKDAY($F73,2)=7,$F73+1,$F73)),$F73)))</f>
        <v>46392</v>
      </c>
      <c r="H73" s="82" t="n">
        <f aca="false">IF($G73="",0,IF(AND($G73&gt;='Cash Flow'!$E$6,$G73&lt;'Cash Flow'!$E$6+91),1,0))</f>
        <v>0</v>
      </c>
      <c r="I73" s="82"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80" t="n">
        <f aca="false">IF($C74="","",Recurring!$D$9)</f>
        <v>10</v>
      </c>
      <c r="F74" s="8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81" t="n">
        <f aca="false">IF($F74="","",IF(Recurring!$G$9="Move Before",IF(WEEKDAY($F74,2)=6,$F74-1,IF(WEEKDAY($F74,2)=7,$F74-2,$F74)),IF(Recurring!$G$9="Move After",IF(WEEKDAY($F74,2)=6,$F74+2,IF(WEEKDAY($F74,2)=7,$F74+1,$F74)),$F74)))</f>
        <v>46423</v>
      </c>
      <c r="H74" s="82" t="n">
        <f aca="false">IF($G74="",0,IF(AND($G74&gt;='Cash Flow'!$E$6,$G74&lt;'Cash Flow'!$E$6+91),1,0))</f>
        <v>0</v>
      </c>
      <c r="I74" s="82"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80" t="n">
        <f aca="false">IF($C75="","",Recurring!$D$9)</f>
        <v>10</v>
      </c>
      <c r="F75" s="8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81" t="n">
        <f aca="false">IF($F75="","",IF(Recurring!$G$9="Move Before",IF(WEEKDAY($F75,2)=6,$F75-1,IF(WEEKDAY($F75,2)=7,$F75-2,$F75)),IF(Recurring!$G$9="Move After",IF(WEEKDAY($F75,2)=6,$F75+2,IF(WEEKDAY($F75,2)=7,$F75+1,$F75)),$F75)))</f>
        <v>46451</v>
      </c>
      <c r="H75" s="82" t="n">
        <f aca="false">IF($G75="",0,IF(AND($G75&gt;='Cash Flow'!$E$6,$G75&lt;'Cash Flow'!$E$6+91),1,0))</f>
        <v>0</v>
      </c>
      <c r="I75" s="82"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80" t="n">
        <f aca="false">IF($C76="","",Recurring!$D$9)</f>
        <v>10</v>
      </c>
      <c r="F76" s="8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81" t="n">
        <f aca="false">IF($F76="","",IF(Recurring!$G$9="Move Before",IF(WEEKDAY($F76,2)=6,$F76-1,IF(WEEKDAY($F76,2)=7,$F76-2,$F76)),IF(Recurring!$G$9="Move After",IF(WEEKDAY($F76,2)=6,$F76+2,IF(WEEKDAY($F76,2)=7,$F76+1,$F76)),$F76)))</f>
        <v>46482</v>
      </c>
      <c r="H76" s="82" t="n">
        <f aca="false">IF($G76="",0,IF(AND($G76&gt;='Cash Flow'!$E$6,$G76&lt;'Cash Flow'!$E$6+91),1,0))</f>
        <v>0</v>
      </c>
      <c r="I76" s="82"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80" t="n">
        <f aca="false">IF($C77="","",Recurring!$D$9)</f>
        <v>10</v>
      </c>
      <c r="F77" s="8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81" t="n">
        <f aca="false">IF($F77="","",IF(Recurring!$G$9="Move Before",IF(WEEKDAY($F77,2)=6,$F77-1,IF(WEEKDAY($F77,2)=7,$F77-2,$F77)),IF(Recurring!$G$9="Move After",IF(WEEKDAY($F77,2)=6,$F77+2,IF(WEEKDAY($F77,2)=7,$F77+1,$F77)),$F77)))</f>
        <v>46512</v>
      </c>
      <c r="H77" s="82" t="n">
        <f aca="false">IF($G77="",0,IF(AND($G77&gt;='Cash Flow'!$E$6,$G77&lt;'Cash Flow'!$E$6+91),1,0))</f>
        <v>0</v>
      </c>
      <c r="I77" s="82"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80" t="n">
        <f aca="false">IF($C78="","",Recurring!$D$9)</f>
        <v>10</v>
      </c>
      <c r="F78" s="8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81" t="n">
        <f aca="false">IF($F78="","",IF(Recurring!$G$9="Move Before",IF(WEEKDAY($F78,2)=6,$F78-1,IF(WEEKDAY($F78,2)=7,$F78-2,$F78)),IF(Recurring!$G$9="Move After",IF(WEEKDAY($F78,2)=6,$F78+2,IF(WEEKDAY($F78,2)=7,$F78+1,$F78)),$F78)))</f>
        <v>46543</v>
      </c>
      <c r="H78" s="82" t="n">
        <f aca="false">IF($G78="",0,IF(AND($G78&gt;='Cash Flow'!$E$6,$G78&lt;'Cash Flow'!$E$6+91),1,0))</f>
        <v>0</v>
      </c>
      <c r="I78" s="82"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80" t="n">
        <f aca="false">IF($C79="","",Recurring!$D$9)</f>
        <v>10</v>
      </c>
      <c r="F79" s="8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81" t="n">
        <f aca="false">IF($F79="","",IF(Recurring!$G$9="Move Before",IF(WEEKDAY($F79,2)=6,$F79-1,IF(WEEKDAY($F79,2)=7,$F79-2,$F79)),IF(Recurring!$G$9="Move After",IF(WEEKDAY($F79,2)=6,$F79+2,IF(WEEKDAY($F79,2)=7,$F79+1,$F79)),$F79)))</f>
        <v>46573</v>
      </c>
      <c r="H79" s="82" t="n">
        <f aca="false">IF($G79="",0,IF(AND($G79&gt;='Cash Flow'!$E$6,$G79&lt;'Cash Flow'!$E$6+91),1,0))</f>
        <v>0</v>
      </c>
      <c r="I79" s="82"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80" t="n">
        <f aca="false">IF($C80="","",Recurring!$D$9)</f>
        <v>10</v>
      </c>
      <c r="F80" s="8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81" t="n">
        <f aca="false">IF($F80="","",IF(Recurring!$G$9="Move Before",IF(WEEKDAY($F80,2)=6,$F80-1,IF(WEEKDAY($F80,2)=7,$F80-2,$F80)),IF(Recurring!$G$9="Move After",IF(WEEKDAY($F80,2)=6,$F80+2,IF(WEEKDAY($F80,2)=7,$F80+1,$F80)),$F80)))</f>
        <v>46604</v>
      </c>
      <c r="H80" s="82" t="n">
        <f aca="false">IF($G80="",0,IF(AND($G80&gt;='Cash Flow'!$E$6,$G80&lt;'Cash Flow'!$E$6+91),1,0))</f>
        <v>0</v>
      </c>
      <c r="I80" s="82"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80" t="n">
        <f aca="false">IF($C81="","",Recurring!$D$9)</f>
        <v>10</v>
      </c>
      <c r="F81" s="8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81" t="n">
        <f aca="false">IF($F81="","",IF(Recurring!$G$9="Move Before",IF(WEEKDAY($F81,2)=6,$F81-1,IF(WEEKDAY($F81,2)=7,$F81-2,$F81)),IF(Recurring!$G$9="Move After",IF(WEEKDAY($F81,2)=6,$F81+2,IF(WEEKDAY($F81,2)=7,$F81+1,$F81)),$F81)))</f>
        <v>46635</v>
      </c>
      <c r="H81" s="82" t="n">
        <f aca="false">IF($G81="",0,IF(AND($G81&gt;='Cash Flow'!$E$6,$G81&lt;'Cash Flow'!$E$6+91),1,0))</f>
        <v>0</v>
      </c>
      <c r="I81" s="82"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80" t="n">
        <f aca="false">IF($C82="","",Recurring!$D$9)</f>
        <v>10</v>
      </c>
      <c r="F82" s="8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81" t="n">
        <f aca="false">IF($F82="","",IF(Recurring!$G$9="Move Before",IF(WEEKDAY($F82,2)=6,$F82-1,IF(WEEKDAY($F82,2)=7,$F82-2,$F82)),IF(Recurring!$G$9="Move After",IF(WEEKDAY($F82,2)=6,$F82+2,IF(WEEKDAY($F82,2)=7,$F82+1,$F82)),$F82)))</f>
        <v>46665</v>
      </c>
      <c r="H82" s="82" t="n">
        <f aca="false">IF($G82="",0,IF(AND($G82&gt;='Cash Flow'!$E$6,$G82&lt;'Cash Flow'!$E$6+91),1,0))</f>
        <v>0</v>
      </c>
      <c r="I82" s="82"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80" t="n">
        <f aca="false">IF($C83="","",Recurring!$D$9)</f>
        <v>10</v>
      </c>
      <c r="F83" s="8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81" t="n">
        <f aca="false">IF($F83="","",IF(Recurring!$G$9="Move Before",IF(WEEKDAY($F83,2)=6,$F83-1,IF(WEEKDAY($F83,2)=7,$F83-2,$F83)),IF(Recurring!$G$9="Move After",IF(WEEKDAY($F83,2)=6,$F83+2,IF(WEEKDAY($F83,2)=7,$F83+1,$F83)),$F83)))</f>
        <v>46696</v>
      </c>
      <c r="H83" s="82" t="n">
        <f aca="false">IF($G83="",0,IF(AND($G83&gt;='Cash Flow'!$E$6,$G83&lt;'Cash Flow'!$E$6+91),1,0))</f>
        <v>0</v>
      </c>
      <c r="I83" s="82"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80" t="n">
        <f aca="false">IF($C84="","",Recurring!$D$10)</f>
        <v>4.99</v>
      </c>
      <c r="F84" s="8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1" t="n">
        <f aca="false">IF($F84="","",IF(Recurring!$G$10="Move Before",IF(WEEKDAY($F84,2)=6,$F84-1,IF(WEEKDAY($F84,2)=7,$F84-2,$F84)),IF(Recurring!$G$10="Move After",IF(WEEKDAY($F84,2)=6,$F84+2,IF(WEEKDAY($F84,2)=7,$F84+1,$F84)),$F84)))</f>
        <v>46272</v>
      </c>
      <c r="H84" s="82" t="n">
        <f aca="false">IF($G84="",0,IF(AND($G84&gt;='Cash Flow'!$E$6-90,$G84&lt;'Cash Flow'!$E$6+91),1,0))</f>
        <v>1</v>
      </c>
      <c r="I84" s="82"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80" t="n">
        <f aca="false">IF($C85="","",Recurring!$D$10)</f>
        <v>4.99</v>
      </c>
      <c r="F85" s="8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1" t="n">
        <f aca="false">IF($F85="","",IF(Recurring!$G$10="Move Before",IF(WEEKDAY($F85,2)=6,$F85-1,IF(WEEKDAY($F85,2)=7,$F85-2,$F85)),IF(Recurring!$G$10="Move After",IF(WEEKDAY($F85,2)=6,$F85+2,IF(WEEKDAY($F85,2)=7,$F85+1,$F85)),$F85)))</f>
        <v>46302</v>
      </c>
      <c r="H85" s="82" t="n">
        <f aca="false">IF($G85="",0,IF(AND($G85&gt;='Cash Flow'!$E$6,$G85&lt;'Cash Flow'!$E$6+91),1,0))</f>
        <v>1</v>
      </c>
      <c r="I85" s="82"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80" t="n">
        <f aca="false">IF($C86="","",Recurring!$D$10)</f>
        <v>4.99</v>
      </c>
      <c r="F86" s="8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1" t="n">
        <f aca="false">IF($F86="","",IF(Recurring!$G$10="Move Before",IF(WEEKDAY($F86,2)=6,$F86-1,IF(WEEKDAY($F86,2)=7,$F86-2,$F86)),IF(Recurring!$G$10="Move After",IF(WEEKDAY($F86,2)=6,$F86+2,IF(WEEKDAY($F86,2)=7,$F86+1,$F86)),$F86)))</f>
        <v>46333</v>
      </c>
      <c r="H86" s="82" t="n">
        <f aca="false">IF($G86="",0,IF(AND($G86&gt;='Cash Flow'!$E$6,$G86&lt;'Cash Flow'!$E$6+91),1,0))</f>
        <v>0</v>
      </c>
      <c r="I86" s="82"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80" t="n">
        <f aca="false">IF($C87="","",Recurring!$D$10)</f>
        <v>4.99</v>
      </c>
      <c r="F87" s="8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1" t="n">
        <f aca="false">IF($F87="","",IF(Recurring!$G$10="Move Before",IF(WEEKDAY($F87,2)=6,$F87-1,IF(WEEKDAY($F87,2)=7,$F87-2,$F87)),IF(Recurring!$G$10="Move After",IF(WEEKDAY($F87,2)=6,$F87+2,IF(WEEKDAY($F87,2)=7,$F87+1,$F87)),$F87)))</f>
        <v>46363</v>
      </c>
      <c r="H87" s="82" t="n">
        <f aca="false">IF($G87="",0,IF(AND($G87&gt;='Cash Flow'!$E$6,$G87&lt;'Cash Flow'!$E$6+91),1,0))</f>
        <v>0</v>
      </c>
      <c r="I87" s="82"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80" t="n">
        <f aca="false">IF($C88="","",Recurring!$D$10)</f>
        <v>4.99</v>
      </c>
      <c r="F88" s="8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1" t="n">
        <f aca="false">IF($F88="","",IF(Recurring!$G$10="Move Before",IF(WEEKDAY($F88,2)=6,$F88-1,IF(WEEKDAY($F88,2)=7,$F88-2,$F88)),IF(Recurring!$G$10="Move After",IF(WEEKDAY($F88,2)=6,$F88+2,IF(WEEKDAY($F88,2)=7,$F88+1,$F88)),$F88)))</f>
        <v>46394</v>
      </c>
      <c r="H88" s="82" t="n">
        <f aca="false">IF($G88="",0,IF(AND($G88&gt;='Cash Flow'!$E$6,$G88&lt;'Cash Flow'!$E$6+91),1,0))</f>
        <v>0</v>
      </c>
      <c r="I88" s="82"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80" t="n">
        <f aca="false">IF($C89="","",Recurring!$D$10)</f>
        <v>4.99</v>
      </c>
      <c r="F89" s="8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1" t="n">
        <f aca="false">IF($F89="","",IF(Recurring!$G$10="Move Before",IF(WEEKDAY($F89,2)=6,$F89-1,IF(WEEKDAY($F89,2)=7,$F89-2,$F89)),IF(Recurring!$G$10="Move After",IF(WEEKDAY($F89,2)=6,$F89+2,IF(WEEKDAY($F89,2)=7,$F89+1,$F89)),$F89)))</f>
        <v>46425</v>
      </c>
      <c r="H89" s="82" t="n">
        <f aca="false">IF($G89="",0,IF(AND($G89&gt;='Cash Flow'!$E$6,$G89&lt;'Cash Flow'!$E$6+91),1,0))</f>
        <v>0</v>
      </c>
      <c r="I89" s="82"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80" t="n">
        <f aca="false">IF($C90="","",Recurring!$D$10)</f>
        <v>4.99</v>
      </c>
      <c r="F90" s="8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1" t="n">
        <f aca="false">IF($F90="","",IF(Recurring!$G$10="Move Before",IF(WEEKDAY($F90,2)=6,$F90-1,IF(WEEKDAY($F90,2)=7,$F90-2,$F90)),IF(Recurring!$G$10="Move After",IF(WEEKDAY($F90,2)=6,$F90+2,IF(WEEKDAY($F90,2)=7,$F90+1,$F90)),$F90)))</f>
        <v>46453</v>
      </c>
      <c r="H90" s="82" t="n">
        <f aca="false">IF($G90="",0,IF(AND($G90&gt;='Cash Flow'!$E$6,$G90&lt;'Cash Flow'!$E$6+91),1,0))</f>
        <v>0</v>
      </c>
      <c r="I90" s="82"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80" t="n">
        <f aca="false">IF($C91="","",Recurring!$D$10)</f>
        <v>4.99</v>
      </c>
      <c r="F91" s="8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1" t="n">
        <f aca="false">IF($F91="","",IF(Recurring!$G$10="Move Before",IF(WEEKDAY($F91,2)=6,$F91-1,IF(WEEKDAY($F91,2)=7,$F91-2,$F91)),IF(Recurring!$G$10="Move After",IF(WEEKDAY($F91,2)=6,$F91+2,IF(WEEKDAY($F91,2)=7,$F91+1,$F91)),$F91)))</f>
        <v>46484</v>
      </c>
      <c r="H91" s="82" t="n">
        <f aca="false">IF($G91="",0,IF(AND($G91&gt;='Cash Flow'!$E$6,$G91&lt;'Cash Flow'!$E$6+91),1,0))</f>
        <v>0</v>
      </c>
      <c r="I91" s="82"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80" t="n">
        <f aca="false">IF($C92="","",Recurring!$D$10)</f>
        <v>4.99</v>
      </c>
      <c r="F92" s="8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1" t="n">
        <f aca="false">IF($F92="","",IF(Recurring!$G$10="Move Before",IF(WEEKDAY($F92,2)=6,$F92-1,IF(WEEKDAY($F92,2)=7,$F92-2,$F92)),IF(Recurring!$G$10="Move After",IF(WEEKDAY($F92,2)=6,$F92+2,IF(WEEKDAY($F92,2)=7,$F92+1,$F92)),$F92)))</f>
        <v>46514</v>
      </c>
      <c r="H92" s="82" t="n">
        <f aca="false">IF($G92="",0,IF(AND($G92&gt;='Cash Flow'!$E$6,$G92&lt;'Cash Flow'!$E$6+91),1,0))</f>
        <v>0</v>
      </c>
      <c r="I92" s="82"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80" t="n">
        <f aca="false">IF($C93="","",Recurring!$D$10)</f>
        <v>4.99</v>
      </c>
      <c r="F93" s="8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1" t="n">
        <f aca="false">IF($F93="","",IF(Recurring!$G$10="Move Before",IF(WEEKDAY($F93,2)=6,$F93-1,IF(WEEKDAY($F93,2)=7,$F93-2,$F93)),IF(Recurring!$G$10="Move After",IF(WEEKDAY($F93,2)=6,$F93+2,IF(WEEKDAY($F93,2)=7,$F93+1,$F93)),$F93)))</f>
        <v>46545</v>
      </c>
      <c r="H93" s="82" t="n">
        <f aca="false">IF($G93="",0,IF(AND($G93&gt;='Cash Flow'!$E$6,$G93&lt;'Cash Flow'!$E$6+91),1,0))</f>
        <v>0</v>
      </c>
      <c r="I93" s="82"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80" t="n">
        <f aca="false">IF($C94="","",Recurring!$D$10)</f>
        <v>4.99</v>
      </c>
      <c r="F94" s="8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1" t="n">
        <f aca="false">IF($F94="","",IF(Recurring!$G$10="Move Before",IF(WEEKDAY($F94,2)=6,$F94-1,IF(WEEKDAY($F94,2)=7,$F94-2,$F94)),IF(Recurring!$G$10="Move After",IF(WEEKDAY($F94,2)=6,$F94+2,IF(WEEKDAY($F94,2)=7,$F94+1,$F94)),$F94)))</f>
        <v>46575</v>
      </c>
      <c r="H94" s="82" t="n">
        <f aca="false">IF($G94="",0,IF(AND($G94&gt;='Cash Flow'!$E$6,$G94&lt;'Cash Flow'!$E$6+91),1,0))</f>
        <v>0</v>
      </c>
      <c r="I94" s="82"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80" t="n">
        <f aca="false">IF($C95="","",Recurring!$D$10)</f>
        <v>4.99</v>
      </c>
      <c r="F95" s="8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1" t="n">
        <f aca="false">IF($F95="","",IF(Recurring!$G$10="Move Before",IF(WEEKDAY($F95,2)=6,$F95-1,IF(WEEKDAY($F95,2)=7,$F95-2,$F95)),IF(Recurring!$G$10="Move After",IF(WEEKDAY($F95,2)=6,$F95+2,IF(WEEKDAY($F95,2)=7,$F95+1,$F95)),$F95)))</f>
        <v>46606</v>
      </c>
      <c r="H95" s="82" t="n">
        <f aca="false">IF($G95="",0,IF(AND($G95&gt;='Cash Flow'!$E$6,$G95&lt;'Cash Flow'!$E$6+91),1,0))</f>
        <v>0</v>
      </c>
      <c r="I95" s="82"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80" t="n">
        <f aca="false">IF($C96="","",Recurring!$D$10)</f>
        <v>4.99</v>
      </c>
      <c r="F96" s="8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1" t="n">
        <f aca="false">IF($F96="","",IF(Recurring!$G$10="Move Before",IF(WEEKDAY($F96,2)=6,$F96-1,IF(WEEKDAY($F96,2)=7,$F96-2,$F96)),IF(Recurring!$G$10="Move After",IF(WEEKDAY($F96,2)=6,$F96+2,IF(WEEKDAY($F96,2)=7,$F96+1,$F96)),$F96)))</f>
        <v>46637</v>
      </c>
      <c r="H96" s="82" t="n">
        <f aca="false">IF($G96="",0,IF(AND($G96&gt;='Cash Flow'!$E$6,$G96&lt;'Cash Flow'!$E$6+91),1,0))</f>
        <v>0</v>
      </c>
      <c r="I96" s="82"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80" t="n">
        <f aca="false">IF($C97="","",Recurring!$D$10)</f>
        <v>4.99</v>
      </c>
      <c r="F97" s="8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1" t="n">
        <f aca="false">IF($F97="","",IF(Recurring!$G$10="Move Before",IF(WEEKDAY($F97,2)=6,$F97-1,IF(WEEKDAY($F97,2)=7,$F97-2,$F97)),IF(Recurring!$G$10="Move After",IF(WEEKDAY($F97,2)=6,$F97+2,IF(WEEKDAY($F97,2)=7,$F97+1,$F97)),$F97)))</f>
        <v>46667</v>
      </c>
      <c r="H97" s="82" t="n">
        <f aca="false">IF($G97="",0,IF(AND($G97&gt;='Cash Flow'!$E$6,$G97&lt;'Cash Flow'!$E$6+91),1,0))</f>
        <v>0</v>
      </c>
      <c r="I97" s="82"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80" t="n">
        <f aca="false">IF($C98="","",Recurring!$D$10)</f>
        <v>4.99</v>
      </c>
      <c r="F98" s="8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1" t="n">
        <f aca="false">IF($F98="","",IF(Recurring!$G$10="Move Before",IF(WEEKDAY($F98,2)=6,$F98-1,IF(WEEKDAY($F98,2)=7,$F98-2,$F98)),IF(Recurring!$G$10="Move After",IF(WEEKDAY($F98,2)=6,$F98+2,IF(WEEKDAY($F98,2)=7,$F98+1,$F98)),$F98)))</f>
        <v>46698</v>
      </c>
      <c r="H98" s="82" t="n">
        <f aca="false">IF($G98="",0,IF(AND($G98&gt;='Cash Flow'!$E$6,$G98&lt;'Cash Flow'!$E$6+91),1,0))</f>
        <v>0</v>
      </c>
      <c r="I98" s="82"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80" t="n">
        <f aca="false">IF($C99="","",Recurring!$D$10)</f>
        <v>4.99</v>
      </c>
      <c r="F99" s="8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1" t="n">
        <f aca="false">IF($F99="","",IF(Recurring!$G$10="Move Before",IF(WEEKDAY($F99,2)=6,$F99-1,IF(WEEKDAY($F99,2)=7,$F99-2,$F99)),IF(Recurring!$G$10="Move After",IF(WEEKDAY($F99,2)=6,$F99+2,IF(WEEKDAY($F99,2)=7,$F99+1,$F99)),$F99)))</f>
        <v>46728</v>
      </c>
      <c r="H99" s="82" t="n">
        <f aca="false">IF($G99="",0,IF(AND($G99&gt;='Cash Flow'!$E$6,$G99&lt;'Cash Flow'!$E$6+91),1,0))</f>
        <v>0</v>
      </c>
      <c r="I99" s="82"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80" t="n">
        <f aca="false">IF($C100="","",Recurring!$D$11)</f>
        <v>500</v>
      </c>
      <c r="F100" s="8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1" t="n">
        <f aca="false">IF($F100="","",IF(Recurring!$G$11="Move Before",IF(WEEKDAY($F100,2)=6,$F100-1,IF(WEEKDAY($F100,2)=7,$F100-2,$F100)),IF(Recurring!$G$11="Move After",IF(WEEKDAY($F100,2)=6,$F100+2,IF(WEEKDAY($F100,2)=7,$F100+1,$F100)),$F100)))</f>
        <v>46272</v>
      </c>
      <c r="H100" s="82" t="n">
        <f aca="false">IF($G100="",0,IF(AND($G100&gt;='Cash Flow'!$E$6-90,$G100&lt;'Cash Flow'!$E$6+91),1,0))</f>
        <v>1</v>
      </c>
      <c r="I100" s="82"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80" t="n">
        <f aca="false">IF($C101="","",Recurring!$D$11)</f>
        <v>500</v>
      </c>
      <c r="F101" s="8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1" t="n">
        <f aca="false">IF($F101="","",IF(Recurring!$G$11="Move Before",IF(WEEKDAY($F101,2)=6,$F101-1,IF(WEEKDAY($F101,2)=7,$F101-2,$F101)),IF(Recurring!$G$11="Move After",IF(WEEKDAY($F101,2)=6,$F101+2,IF(WEEKDAY($F101,2)=7,$F101+1,$F101)),$F101)))</f>
        <v>46302</v>
      </c>
      <c r="H101" s="82" t="n">
        <f aca="false">IF($G101="",0,IF(AND($G101&gt;='Cash Flow'!$E$6,$G101&lt;'Cash Flow'!$E$6+91),1,0))</f>
        <v>1</v>
      </c>
      <c r="I101" s="82"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80" t="n">
        <f aca="false">IF($C102="","",Recurring!$D$11)</f>
        <v>500</v>
      </c>
      <c r="F102" s="8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1" t="n">
        <f aca="false">IF($F102="","",IF(Recurring!$G$11="Move Before",IF(WEEKDAY($F102,2)=6,$F102-1,IF(WEEKDAY($F102,2)=7,$F102-2,$F102)),IF(Recurring!$G$11="Move After",IF(WEEKDAY($F102,2)=6,$F102+2,IF(WEEKDAY($F102,2)=7,$F102+1,$F102)),$F102)))</f>
        <v>46333</v>
      </c>
      <c r="H102" s="82" t="n">
        <f aca="false">IF($G102="",0,IF(AND($G102&gt;='Cash Flow'!$E$6,$G102&lt;'Cash Flow'!$E$6+91),1,0))</f>
        <v>0</v>
      </c>
      <c r="I102" s="82"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80" t="n">
        <f aca="false">IF($C103="","",Recurring!$D$11)</f>
        <v>500</v>
      </c>
      <c r="F103" s="8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1" t="n">
        <f aca="false">IF($F103="","",IF(Recurring!$G$11="Move Before",IF(WEEKDAY($F103,2)=6,$F103-1,IF(WEEKDAY($F103,2)=7,$F103-2,$F103)),IF(Recurring!$G$11="Move After",IF(WEEKDAY($F103,2)=6,$F103+2,IF(WEEKDAY($F103,2)=7,$F103+1,$F103)),$F103)))</f>
        <v>46363</v>
      </c>
      <c r="H103" s="82" t="n">
        <f aca="false">IF($G103="",0,IF(AND($G103&gt;='Cash Flow'!$E$6,$G103&lt;'Cash Flow'!$E$6+91),1,0))</f>
        <v>0</v>
      </c>
      <c r="I103" s="82"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80" t="n">
        <f aca="false">IF($C104="","",Recurring!$D$11)</f>
        <v>500</v>
      </c>
      <c r="F104" s="8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1" t="n">
        <f aca="false">IF($F104="","",IF(Recurring!$G$11="Move Before",IF(WEEKDAY($F104,2)=6,$F104-1,IF(WEEKDAY($F104,2)=7,$F104-2,$F104)),IF(Recurring!$G$11="Move After",IF(WEEKDAY($F104,2)=6,$F104+2,IF(WEEKDAY($F104,2)=7,$F104+1,$F104)),$F104)))</f>
        <v>46394</v>
      </c>
      <c r="H104" s="82" t="n">
        <f aca="false">IF($G104="",0,IF(AND($G104&gt;='Cash Flow'!$E$6,$G104&lt;'Cash Flow'!$E$6+91),1,0))</f>
        <v>0</v>
      </c>
      <c r="I104" s="82"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80" t="n">
        <f aca="false">IF($C105="","",Recurring!$D$11)</f>
        <v>500</v>
      </c>
      <c r="F105" s="8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1" t="n">
        <f aca="false">IF($F105="","",IF(Recurring!$G$11="Move Before",IF(WEEKDAY($F105,2)=6,$F105-1,IF(WEEKDAY($F105,2)=7,$F105-2,$F105)),IF(Recurring!$G$11="Move After",IF(WEEKDAY($F105,2)=6,$F105+2,IF(WEEKDAY($F105,2)=7,$F105+1,$F105)),$F105)))</f>
        <v>46425</v>
      </c>
      <c r="H105" s="82" t="n">
        <f aca="false">IF($G105="",0,IF(AND($G105&gt;='Cash Flow'!$E$6,$G105&lt;'Cash Flow'!$E$6+91),1,0))</f>
        <v>0</v>
      </c>
      <c r="I105" s="82"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80" t="n">
        <f aca="false">IF($C106="","",Recurring!$D$11)</f>
        <v>500</v>
      </c>
      <c r="F106" s="8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1" t="n">
        <f aca="false">IF($F106="","",IF(Recurring!$G$11="Move Before",IF(WEEKDAY($F106,2)=6,$F106-1,IF(WEEKDAY($F106,2)=7,$F106-2,$F106)),IF(Recurring!$G$11="Move After",IF(WEEKDAY($F106,2)=6,$F106+2,IF(WEEKDAY($F106,2)=7,$F106+1,$F106)),$F106)))</f>
        <v>46453</v>
      </c>
      <c r="H106" s="82" t="n">
        <f aca="false">IF($G106="",0,IF(AND($G106&gt;='Cash Flow'!$E$6,$G106&lt;'Cash Flow'!$E$6+91),1,0))</f>
        <v>0</v>
      </c>
      <c r="I106" s="82"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80" t="n">
        <f aca="false">IF($C107="","",Recurring!$D$11)</f>
        <v>500</v>
      </c>
      <c r="F107" s="8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1" t="n">
        <f aca="false">IF($F107="","",IF(Recurring!$G$11="Move Before",IF(WEEKDAY($F107,2)=6,$F107-1,IF(WEEKDAY($F107,2)=7,$F107-2,$F107)),IF(Recurring!$G$11="Move After",IF(WEEKDAY($F107,2)=6,$F107+2,IF(WEEKDAY($F107,2)=7,$F107+1,$F107)),$F107)))</f>
        <v>46484</v>
      </c>
      <c r="H107" s="82" t="n">
        <f aca="false">IF($G107="",0,IF(AND($G107&gt;='Cash Flow'!$E$6,$G107&lt;'Cash Flow'!$E$6+91),1,0))</f>
        <v>0</v>
      </c>
      <c r="I107" s="82"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80" t="n">
        <f aca="false">IF($C108="","",Recurring!$D$11)</f>
        <v>500</v>
      </c>
      <c r="F108" s="8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1" t="n">
        <f aca="false">IF($F108="","",IF(Recurring!$G$11="Move Before",IF(WEEKDAY($F108,2)=6,$F108-1,IF(WEEKDAY($F108,2)=7,$F108-2,$F108)),IF(Recurring!$G$11="Move After",IF(WEEKDAY($F108,2)=6,$F108+2,IF(WEEKDAY($F108,2)=7,$F108+1,$F108)),$F108)))</f>
        <v>46514</v>
      </c>
      <c r="H108" s="82" t="n">
        <f aca="false">IF($G108="",0,IF(AND($G108&gt;='Cash Flow'!$E$6,$G108&lt;'Cash Flow'!$E$6+91),1,0))</f>
        <v>0</v>
      </c>
      <c r="I108" s="82"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80" t="n">
        <f aca="false">IF($C109="","",Recurring!$D$11)</f>
        <v>500</v>
      </c>
      <c r="F109" s="8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1" t="n">
        <f aca="false">IF($F109="","",IF(Recurring!$G$11="Move Before",IF(WEEKDAY($F109,2)=6,$F109-1,IF(WEEKDAY($F109,2)=7,$F109-2,$F109)),IF(Recurring!$G$11="Move After",IF(WEEKDAY($F109,2)=6,$F109+2,IF(WEEKDAY($F109,2)=7,$F109+1,$F109)),$F109)))</f>
        <v>46545</v>
      </c>
      <c r="H109" s="82" t="n">
        <f aca="false">IF($G109="",0,IF(AND($G109&gt;='Cash Flow'!$E$6,$G109&lt;'Cash Flow'!$E$6+91),1,0))</f>
        <v>0</v>
      </c>
      <c r="I109" s="82"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80" t="n">
        <f aca="false">IF($C110="","",Recurring!$D$11)</f>
        <v>500</v>
      </c>
      <c r="F110" s="8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1" t="n">
        <f aca="false">IF($F110="","",IF(Recurring!$G$11="Move Before",IF(WEEKDAY($F110,2)=6,$F110-1,IF(WEEKDAY($F110,2)=7,$F110-2,$F110)),IF(Recurring!$G$11="Move After",IF(WEEKDAY($F110,2)=6,$F110+2,IF(WEEKDAY($F110,2)=7,$F110+1,$F110)),$F110)))</f>
        <v>46575</v>
      </c>
      <c r="H110" s="82" t="n">
        <f aca="false">IF($G110="",0,IF(AND($G110&gt;='Cash Flow'!$E$6,$G110&lt;'Cash Flow'!$E$6+91),1,0))</f>
        <v>0</v>
      </c>
      <c r="I110" s="82"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80" t="n">
        <f aca="false">IF($C111="","",Recurring!$D$11)</f>
        <v>500</v>
      </c>
      <c r="F111" s="8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1" t="n">
        <f aca="false">IF($F111="","",IF(Recurring!$G$11="Move Before",IF(WEEKDAY($F111,2)=6,$F111-1,IF(WEEKDAY($F111,2)=7,$F111-2,$F111)),IF(Recurring!$G$11="Move After",IF(WEEKDAY($F111,2)=6,$F111+2,IF(WEEKDAY($F111,2)=7,$F111+1,$F111)),$F111)))</f>
        <v>46606</v>
      </c>
      <c r="H111" s="82" t="n">
        <f aca="false">IF($G111="",0,IF(AND($G111&gt;='Cash Flow'!$E$6,$G111&lt;'Cash Flow'!$E$6+91),1,0))</f>
        <v>0</v>
      </c>
      <c r="I111" s="82"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80" t="n">
        <f aca="false">IF($C112="","",Recurring!$D$11)</f>
        <v>500</v>
      </c>
      <c r="F112" s="8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1" t="n">
        <f aca="false">IF($F112="","",IF(Recurring!$G$11="Move Before",IF(WEEKDAY($F112,2)=6,$F112-1,IF(WEEKDAY($F112,2)=7,$F112-2,$F112)),IF(Recurring!$G$11="Move After",IF(WEEKDAY($F112,2)=6,$F112+2,IF(WEEKDAY($F112,2)=7,$F112+1,$F112)),$F112)))</f>
        <v>46637</v>
      </c>
      <c r="H112" s="82" t="n">
        <f aca="false">IF($G112="",0,IF(AND($G112&gt;='Cash Flow'!$E$6,$G112&lt;'Cash Flow'!$E$6+91),1,0))</f>
        <v>0</v>
      </c>
      <c r="I112" s="82"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80" t="n">
        <f aca="false">IF($C113="","",Recurring!$D$11)</f>
        <v>500</v>
      </c>
      <c r="F113" s="8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1" t="n">
        <f aca="false">IF($F113="","",IF(Recurring!$G$11="Move Before",IF(WEEKDAY($F113,2)=6,$F113-1,IF(WEEKDAY($F113,2)=7,$F113-2,$F113)),IF(Recurring!$G$11="Move After",IF(WEEKDAY($F113,2)=6,$F113+2,IF(WEEKDAY($F113,2)=7,$F113+1,$F113)),$F113)))</f>
        <v>46667</v>
      </c>
      <c r="H113" s="82" t="n">
        <f aca="false">IF($G113="",0,IF(AND($G113&gt;='Cash Flow'!$E$6,$G113&lt;'Cash Flow'!$E$6+91),1,0))</f>
        <v>0</v>
      </c>
      <c r="I113" s="82"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80" t="n">
        <f aca="false">IF($C114="","",Recurring!$D$11)</f>
        <v>500</v>
      </c>
      <c r="F114" s="8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1" t="n">
        <f aca="false">IF($F114="","",IF(Recurring!$G$11="Move Before",IF(WEEKDAY($F114,2)=6,$F114-1,IF(WEEKDAY($F114,2)=7,$F114-2,$F114)),IF(Recurring!$G$11="Move After",IF(WEEKDAY($F114,2)=6,$F114+2,IF(WEEKDAY($F114,2)=7,$F114+1,$F114)),$F114)))</f>
        <v>46698</v>
      </c>
      <c r="H114" s="82" t="n">
        <f aca="false">IF($G114="",0,IF(AND($G114&gt;='Cash Flow'!$E$6,$G114&lt;'Cash Flow'!$E$6+91),1,0))</f>
        <v>0</v>
      </c>
      <c r="I114" s="82"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80" t="n">
        <f aca="false">IF($C115="","",Recurring!$D$11)</f>
        <v>500</v>
      </c>
      <c r="F115" s="8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1" t="n">
        <f aca="false">IF($F115="","",IF(Recurring!$G$11="Move Before",IF(WEEKDAY($F115,2)=6,$F115-1,IF(WEEKDAY($F115,2)=7,$F115-2,$F115)),IF(Recurring!$G$11="Move After",IF(WEEKDAY($F115,2)=6,$F115+2,IF(WEEKDAY($F115,2)=7,$F115+1,$F115)),$F115)))</f>
        <v>46728</v>
      </c>
      <c r="H115" s="82" t="n">
        <f aca="false">IF($G115="",0,IF(AND($G115&gt;='Cash Flow'!$E$6,$G115&lt;'Cash Flow'!$E$6+91),1,0))</f>
        <v>0</v>
      </c>
      <c r="I115" s="82"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80" t="n">
        <f aca="false">IF($C116="","",Recurring!$D$12)</f>
        <v>163.5</v>
      </c>
      <c r="F116" s="8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1" t="n">
        <f aca="false">IF($F116="","",IF(Recurring!$G$12="Move Before",IF(WEEKDAY($F116,2)=6,$F116-1,IF(WEEKDAY($F116,2)=7,$F116-2,$F116)),IF(Recurring!$G$12="Move After",IF(WEEKDAY($F116,2)=6,$F116+2,IF(WEEKDAY($F116,2)=7,$F116+1,$F116)),$F116)))</f>
        <v>46275</v>
      </c>
      <c r="H116" s="82" t="n">
        <f aca="false">IF($G116="",0,IF(AND($G116&gt;='Cash Flow'!$E$6-90,$G116&lt;'Cash Flow'!$E$6+91),1,0))</f>
        <v>1</v>
      </c>
      <c r="I116" s="82"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80" t="n">
        <f aca="false">IF($C117="","",Recurring!$D$12)</f>
        <v>163.5</v>
      </c>
      <c r="F117" s="8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1" t="n">
        <f aca="false">IF($F117="","",IF(Recurring!$G$12="Move Before",IF(WEEKDAY($F117,2)=6,$F117-1,IF(WEEKDAY($F117,2)=7,$F117-2,$F117)),IF(Recurring!$G$12="Move After",IF(WEEKDAY($F117,2)=6,$F117+2,IF(WEEKDAY($F117,2)=7,$F117+1,$F117)),$F117)))</f>
        <v>46305</v>
      </c>
      <c r="H117" s="82" t="n">
        <f aca="false">IF($G117="",0,IF(AND($G117&gt;='Cash Flow'!$E$6,$G117&lt;'Cash Flow'!$E$6+91),1,0))</f>
        <v>1</v>
      </c>
      <c r="I117" s="82"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80" t="n">
        <f aca="false">IF($C118="","",Recurring!$D$12)</f>
        <v>163.5</v>
      </c>
      <c r="F118" s="8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1" t="n">
        <f aca="false">IF($F118="","",IF(Recurring!$G$12="Move Before",IF(WEEKDAY($F118,2)=6,$F118-1,IF(WEEKDAY($F118,2)=7,$F118-2,$F118)),IF(Recurring!$G$12="Move After",IF(WEEKDAY($F118,2)=6,$F118+2,IF(WEEKDAY($F118,2)=7,$F118+1,$F118)),$F118)))</f>
        <v>46336</v>
      </c>
      <c r="H118" s="82" t="n">
        <f aca="false">IF($G118="",0,IF(AND($G118&gt;='Cash Flow'!$E$6,$G118&lt;'Cash Flow'!$E$6+91),1,0))</f>
        <v>0</v>
      </c>
      <c r="I118" s="82"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80" t="n">
        <f aca="false">IF($C119="","",Recurring!$D$12)</f>
        <v>163.5</v>
      </c>
      <c r="F119" s="8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1" t="n">
        <f aca="false">IF($F119="","",IF(Recurring!$G$12="Move Before",IF(WEEKDAY($F119,2)=6,$F119-1,IF(WEEKDAY($F119,2)=7,$F119-2,$F119)),IF(Recurring!$G$12="Move After",IF(WEEKDAY($F119,2)=6,$F119+2,IF(WEEKDAY($F119,2)=7,$F119+1,$F119)),$F119)))</f>
        <v>46366</v>
      </c>
      <c r="H119" s="82" t="n">
        <f aca="false">IF($G119="",0,IF(AND($G119&gt;='Cash Flow'!$E$6,$G119&lt;'Cash Flow'!$E$6+91),1,0))</f>
        <v>0</v>
      </c>
      <c r="I119" s="82"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80" t="n">
        <f aca="false">IF($C120="","",Recurring!$D$12)</f>
        <v>163.5</v>
      </c>
      <c r="F120" s="8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1" t="n">
        <f aca="false">IF($F120="","",IF(Recurring!$G$12="Move Before",IF(WEEKDAY($F120,2)=6,$F120-1,IF(WEEKDAY($F120,2)=7,$F120-2,$F120)),IF(Recurring!$G$12="Move After",IF(WEEKDAY($F120,2)=6,$F120+2,IF(WEEKDAY($F120,2)=7,$F120+1,$F120)),$F120)))</f>
        <v>46397</v>
      </c>
      <c r="H120" s="82" t="n">
        <f aca="false">IF($G120="",0,IF(AND($G120&gt;='Cash Flow'!$E$6,$G120&lt;'Cash Flow'!$E$6+91),1,0))</f>
        <v>0</v>
      </c>
      <c r="I120" s="82"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80" t="n">
        <f aca="false">IF($C121="","",Recurring!$D$12)</f>
        <v>163.5</v>
      </c>
      <c r="F121" s="8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1" t="n">
        <f aca="false">IF($F121="","",IF(Recurring!$G$12="Move Before",IF(WEEKDAY($F121,2)=6,$F121-1,IF(WEEKDAY($F121,2)=7,$F121-2,$F121)),IF(Recurring!$G$12="Move After",IF(WEEKDAY($F121,2)=6,$F121+2,IF(WEEKDAY($F121,2)=7,$F121+1,$F121)),$F121)))</f>
        <v>46428</v>
      </c>
      <c r="H121" s="82" t="n">
        <f aca="false">IF($G121="",0,IF(AND($G121&gt;='Cash Flow'!$E$6,$G121&lt;'Cash Flow'!$E$6+91),1,0))</f>
        <v>0</v>
      </c>
      <c r="I121" s="82"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80" t="n">
        <f aca="false">IF($C122="","",Recurring!$D$12)</f>
        <v>163.5</v>
      </c>
      <c r="F122" s="8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1" t="n">
        <f aca="false">IF($F122="","",IF(Recurring!$G$12="Move Before",IF(WEEKDAY($F122,2)=6,$F122-1,IF(WEEKDAY($F122,2)=7,$F122-2,$F122)),IF(Recurring!$G$12="Move After",IF(WEEKDAY($F122,2)=6,$F122+2,IF(WEEKDAY($F122,2)=7,$F122+1,$F122)),$F122)))</f>
        <v>46456</v>
      </c>
      <c r="H122" s="82" t="n">
        <f aca="false">IF($G122="",0,IF(AND($G122&gt;='Cash Flow'!$E$6,$G122&lt;'Cash Flow'!$E$6+91),1,0))</f>
        <v>0</v>
      </c>
      <c r="I122" s="82"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80" t="n">
        <f aca="false">IF($C123="","",Recurring!$D$12)</f>
        <v>163.5</v>
      </c>
      <c r="F123" s="8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1" t="n">
        <f aca="false">IF($F123="","",IF(Recurring!$G$12="Move Before",IF(WEEKDAY($F123,2)=6,$F123-1,IF(WEEKDAY($F123,2)=7,$F123-2,$F123)),IF(Recurring!$G$12="Move After",IF(WEEKDAY($F123,2)=6,$F123+2,IF(WEEKDAY($F123,2)=7,$F123+1,$F123)),$F123)))</f>
        <v>46487</v>
      </c>
      <c r="H123" s="82" t="n">
        <f aca="false">IF($G123="",0,IF(AND($G123&gt;='Cash Flow'!$E$6,$G123&lt;'Cash Flow'!$E$6+91),1,0))</f>
        <v>0</v>
      </c>
      <c r="I123" s="82"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80" t="n">
        <f aca="false">IF($C124="","",Recurring!$D$12)</f>
        <v>163.5</v>
      </c>
      <c r="F124" s="8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1" t="n">
        <f aca="false">IF($F124="","",IF(Recurring!$G$12="Move Before",IF(WEEKDAY($F124,2)=6,$F124-1,IF(WEEKDAY($F124,2)=7,$F124-2,$F124)),IF(Recurring!$G$12="Move After",IF(WEEKDAY($F124,2)=6,$F124+2,IF(WEEKDAY($F124,2)=7,$F124+1,$F124)),$F124)))</f>
        <v>46517</v>
      </c>
      <c r="H124" s="82" t="n">
        <f aca="false">IF($G124="",0,IF(AND($G124&gt;='Cash Flow'!$E$6,$G124&lt;'Cash Flow'!$E$6+91),1,0))</f>
        <v>0</v>
      </c>
      <c r="I124" s="82"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80" t="n">
        <f aca="false">IF($C125="","",Recurring!$D$12)</f>
        <v>163.5</v>
      </c>
      <c r="F125" s="8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1" t="n">
        <f aca="false">IF($F125="","",IF(Recurring!$G$12="Move Before",IF(WEEKDAY($F125,2)=6,$F125-1,IF(WEEKDAY($F125,2)=7,$F125-2,$F125)),IF(Recurring!$G$12="Move After",IF(WEEKDAY($F125,2)=6,$F125+2,IF(WEEKDAY($F125,2)=7,$F125+1,$F125)),$F125)))</f>
        <v>46548</v>
      </c>
      <c r="H125" s="82" t="n">
        <f aca="false">IF($G125="",0,IF(AND($G125&gt;='Cash Flow'!$E$6,$G125&lt;'Cash Flow'!$E$6+91),1,0))</f>
        <v>0</v>
      </c>
      <c r="I125" s="82"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80" t="n">
        <f aca="false">IF($C126="","",Recurring!$D$12)</f>
        <v>163.5</v>
      </c>
      <c r="F126" s="8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1" t="n">
        <f aca="false">IF($F126="","",IF(Recurring!$G$12="Move Before",IF(WEEKDAY($F126,2)=6,$F126-1,IF(WEEKDAY($F126,2)=7,$F126-2,$F126)),IF(Recurring!$G$12="Move After",IF(WEEKDAY($F126,2)=6,$F126+2,IF(WEEKDAY($F126,2)=7,$F126+1,$F126)),$F126)))</f>
        <v>46578</v>
      </c>
      <c r="H126" s="82" t="n">
        <f aca="false">IF($G126="",0,IF(AND($G126&gt;='Cash Flow'!$E$6,$G126&lt;'Cash Flow'!$E$6+91),1,0))</f>
        <v>0</v>
      </c>
      <c r="I126" s="82"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80" t="n">
        <f aca="false">IF($C127="","",Recurring!$D$12)</f>
        <v>163.5</v>
      </c>
      <c r="F127" s="8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1" t="n">
        <f aca="false">IF($F127="","",IF(Recurring!$G$12="Move Before",IF(WEEKDAY($F127,2)=6,$F127-1,IF(WEEKDAY($F127,2)=7,$F127-2,$F127)),IF(Recurring!$G$12="Move After",IF(WEEKDAY($F127,2)=6,$F127+2,IF(WEEKDAY($F127,2)=7,$F127+1,$F127)),$F127)))</f>
        <v>46609</v>
      </c>
      <c r="H127" s="82" t="n">
        <f aca="false">IF($G127="",0,IF(AND($G127&gt;='Cash Flow'!$E$6,$G127&lt;'Cash Flow'!$E$6+91),1,0))</f>
        <v>0</v>
      </c>
      <c r="I127" s="82"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80" t="n">
        <f aca="false">IF($C128="","",Recurring!$D$12)</f>
        <v>163.5</v>
      </c>
      <c r="F128" s="8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1" t="n">
        <f aca="false">IF($F128="","",IF(Recurring!$G$12="Move Before",IF(WEEKDAY($F128,2)=6,$F128-1,IF(WEEKDAY($F128,2)=7,$F128-2,$F128)),IF(Recurring!$G$12="Move After",IF(WEEKDAY($F128,2)=6,$F128+2,IF(WEEKDAY($F128,2)=7,$F128+1,$F128)),$F128)))</f>
        <v>46640</v>
      </c>
      <c r="H128" s="82" t="n">
        <f aca="false">IF($G128="",0,IF(AND($G128&gt;='Cash Flow'!$E$6,$G128&lt;'Cash Flow'!$E$6+91),1,0))</f>
        <v>0</v>
      </c>
      <c r="I128" s="82"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80" t="n">
        <f aca="false">IF($C129="","",Recurring!$D$12)</f>
        <v>163.5</v>
      </c>
      <c r="F129" s="8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1" t="n">
        <f aca="false">IF($F129="","",IF(Recurring!$G$12="Move Before",IF(WEEKDAY($F129,2)=6,$F129-1,IF(WEEKDAY($F129,2)=7,$F129-2,$F129)),IF(Recurring!$G$12="Move After",IF(WEEKDAY($F129,2)=6,$F129+2,IF(WEEKDAY($F129,2)=7,$F129+1,$F129)),$F129)))</f>
        <v>46670</v>
      </c>
      <c r="H129" s="82" t="n">
        <f aca="false">IF($G129="",0,IF(AND($G129&gt;='Cash Flow'!$E$6,$G129&lt;'Cash Flow'!$E$6+91),1,0))</f>
        <v>0</v>
      </c>
      <c r="I129" s="82"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80" t="n">
        <f aca="false">IF($C130="","",Recurring!$D$12)</f>
        <v>163.5</v>
      </c>
      <c r="F130" s="8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1" t="n">
        <f aca="false">IF($F130="","",IF(Recurring!$G$12="Move Before",IF(WEEKDAY($F130,2)=6,$F130-1,IF(WEEKDAY($F130,2)=7,$F130-2,$F130)),IF(Recurring!$G$12="Move After",IF(WEEKDAY($F130,2)=6,$F130+2,IF(WEEKDAY($F130,2)=7,$F130+1,$F130)),$F130)))</f>
        <v>46701</v>
      </c>
      <c r="H130" s="82" t="n">
        <f aca="false">IF($G130="",0,IF(AND($G130&gt;='Cash Flow'!$E$6,$G130&lt;'Cash Flow'!$E$6+91),1,0))</f>
        <v>0</v>
      </c>
      <c r="I130" s="82"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80" t="n">
        <f aca="false">IF($C131="","",Recurring!$D$12)</f>
        <v>163.5</v>
      </c>
      <c r="F131" s="8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1" t="n">
        <f aca="false">IF($F131="","",IF(Recurring!$G$12="Move Before",IF(WEEKDAY($F131,2)=6,$F131-1,IF(WEEKDAY($F131,2)=7,$F131-2,$F131)),IF(Recurring!$G$12="Move After",IF(WEEKDAY($F131,2)=6,$F131+2,IF(WEEKDAY($F131,2)=7,$F131+1,$F131)),$F131)))</f>
        <v>46731</v>
      </c>
      <c r="H131" s="82" t="n">
        <f aca="false">IF($G131="",0,IF(AND($G131&gt;='Cash Flow'!$E$6,$G131&lt;'Cash Flow'!$E$6+91),1,0))</f>
        <v>0</v>
      </c>
      <c r="I131" s="82"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80" t="n">
        <f aca="false">IF($C132="","",Recurring!$D$13)</f>
        <v>2.99</v>
      </c>
      <c r="F132" s="8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81" t="n">
        <f aca="false">IF($F132="","",IF(Recurring!$G$13="Move Before",IF(WEEKDAY($F132,2)=6,$F132-1,IF(WEEKDAY($F132,2)=7,$F132-2,$F132)),IF(Recurring!$G$13="Move After",IF(WEEKDAY($F132,2)=6,$F132+2,IF(WEEKDAY($F132,2)=7,$F132+1,$F132)),$F132)))</f>
        <v>46247</v>
      </c>
      <c r="H132" s="82" t="n">
        <f aca="false">IF($G132="",0,IF(AND($G132&gt;='Cash Flow'!$E$6-90,$G132&lt;'Cash Flow'!$E$6+91),1,0))</f>
        <v>1</v>
      </c>
      <c r="I132" s="82"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80" t="n">
        <f aca="false">IF($C133="","",Recurring!$D$13)</f>
        <v>2.99</v>
      </c>
      <c r="F133" s="8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81" t="n">
        <f aca="false">IF($F133="","",IF(Recurring!$G$13="Move Before",IF(WEEKDAY($F133,2)=6,$F133-1,IF(WEEKDAY($F133,2)=7,$F133-2,$F133)),IF(Recurring!$G$13="Move After",IF(WEEKDAY($F133,2)=6,$F133+2,IF(WEEKDAY($F133,2)=7,$F133+1,$F133)),$F133)))</f>
        <v>46278</v>
      </c>
      <c r="H133" s="82" t="n">
        <f aca="false">IF($G133="",0,IF(AND($G133&gt;='Cash Flow'!$E$6,$G133&lt;'Cash Flow'!$E$6+91),1,0))</f>
        <v>1</v>
      </c>
      <c r="I133" s="82"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80" t="n">
        <f aca="false">IF($C134="","",Recurring!$D$13)</f>
        <v>2.99</v>
      </c>
      <c r="F134" s="8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81" t="n">
        <f aca="false">IF($F134="","",IF(Recurring!$G$13="Move Before",IF(WEEKDAY($F134,2)=6,$F134-1,IF(WEEKDAY($F134,2)=7,$F134-2,$F134)),IF(Recurring!$G$13="Move After",IF(WEEKDAY($F134,2)=6,$F134+2,IF(WEEKDAY($F134,2)=7,$F134+1,$F134)),$F134)))</f>
        <v>46308</v>
      </c>
      <c r="H134" s="82" t="n">
        <f aca="false">IF($G134="",0,IF(AND($G134&gt;='Cash Flow'!$E$6,$G134&lt;'Cash Flow'!$E$6+91),1,0))</f>
        <v>1</v>
      </c>
      <c r="I134" s="82"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80" t="n">
        <f aca="false">IF($C135="","",Recurring!$D$13)</f>
        <v>2.99</v>
      </c>
      <c r="F135" s="8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81" t="n">
        <f aca="false">IF($F135="","",IF(Recurring!$G$13="Move Before",IF(WEEKDAY($F135,2)=6,$F135-1,IF(WEEKDAY($F135,2)=7,$F135-2,$F135)),IF(Recurring!$G$13="Move After",IF(WEEKDAY($F135,2)=6,$F135+2,IF(WEEKDAY($F135,2)=7,$F135+1,$F135)),$F135)))</f>
        <v>46339</v>
      </c>
      <c r="H135" s="82" t="n">
        <f aca="false">IF($G135="",0,IF(AND($G135&gt;='Cash Flow'!$E$6,$G135&lt;'Cash Flow'!$E$6+91),1,0))</f>
        <v>0</v>
      </c>
      <c r="I135" s="82"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80" t="n">
        <f aca="false">IF($C136="","",Recurring!$D$13)</f>
        <v>2.99</v>
      </c>
      <c r="F136" s="8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81" t="n">
        <f aca="false">IF($F136="","",IF(Recurring!$G$13="Move Before",IF(WEEKDAY($F136,2)=6,$F136-1,IF(WEEKDAY($F136,2)=7,$F136-2,$F136)),IF(Recurring!$G$13="Move After",IF(WEEKDAY($F136,2)=6,$F136+2,IF(WEEKDAY($F136,2)=7,$F136+1,$F136)),$F136)))</f>
        <v>46369</v>
      </c>
      <c r="H136" s="82" t="n">
        <f aca="false">IF($G136="",0,IF(AND($G136&gt;='Cash Flow'!$E$6,$G136&lt;'Cash Flow'!$E$6+91),1,0))</f>
        <v>0</v>
      </c>
      <c r="I136" s="82"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80" t="n">
        <f aca="false">IF($C137="","",Recurring!$D$13)</f>
        <v>2.99</v>
      </c>
      <c r="F137" s="8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81" t="n">
        <f aca="false">IF($F137="","",IF(Recurring!$G$13="Move Before",IF(WEEKDAY($F137,2)=6,$F137-1,IF(WEEKDAY($F137,2)=7,$F137-2,$F137)),IF(Recurring!$G$13="Move After",IF(WEEKDAY($F137,2)=6,$F137+2,IF(WEEKDAY($F137,2)=7,$F137+1,$F137)),$F137)))</f>
        <v>46400</v>
      </c>
      <c r="H137" s="82" t="n">
        <f aca="false">IF($G137="",0,IF(AND($G137&gt;='Cash Flow'!$E$6,$G137&lt;'Cash Flow'!$E$6+91),1,0))</f>
        <v>0</v>
      </c>
      <c r="I137" s="82"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80" t="n">
        <f aca="false">IF($C138="","",Recurring!$D$13)</f>
        <v>2.99</v>
      </c>
      <c r="F138" s="8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81" t="n">
        <f aca="false">IF($F138="","",IF(Recurring!$G$13="Move Before",IF(WEEKDAY($F138,2)=6,$F138-1,IF(WEEKDAY($F138,2)=7,$F138-2,$F138)),IF(Recurring!$G$13="Move After",IF(WEEKDAY($F138,2)=6,$F138+2,IF(WEEKDAY($F138,2)=7,$F138+1,$F138)),$F138)))</f>
        <v>46431</v>
      </c>
      <c r="H138" s="82" t="n">
        <f aca="false">IF($G138="",0,IF(AND($G138&gt;='Cash Flow'!$E$6,$G138&lt;'Cash Flow'!$E$6+91),1,0))</f>
        <v>0</v>
      </c>
      <c r="I138" s="82"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80" t="n">
        <f aca="false">IF($C139="","",Recurring!$D$13)</f>
        <v>2.99</v>
      </c>
      <c r="F139" s="8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81" t="n">
        <f aca="false">IF($F139="","",IF(Recurring!$G$13="Move Before",IF(WEEKDAY($F139,2)=6,$F139-1,IF(WEEKDAY($F139,2)=7,$F139-2,$F139)),IF(Recurring!$G$13="Move After",IF(WEEKDAY($F139,2)=6,$F139+2,IF(WEEKDAY($F139,2)=7,$F139+1,$F139)),$F139)))</f>
        <v>46459</v>
      </c>
      <c r="H139" s="82" t="n">
        <f aca="false">IF($G139="",0,IF(AND($G139&gt;='Cash Flow'!$E$6,$G139&lt;'Cash Flow'!$E$6+91),1,0))</f>
        <v>0</v>
      </c>
      <c r="I139" s="82"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80" t="n">
        <f aca="false">IF($C140="","",Recurring!$D$13)</f>
        <v>2.99</v>
      </c>
      <c r="F140" s="8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81" t="n">
        <f aca="false">IF($F140="","",IF(Recurring!$G$13="Move Before",IF(WEEKDAY($F140,2)=6,$F140-1,IF(WEEKDAY($F140,2)=7,$F140-2,$F140)),IF(Recurring!$G$13="Move After",IF(WEEKDAY($F140,2)=6,$F140+2,IF(WEEKDAY($F140,2)=7,$F140+1,$F140)),$F140)))</f>
        <v>46490</v>
      </c>
      <c r="H140" s="82" t="n">
        <f aca="false">IF($G140="",0,IF(AND($G140&gt;='Cash Flow'!$E$6,$G140&lt;'Cash Flow'!$E$6+91),1,0))</f>
        <v>0</v>
      </c>
      <c r="I140" s="82"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80" t="n">
        <f aca="false">IF($C141="","",Recurring!$D$13)</f>
        <v>2.99</v>
      </c>
      <c r="F141" s="8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81" t="n">
        <f aca="false">IF($F141="","",IF(Recurring!$G$13="Move Before",IF(WEEKDAY($F141,2)=6,$F141-1,IF(WEEKDAY($F141,2)=7,$F141-2,$F141)),IF(Recurring!$G$13="Move After",IF(WEEKDAY($F141,2)=6,$F141+2,IF(WEEKDAY($F141,2)=7,$F141+1,$F141)),$F141)))</f>
        <v>46520</v>
      </c>
      <c r="H141" s="82" t="n">
        <f aca="false">IF($G141="",0,IF(AND($G141&gt;='Cash Flow'!$E$6,$G141&lt;'Cash Flow'!$E$6+91),1,0))</f>
        <v>0</v>
      </c>
      <c r="I141" s="82"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80" t="n">
        <f aca="false">IF($C142="","",Recurring!$D$13)</f>
        <v>2.99</v>
      </c>
      <c r="F142" s="8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81" t="n">
        <f aca="false">IF($F142="","",IF(Recurring!$G$13="Move Before",IF(WEEKDAY($F142,2)=6,$F142-1,IF(WEEKDAY($F142,2)=7,$F142-2,$F142)),IF(Recurring!$G$13="Move After",IF(WEEKDAY($F142,2)=6,$F142+2,IF(WEEKDAY($F142,2)=7,$F142+1,$F142)),$F142)))</f>
        <v>46551</v>
      </c>
      <c r="H142" s="82" t="n">
        <f aca="false">IF($G142="",0,IF(AND($G142&gt;='Cash Flow'!$E$6,$G142&lt;'Cash Flow'!$E$6+91),1,0))</f>
        <v>0</v>
      </c>
      <c r="I142" s="82"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80" t="n">
        <f aca="false">IF($C143="","",Recurring!$D$13)</f>
        <v>2.99</v>
      </c>
      <c r="F143" s="8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81" t="n">
        <f aca="false">IF($F143="","",IF(Recurring!$G$13="Move Before",IF(WEEKDAY($F143,2)=6,$F143-1,IF(WEEKDAY($F143,2)=7,$F143-2,$F143)),IF(Recurring!$G$13="Move After",IF(WEEKDAY($F143,2)=6,$F143+2,IF(WEEKDAY($F143,2)=7,$F143+1,$F143)),$F143)))</f>
        <v>46581</v>
      </c>
      <c r="H143" s="82" t="n">
        <f aca="false">IF($G143="",0,IF(AND($G143&gt;='Cash Flow'!$E$6,$G143&lt;'Cash Flow'!$E$6+91),1,0))</f>
        <v>0</v>
      </c>
      <c r="I143" s="82"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80" t="n">
        <f aca="false">IF($C144="","",Recurring!$D$13)</f>
        <v>2.99</v>
      </c>
      <c r="F144" s="8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81" t="n">
        <f aca="false">IF($F144="","",IF(Recurring!$G$13="Move Before",IF(WEEKDAY($F144,2)=6,$F144-1,IF(WEEKDAY($F144,2)=7,$F144-2,$F144)),IF(Recurring!$G$13="Move After",IF(WEEKDAY($F144,2)=6,$F144+2,IF(WEEKDAY($F144,2)=7,$F144+1,$F144)),$F144)))</f>
        <v>46612</v>
      </c>
      <c r="H144" s="82" t="n">
        <f aca="false">IF($G144="",0,IF(AND($G144&gt;='Cash Flow'!$E$6,$G144&lt;'Cash Flow'!$E$6+91),1,0))</f>
        <v>0</v>
      </c>
      <c r="I144" s="82"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80" t="n">
        <f aca="false">IF($C145="","",Recurring!$D$13)</f>
        <v>2.99</v>
      </c>
      <c r="F145" s="8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81" t="n">
        <f aca="false">IF($F145="","",IF(Recurring!$G$13="Move Before",IF(WEEKDAY($F145,2)=6,$F145-1,IF(WEEKDAY($F145,2)=7,$F145-2,$F145)),IF(Recurring!$G$13="Move After",IF(WEEKDAY($F145,2)=6,$F145+2,IF(WEEKDAY($F145,2)=7,$F145+1,$F145)),$F145)))</f>
        <v>46643</v>
      </c>
      <c r="H145" s="82" t="n">
        <f aca="false">IF($G145="",0,IF(AND($G145&gt;='Cash Flow'!$E$6,$G145&lt;'Cash Flow'!$E$6+91),1,0))</f>
        <v>0</v>
      </c>
      <c r="I145" s="82"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80" t="n">
        <f aca="false">IF($C146="","",Recurring!$D$13)</f>
        <v>2.99</v>
      </c>
      <c r="F146" s="8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81" t="n">
        <f aca="false">IF($F146="","",IF(Recurring!$G$13="Move Before",IF(WEEKDAY($F146,2)=6,$F146-1,IF(WEEKDAY($F146,2)=7,$F146-2,$F146)),IF(Recurring!$G$13="Move After",IF(WEEKDAY($F146,2)=6,$F146+2,IF(WEEKDAY($F146,2)=7,$F146+1,$F146)),$F146)))</f>
        <v>46673</v>
      </c>
      <c r="H146" s="82" t="n">
        <f aca="false">IF($G146="",0,IF(AND($G146&gt;='Cash Flow'!$E$6,$G146&lt;'Cash Flow'!$E$6+91),1,0))</f>
        <v>0</v>
      </c>
      <c r="I146" s="82"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80" t="n">
        <f aca="false">IF($C147="","",Recurring!$D$13)</f>
        <v>2.99</v>
      </c>
      <c r="F147" s="8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81" t="n">
        <f aca="false">IF($F147="","",IF(Recurring!$G$13="Move Before",IF(WEEKDAY($F147,2)=6,$F147-1,IF(WEEKDAY($F147,2)=7,$F147-2,$F147)),IF(Recurring!$G$13="Move After",IF(WEEKDAY($F147,2)=6,$F147+2,IF(WEEKDAY($F147,2)=7,$F147+1,$F147)),$F147)))</f>
        <v>46704</v>
      </c>
      <c r="H147" s="82" t="n">
        <f aca="false">IF($G147="",0,IF(AND($G147&gt;='Cash Flow'!$E$6,$G147&lt;'Cash Flow'!$E$6+91),1,0))</f>
        <v>0</v>
      </c>
      <c r="I147" s="82"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80" t="n">
        <f aca="false">IF($C148="","",Recurring!$D$14)</f>
        <v>350</v>
      </c>
      <c r="F148" s="8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81" t="n">
        <f aca="false">IF($F148="","",IF(Recurring!$G$14="Move Before",IF(WEEKDAY($F148,2)=6,$F148-1,IF(WEEKDAY($F148,2)=7,$F148-2,$F148)),IF(Recurring!$G$14="Move After",IF(WEEKDAY($F148,2)=6,$F148+2,IF(WEEKDAY($F148,2)=7,$F148+1,$F148)),$F148)))</f>
        <v>46248</v>
      </c>
      <c r="H148" s="82" t="n">
        <f aca="false">IF($G148="",0,IF(AND($G148&gt;='Cash Flow'!$E$6-90,$G148&lt;'Cash Flow'!$E$6+91),1,0))</f>
        <v>1</v>
      </c>
      <c r="I148" s="82"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80" t="n">
        <f aca="false">IF($C149="","",Recurring!$D$14)</f>
        <v>350</v>
      </c>
      <c r="F149" s="8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81" t="n">
        <f aca="false">IF($F149="","",IF(Recurring!$G$14="Move Before",IF(WEEKDAY($F149,2)=6,$F149-1,IF(WEEKDAY($F149,2)=7,$F149-2,$F149)),IF(Recurring!$G$14="Move After",IF(WEEKDAY($F149,2)=6,$F149+2,IF(WEEKDAY($F149,2)=7,$F149+1,$F149)),$F149)))</f>
        <v>46265</v>
      </c>
      <c r="H149" s="82" t="n">
        <f aca="false">IF($G149="",0,IF(AND($G149&gt;='Cash Flow'!$E$6,$G149&lt;'Cash Flow'!$E$6+91),1,0))</f>
        <v>1</v>
      </c>
      <c r="I149" s="82"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80" t="n">
        <f aca="false">IF($C150="","",Recurring!$D$14)</f>
        <v>350</v>
      </c>
      <c r="F150" s="8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81" t="n">
        <f aca="false">IF($F150="","",IF(Recurring!$G$14="Move Before",IF(WEEKDAY($F150,2)=6,$F150-1,IF(WEEKDAY($F150,2)=7,$F150-2,$F150)),IF(Recurring!$G$14="Move After",IF(WEEKDAY($F150,2)=6,$F150+2,IF(WEEKDAY($F150,2)=7,$F150+1,$F150)),$F150)))</f>
        <v>46280</v>
      </c>
      <c r="H150" s="82" t="n">
        <f aca="false">IF($G150="",0,IF(AND($G150&gt;='Cash Flow'!$E$6,$G150&lt;'Cash Flow'!$E$6+91),1,0))</f>
        <v>1</v>
      </c>
      <c r="I150" s="82"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80" t="n">
        <f aca="false">IF($C151="","",Recurring!$D$14)</f>
        <v>350</v>
      </c>
      <c r="F151" s="8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81" t="n">
        <f aca="false">IF($F151="","",IF(Recurring!$G$14="Move Before",IF(WEEKDAY($F151,2)=6,$F151-1,IF(WEEKDAY($F151,2)=7,$F151-2,$F151)),IF(Recurring!$G$14="Move After",IF(WEEKDAY($F151,2)=6,$F151+2,IF(WEEKDAY($F151,2)=7,$F151+1,$F151)),$F151)))</f>
        <v>46295</v>
      </c>
      <c r="H151" s="82" t="n">
        <f aca="false">IF($G151="",0,IF(AND($G151&gt;='Cash Flow'!$E$6,$G151&lt;'Cash Flow'!$E$6+91),1,0))</f>
        <v>1</v>
      </c>
      <c r="I151" s="82"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80" t="n">
        <f aca="false">IF($C152="","",Recurring!$D$14)</f>
        <v>350</v>
      </c>
      <c r="F152" s="8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81" t="n">
        <f aca="false">IF($F152="","",IF(Recurring!$G$14="Move Before",IF(WEEKDAY($F152,2)=6,$F152-1,IF(WEEKDAY($F152,2)=7,$F152-2,$F152)),IF(Recurring!$G$14="Move After",IF(WEEKDAY($F152,2)=6,$F152+2,IF(WEEKDAY($F152,2)=7,$F152+1,$F152)),$F152)))</f>
        <v>46310</v>
      </c>
      <c r="H152" s="82" t="n">
        <f aca="false">IF($G152="",0,IF(AND($G152&gt;='Cash Flow'!$E$6,$G152&lt;'Cash Flow'!$E$6+91),1,0))</f>
        <v>1</v>
      </c>
      <c r="I152" s="82"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80" t="n">
        <f aca="false">IF($C153="","",Recurring!$D$14)</f>
        <v>350</v>
      </c>
      <c r="F153" s="8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81" t="n">
        <f aca="false">IF($F153="","",IF(Recurring!$G$14="Move Before",IF(WEEKDAY($F153,2)=6,$F153-1,IF(WEEKDAY($F153,2)=7,$F153-2,$F153)),IF(Recurring!$G$14="Move After",IF(WEEKDAY($F153,2)=6,$F153+2,IF(WEEKDAY($F153,2)=7,$F153+1,$F153)),$F153)))</f>
        <v>46325</v>
      </c>
      <c r="H153" s="82" t="n">
        <f aca="false">IF($G153="",0,IF(AND($G153&gt;='Cash Flow'!$E$6,$G153&lt;'Cash Flow'!$E$6+91),1,0))</f>
        <v>1</v>
      </c>
      <c r="I153" s="82"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80" t="n">
        <f aca="false">IF($C154="","",Recurring!$D$14)</f>
        <v>350</v>
      </c>
      <c r="F154" s="8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81" t="n">
        <f aca="false">IF($F154="","",IF(Recurring!$G$14="Move Before",IF(WEEKDAY($F154,2)=6,$F154-1,IF(WEEKDAY($F154,2)=7,$F154-2,$F154)),IF(Recurring!$G$14="Move After",IF(WEEKDAY($F154,2)=6,$F154+2,IF(WEEKDAY($F154,2)=7,$F154+1,$F154)),$F154)))</f>
        <v>46339</v>
      </c>
      <c r="H154" s="82" t="n">
        <f aca="false">IF($G154="",0,IF(AND($G154&gt;='Cash Flow'!$E$6,$G154&lt;'Cash Flow'!$E$6+91),1,0))</f>
        <v>0</v>
      </c>
      <c r="I154" s="82"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80" t="n">
        <f aca="false">IF($C155="","",Recurring!$D$14)</f>
        <v>350</v>
      </c>
      <c r="F155" s="8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81" t="n">
        <f aca="false">IF($F155="","",IF(Recurring!$G$14="Move Before",IF(WEEKDAY($F155,2)=6,$F155-1,IF(WEEKDAY($F155,2)=7,$F155-2,$F155)),IF(Recurring!$G$14="Move After",IF(WEEKDAY($F155,2)=6,$F155+2,IF(WEEKDAY($F155,2)=7,$F155+1,$F155)),$F155)))</f>
        <v>46356</v>
      </c>
      <c r="H155" s="82" t="n">
        <f aca="false">IF($G155="",0,IF(AND($G155&gt;='Cash Flow'!$E$6,$G155&lt;'Cash Flow'!$E$6+91),1,0))</f>
        <v>0</v>
      </c>
      <c r="I155" s="82"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80" t="n">
        <f aca="false">IF($C156="","",Recurring!$D$14)</f>
        <v>350</v>
      </c>
      <c r="F156" s="8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81" t="n">
        <f aca="false">IF($F156="","",IF(Recurring!$G$14="Move Before",IF(WEEKDAY($F156,2)=6,$F156-1,IF(WEEKDAY($F156,2)=7,$F156-2,$F156)),IF(Recurring!$G$14="Move After",IF(WEEKDAY($F156,2)=6,$F156+2,IF(WEEKDAY($F156,2)=7,$F156+1,$F156)),$F156)))</f>
        <v>46371</v>
      </c>
      <c r="H156" s="82" t="n">
        <f aca="false">IF($G156="",0,IF(AND($G156&gt;='Cash Flow'!$E$6,$G156&lt;'Cash Flow'!$E$6+91),1,0))</f>
        <v>0</v>
      </c>
      <c r="I156" s="82"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80" t="n">
        <f aca="false">IF($C157="","",Recurring!$D$14)</f>
        <v>350</v>
      </c>
      <c r="F157" s="8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81" t="n">
        <f aca="false">IF($F157="","",IF(Recurring!$G$14="Move Before",IF(WEEKDAY($F157,2)=6,$F157-1,IF(WEEKDAY($F157,2)=7,$F157-2,$F157)),IF(Recurring!$G$14="Move After",IF(WEEKDAY($F157,2)=6,$F157+2,IF(WEEKDAY($F157,2)=7,$F157+1,$F157)),$F157)))</f>
        <v>46387</v>
      </c>
      <c r="H157" s="82" t="n">
        <f aca="false">IF($G157="",0,IF(AND($G157&gt;='Cash Flow'!$E$6,$G157&lt;'Cash Flow'!$E$6+91),1,0))</f>
        <v>0</v>
      </c>
      <c r="I157" s="82"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80" t="n">
        <f aca="false">IF($C158="","",Recurring!$D$14)</f>
        <v>350</v>
      </c>
      <c r="F158" s="8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81" t="n">
        <f aca="false">IF($F158="","",IF(Recurring!$G$14="Move Before",IF(WEEKDAY($F158,2)=6,$F158-1,IF(WEEKDAY($F158,2)=7,$F158-2,$F158)),IF(Recurring!$G$14="Move After",IF(WEEKDAY($F158,2)=6,$F158+2,IF(WEEKDAY($F158,2)=7,$F158+1,$F158)),$F158)))</f>
        <v>46402</v>
      </c>
      <c r="H158" s="82" t="n">
        <f aca="false">IF($G158="",0,IF(AND($G158&gt;='Cash Flow'!$E$6,$G158&lt;'Cash Flow'!$E$6+91),1,0))</f>
        <v>0</v>
      </c>
      <c r="I158" s="82"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80" t="n">
        <f aca="false">IF($C159="","",Recurring!$D$14)</f>
        <v>350</v>
      </c>
      <c r="F159" s="8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81" t="n">
        <f aca="false">IF($F159="","",IF(Recurring!$G$14="Move Before",IF(WEEKDAY($F159,2)=6,$F159-1,IF(WEEKDAY($F159,2)=7,$F159-2,$F159)),IF(Recurring!$G$14="Move After",IF(WEEKDAY($F159,2)=6,$F159+2,IF(WEEKDAY($F159,2)=7,$F159+1,$F159)),$F159)))</f>
        <v>46416</v>
      </c>
      <c r="H159" s="82" t="n">
        <f aca="false">IF($G159="",0,IF(AND($G159&gt;='Cash Flow'!$E$6,$G159&lt;'Cash Flow'!$E$6+91),1,0))</f>
        <v>0</v>
      </c>
      <c r="I159" s="82"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80" t="n">
        <f aca="false">IF($C160="","",Recurring!$D$14)</f>
        <v>350</v>
      </c>
      <c r="F160" s="8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81" t="n">
        <f aca="false">IF($F160="","",IF(Recurring!$G$14="Move Before",IF(WEEKDAY($F160,2)=6,$F160-1,IF(WEEKDAY($F160,2)=7,$F160-2,$F160)),IF(Recurring!$G$14="Move After",IF(WEEKDAY($F160,2)=6,$F160+2,IF(WEEKDAY($F160,2)=7,$F160+1,$F160)),$F160)))</f>
        <v>46433</v>
      </c>
      <c r="H160" s="82" t="n">
        <f aca="false">IF($G160="",0,IF(AND($G160&gt;='Cash Flow'!$E$6,$G160&lt;'Cash Flow'!$E$6+91),1,0))</f>
        <v>0</v>
      </c>
      <c r="I160" s="82"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80" t="n">
        <f aca="false">IF($C161="","",Recurring!$D$14)</f>
        <v>350</v>
      </c>
      <c r="F161" s="8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81" t="n">
        <f aca="false">IF($F161="","",IF(Recurring!$G$14="Move Before",IF(WEEKDAY($F161,2)=6,$F161-1,IF(WEEKDAY($F161,2)=7,$F161-2,$F161)),IF(Recurring!$G$14="Move After",IF(WEEKDAY($F161,2)=6,$F161+2,IF(WEEKDAY($F161,2)=7,$F161+1,$F161)),$F161)))</f>
        <v>46444</v>
      </c>
      <c r="H161" s="82" t="n">
        <f aca="false">IF($G161="",0,IF(AND($G161&gt;='Cash Flow'!$E$6,$G161&lt;'Cash Flow'!$E$6+91),1,0))</f>
        <v>0</v>
      </c>
      <c r="I161" s="82"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80" t="n">
        <f aca="false">IF($C162="","",Recurring!$D$14)</f>
        <v>350</v>
      </c>
      <c r="F162" s="8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81" t="n">
        <f aca="false">IF($F162="","",IF(Recurring!$G$14="Move Before",IF(WEEKDAY($F162,2)=6,$F162-1,IF(WEEKDAY($F162,2)=7,$F162-2,$F162)),IF(Recurring!$G$14="Move After",IF(WEEKDAY($F162,2)=6,$F162+2,IF(WEEKDAY($F162,2)=7,$F162+1,$F162)),$F162)))</f>
        <v>46461</v>
      </c>
      <c r="H162" s="82" t="n">
        <f aca="false">IF($G162="",0,IF(AND($G162&gt;='Cash Flow'!$E$6,$G162&lt;'Cash Flow'!$E$6+91),1,0))</f>
        <v>0</v>
      </c>
      <c r="I162" s="82"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80" t="n">
        <f aca="false">IF($C163="","",Recurring!$D$14)</f>
        <v>350</v>
      </c>
      <c r="F163" s="8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81" t="n">
        <f aca="false">IF($F163="","",IF(Recurring!$G$14="Move Before",IF(WEEKDAY($F163,2)=6,$F163-1,IF(WEEKDAY($F163,2)=7,$F163-2,$F163)),IF(Recurring!$G$14="Move After",IF(WEEKDAY($F163,2)=6,$F163+2,IF(WEEKDAY($F163,2)=7,$F163+1,$F163)),$F163)))</f>
        <v>46477</v>
      </c>
      <c r="H163" s="82" t="n">
        <f aca="false">IF($G163="",0,IF(AND($G163&gt;='Cash Flow'!$E$6,$G163&lt;'Cash Flow'!$E$6+91),1,0))</f>
        <v>0</v>
      </c>
      <c r="I163" s="82"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80" t="n">
        <f aca="false">IF($C164="","",Recurring!$D$15)</f>
        <v>171.1</v>
      </c>
      <c r="F164" s="8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1" t="n">
        <f aca="false">IF($F164="","",IF(Recurring!$G$15="Move Before",IF(WEEKDAY($F164,2)=6,$F164-1,IF(WEEKDAY($F164,2)=7,$F164-2,$F164)),IF(Recurring!$G$15="Move After",IF(WEEKDAY($F164,2)=6,$F164+2,IF(WEEKDAY($F164,2)=7,$F164+1,$F164)),$F164)))</f>
        <v>46250</v>
      </c>
      <c r="H164" s="82" t="n">
        <f aca="false">IF($G164="",0,IF(AND($G164&gt;='Cash Flow'!$E$6-90,$G164&lt;'Cash Flow'!$E$6+91),1,0))</f>
        <v>1</v>
      </c>
      <c r="I164" s="82"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80" t="n">
        <f aca="false">IF($C165="","",Recurring!$D$15)</f>
        <v>171.1</v>
      </c>
      <c r="F165" s="8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1" t="n">
        <f aca="false">IF($F165="","",IF(Recurring!$G$15="Move Before",IF(WEEKDAY($F165,2)=6,$F165-1,IF(WEEKDAY($F165,2)=7,$F165-2,$F165)),IF(Recurring!$G$15="Move After",IF(WEEKDAY($F165,2)=6,$F165+2,IF(WEEKDAY($F165,2)=7,$F165+1,$F165)),$F165)))</f>
        <v>46281</v>
      </c>
      <c r="H165" s="82" t="n">
        <f aca="false">IF($G165="",0,IF(AND($G165&gt;='Cash Flow'!$E$6,$G165&lt;'Cash Flow'!$E$6+91),1,0))</f>
        <v>1</v>
      </c>
      <c r="I165" s="82"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80" t="n">
        <f aca="false">IF($C166="","",Recurring!$D$15)</f>
        <v>171.1</v>
      </c>
      <c r="F166" s="8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1" t="n">
        <f aca="false">IF($F166="","",IF(Recurring!$G$15="Move Before",IF(WEEKDAY($F166,2)=6,$F166-1,IF(WEEKDAY($F166,2)=7,$F166-2,$F166)),IF(Recurring!$G$15="Move After",IF(WEEKDAY($F166,2)=6,$F166+2,IF(WEEKDAY($F166,2)=7,$F166+1,$F166)),$F166)))</f>
        <v>46311</v>
      </c>
      <c r="H166" s="82" t="n">
        <f aca="false">IF($G166="",0,IF(AND($G166&gt;='Cash Flow'!$E$6,$G166&lt;'Cash Flow'!$E$6+91),1,0))</f>
        <v>1</v>
      </c>
      <c r="I166" s="82"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80" t="n">
        <f aca="false">IF($C167="","",Recurring!$D$15)</f>
        <v>171.1</v>
      </c>
      <c r="F167" s="8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1" t="n">
        <f aca="false">IF($F167="","",IF(Recurring!$G$15="Move Before",IF(WEEKDAY($F167,2)=6,$F167-1,IF(WEEKDAY($F167,2)=7,$F167-2,$F167)),IF(Recurring!$G$15="Move After",IF(WEEKDAY($F167,2)=6,$F167+2,IF(WEEKDAY($F167,2)=7,$F167+1,$F167)),$F167)))</f>
        <v>46342</v>
      </c>
      <c r="H167" s="82" t="n">
        <f aca="false">IF($G167="",0,IF(AND($G167&gt;='Cash Flow'!$E$6,$G167&lt;'Cash Flow'!$E$6+91),1,0))</f>
        <v>0</v>
      </c>
      <c r="I167" s="82"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80" t="n">
        <f aca="false">IF($C168="","",Recurring!$D$15)</f>
        <v>171.1</v>
      </c>
      <c r="F168" s="8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1" t="n">
        <f aca="false">IF($F168="","",IF(Recurring!$G$15="Move Before",IF(WEEKDAY($F168,2)=6,$F168-1,IF(WEEKDAY($F168,2)=7,$F168-2,$F168)),IF(Recurring!$G$15="Move After",IF(WEEKDAY($F168,2)=6,$F168+2,IF(WEEKDAY($F168,2)=7,$F168+1,$F168)),$F168)))</f>
        <v>46372</v>
      </c>
      <c r="H168" s="82" t="n">
        <f aca="false">IF($G168="",0,IF(AND($G168&gt;='Cash Flow'!$E$6,$G168&lt;'Cash Flow'!$E$6+91),1,0))</f>
        <v>0</v>
      </c>
      <c r="I168" s="82"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80" t="n">
        <f aca="false">IF($C169="","",Recurring!$D$15)</f>
        <v>171.1</v>
      </c>
      <c r="F169" s="8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1" t="n">
        <f aca="false">IF($F169="","",IF(Recurring!$G$15="Move Before",IF(WEEKDAY($F169,2)=6,$F169-1,IF(WEEKDAY($F169,2)=7,$F169-2,$F169)),IF(Recurring!$G$15="Move After",IF(WEEKDAY($F169,2)=6,$F169+2,IF(WEEKDAY($F169,2)=7,$F169+1,$F169)),$F169)))</f>
        <v>46403</v>
      </c>
      <c r="H169" s="82" t="n">
        <f aca="false">IF($G169="",0,IF(AND($G169&gt;='Cash Flow'!$E$6,$G169&lt;'Cash Flow'!$E$6+91),1,0))</f>
        <v>0</v>
      </c>
      <c r="I169" s="82"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80" t="n">
        <f aca="false">IF($C170="","",Recurring!$D$15)</f>
        <v>171.1</v>
      </c>
      <c r="F170" s="8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1" t="n">
        <f aca="false">IF($F170="","",IF(Recurring!$G$15="Move Before",IF(WEEKDAY($F170,2)=6,$F170-1,IF(WEEKDAY($F170,2)=7,$F170-2,$F170)),IF(Recurring!$G$15="Move After",IF(WEEKDAY($F170,2)=6,$F170+2,IF(WEEKDAY($F170,2)=7,$F170+1,$F170)),$F170)))</f>
        <v>46434</v>
      </c>
      <c r="H170" s="82" t="n">
        <f aca="false">IF($G170="",0,IF(AND($G170&gt;='Cash Flow'!$E$6,$G170&lt;'Cash Flow'!$E$6+91),1,0))</f>
        <v>0</v>
      </c>
      <c r="I170" s="82"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80" t="n">
        <f aca="false">IF($C171="","",Recurring!$D$15)</f>
        <v>171.1</v>
      </c>
      <c r="F171" s="8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1" t="n">
        <f aca="false">IF($F171="","",IF(Recurring!$G$15="Move Before",IF(WEEKDAY($F171,2)=6,$F171-1,IF(WEEKDAY($F171,2)=7,$F171-2,$F171)),IF(Recurring!$G$15="Move After",IF(WEEKDAY($F171,2)=6,$F171+2,IF(WEEKDAY($F171,2)=7,$F171+1,$F171)),$F171)))</f>
        <v>46462</v>
      </c>
      <c r="H171" s="82" t="n">
        <f aca="false">IF($G171="",0,IF(AND($G171&gt;='Cash Flow'!$E$6,$G171&lt;'Cash Flow'!$E$6+91),1,0))</f>
        <v>0</v>
      </c>
      <c r="I171" s="82"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80" t="n">
        <f aca="false">IF($C172="","",Recurring!$D$15)</f>
        <v>171.1</v>
      </c>
      <c r="F172" s="8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1" t="n">
        <f aca="false">IF($F172="","",IF(Recurring!$G$15="Move Before",IF(WEEKDAY($F172,2)=6,$F172-1,IF(WEEKDAY($F172,2)=7,$F172-2,$F172)),IF(Recurring!$G$15="Move After",IF(WEEKDAY($F172,2)=6,$F172+2,IF(WEEKDAY($F172,2)=7,$F172+1,$F172)),$F172)))</f>
        <v>46493</v>
      </c>
      <c r="H172" s="82" t="n">
        <f aca="false">IF($G172="",0,IF(AND($G172&gt;='Cash Flow'!$E$6,$G172&lt;'Cash Flow'!$E$6+91),1,0))</f>
        <v>0</v>
      </c>
      <c r="I172" s="82"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80" t="n">
        <f aca="false">IF($C173="","",Recurring!$D$15)</f>
        <v>171.1</v>
      </c>
      <c r="F173" s="8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1" t="n">
        <f aca="false">IF($F173="","",IF(Recurring!$G$15="Move Before",IF(WEEKDAY($F173,2)=6,$F173-1,IF(WEEKDAY($F173,2)=7,$F173-2,$F173)),IF(Recurring!$G$15="Move After",IF(WEEKDAY($F173,2)=6,$F173+2,IF(WEEKDAY($F173,2)=7,$F173+1,$F173)),$F173)))</f>
        <v>46523</v>
      </c>
      <c r="H173" s="82" t="n">
        <f aca="false">IF($G173="",0,IF(AND($G173&gt;='Cash Flow'!$E$6,$G173&lt;'Cash Flow'!$E$6+91),1,0))</f>
        <v>0</v>
      </c>
      <c r="I173" s="82"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80" t="n">
        <f aca="false">IF($C174="","",Recurring!$D$15)</f>
        <v>171.1</v>
      </c>
      <c r="F174" s="8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1" t="n">
        <f aca="false">IF($F174="","",IF(Recurring!$G$15="Move Before",IF(WEEKDAY($F174,2)=6,$F174-1,IF(WEEKDAY($F174,2)=7,$F174-2,$F174)),IF(Recurring!$G$15="Move After",IF(WEEKDAY($F174,2)=6,$F174+2,IF(WEEKDAY($F174,2)=7,$F174+1,$F174)),$F174)))</f>
        <v>46554</v>
      </c>
      <c r="H174" s="82" t="n">
        <f aca="false">IF($G174="",0,IF(AND($G174&gt;='Cash Flow'!$E$6,$G174&lt;'Cash Flow'!$E$6+91),1,0))</f>
        <v>0</v>
      </c>
      <c r="I174" s="82"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80" t="n">
        <f aca="false">IF($C175="","",Recurring!$D$15)</f>
        <v>171.1</v>
      </c>
      <c r="F175" s="8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1" t="n">
        <f aca="false">IF($F175="","",IF(Recurring!$G$15="Move Before",IF(WEEKDAY($F175,2)=6,$F175-1,IF(WEEKDAY($F175,2)=7,$F175-2,$F175)),IF(Recurring!$G$15="Move After",IF(WEEKDAY($F175,2)=6,$F175+2,IF(WEEKDAY($F175,2)=7,$F175+1,$F175)),$F175)))</f>
        <v>46584</v>
      </c>
      <c r="H175" s="82" t="n">
        <f aca="false">IF($G175="",0,IF(AND($G175&gt;='Cash Flow'!$E$6,$G175&lt;'Cash Flow'!$E$6+91),1,0))</f>
        <v>0</v>
      </c>
      <c r="I175" s="82"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80" t="n">
        <f aca="false">IF($C176="","",Recurring!$D$15)</f>
        <v>171.1</v>
      </c>
      <c r="F176" s="8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1" t="n">
        <f aca="false">IF($F176="","",IF(Recurring!$G$15="Move Before",IF(WEEKDAY($F176,2)=6,$F176-1,IF(WEEKDAY($F176,2)=7,$F176-2,$F176)),IF(Recurring!$G$15="Move After",IF(WEEKDAY($F176,2)=6,$F176+2,IF(WEEKDAY($F176,2)=7,$F176+1,$F176)),$F176)))</f>
        <v>46615</v>
      </c>
      <c r="H176" s="82" t="n">
        <f aca="false">IF($G176="",0,IF(AND($G176&gt;='Cash Flow'!$E$6,$G176&lt;'Cash Flow'!$E$6+91),1,0))</f>
        <v>0</v>
      </c>
      <c r="I176" s="82"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80" t="n">
        <f aca="false">IF($C177="","",Recurring!$D$15)</f>
        <v>171.1</v>
      </c>
      <c r="F177" s="8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1" t="n">
        <f aca="false">IF($F177="","",IF(Recurring!$G$15="Move Before",IF(WEEKDAY($F177,2)=6,$F177-1,IF(WEEKDAY($F177,2)=7,$F177-2,$F177)),IF(Recurring!$G$15="Move After",IF(WEEKDAY($F177,2)=6,$F177+2,IF(WEEKDAY($F177,2)=7,$F177+1,$F177)),$F177)))</f>
        <v>46646</v>
      </c>
      <c r="H177" s="82" t="n">
        <f aca="false">IF($G177="",0,IF(AND($G177&gt;='Cash Flow'!$E$6,$G177&lt;'Cash Flow'!$E$6+91),1,0))</f>
        <v>0</v>
      </c>
      <c r="I177" s="82"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80" t="n">
        <f aca="false">IF($C178="","",Recurring!$D$15)</f>
        <v>171.1</v>
      </c>
      <c r="F178" s="8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1" t="n">
        <f aca="false">IF($F178="","",IF(Recurring!$G$15="Move Before",IF(WEEKDAY($F178,2)=6,$F178-1,IF(WEEKDAY($F178,2)=7,$F178-2,$F178)),IF(Recurring!$G$15="Move After",IF(WEEKDAY($F178,2)=6,$F178+2,IF(WEEKDAY($F178,2)=7,$F178+1,$F178)),$F178)))</f>
        <v>46676</v>
      </c>
      <c r="H178" s="82" t="n">
        <f aca="false">IF($G178="",0,IF(AND($G178&gt;='Cash Flow'!$E$6,$G178&lt;'Cash Flow'!$E$6+91),1,0))</f>
        <v>0</v>
      </c>
      <c r="I178" s="82"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80" t="n">
        <f aca="false">IF($C179="","",Recurring!$D$15)</f>
        <v>171.1</v>
      </c>
      <c r="F179" s="8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1" t="n">
        <f aca="false">IF($F179="","",IF(Recurring!$G$15="Move Before",IF(WEEKDAY($F179,2)=6,$F179-1,IF(WEEKDAY($F179,2)=7,$F179-2,$F179)),IF(Recurring!$G$15="Move After",IF(WEEKDAY($F179,2)=6,$F179+2,IF(WEEKDAY($F179,2)=7,$F179+1,$F179)),$F179)))</f>
        <v>46707</v>
      </c>
      <c r="H179" s="82" t="n">
        <f aca="false">IF($G179="",0,IF(AND($G179&gt;='Cash Flow'!$E$6,$G179&lt;'Cash Flow'!$E$6+91),1,0))</f>
        <v>0</v>
      </c>
      <c r="I179" s="82"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80" t="n">
        <f aca="false">IF($C180="","",Recurring!$D$16)</f>
        <v>45</v>
      </c>
      <c r="F180" s="8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1" t="n">
        <f aca="false">IF($F180="","",IF(Recurring!$G$16="Move Before",IF(WEEKDAY($F180,2)=6,$F180-1,IF(WEEKDAY($F180,2)=7,$F180-2,$F180)),IF(Recurring!$G$16="Move After",IF(WEEKDAY($F180,2)=6,$F180+2,IF(WEEKDAY($F180,2)=7,$F180+1,$F180)),$F180)))</f>
        <v>46250</v>
      </c>
      <c r="H180" s="82" t="n">
        <f aca="false">IF($G180="",0,IF(AND($G180&gt;='Cash Flow'!$E$6-90,$G180&lt;'Cash Flow'!$E$6+91),1,0))</f>
        <v>1</v>
      </c>
      <c r="I180" s="82"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80" t="n">
        <f aca="false">IF($C181="","",Recurring!$D$16)</f>
        <v>45</v>
      </c>
      <c r="F181" s="8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1" t="n">
        <f aca="false">IF($F181="","",IF(Recurring!$G$16="Move Before",IF(WEEKDAY($F181,2)=6,$F181-1,IF(WEEKDAY($F181,2)=7,$F181-2,$F181)),IF(Recurring!$G$16="Move After",IF(WEEKDAY($F181,2)=6,$F181+2,IF(WEEKDAY($F181,2)=7,$F181+1,$F181)),$F181)))</f>
        <v>46281</v>
      </c>
      <c r="H181" s="82" t="n">
        <f aca="false">IF($G181="",0,IF(AND($G181&gt;='Cash Flow'!$E$6,$G181&lt;'Cash Flow'!$E$6+91),1,0))</f>
        <v>1</v>
      </c>
      <c r="I181" s="82"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80" t="n">
        <f aca="false">IF($C182="","",Recurring!$D$16)</f>
        <v>45</v>
      </c>
      <c r="F182" s="8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1" t="n">
        <f aca="false">IF($F182="","",IF(Recurring!$G$16="Move Before",IF(WEEKDAY($F182,2)=6,$F182-1,IF(WEEKDAY($F182,2)=7,$F182-2,$F182)),IF(Recurring!$G$16="Move After",IF(WEEKDAY($F182,2)=6,$F182+2,IF(WEEKDAY($F182,2)=7,$F182+1,$F182)),$F182)))</f>
        <v>46311</v>
      </c>
      <c r="H182" s="82" t="n">
        <f aca="false">IF($G182="",0,IF(AND($G182&gt;='Cash Flow'!$E$6,$G182&lt;'Cash Flow'!$E$6+91),1,0))</f>
        <v>1</v>
      </c>
      <c r="I182" s="82"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80" t="n">
        <f aca="false">IF($C183="","",Recurring!$D$16)</f>
        <v>45</v>
      </c>
      <c r="F183" s="8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1" t="n">
        <f aca="false">IF($F183="","",IF(Recurring!$G$16="Move Before",IF(WEEKDAY($F183,2)=6,$F183-1,IF(WEEKDAY($F183,2)=7,$F183-2,$F183)),IF(Recurring!$G$16="Move After",IF(WEEKDAY($F183,2)=6,$F183+2,IF(WEEKDAY($F183,2)=7,$F183+1,$F183)),$F183)))</f>
        <v>46342</v>
      </c>
      <c r="H183" s="82" t="n">
        <f aca="false">IF($G183="",0,IF(AND($G183&gt;='Cash Flow'!$E$6,$G183&lt;'Cash Flow'!$E$6+91),1,0))</f>
        <v>0</v>
      </c>
      <c r="I183" s="82"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80" t="n">
        <f aca="false">IF($C184="","",Recurring!$D$16)</f>
        <v>45</v>
      </c>
      <c r="F184" s="8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1" t="n">
        <f aca="false">IF($F184="","",IF(Recurring!$G$16="Move Before",IF(WEEKDAY($F184,2)=6,$F184-1,IF(WEEKDAY($F184,2)=7,$F184-2,$F184)),IF(Recurring!$G$16="Move After",IF(WEEKDAY($F184,2)=6,$F184+2,IF(WEEKDAY($F184,2)=7,$F184+1,$F184)),$F184)))</f>
        <v>46372</v>
      </c>
      <c r="H184" s="82" t="n">
        <f aca="false">IF($G184="",0,IF(AND($G184&gt;='Cash Flow'!$E$6,$G184&lt;'Cash Flow'!$E$6+91),1,0))</f>
        <v>0</v>
      </c>
      <c r="I184" s="82"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80" t="n">
        <f aca="false">IF($C185="","",Recurring!$D$16)</f>
        <v>45</v>
      </c>
      <c r="F185" s="8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1" t="n">
        <f aca="false">IF($F185="","",IF(Recurring!$G$16="Move Before",IF(WEEKDAY($F185,2)=6,$F185-1,IF(WEEKDAY($F185,2)=7,$F185-2,$F185)),IF(Recurring!$G$16="Move After",IF(WEEKDAY($F185,2)=6,$F185+2,IF(WEEKDAY($F185,2)=7,$F185+1,$F185)),$F185)))</f>
        <v>46403</v>
      </c>
      <c r="H185" s="82" t="n">
        <f aca="false">IF($G185="",0,IF(AND($G185&gt;='Cash Flow'!$E$6,$G185&lt;'Cash Flow'!$E$6+91),1,0))</f>
        <v>0</v>
      </c>
      <c r="I185" s="82"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80" t="n">
        <f aca="false">IF($C186="","",Recurring!$D$16)</f>
        <v>45</v>
      </c>
      <c r="F186" s="8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1" t="n">
        <f aca="false">IF($F186="","",IF(Recurring!$G$16="Move Before",IF(WEEKDAY($F186,2)=6,$F186-1,IF(WEEKDAY($F186,2)=7,$F186-2,$F186)),IF(Recurring!$G$16="Move After",IF(WEEKDAY($F186,2)=6,$F186+2,IF(WEEKDAY($F186,2)=7,$F186+1,$F186)),$F186)))</f>
        <v>46434</v>
      </c>
      <c r="H186" s="82" t="n">
        <f aca="false">IF($G186="",0,IF(AND($G186&gt;='Cash Flow'!$E$6,$G186&lt;'Cash Flow'!$E$6+91),1,0))</f>
        <v>0</v>
      </c>
      <c r="I186" s="82"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80" t="n">
        <f aca="false">IF($C187="","",Recurring!$D$16)</f>
        <v>45</v>
      </c>
      <c r="F187" s="8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1" t="n">
        <f aca="false">IF($F187="","",IF(Recurring!$G$16="Move Before",IF(WEEKDAY($F187,2)=6,$F187-1,IF(WEEKDAY($F187,2)=7,$F187-2,$F187)),IF(Recurring!$G$16="Move After",IF(WEEKDAY($F187,2)=6,$F187+2,IF(WEEKDAY($F187,2)=7,$F187+1,$F187)),$F187)))</f>
        <v>46462</v>
      </c>
      <c r="H187" s="82" t="n">
        <f aca="false">IF($G187="",0,IF(AND($G187&gt;='Cash Flow'!$E$6,$G187&lt;'Cash Flow'!$E$6+91),1,0))</f>
        <v>0</v>
      </c>
      <c r="I187" s="82"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80" t="n">
        <f aca="false">IF($C188="","",Recurring!$D$16)</f>
        <v>45</v>
      </c>
      <c r="F188" s="8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1" t="n">
        <f aca="false">IF($F188="","",IF(Recurring!$G$16="Move Before",IF(WEEKDAY($F188,2)=6,$F188-1,IF(WEEKDAY($F188,2)=7,$F188-2,$F188)),IF(Recurring!$G$16="Move After",IF(WEEKDAY($F188,2)=6,$F188+2,IF(WEEKDAY($F188,2)=7,$F188+1,$F188)),$F188)))</f>
        <v>46493</v>
      </c>
      <c r="H188" s="82" t="n">
        <f aca="false">IF($G188="",0,IF(AND($G188&gt;='Cash Flow'!$E$6,$G188&lt;'Cash Flow'!$E$6+91),1,0))</f>
        <v>0</v>
      </c>
      <c r="I188" s="82"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80" t="n">
        <f aca="false">IF($C189="","",Recurring!$D$16)</f>
        <v>45</v>
      </c>
      <c r="F189" s="8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1" t="n">
        <f aca="false">IF($F189="","",IF(Recurring!$G$16="Move Before",IF(WEEKDAY($F189,2)=6,$F189-1,IF(WEEKDAY($F189,2)=7,$F189-2,$F189)),IF(Recurring!$G$16="Move After",IF(WEEKDAY($F189,2)=6,$F189+2,IF(WEEKDAY($F189,2)=7,$F189+1,$F189)),$F189)))</f>
        <v>46523</v>
      </c>
      <c r="H189" s="82" t="n">
        <f aca="false">IF($G189="",0,IF(AND($G189&gt;='Cash Flow'!$E$6,$G189&lt;'Cash Flow'!$E$6+91),1,0))</f>
        <v>0</v>
      </c>
      <c r="I189" s="82"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80" t="n">
        <f aca="false">IF($C190="","",Recurring!$D$16)</f>
        <v>45</v>
      </c>
      <c r="F190" s="8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1" t="n">
        <f aca="false">IF($F190="","",IF(Recurring!$G$16="Move Before",IF(WEEKDAY($F190,2)=6,$F190-1,IF(WEEKDAY($F190,2)=7,$F190-2,$F190)),IF(Recurring!$G$16="Move After",IF(WEEKDAY($F190,2)=6,$F190+2,IF(WEEKDAY($F190,2)=7,$F190+1,$F190)),$F190)))</f>
        <v>46554</v>
      </c>
      <c r="H190" s="82" t="n">
        <f aca="false">IF($G190="",0,IF(AND($G190&gt;='Cash Flow'!$E$6,$G190&lt;'Cash Flow'!$E$6+91),1,0))</f>
        <v>0</v>
      </c>
      <c r="I190" s="82"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80" t="n">
        <f aca="false">IF($C191="","",Recurring!$D$16)</f>
        <v>45</v>
      </c>
      <c r="F191" s="8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1" t="n">
        <f aca="false">IF($F191="","",IF(Recurring!$G$16="Move Before",IF(WEEKDAY($F191,2)=6,$F191-1,IF(WEEKDAY($F191,2)=7,$F191-2,$F191)),IF(Recurring!$G$16="Move After",IF(WEEKDAY($F191,2)=6,$F191+2,IF(WEEKDAY($F191,2)=7,$F191+1,$F191)),$F191)))</f>
        <v>46584</v>
      </c>
      <c r="H191" s="82" t="n">
        <f aca="false">IF($G191="",0,IF(AND($G191&gt;='Cash Flow'!$E$6,$G191&lt;'Cash Flow'!$E$6+91),1,0))</f>
        <v>0</v>
      </c>
      <c r="I191" s="82"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80" t="n">
        <f aca="false">IF($C192="","",Recurring!$D$16)</f>
        <v>45</v>
      </c>
      <c r="F192" s="8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1" t="n">
        <f aca="false">IF($F192="","",IF(Recurring!$G$16="Move Before",IF(WEEKDAY($F192,2)=6,$F192-1,IF(WEEKDAY($F192,2)=7,$F192-2,$F192)),IF(Recurring!$G$16="Move After",IF(WEEKDAY($F192,2)=6,$F192+2,IF(WEEKDAY($F192,2)=7,$F192+1,$F192)),$F192)))</f>
        <v>46615</v>
      </c>
      <c r="H192" s="82" t="n">
        <f aca="false">IF($G192="",0,IF(AND($G192&gt;='Cash Flow'!$E$6,$G192&lt;'Cash Flow'!$E$6+91),1,0))</f>
        <v>0</v>
      </c>
      <c r="I192" s="82"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80" t="n">
        <f aca="false">IF($C193="","",Recurring!$D$16)</f>
        <v>45</v>
      </c>
      <c r="F193" s="8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1" t="n">
        <f aca="false">IF($F193="","",IF(Recurring!$G$16="Move Before",IF(WEEKDAY($F193,2)=6,$F193-1,IF(WEEKDAY($F193,2)=7,$F193-2,$F193)),IF(Recurring!$G$16="Move After",IF(WEEKDAY($F193,2)=6,$F193+2,IF(WEEKDAY($F193,2)=7,$F193+1,$F193)),$F193)))</f>
        <v>46646</v>
      </c>
      <c r="H193" s="82" t="n">
        <f aca="false">IF($G193="",0,IF(AND($G193&gt;='Cash Flow'!$E$6,$G193&lt;'Cash Flow'!$E$6+91),1,0))</f>
        <v>0</v>
      </c>
      <c r="I193" s="82"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80" t="n">
        <f aca="false">IF($C194="","",Recurring!$D$16)</f>
        <v>45</v>
      </c>
      <c r="F194" s="8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1" t="n">
        <f aca="false">IF($F194="","",IF(Recurring!$G$16="Move Before",IF(WEEKDAY($F194,2)=6,$F194-1,IF(WEEKDAY($F194,2)=7,$F194-2,$F194)),IF(Recurring!$G$16="Move After",IF(WEEKDAY($F194,2)=6,$F194+2,IF(WEEKDAY($F194,2)=7,$F194+1,$F194)),$F194)))</f>
        <v>46676</v>
      </c>
      <c r="H194" s="82" t="n">
        <f aca="false">IF($G194="",0,IF(AND($G194&gt;='Cash Flow'!$E$6,$G194&lt;'Cash Flow'!$E$6+91),1,0))</f>
        <v>0</v>
      </c>
      <c r="I194" s="82"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80" t="n">
        <f aca="false">IF($C195="","",Recurring!$D$16)</f>
        <v>45</v>
      </c>
      <c r="F195" s="8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1" t="n">
        <f aca="false">IF($F195="","",IF(Recurring!$G$16="Move Before",IF(WEEKDAY($F195,2)=6,$F195-1,IF(WEEKDAY($F195,2)=7,$F195-2,$F195)),IF(Recurring!$G$16="Move After",IF(WEEKDAY($F195,2)=6,$F195+2,IF(WEEKDAY($F195,2)=7,$F195+1,$F195)),$F195)))</f>
        <v>46707</v>
      </c>
      <c r="H195" s="82" t="n">
        <f aca="false">IF($G195="",0,IF(AND($G195&gt;='Cash Flow'!$E$6,$G195&lt;'Cash Flow'!$E$6+91),1,0))</f>
        <v>0</v>
      </c>
      <c r="I195" s="82"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80" t="n">
        <f aca="false">IF($C196="","",Recurring!$D$17)</f>
        <v>16.99</v>
      </c>
      <c r="F196" s="81"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1" t="n">
        <f aca="false">IF($F196="","",IF(Recurring!$G$17="Move Before",IF(WEEKDAY($F196,2)=6,$F196-1,IF(WEEKDAY($F196,2)=7,$F196-2,$F196)),IF(Recurring!$G$17="Move After",IF(WEEKDAY($F196,2)=6,$F196+2,IF(WEEKDAY($F196,2)=7,$F196+1,$F196)),$F196)))</f>
        <v>46252</v>
      </c>
      <c r="H196" s="82" t="n">
        <f aca="false">IF($G196="",0,IF(AND($G196&gt;='Cash Flow'!$E$6-90,$G196&lt;'Cash Flow'!$E$6+91),1,0))</f>
        <v>1</v>
      </c>
      <c r="I196" s="82"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80" t="n">
        <f aca="false">IF($C197="","",Recurring!$D$17)</f>
        <v>16.99</v>
      </c>
      <c r="F197" s="81"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1" t="n">
        <f aca="false">IF($F197="","",IF(Recurring!$G$17="Move Before",IF(WEEKDAY($F197,2)=6,$F197-1,IF(WEEKDAY($F197,2)=7,$F197-2,$F197)),IF(Recurring!$G$17="Move After",IF(WEEKDAY($F197,2)=6,$F197+2,IF(WEEKDAY($F197,2)=7,$F197+1,$F197)),$F197)))</f>
        <v>46283</v>
      </c>
      <c r="H197" s="82" t="n">
        <f aca="false">IF($G197="",0,IF(AND($G197&gt;='Cash Flow'!$E$6,$G197&lt;'Cash Flow'!$E$6+91),1,0))</f>
        <v>1</v>
      </c>
      <c r="I197" s="82"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80" t="n">
        <f aca="false">IF($C198="","",Recurring!$D$17)</f>
        <v>16.99</v>
      </c>
      <c r="F198" s="81"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1" t="n">
        <f aca="false">IF($F198="","",IF(Recurring!$G$17="Move Before",IF(WEEKDAY($F198,2)=6,$F198-1,IF(WEEKDAY($F198,2)=7,$F198-2,$F198)),IF(Recurring!$G$17="Move After",IF(WEEKDAY($F198,2)=6,$F198+2,IF(WEEKDAY($F198,2)=7,$F198+1,$F198)),$F198)))</f>
        <v>46313</v>
      </c>
      <c r="H198" s="82" t="n">
        <f aca="false">IF($G198="",0,IF(AND($G198&gt;='Cash Flow'!$E$6,$G198&lt;'Cash Flow'!$E$6+91),1,0))</f>
        <v>1</v>
      </c>
      <c r="I198" s="82"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80" t="n">
        <f aca="false">IF($C199="","",Recurring!$D$17)</f>
        <v>16.99</v>
      </c>
      <c r="F199" s="81"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1" t="n">
        <f aca="false">IF($F199="","",IF(Recurring!$G$17="Move Before",IF(WEEKDAY($F199,2)=6,$F199-1,IF(WEEKDAY($F199,2)=7,$F199-2,$F199)),IF(Recurring!$G$17="Move After",IF(WEEKDAY($F199,2)=6,$F199+2,IF(WEEKDAY($F199,2)=7,$F199+1,$F199)),$F199)))</f>
        <v>46344</v>
      </c>
      <c r="H199" s="82" t="n">
        <f aca="false">IF($G199="",0,IF(AND($G199&gt;='Cash Flow'!$E$6,$G199&lt;'Cash Flow'!$E$6+91),1,0))</f>
        <v>0</v>
      </c>
      <c r="I199" s="82"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80" t="n">
        <f aca="false">IF($C200="","",Recurring!$D$17)</f>
        <v>16.99</v>
      </c>
      <c r="F200" s="81"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1" t="n">
        <f aca="false">IF($F200="","",IF(Recurring!$G$17="Move Before",IF(WEEKDAY($F200,2)=6,$F200-1,IF(WEEKDAY($F200,2)=7,$F200-2,$F200)),IF(Recurring!$G$17="Move After",IF(WEEKDAY($F200,2)=6,$F200+2,IF(WEEKDAY($F200,2)=7,$F200+1,$F200)),$F200)))</f>
        <v>46374</v>
      </c>
      <c r="H200" s="82" t="n">
        <f aca="false">IF($G200="",0,IF(AND($G200&gt;='Cash Flow'!$E$6,$G200&lt;'Cash Flow'!$E$6+91),1,0))</f>
        <v>0</v>
      </c>
      <c r="I200" s="82"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80" t="n">
        <f aca="false">IF($C201="","",Recurring!$D$17)</f>
        <v>16.99</v>
      </c>
      <c r="F201" s="81"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1" t="n">
        <f aca="false">IF($F201="","",IF(Recurring!$G$17="Move Before",IF(WEEKDAY($F201,2)=6,$F201-1,IF(WEEKDAY($F201,2)=7,$F201-2,$F201)),IF(Recurring!$G$17="Move After",IF(WEEKDAY($F201,2)=6,$F201+2,IF(WEEKDAY($F201,2)=7,$F201+1,$F201)),$F201)))</f>
        <v>46405</v>
      </c>
      <c r="H201" s="82" t="n">
        <f aca="false">IF($G201="",0,IF(AND($G201&gt;='Cash Flow'!$E$6,$G201&lt;'Cash Flow'!$E$6+91),1,0))</f>
        <v>0</v>
      </c>
      <c r="I201" s="82"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80" t="n">
        <f aca="false">IF($C202="","",Recurring!$D$17)</f>
        <v>16.99</v>
      </c>
      <c r="F202" s="81"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1" t="n">
        <f aca="false">IF($F202="","",IF(Recurring!$G$17="Move Before",IF(WEEKDAY($F202,2)=6,$F202-1,IF(WEEKDAY($F202,2)=7,$F202-2,$F202)),IF(Recurring!$G$17="Move After",IF(WEEKDAY($F202,2)=6,$F202+2,IF(WEEKDAY($F202,2)=7,$F202+1,$F202)),$F202)))</f>
        <v>46436</v>
      </c>
      <c r="H202" s="82" t="n">
        <f aca="false">IF($G202="",0,IF(AND($G202&gt;='Cash Flow'!$E$6,$G202&lt;'Cash Flow'!$E$6+91),1,0))</f>
        <v>0</v>
      </c>
      <c r="I202" s="82"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80" t="n">
        <f aca="false">IF($C203="","",Recurring!$D$17)</f>
        <v>16.99</v>
      </c>
      <c r="F203" s="81"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1" t="n">
        <f aca="false">IF($F203="","",IF(Recurring!$G$17="Move Before",IF(WEEKDAY($F203,2)=6,$F203-1,IF(WEEKDAY($F203,2)=7,$F203-2,$F203)),IF(Recurring!$G$17="Move After",IF(WEEKDAY($F203,2)=6,$F203+2,IF(WEEKDAY($F203,2)=7,$F203+1,$F203)),$F203)))</f>
        <v>46464</v>
      </c>
      <c r="H203" s="82" t="n">
        <f aca="false">IF($G203="",0,IF(AND($G203&gt;='Cash Flow'!$E$6,$G203&lt;'Cash Flow'!$E$6+91),1,0))</f>
        <v>0</v>
      </c>
      <c r="I203" s="82"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80" t="n">
        <f aca="false">IF($C204="","",Recurring!$D$17)</f>
        <v>16.99</v>
      </c>
      <c r="F204" s="81"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1" t="n">
        <f aca="false">IF($F204="","",IF(Recurring!$G$17="Move Before",IF(WEEKDAY($F204,2)=6,$F204-1,IF(WEEKDAY($F204,2)=7,$F204-2,$F204)),IF(Recurring!$G$17="Move After",IF(WEEKDAY($F204,2)=6,$F204+2,IF(WEEKDAY($F204,2)=7,$F204+1,$F204)),$F204)))</f>
        <v>46495</v>
      </c>
      <c r="H204" s="82" t="n">
        <f aca="false">IF($G204="",0,IF(AND($G204&gt;='Cash Flow'!$E$6,$G204&lt;'Cash Flow'!$E$6+91),1,0))</f>
        <v>0</v>
      </c>
      <c r="I204" s="82"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80" t="n">
        <f aca="false">IF($C205="","",Recurring!$D$17)</f>
        <v>16.99</v>
      </c>
      <c r="F205" s="81"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1" t="n">
        <f aca="false">IF($F205="","",IF(Recurring!$G$17="Move Before",IF(WEEKDAY($F205,2)=6,$F205-1,IF(WEEKDAY($F205,2)=7,$F205-2,$F205)),IF(Recurring!$G$17="Move After",IF(WEEKDAY($F205,2)=6,$F205+2,IF(WEEKDAY($F205,2)=7,$F205+1,$F205)),$F205)))</f>
        <v>46525</v>
      </c>
      <c r="H205" s="82" t="n">
        <f aca="false">IF($G205="",0,IF(AND($G205&gt;='Cash Flow'!$E$6,$G205&lt;'Cash Flow'!$E$6+91),1,0))</f>
        <v>0</v>
      </c>
      <c r="I205" s="82"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80" t="n">
        <f aca="false">IF($C206="","",Recurring!$D$17)</f>
        <v>16.99</v>
      </c>
      <c r="F206" s="81"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1" t="n">
        <f aca="false">IF($F206="","",IF(Recurring!$G$17="Move Before",IF(WEEKDAY($F206,2)=6,$F206-1,IF(WEEKDAY($F206,2)=7,$F206-2,$F206)),IF(Recurring!$G$17="Move After",IF(WEEKDAY($F206,2)=6,$F206+2,IF(WEEKDAY($F206,2)=7,$F206+1,$F206)),$F206)))</f>
        <v>46556</v>
      </c>
      <c r="H206" s="82" t="n">
        <f aca="false">IF($G206="",0,IF(AND($G206&gt;='Cash Flow'!$E$6,$G206&lt;'Cash Flow'!$E$6+91),1,0))</f>
        <v>0</v>
      </c>
      <c r="I206" s="82"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80" t="n">
        <f aca="false">IF($C207="","",Recurring!$D$17)</f>
        <v>16.99</v>
      </c>
      <c r="F207" s="81"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1" t="n">
        <f aca="false">IF($F207="","",IF(Recurring!$G$17="Move Before",IF(WEEKDAY($F207,2)=6,$F207-1,IF(WEEKDAY($F207,2)=7,$F207-2,$F207)),IF(Recurring!$G$17="Move After",IF(WEEKDAY($F207,2)=6,$F207+2,IF(WEEKDAY($F207,2)=7,$F207+1,$F207)),$F207)))</f>
        <v>46586</v>
      </c>
      <c r="H207" s="82" t="n">
        <f aca="false">IF($G207="",0,IF(AND($G207&gt;='Cash Flow'!$E$6,$G207&lt;'Cash Flow'!$E$6+91),1,0))</f>
        <v>0</v>
      </c>
      <c r="I207" s="82"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80" t="n">
        <f aca="false">IF($C208="","",Recurring!$D$17)</f>
        <v>16.99</v>
      </c>
      <c r="F208" s="81"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1" t="n">
        <f aca="false">IF($F208="","",IF(Recurring!$G$17="Move Before",IF(WEEKDAY($F208,2)=6,$F208-1,IF(WEEKDAY($F208,2)=7,$F208-2,$F208)),IF(Recurring!$G$17="Move After",IF(WEEKDAY($F208,2)=6,$F208+2,IF(WEEKDAY($F208,2)=7,$F208+1,$F208)),$F208)))</f>
        <v>46617</v>
      </c>
      <c r="H208" s="82" t="n">
        <f aca="false">IF($G208="",0,IF(AND($G208&gt;='Cash Flow'!$E$6,$G208&lt;'Cash Flow'!$E$6+91),1,0))</f>
        <v>0</v>
      </c>
      <c r="I208" s="82"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80" t="n">
        <f aca="false">IF($C209="","",Recurring!$D$17)</f>
        <v>16.99</v>
      </c>
      <c r="F209" s="81"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1" t="n">
        <f aca="false">IF($F209="","",IF(Recurring!$G$17="Move Before",IF(WEEKDAY($F209,2)=6,$F209-1,IF(WEEKDAY($F209,2)=7,$F209-2,$F209)),IF(Recurring!$G$17="Move After",IF(WEEKDAY($F209,2)=6,$F209+2,IF(WEEKDAY($F209,2)=7,$F209+1,$F209)),$F209)))</f>
        <v>46648</v>
      </c>
      <c r="H209" s="82" t="n">
        <f aca="false">IF($G209="",0,IF(AND($G209&gt;='Cash Flow'!$E$6,$G209&lt;'Cash Flow'!$E$6+91),1,0))</f>
        <v>0</v>
      </c>
      <c r="I209" s="82"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80" t="n">
        <f aca="false">IF($C210="","",Recurring!$D$17)</f>
        <v>16.99</v>
      </c>
      <c r="F210" s="81"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1" t="n">
        <f aca="false">IF($F210="","",IF(Recurring!$G$17="Move Before",IF(WEEKDAY($F210,2)=6,$F210-1,IF(WEEKDAY($F210,2)=7,$F210-2,$F210)),IF(Recurring!$G$17="Move After",IF(WEEKDAY($F210,2)=6,$F210+2,IF(WEEKDAY($F210,2)=7,$F210+1,$F210)),$F210)))</f>
        <v>46678</v>
      </c>
      <c r="H210" s="82" t="n">
        <f aca="false">IF($G210="",0,IF(AND($G210&gt;='Cash Flow'!$E$6,$G210&lt;'Cash Flow'!$E$6+91),1,0))</f>
        <v>0</v>
      </c>
      <c r="I210" s="82"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80" t="n">
        <f aca="false">IF($C211="","",Recurring!$D$17)</f>
        <v>16.99</v>
      </c>
      <c r="F211" s="81"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1" t="n">
        <f aca="false">IF($F211="","",IF(Recurring!$G$17="Move Before",IF(WEEKDAY($F211,2)=6,$F211-1,IF(WEEKDAY($F211,2)=7,$F211-2,$F211)),IF(Recurring!$G$17="Move After",IF(WEEKDAY($F211,2)=6,$F211+2,IF(WEEKDAY($F211,2)=7,$F211+1,$F211)),$F211)))</f>
        <v>46709</v>
      </c>
      <c r="H211" s="82" t="n">
        <f aca="false">IF($G211="",0,IF(AND($G211&gt;='Cash Flow'!$E$6,$G211&lt;'Cash Flow'!$E$6+91),1,0))</f>
        <v>0</v>
      </c>
      <c r="I211" s="82"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80" t="n">
        <f aca="false">IF($C212="","",Recurring!$D$18)</f>
        <v>13.7</v>
      </c>
      <c r="F212" s="8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1" t="n">
        <f aca="false">IF($F212="","",IF(Recurring!$G$18="Move Before",IF(WEEKDAY($F212,2)=6,$F212-1,IF(WEEKDAY($F212,2)=7,$F212-2,$F212)),IF(Recurring!$G$18="Move After",IF(WEEKDAY($F212,2)=6,$F212+2,IF(WEEKDAY($F212,2)=7,$F212+1,$F212)),$F212)))</f>
        <v>46259</v>
      </c>
      <c r="H212" s="82" t="n">
        <f aca="false">IF($G212="",0,IF(AND($G212&gt;='Cash Flow'!$E$6-90,$G212&lt;'Cash Flow'!$E$6+91),1,0))</f>
        <v>1</v>
      </c>
      <c r="I212" s="82"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80" t="n">
        <f aca="false">IF($C213="","",Recurring!$D$18)</f>
        <v>13.7</v>
      </c>
      <c r="F213" s="8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1" t="n">
        <f aca="false">IF($F213="","",IF(Recurring!$G$18="Move Before",IF(WEEKDAY($F213,2)=6,$F213-1,IF(WEEKDAY($F213,2)=7,$F213-2,$F213)),IF(Recurring!$G$18="Move After",IF(WEEKDAY($F213,2)=6,$F213+2,IF(WEEKDAY($F213,2)=7,$F213+1,$F213)),$F213)))</f>
        <v>46290</v>
      </c>
      <c r="H213" s="82" t="n">
        <f aca="false">IF($G213="",0,IF(AND($G213&gt;='Cash Flow'!$E$6,$G213&lt;'Cash Flow'!$E$6+91),1,0))</f>
        <v>1</v>
      </c>
      <c r="I213" s="82"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80" t="n">
        <f aca="false">IF($C214="","",Recurring!$D$18)</f>
        <v>13.7</v>
      </c>
      <c r="F214" s="8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1" t="n">
        <f aca="false">IF($F214="","",IF(Recurring!$G$18="Move Before",IF(WEEKDAY($F214,2)=6,$F214-1,IF(WEEKDAY($F214,2)=7,$F214-2,$F214)),IF(Recurring!$G$18="Move After",IF(WEEKDAY($F214,2)=6,$F214+2,IF(WEEKDAY($F214,2)=7,$F214+1,$F214)),$F214)))</f>
        <v>46320</v>
      </c>
      <c r="H214" s="82" t="n">
        <f aca="false">IF($G214="",0,IF(AND($G214&gt;='Cash Flow'!$E$6,$G214&lt;'Cash Flow'!$E$6+91),1,0))</f>
        <v>1</v>
      </c>
      <c r="I214" s="82"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80" t="n">
        <f aca="false">IF($C215="","",Recurring!$D$18)</f>
        <v>13.7</v>
      </c>
      <c r="F215" s="8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1" t="n">
        <f aca="false">IF($F215="","",IF(Recurring!$G$18="Move Before",IF(WEEKDAY($F215,2)=6,$F215-1,IF(WEEKDAY($F215,2)=7,$F215-2,$F215)),IF(Recurring!$G$18="Move After",IF(WEEKDAY($F215,2)=6,$F215+2,IF(WEEKDAY($F215,2)=7,$F215+1,$F215)),$F215)))</f>
        <v>46351</v>
      </c>
      <c r="H215" s="82" t="n">
        <f aca="false">IF($G215="",0,IF(AND($G215&gt;='Cash Flow'!$E$6,$G215&lt;'Cash Flow'!$E$6+91),1,0))</f>
        <v>0</v>
      </c>
      <c r="I215" s="82"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80" t="n">
        <f aca="false">IF($C216="","",Recurring!$D$18)</f>
        <v>13.7</v>
      </c>
      <c r="F216" s="8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1" t="n">
        <f aca="false">IF($F216="","",IF(Recurring!$G$18="Move Before",IF(WEEKDAY($F216,2)=6,$F216-1,IF(WEEKDAY($F216,2)=7,$F216-2,$F216)),IF(Recurring!$G$18="Move After",IF(WEEKDAY($F216,2)=6,$F216+2,IF(WEEKDAY($F216,2)=7,$F216+1,$F216)),$F216)))</f>
        <v>46381</v>
      </c>
      <c r="H216" s="82" t="n">
        <f aca="false">IF($G216="",0,IF(AND($G216&gt;='Cash Flow'!$E$6,$G216&lt;'Cash Flow'!$E$6+91),1,0))</f>
        <v>0</v>
      </c>
      <c r="I216" s="82"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80" t="n">
        <f aca="false">IF($C217="","",Recurring!$D$18)</f>
        <v>13.7</v>
      </c>
      <c r="F217" s="8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1" t="n">
        <f aca="false">IF($F217="","",IF(Recurring!$G$18="Move Before",IF(WEEKDAY($F217,2)=6,$F217-1,IF(WEEKDAY($F217,2)=7,$F217-2,$F217)),IF(Recurring!$G$18="Move After",IF(WEEKDAY($F217,2)=6,$F217+2,IF(WEEKDAY($F217,2)=7,$F217+1,$F217)),$F217)))</f>
        <v>46412</v>
      </c>
      <c r="H217" s="82" t="n">
        <f aca="false">IF($G217="",0,IF(AND($G217&gt;='Cash Flow'!$E$6,$G217&lt;'Cash Flow'!$E$6+91),1,0))</f>
        <v>0</v>
      </c>
      <c r="I217" s="82"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80" t="n">
        <f aca="false">IF($C218="","",Recurring!$D$18)</f>
        <v>13.7</v>
      </c>
      <c r="F218" s="8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1" t="n">
        <f aca="false">IF($F218="","",IF(Recurring!$G$18="Move Before",IF(WEEKDAY($F218,2)=6,$F218-1,IF(WEEKDAY($F218,2)=7,$F218-2,$F218)),IF(Recurring!$G$18="Move After",IF(WEEKDAY($F218,2)=6,$F218+2,IF(WEEKDAY($F218,2)=7,$F218+1,$F218)),$F218)))</f>
        <v>46443</v>
      </c>
      <c r="H218" s="82" t="n">
        <f aca="false">IF($G218="",0,IF(AND($G218&gt;='Cash Flow'!$E$6,$G218&lt;'Cash Flow'!$E$6+91),1,0))</f>
        <v>0</v>
      </c>
      <c r="I218" s="82"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80" t="n">
        <f aca="false">IF($C219="","",Recurring!$D$18)</f>
        <v>13.7</v>
      </c>
      <c r="F219" s="8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1" t="n">
        <f aca="false">IF($F219="","",IF(Recurring!$G$18="Move Before",IF(WEEKDAY($F219,2)=6,$F219-1,IF(WEEKDAY($F219,2)=7,$F219-2,$F219)),IF(Recurring!$G$18="Move After",IF(WEEKDAY($F219,2)=6,$F219+2,IF(WEEKDAY($F219,2)=7,$F219+1,$F219)),$F219)))</f>
        <v>46471</v>
      </c>
      <c r="H219" s="82" t="n">
        <f aca="false">IF($G219="",0,IF(AND($G219&gt;='Cash Flow'!$E$6,$G219&lt;'Cash Flow'!$E$6+91),1,0))</f>
        <v>0</v>
      </c>
      <c r="I219" s="82"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80" t="n">
        <f aca="false">IF($C220="","",Recurring!$D$18)</f>
        <v>13.7</v>
      </c>
      <c r="F220" s="8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1" t="n">
        <f aca="false">IF($F220="","",IF(Recurring!$G$18="Move Before",IF(WEEKDAY($F220,2)=6,$F220-1,IF(WEEKDAY($F220,2)=7,$F220-2,$F220)),IF(Recurring!$G$18="Move After",IF(WEEKDAY($F220,2)=6,$F220+2,IF(WEEKDAY($F220,2)=7,$F220+1,$F220)),$F220)))</f>
        <v>46502</v>
      </c>
      <c r="H220" s="82" t="n">
        <f aca="false">IF($G220="",0,IF(AND($G220&gt;='Cash Flow'!$E$6,$G220&lt;'Cash Flow'!$E$6+91),1,0))</f>
        <v>0</v>
      </c>
      <c r="I220" s="82"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80" t="n">
        <f aca="false">IF($C221="","",Recurring!$D$18)</f>
        <v>13.7</v>
      </c>
      <c r="F221" s="8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1" t="n">
        <f aca="false">IF($F221="","",IF(Recurring!$G$18="Move Before",IF(WEEKDAY($F221,2)=6,$F221-1,IF(WEEKDAY($F221,2)=7,$F221-2,$F221)),IF(Recurring!$G$18="Move After",IF(WEEKDAY($F221,2)=6,$F221+2,IF(WEEKDAY($F221,2)=7,$F221+1,$F221)),$F221)))</f>
        <v>46532</v>
      </c>
      <c r="H221" s="82" t="n">
        <f aca="false">IF($G221="",0,IF(AND($G221&gt;='Cash Flow'!$E$6,$G221&lt;'Cash Flow'!$E$6+91),1,0))</f>
        <v>0</v>
      </c>
      <c r="I221" s="82"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80" t="n">
        <f aca="false">IF($C222="","",Recurring!$D$18)</f>
        <v>13.7</v>
      </c>
      <c r="F222" s="8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1" t="n">
        <f aca="false">IF($F222="","",IF(Recurring!$G$18="Move Before",IF(WEEKDAY($F222,2)=6,$F222-1,IF(WEEKDAY($F222,2)=7,$F222-2,$F222)),IF(Recurring!$G$18="Move After",IF(WEEKDAY($F222,2)=6,$F222+2,IF(WEEKDAY($F222,2)=7,$F222+1,$F222)),$F222)))</f>
        <v>46563</v>
      </c>
      <c r="H222" s="82" t="n">
        <f aca="false">IF($G222="",0,IF(AND($G222&gt;='Cash Flow'!$E$6,$G222&lt;'Cash Flow'!$E$6+91),1,0))</f>
        <v>0</v>
      </c>
      <c r="I222" s="82"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80" t="n">
        <f aca="false">IF($C223="","",Recurring!$D$18)</f>
        <v>13.7</v>
      </c>
      <c r="F223" s="8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1" t="n">
        <f aca="false">IF($F223="","",IF(Recurring!$G$18="Move Before",IF(WEEKDAY($F223,2)=6,$F223-1,IF(WEEKDAY($F223,2)=7,$F223-2,$F223)),IF(Recurring!$G$18="Move After",IF(WEEKDAY($F223,2)=6,$F223+2,IF(WEEKDAY($F223,2)=7,$F223+1,$F223)),$F223)))</f>
        <v>46593</v>
      </c>
      <c r="H223" s="82" t="n">
        <f aca="false">IF($G223="",0,IF(AND($G223&gt;='Cash Flow'!$E$6,$G223&lt;'Cash Flow'!$E$6+91),1,0))</f>
        <v>0</v>
      </c>
      <c r="I223" s="82"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80" t="n">
        <f aca="false">IF($C224="","",Recurring!$D$18)</f>
        <v>13.7</v>
      </c>
      <c r="F224" s="8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1" t="n">
        <f aca="false">IF($F224="","",IF(Recurring!$G$18="Move Before",IF(WEEKDAY($F224,2)=6,$F224-1,IF(WEEKDAY($F224,2)=7,$F224-2,$F224)),IF(Recurring!$G$18="Move After",IF(WEEKDAY($F224,2)=6,$F224+2,IF(WEEKDAY($F224,2)=7,$F224+1,$F224)),$F224)))</f>
        <v>46624</v>
      </c>
      <c r="H224" s="82" t="n">
        <f aca="false">IF($G224="",0,IF(AND($G224&gt;='Cash Flow'!$E$6,$G224&lt;'Cash Flow'!$E$6+91),1,0))</f>
        <v>0</v>
      </c>
      <c r="I224" s="82"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80" t="n">
        <f aca="false">IF($C225="","",Recurring!$D$18)</f>
        <v>13.7</v>
      </c>
      <c r="F225" s="8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1" t="n">
        <f aca="false">IF($F225="","",IF(Recurring!$G$18="Move Before",IF(WEEKDAY($F225,2)=6,$F225-1,IF(WEEKDAY($F225,2)=7,$F225-2,$F225)),IF(Recurring!$G$18="Move After",IF(WEEKDAY($F225,2)=6,$F225+2,IF(WEEKDAY($F225,2)=7,$F225+1,$F225)),$F225)))</f>
        <v>46655</v>
      </c>
      <c r="H225" s="82" t="n">
        <f aca="false">IF($G225="",0,IF(AND($G225&gt;='Cash Flow'!$E$6,$G225&lt;'Cash Flow'!$E$6+91),1,0))</f>
        <v>0</v>
      </c>
      <c r="I225" s="82"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80" t="n">
        <f aca="false">IF($C226="","",Recurring!$D$18)</f>
        <v>13.7</v>
      </c>
      <c r="F226" s="8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1" t="n">
        <f aca="false">IF($F226="","",IF(Recurring!$G$18="Move Before",IF(WEEKDAY($F226,2)=6,$F226-1,IF(WEEKDAY($F226,2)=7,$F226-2,$F226)),IF(Recurring!$G$18="Move After",IF(WEEKDAY($F226,2)=6,$F226+2,IF(WEEKDAY($F226,2)=7,$F226+1,$F226)),$F226)))</f>
        <v>46685</v>
      </c>
      <c r="H226" s="82" t="n">
        <f aca="false">IF($G226="",0,IF(AND($G226&gt;='Cash Flow'!$E$6,$G226&lt;'Cash Flow'!$E$6+91),1,0))</f>
        <v>0</v>
      </c>
      <c r="I226" s="82"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80" t="n">
        <f aca="false">IF($C227="","",Recurring!$D$18)</f>
        <v>13.7</v>
      </c>
      <c r="F227" s="8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1" t="n">
        <f aca="false">IF($F227="","",IF(Recurring!$G$18="Move Before",IF(WEEKDAY($F227,2)=6,$F227-1,IF(WEEKDAY($F227,2)=7,$F227-2,$F227)),IF(Recurring!$G$18="Move After",IF(WEEKDAY($F227,2)=6,$F227+2,IF(WEEKDAY($F227,2)=7,$F227+1,$F227)),$F227)))</f>
        <v>46716</v>
      </c>
      <c r="H227" s="82" t="n">
        <f aca="false">IF($G227="",0,IF(AND($G227&gt;='Cash Flow'!$E$6,$G227&lt;'Cash Flow'!$E$6+91),1,0))</f>
        <v>0</v>
      </c>
      <c r="I227" s="82"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80" t="n">
        <f aca="false">IF($C228="","",Recurring!$D$19)</f>
        <v>43.87</v>
      </c>
      <c r="F228" s="81"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1" t="n">
        <f aca="false">IF($F228="","",IF(Recurring!$G$19="Move Before",IF(WEEKDAY($F228,2)=6,$F228-1,IF(WEEKDAY($F228,2)=7,$F228-2,$F228)),IF(Recurring!$G$19="Move After",IF(WEEKDAY($F228,2)=6,$F228+2,IF(WEEKDAY($F228,2)=7,$F228+1,$F228)),$F228)))</f>
        <v>46259</v>
      </c>
      <c r="H228" s="82" t="n">
        <f aca="false">IF($G228="",0,IF(AND($G228&gt;='Cash Flow'!$E$6-90,$G228&lt;'Cash Flow'!$E$6+91),1,0))</f>
        <v>1</v>
      </c>
      <c r="I228" s="82"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80" t="n">
        <f aca="false">IF($C229="","",Recurring!$D$19)</f>
        <v>43.87</v>
      </c>
      <c r="F229" s="81"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1" t="n">
        <f aca="false">IF($F229="","",IF(Recurring!$G$19="Move Before",IF(WEEKDAY($F229,2)=6,$F229-1,IF(WEEKDAY($F229,2)=7,$F229-2,$F229)),IF(Recurring!$G$19="Move After",IF(WEEKDAY($F229,2)=6,$F229+2,IF(WEEKDAY($F229,2)=7,$F229+1,$F229)),$F229)))</f>
        <v>46290</v>
      </c>
      <c r="H229" s="82" t="n">
        <f aca="false">IF($G229="",0,IF(AND($G229&gt;='Cash Flow'!$E$6,$G229&lt;'Cash Flow'!$E$6+91),1,0))</f>
        <v>1</v>
      </c>
      <c r="I229" s="82"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80" t="n">
        <f aca="false">IF($C230="","",Recurring!$D$19)</f>
        <v>43.87</v>
      </c>
      <c r="F230" s="81"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1" t="n">
        <f aca="false">IF($F230="","",IF(Recurring!$G$19="Move Before",IF(WEEKDAY($F230,2)=6,$F230-1,IF(WEEKDAY($F230,2)=7,$F230-2,$F230)),IF(Recurring!$G$19="Move After",IF(WEEKDAY($F230,2)=6,$F230+2,IF(WEEKDAY($F230,2)=7,$F230+1,$F230)),$F230)))</f>
        <v>46320</v>
      </c>
      <c r="H230" s="82" t="n">
        <f aca="false">IF($G230="",0,IF(AND($G230&gt;='Cash Flow'!$E$6,$G230&lt;'Cash Flow'!$E$6+91),1,0))</f>
        <v>1</v>
      </c>
      <c r="I230" s="82"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80" t="n">
        <f aca="false">IF($C231="","",Recurring!$D$19)</f>
        <v>43.87</v>
      </c>
      <c r="F231" s="81"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1" t="n">
        <f aca="false">IF($F231="","",IF(Recurring!$G$19="Move Before",IF(WEEKDAY($F231,2)=6,$F231-1,IF(WEEKDAY($F231,2)=7,$F231-2,$F231)),IF(Recurring!$G$19="Move After",IF(WEEKDAY($F231,2)=6,$F231+2,IF(WEEKDAY($F231,2)=7,$F231+1,$F231)),$F231)))</f>
        <v>46351</v>
      </c>
      <c r="H231" s="82" t="n">
        <f aca="false">IF($G231="",0,IF(AND($G231&gt;='Cash Flow'!$E$6,$G231&lt;'Cash Flow'!$E$6+91),1,0))</f>
        <v>0</v>
      </c>
      <c r="I231" s="82"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80" t="n">
        <f aca="false">IF($C232="","",Recurring!$D$19)</f>
        <v>43.87</v>
      </c>
      <c r="F232" s="81"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1" t="n">
        <f aca="false">IF($F232="","",IF(Recurring!$G$19="Move Before",IF(WEEKDAY($F232,2)=6,$F232-1,IF(WEEKDAY($F232,2)=7,$F232-2,$F232)),IF(Recurring!$G$19="Move After",IF(WEEKDAY($F232,2)=6,$F232+2,IF(WEEKDAY($F232,2)=7,$F232+1,$F232)),$F232)))</f>
        <v>46381</v>
      </c>
      <c r="H232" s="82" t="n">
        <f aca="false">IF($G232="",0,IF(AND($G232&gt;='Cash Flow'!$E$6,$G232&lt;'Cash Flow'!$E$6+91),1,0))</f>
        <v>0</v>
      </c>
      <c r="I232" s="82"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80" t="n">
        <f aca="false">IF($C233="","",Recurring!$D$19)</f>
        <v>43.87</v>
      </c>
      <c r="F233" s="81"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1" t="n">
        <f aca="false">IF($F233="","",IF(Recurring!$G$19="Move Before",IF(WEEKDAY($F233,2)=6,$F233-1,IF(WEEKDAY($F233,2)=7,$F233-2,$F233)),IF(Recurring!$G$19="Move After",IF(WEEKDAY($F233,2)=6,$F233+2,IF(WEEKDAY($F233,2)=7,$F233+1,$F233)),$F233)))</f>
        <v>46412</v>
      </c>
      <c r="H233" s="82" t="n">
        <f aca="false">IF($G233="",0,IF(AND($G233&gt;='Cash Flow'!$E$6,$G233&lt;'Cash Flow'!$E$6+91),1,0))</f>
        <v>0</v>
      </c>
      <c r="I233" s="82"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80" t="n">
        <f aca="false">IF($C234="","",Recurring!$D$19)</f>
        <v>43.87</v>
      </c>
      <c r="F234" s="81"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1" t="n">
        <f aca="false">IF($F234="","",IF(Recurring!$G$19="Move Before",IF(WEEKDAY($F234,2)=6,$F234-1,IF(WEEKDAY($F234,2)=7,$F234-2,$F234)),IF(Recurring!$G$19="Move After",IF(WEEKDAY($F234,2)=6,$F234+2,IF(WEEKDAY($F234,2)=7,$F234+1,$F234)),$F234)))</f>
        <v>46443</v>
      </c>
      <c r="H234" s="82" t="n">
        <f aca="false">IF($G234="",0,IF(AND($G234&gt;='Cash Flow'!$E$6,$G234&lt;'Cash Flow'!$E$6+91),1,0))</f>
        <v>0</v>
      </c>
      <c r="I234" s="82"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80" t="n">
        <f aca="false">IF($C235="","",Recurring!$D$19)</f>
        <v>43.87</v>
      </c>
      <c r="F235" s="81"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1" t="n">
        <f aca="false">IF($F235="","",IF(Recurring!$G$19="Move Before",IF(WEEKDAY($F235,2)=6,$F235-1,IF(WEEKDAY($F235,2)=7,$F235-2,$F235)),IF(Recurring!$G$19="Move After",IF(WEEKDAY($F235,2)=6,$F235+2,IF(WEEKDAY($F235,2)=7,$F235+1,$F235)),$F235)))</f>
        <v>46471</v>
      </c>
      <c r="H235" s="82" t="n">
        <f aca="false">IF($G235="",0,IF(AND($G235&gt;='Cash Flow'!$E$6,$G235&lt;'Cash Flow'!$E$6+91),1,0))</f>
        <v>0</v>
      </c>
      <c r="I235" s="82"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80" t="n">
        <f aca="false">IF($C236="","",Recurring!$D$19)</f>
        <v>43.87</v>
      </c>
      <c r="F236" s="81"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1" t="n">
        <f aca="false">IF($F236="","",IF(Recurring!$G$19="Move Before",IF(WEEKDAY($F236,2)=6,$F236-1,IF(WEEKDAY($F236,2)=7,$F236-2,$F236)),IF(Recurring!$G$19="Move After",IF(WEEKDAY($F236,2)=6,$F236+2,IF(WEEKDAY($F236,2)=7,$F236+1,$F236)),$F236)))</f>
        <v>46502</v>
      </c>
      <c r="H236" s="82" t="n">
        <f aca="false">IF($G236="",0,IF(AND($G236&gt;='Cash Flow'!$E$6,$G236&lt;'Cash Flow'!$E$6+91),1,0))</f>
        <v>0</v>
      </c>
      <c r="I236" s="82"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80" t="n">
        <f aca="false">IF($C237="","",Recurring!$D$19)</f>
        <v>43.87</v>
      </c>
      <c r="F237" s="81"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1" t="n">
        <f aca="false">IF($F237="","",IF(Recurring!$G$19="Move Before",IF(WEEKDAY($F237,2)=6,$F237-1,IF(WEEKDAY($F237,2)=7,$F237-2,$F237)),IF(Recurring!$G$19="Move After",IF(WEEKDAY($F237,2)=6,$F237+2,IF(WEEKDAY($F237,2)=7,$F237+1,$F237)),$F237)))</f>
        <v>46532</v>
      </c>
      <c r="H237" s="82" t="n">
        <f aca="false">IF($G237="",0,IF(AND($G237&gt;='Cash Flow'!$E$6,$G237&lt;'Cash Flow'!$E$6+91),1,0))</f>
        <v>0</v>
      </c>
      <c r="I237" s="82"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80" t="n">
        <f aca="false">IF($C238="","",Recurring!$D$19)</f>
        <v>43.87</v>
      </c>
      <c r="F238" s="81"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1" t="n">
        <f aca="false">IF($F238="","",IF(Recurring!$G$19="Move Before",IF(WEEKDAY($F238,2)=6,$F238-1,IF(WEEKDAY($F238,2)=7,$F238-2,$F238)),IF(Recurring!$G$19="Move After",IF(WEEKDAY($F238,2)=6,$F238+2,IF(WEEKDAY($F238,2)=7,$F238+1,$F238)),$F238)))</f>
        <v>46563</v>
      </c>
      <c r="H238" s="82" t="n">
        <f aca="false">IF($G238="",0,IF(AND($G238&gt;='Cash Flow'!$E$6,$G238&lt;'Cash Flow'!$E$6+91),1,0))</f>
        <v>0</v>
      </c>
      <c r="I238" s="82"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80" t="n">
        <f aca="false">IF($C239="","",Recurring!$D$19)</f>
        <v>43.87</v>
      </c>
      <c r="F239" s="81"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1" t="n">
        <f aca="false">IF($F239="","",IF(Recurring!$G$19="Move Before",IF(WEEKDAY($F239,2)=6,$F239-1,IF(WEEKDAY($F239,2)=7,$F239-2,$F239)),IF(Recurring!$G$19="Move After",IF(WEEKDAY($F239,2)=6,$F239+2,IF(WEEKDAY($F239,2)=7,$F239+1,$F239)),$F239)))</f>
        <v>46593</v>
      </c>
      <c r="H239" s="82" t="n">
        <f aca="false">IF($G239="",0,IF(AND($G239&gt;='Cash Flow'!$E$6,$G239&lt;'Cash Flow'!$E$6+91),1,0))</f>
        <v>0</v>
      </c>
      <c r="I239" s="82"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80" t="n">
        <f aca="false">IF($C240="","",Recurring!$D$19)</f>
        <v>43.87</v>
      </c>
      <c r="F240" s="81"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1" t="n">
        <f aca="false">IF($F240="","",IF(Recurring!$G$19="Move Before",IF(WEEKDAY($F240,2)=6,$F240-1,IF(WEEKDAY($F240,2)=7,$F240-2,$F240)),IF(Recurring!$G$19="Move After",IF(WEEKDAY($F240,2)=6,$F240+2,IF(WEEKDAY($F240,2)=7,$F240+1,$F240)),$F240)))</f>
        <v>46624</v>
      </c>
      <c r="H240" s="82" t="n">
        <f aca="false">IF($G240="",0,IF(AND($G240&gt;='Cash Flow'!$E$6,$G240&lt;'Cash Flow'!$E$6+91),1,0))</f>
        <v>0</v>
      </c>
      <c r="I240" s="82"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80" t="n">
        <f aca="false">IF($C241="","",Recurring!$D$19)</f>
        <v>43.87</v>
      </c>
      <c r="F241" s="81"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1" t="n">
        <f aca="false">IF($F241="","",IF(Recurring!$G$19="Move Before",IF(WEEKDAY($F241,2)=6,$F241-1,IF(WEEKDAY($F241,2)=7,$F241-2,$F241)),IF(Recurring!$G$19="Move After",IF(WEEKDAY($F241,2)=6,$F241+2,IF(WEEKDAY($F241,2)=7,$F241+1,$F241)),$F241)))</f>
        <v>46655</v>
      </c>
      <c r="H241" s="82" t="n">
        <f aca="false">IF($G241="",0,IF(AND($G241&gt;='Cash Flow'!$E$6,$G241&lt;'Cash Flow'!$E$6+91),1,0))</f>
        <v>0</v>
      </c>
      <c r="I241" s="82"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80" t="n">
        <f aca="false">IF($C242="","",Recurring!$D$19)</f>
        <v>43.87</v>
      </c>
      <c r="F242" s="81"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1" t="n">
        <f aca="false">IF($F242="","",IF(Recurring!$G$19="Move Before",IF(WEEKDAY($F242,2)=6,$F242-1,IF(WEEKDAY($F242,2)=7,$F242-2,$F242)),IF(Recurring!$G$19="Move After",IF(WEEKDAY($F242,2)=6,$F242+2,IF(WEEKDAY($F242,2)=7,$F242+1,$F242)),$F242)))</f>
        <v>46685</v>
      </c>
      <c r="H242" s="82" t="n">
        <f aca="false">IF($G242="",0,IF(AND($G242&gt;='Cash Flow'!$E$6,$G242&lt;'Cash Flow'!$E$6+91),1,0))</f>
        <v>0</v>
      </c>
      <c r="I242" s="82"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80" t="n">
        <f aca="false">IF($C243="","",Recurring!$D$19)</f>
        <v>43.87</v>
      </c>
      <c r="F243" s="81"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1" t="n">
        <f aca="false">IF($F243="","",IF(Recurring!$G$19="Move Before",IF(WEEKDAY($F243,2)=6,$F243-1,IF(WEEKDAY($F243,2)=7,$F243-2,$F243)),IF(Recurring!$G$19="Move After",IF(WEEKDAY($F243,2)=6,$F243+2,IF(WEEKDAY($F243,2)=7,$F243+1,$F243)),$F243)))</f>
        <v>46716</v>
      </c>
      <c r="H243" s="82" t="n">
        <f aca="false">IF($G243="",0,IF(AND($G243&gt;='Cash Flow'!$E$6,$G243&lt;'Cash Flow'!$E$6+91),1,0))</f>
        <v>0</v>
      </c>
      <c r="I243" s="82"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80" t="n">
        <f aca="false">IF($C244="","",Recurring!$D$20)</f>
        <v>150</v>
      </c>
      <c r="F244" s="8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1" t="n">
        <f aca="false">IF($F244="","",IF(Recurring!$G$20="Move Before",IF(WEEKDAY($F244,2)=6,$F244-1,IF(WEEKDAY($F244,2)=7,$F244-2,$F244)),IF(Recurring!$G$20="Move After",IF(WEEKDAY($F244,2)=6,$F244+2,IF(WEEKDAY($F244,2)=7,$F244+1,$F244)),$F244)))</f>
        <v>46264</v>
      </c>
      <c r="H244" s="82" t="n">
        <f aca="false">IF($G244="",0,IF(AND($G244&gt;='Cash Flow'!$E$6-90,$G244&lt;'Cash Flow'!$E$6+91),1,0))</f>
        <v>1</v>
      </c>
      <c r="I244" s="82"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80" t="n">
        <f aca="false">IF($C245="","",Recurring!$D$20)</f>
        <v>150</v>
      </c>
      <c r="F245" s="8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1" t="n">
        <f aca="false">IF($F245="","",IF(Recurring!$G$20="Move Before",IF(WEEKDAY($F245,2)=6,$F245-1,IF(WEEKDAY($F245,2)=7,$F245-2,$F245)),IF(Recurring!$G$20="Move After",IF(WEEKDAY($F245,2)=6,$F245+2,IF(WEEKDAY($F245,2)=7,$F245+1,$F245)),$F245)))</f>
        <v>46295</v>
      </c>
      <c r="H245" s="82" t="n">
        <f aca="false">IF($G245="",0,IF(AND($G245&gt;='Cash Flow'!$E$6,$G245&lt;'Cash Flow'!$E$6+91),1,0))</f>
        <v>1</v>
      </c>
      <c r="I245" s="82"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80" t="n">
        <f aca="false">IF($C246="","",Recurring!$D$20)</f>
        <v>150</v>
      </c>
      <c r="F246" s="8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1" t="n">
        <f aca="false">IF($F246="","",IF(Recurring!$G$20="Move Before",IF(WEEKDAY($F246,2)=6,$F246-1,IF(WEEKDAY($F246,2)=7,$F246-2,$F246)),IF(Recurring!$G$20="Move After",IF(WEEKDAY($F246,2)=6,$F246+2,IF(WEEKDAY($F246,2)=7,$F246+1,$F246)),$F246)))</f>
        <v>46325</v>
      </c>
      <c r="H246" s="82" t="n">
        <f aca="false">IF($G246="",0,IF(AND($G246&gt;='Cash Flow'!$E$6,$G246&lt;'Cash Flow'!$E$6+91),1,0))</f>
        <v>1</v>
      </c>
      <c r="I246" s="82"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80" t="n">
        <f aca="false">IF($C247="","",Recurring!$D$20)</f>
        <v>150</v>
      </c>
      <c r="F247" s="8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1" t="n">
        <f aca="false">IF($F247="","",IF(Recurring!$G$20="Move Before",IF(WEEKDAY($F247,2)=6,$F247-1,IF(WEEKDAY($F247,2)=7,$F247-2,$F247)),IF(Recurring!$G$20="Move After",IF(WEEKDAY($F247,2)=6,$F247+2,IF(WEEKDAY($F247,2)=7,$F247+1,$F247)),$F247)))</f>
        <v>46356</v>
      </c>
      <c r="H247" s="82" t="n">
        <f aca="false">IF($G247="",0,IF(AND($G247&gt;='Cash Flow'!$E$6,$G247&lt;'Cash Flow'!$E$6+91),1,0))</f>
        <v>0</v>
      </c>
      <c r="I247" s="82"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80" t="n">
        <f aca="false">IF($C248="","",Recurring!$D$20)</f>
        <v>150</v>
      </c>
      <c r="F248" s="8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1" t="n">
        <f aca="false">IF($F248="","",IF(Recurring!$G$20="Move Before",IF(WEEKDAY($F248,2)=6,$F248-1,IF(WEEKDAY($F248,2)=7,$F248-2,$F248)),IF(Recurring!$G$20="Move After",IF(WEEKDAY($F248,2)=6,$F248+2,IF(WEEKDAY($F248,2)=7,$F248+1,$F248)),$F248)))</f>
        <v>46386</v>
      </c>
      <c r="H248" s="82" t="n">
        <f aca="false">IF($G248="",0,IF(AND($G248&gt;='Cash Flow'!$E$6,$G248&lt;'Cash Flow'!$E$6+91),1,0))</f>
        <v>0</v>
      </c>
      <c r="I248" s="82"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80" t="n">
        <f aca="false">IF($C249="","",Recurring!$D$20)</f>
        <v>150</v>
      </c>
      <c r="F249" s="8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1" t="n">
        <f aca="false">IF($F249="","",IF(Recurring!$G$20="Move Before",IF(WEEKDAY($F249,2)=6,$F249-1,IF(WEEKDAY($F249,2)=7,$F249-2,$F249)),IF(Recurring!$G$20="Move After",IF(WEEKDAY($F249,2)=6,$F249+2,IF(WEEKDAY($F249,2)=7,$F249+1,$F249)),$F249)))</f>
        <v>46417</v>
      </c>
      <c r="H249" s="82" t="n">
        <f aca="false">IF($G249="",0,IF(AND($G249&gt;='Cash Flow'!$E$6,$G249&lt;'Cash Flow'!$E$6+91),1,0))</f>
        <v>0</v>
      </c>
      <c r="I249" s="82"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80" t="n">
        <f aca="false">IF($C250="","",Recurring!$D$20)</f>
        <v>150</v>
      </c>
      <c r="F250" s="8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1" t="n">
        <f aca="false">IF($F250="","",IF(Recurring!$G$20="Move Before",IF(WEEKDAY($F250,2)=6,$F250-1,IF(WEEKDAY($F250,2)=7,$F250-2,$F250)),IF(Recurring!$G$20="Move After",IF(WEEKDAY($F250,2)=6,$F250+2,IF(WEEKDAY($F250,2)=7,$F250+1,$F250)),$F250)))</f>
        <v>46446</v>
      </c>
      <c r="H250" s="82" t="n">
        <f aca="false">IF($G250="",0,IF(AND($G250&gt;='Cash Flow'!$E$6,$G250&lt;'Cash Flow'!$E$6+91),1,0))</f>
        <v>0</v>
      </c>
      <c r="I250" s="82"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80" t="n">
        <f aca="false">IF($C251="","",Recurring!$D$20)</f>
        <v>150</v>
      </c>
      <c r="F251" s="8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1" t="n">
        <f aca="false">IF($F251="","",IF(Recurring!$G$20="Move Before",IF(WEEKDAY($F251,2)=6,$F251-1,IF(WEEKDAY($F251,2)=7,$F251-2,$F251)),IF(Recurring!$G$20="Move After",IF(WEEKDAY($F251,2)=6,$F251+2,IF(WEEKDAY($F251,2)=7,$F251+1,$F251)),$F251)))</f>
        <v>46476</v>
      </c>
      <c r="H251" s="82" t="n">
        <f aca="false">IF($G251="",0,IF(AND($G251&gt;='Cash Flow'!$E$6,$G251&lt;'Cash Flow'!$E$6+91),1,0))</f>
        <v>0</v>
      </c>
      <c r="I251" s="82"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80" t="n">
        <f aca="false">IF($C252="","",Recurring!$D$20)</f>
        <v>150</v>
      </c>
      <c r="F252" s="8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1" t="n">
        <f aca="false">IF($F252="","",IF(Recurring!$G$20="Move Before",IF(WEEKDAY($F252,2)=6,$F252-1,IF(WEEKDAY($F252,2)=7,$F252-2,$F252)),IF(Recurring!$G$20="Move After",IF(WEEKDAY($F252,2)=6,$F252+2,IF(WEEKDAY($F252,2)=7,$F252+1,$F252)),$F252)))</f>
        <v>46507</v>
      </c>
      <c r="H252" s="82" t="n">
        <f aca="false">IF($G252="",0,IF(AND($G252&gt;='Cash Flow'!$E$6,$G252&lt;'Cash Flow'!$E$6+91),1,0))</f>
        <v>0</v>
      </c>
      <c r="I252" s="82"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80" t="n">
        <f aca="false">IF($C253="","",Recurring!$D$20)</f>
        <v>150</v>
      </c>
      <c r="F253" s="8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1" t="n">
        <f aca="false">IF($F253="","",IF(Recurring!$G$20="Move Before",IF(WEEKDAY($F253,2)=6,$F253-1,IF(WEEKDAY($F253,2)=7,$F253-2,$F253)),IF(Recurring!$G$20="Move After",IF(WEEKDAY($F253,2)=6,$F253+2,IF(WEEKDAY($F253,2)=7,$F253+1,$F253)),$F253)))</f>
        <v>46537</v>
      </c>
      <c r="H253" s="82" t="n">
        <f aca="false">IF($G253="",0,IF(AND($G253&gt;='Cash Flow'!$E$6,$G253&lt;'Cash Flow'!$E$6+91),1,0))</f>
        <v>0</v>
      </c>
      <c r="I253" s="82"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80" t="n">
        <f aca="false">IF($C254="","",Recurring!$D$20)</f>
        <v>150</v>
      </c>
      <c r="F254" s="8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1" t="n">
        <f aca="false">IF($F254="","",IF(Recurring!$G$20="Move Before",IF(WEEKDAY($F254,2)=6,$F254-1,IF(WEEKDAY($F254,2)=7,$F254-2,$F254)),IF(Recurring!$G$20="Move After",IF(WEEKDAY($F254,2)=6,$F254+2,IF(WEEKDAY($F254,2)=7,$F254+1,$F254)),$F254)))</f>
        <v>46568</v>
      </c>
      <c r="H254" s="82" t="n">
        <f aca="false">IF($G254="",0,IF(AND($G254&gt;='Cash Flow'!$E$6,$G254&lt;'Cash Flow'!$E$6+91),1,0))</f>
        <v>0</v>
      </c>
      <c r="I254" s="82"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80" t="n">
        <f aca="false">IF($C255="","",Recurring!$D$20)</f>
        <v>150</v>
      </c>
      <c r="F255" s="8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1" t="n">
        <f aca="false">IF($F255="","",IF(Recurring!$G$20="Move Before",IF(WEEKDAY($F255,2)=6,$F255-1,IF(WEEKDAY($F255,2)=7,$F255-2,$F255)),IF(Recurring!$G$20="Move After",IF(WEEKDAY($F255,2)=6,$F255+2,IF(WEEKDAY($F255,2)=7,$F255+1,$F255)),$F255)))</f>
        <v>46598</v>
      </c>
      <c r="H255" s="82" t="n">
        <f aca="false">IF($G255="",0,IF(AND($G255&gt;='Cash Flow'!$E$6,$G255&lt;'Cash Flow'!$E$6+91),1,0))</f>
        <v>0</v>
      </c>
      <c r="I255" s="82"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80" t="n">
        <f aca="false">IF($C256="","",Recurring!$D$20)</f>
        <v>150</v>
      </c>
      <c r="F256" s="8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1" t="n">
        <f aca="false">IF($F256="","",IF(Recurring!$G$20="Move Before",IF(WEEKDAY($F256,2)=6,$F256-1,IF(WEEKDAY($F256,2)=7,$F256-2,$F256)),IF(Recurring!$G$20="Move After",IF(WEEKDAY($F256,2)=6,$F256+2,IF(WEEKDAY($F256,2)=7,$F256+1,$F256)),$F256)))</f>
        <v>46629</v>
      </c>
      <c r="H256" s="82" t="n">
        <f aca="false">IF($G256="",0,IF(AND($G256&gt;='Cash Flow'!$E$6,$G256&lt;'Cash Flow'!$E$6+91),1,0))</f>
        <v>0</v>
      </c>
      <c r="I256" s="82"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80" t="n">
        <f aca="false">IF($C257="","",Recurring!$D$20)</f>
        <v>150</v>
      </c>
      <c r="F257" s="8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1" t="n">
        <f aca="false">IF($F257="","",IF(Recurring!$G$20="Move Before",IF(WEEKDAY($F257,2)=6,$F257-1,IF(WEEKDAY($F257,2)=7,$F257-2,$F257)),IF(Recurring!$G$20="Move After",IF(WEEKDAY($F257,2)=6,$F257+2,IF(WEEKDAY($F257,2)=7,$F257+1,$F257)),$F257)))</f>
        <v>46660</v>
      </c>
      <c r="H257" s="82" t="n">
        <f aca="false">IF($G257="",0,IF(AND($G257&gt;='Cash Flow'!$E$6,$G257&lt;'Cash Flow'!$E$6+91),1,0))</f>
        <v>0</v>
      </c>
      <c r="I257" s="82"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80" t="n">
        <f aca="false">IF($C258="","",Recurring!$D$20)</f>
        <v>150</v>
      </c>
      <c r="F258" s="8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1" t="n">
        <f aca="false">IF($F258="","",IF(Recurring!$G$20="Move Before",IF(WEEKDAY($F258,2)=6,$F258-1,IF(WEEKDAY($F258,2)=7,$F258-2,$F258)),IF(Recurring!$G$20="Move After",IF(WEEKDAY($F258,2)=6,$F258+2,IF(WEEKDAY($F258,2)=7,$F258+1,$F258)),$F258)))</f>
        <v>46690</v>
      </c>
      <c r="H258" s="82" t="n">
        <f aca="false">IF($G258="",0,IF(AND($G258&gt;='Cash Flow'!$E$6,$G258&lt;'Cash Flow'!$E$6+91),1,0))</f>
        <v>0</v>
      </c>
      <c r="I258" s="82"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80" t="n">
        <f aca="false">IF($C259="","",Recurring!$D$20)</f>
        <v>150</v>
      </c>
      <c r="F259" s="8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1" t="n">
        <f aca="false">IF($F259="","",IF(Recurring!$G$20="Move Before",IF(WEEKDAY($F259,2)=6,$F259-1,IF(WEEKDAY($F259,2)=7,$F259-2,$F259)),IF(Recurring!$G$20="Move After",IF(WEEKDAY($F259,2)=6,$F259+2,IF(WEEKDAY($F259,2)=7,$F259+1,$F259)),$F259)))</f>
        <v>46721</v>
      </c>
      <c r="H259" s="82" t="n">
        <f aca="false">IF($G259="",0,IF(AND($G259&gt;='Cash Flow'!$E$6,$G259&lt;'Cash Flow'!$E$6+91),1,0))</f>
        <v>0</v>
      </c>
      <c r="I259" s="82"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80" t="n">
        <f aca="false">IF($C260="","",Recurring!$D$21)</f>
        <v>143.37</v>
      </c>
      <c r="F260" s="8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1" t="n">
        <f aca="false">IF($F260="","",IF(Recurring!$G$21="Move Before",IF(WEEKDAY($F260,2)=6,$F260-1,IF(WEEKDAY($F260,2)=7,$F260-2,$F260)),IF(Recurring!$G$21="Move After",IF(WEEKDAY($F260,2)=6,$F260+2,IF(WEEKDAY($F260,2)=7,$F260+1,$F260)),$F260)))</f>
        <v>46265</v>
      </c>
      <c r="H260" s="82" t="n">
        <f aca="false">IF($G260="",0,IF(AND($G260&gt;='Cash Flow'!$E$6-90,$G260&lt;'Cash Flow'!$E$6+91),1,0))</f>
        <v>1</v>
      </c>
      <c r="I260" s="82"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80" t="n">
        <f aca="false">IF($C261="","",Recurring!$D$21)</f>
        <v>143.37</v>
      </c>
      <c r="F261" s="8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1" t="n">
        <f aca="false">IF($F261="","",IF(Recurring!$G$21="Move Before",IF(WEEKDAY($F261,2)=6,$F261-1,IF(WEEKDAY($F261,2)=7,$F261-2,$F261)),IF(Recurring!$G$21="Move After",IF(WEEKDAY($F261,2)=6,$F261+2,IF(WEEKDAY($F261,2)=7,$F261+1,$F261)),$F261)))</f>
        <v>46295</v>
      </c>
      <c r="H261" s="82" t="n">
        <f aca="false">IF($G261="",0,IF(AND($G261&gt;='Cash Flow'!$E$6,$G261&lt;'Cash Flow'!$E$6+91),1,0))</f>
        <v>1</v>
      </c>
      <c r="I261" s="82"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80" t="n">
        <f aca="false">IF($C262="","",Recurring!$D$21)</f>
        <v>143.37</v>
      </c>
      <c r="F262" s="8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1" t="n">
        <f aca="false">IF($F262="","",IF(Recurring!$G$21="Move Before",IF(WEEKDAY($F262,2)=6,$F262-1,IF(WEEKDAY($F262,2)=7,$F262-2,$F262)),IF(Recurring!$G$21="Move After",IF(WEEKDAY($F262,2)=6,$F262+2,IF(WEEKDAY($F262,2)=7,$F262+1,$F262)),$F262)))</f>
        <v>46326</v>
      </c>
      <c r="H262" s="82" t="n">
        <f aca="false">IF($G262="",0,IF(AND($G262&gt;='Cash Flow'!$E$6,$G262&lt;'Cash Flow'!$E$6+91),1,0))</f>
        <v>1</v>
      </c>
      <c r="I262" s="82"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80" t="n">
        <f aca="false">IF($C263="","",Recurring!$D$21)</f>
        <v>143.37</v>
      </c>
      <c r="F263" s="8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1" t="n">
        <f aca="false">IF($F263="","",IF(Recurring!$G$21="Move Before",IF(WEEKDAY($F263,2)=6,$F263-1,IF(WEEKDAY($F263,2)=7,$F263-2,$F263)),IF(Recurring!$G$21="Move After",IF(WEEKDAY($F263,2)=6,$F263+2,IF(WEEKDAY($F263,2)=7,$F263+1,$F263)),$F263)))</f>
        <v>46356</v>
      </c>
      <c r="H263" s="82" t="n">
        <f aca="false">IF($G263="",0,IF(AND($G263&gt;='Cash Flow'!$E$6,$G263&lt;'Cash Flow'!$E$6+91),1,0))</f>
        <v>0</v>
      </c>
      <c r="I263" s="82"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80" t="n">
        <f aca="false">IF($C264="","",Recurring!$D$21)</f>
        <v>143.37</v>
      </c>
      <c r="F264" s="8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1" t="n">
        <f aca="false">IF($F264="","",IF(Recurring!$G$21="Move Before",IF(WEEKDAY($F264,2)=6,$F264-1,IF(WEEKDAY($F264,2)=7,$F264-2,$F264)),IF(Recurring!$G$21="Move After",IF(WEEKDAY($F264,2)=6,$F264+2,IF(WEEKDAY($F264,2)=7,$F264+1,$F264)),$F264)))</f>
        <v>46387</v>
      </c>
      <c r="H264" s="82" t="n">
        <f aca="false">IF($G264="",0,IF(AND($G264&gt;='Cash Flow'!$E$6,$G264&lt;'Cash Flow'!$E$6+91),1,0))</f>
        <v>0</v>
      </c>
      <c r="I264" s="82"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80" t="n">
        <f aca="false">IF($C265="","",Recurring!$D$21)</f>
        <v>143.37</v>
      </c>
      <c r="F265" s="8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1" t="n">
        <f aca="false">IF($F265="","",IF(Recurring!$G$21="Move Before",IF(WEEKDAY($F265,2)=6,$F265-1,IF(WEEKDAY($F265,2)=7,$F265-2,$F265)),IF(Recurring!$G$21="Move After",IF(WEEKDAY($F265,2)=6,$F265+2,IF(WEEKDAY($F265,2)=7,$F265+1,$F265)),$F265)))</f>
        <v>46418</v>
      </c>
      <c r="H265" s="82" t="n">
        <f aca="false">IF($G265="",0,IF(AND($G265&gt;='Cash Flow'!$E$6,$G265&lt;'Cash Flow'!$E$6+91),1,0))</f>
        <v>0</v>
      </c>
      <c r="I265" s="82"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80" t="n">
        <f aca="false">IF($C266="","",Recurring!$D$21)</f>
        <v>143.37</v>
      </c>
      <c r="F266" s="8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1" t="n">
        <f aca="false">IF($F266="","",IF(Recurring!$G$21="Move Before",IF(WEEKDAY($F266,2)=6,$F266-1,IF(WEEKDAY($F266,2)=7,$F266-2,$F266)),IF(Recurring!$G$21="Move After",IF(WEEKDAY($F266,2)=6,$F266+2,IF(WEEKDAY($F266,2)=7,$F266+1,$F266)),$F266)))</f>
        <v>46446</v>
      </c>
      <c r="H266" s="82" t="n">
        <f aca="false">IF($G266="",0,IF(AND($G266&gt;='Cash Flow'!$E$6,$G266&lt;'Cash Flow'!$E$6+91),1,0))</f>
        <v>0</v>
      </c>
      <c r="I266" s="82"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80" t="n">
        <f aca="false">IF($C267="","",Recurring!$D$21)</f>
        <v>143.37</v>
      </c>
      <c r="F267" s="8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1" t="n">
        <f aca="false">IF($F267="","",IF(Recurring!$G$21="Move Before",IF(WEEKDAY($F267,2)=6,$F267-1,IF(WEEKDAY($F267,2)=7,$F267-2,$F267)),IF(Recurring!$G$21="Move After",IF(WEEKDAY($F267,2)=6,$F267+2,IF(WEEKDAY($F267,2)=7,$F267+1,$F267)),$F267)))</f>
        <v>46477</v>
      </c>
      <c r="H267" s="82" t="n">
        <f aca="false">IF($G267="",0,IF(AND($G267&gt;='Cash Flow'!$E$6,$G267&lt;'Cash Flow'!$E$6+91),1,0))</f>
        <v>0</v>
      </c>
      <c r="I267" s="82"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80" t="n">
        <f aca="false">IF($C268="","",Recurring!$D$21)</f>
        <v>143.37</v>
      </c>
      <c r="F268" s="8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1" t="n">
        <f aca="false">IF($F268="","",IF(Recurring!$G$21="Move Before",IF(WEEKDAY($F268,2)=6,$F268-1,IF(WEEKDAY($F268,2)=7,$F268-2,$F268)),IF(Recurring!$G$21="Move After",IF(WEEKDAY($F268,2)=6,$F268+2,IF(WEEKDAY($F268,2)=7,$F268+1,$F268)),$F268)))</f>
        <v>46507</v>
      </c>
      <c r="H268" s="82" t="n">
        <f aca="false">IF($G268="",0,IF(AND($G268&gt;='Cash Flow'!$E$6,$G268&lt;'Cash Flow'!$E$6+91),1,0))</f>
        <v>0</v>
      </c>
      <c r="I268" s="82"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80" t="n">
        <f aca="false">IF($C269="","",Recurring!$D$21)</f>
        <v>143.37</v>
      </c>
      <c r="F269" s="8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1" t="n">
        <f aca="false">IF($F269="","",IF(Recurring!$G$21="Move Before",IF(WEEKDAY($F269,2)=6,$F269-1,IF(WEEKDAY($F269,2)=7,$F269-2,$F269)),IF(Recurring!$G$21="Move After",IF(WEEKDAY($F269,2)=6,$F269+2,IF(WEEKDAY($F269,2)=7,$F269+1,$F269)),$F269)))</f>
        <v>46538</v>
      </c>
      <c r="H269" s="82" t="n">
        <f aca="false">IF($G269="",0,IF(AND($G269&gt;='Cash Flow'!$E$6,$G269&lt;'Cash Flow'!$E$6+91),1,0))</f>
        <v>0</v>
      </c>
      <c r="I269" s="82"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80" t="n">
        <f aca="false">IF($C270="","",Recurring!$D$21)</f>
        <v>143.37</v>
      </c>
      <c r="F270" s="8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1" t="n">
        <f aca="false">IF($F270="","",IF(Recurring!$G$21="Move Before",IF(WEEKDAY($F270,2)=6,$F270-1,IF(WEEKDAY($F270,2)=7,$F270-2,$F270)),IF(Recurring!$G$21="Move After",IF(WEEKDAY($F270,2)=6,$F270+2,IF(WEEKDAY($F270,2)=7,$F270+1,$F270)),$F270)))</f>
        <v>46568</v>
      </c>
      <c r="H270" s="82" t="n">
        <f aca="false">IF($G270="",0,IF(AND($G270&gt;='Cash Flow'!$E$6,$G270&lt;'Cash Flow'!$E$6+91),1,0))</f>
        <v>0</v>
      </c>
      <c r="I270" s="82"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80" t="n">
        <f aca="false">IF($C271="","",Recurring!$D$21)</f>
        <v>143.37</v>
      </c>
      <c r="F271" s="8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1" t="n">
        <f aca="false">IF($F271="","",IF(Recurring!$G$21="Move Before",IF(WEEKDAY($F271,2)=6,$F271-1,IF(WEEKDAY($F271,2)=7,$F271-2,$F271)),IF(Recurring!$G$21="Move After",IF(WEEKDAY($F271,2)=6,$F271+2,IF(WEEKDAY($F271,2)=7,$F271+1,$F271)),$F271)))</f>
        <v>46599</v>
      </c>
      <c r="H271" s="82" t="n">
        <f aca="false">IF($G271="",0,IF(AND($G271&gt;='Cash Flow'!$E$6,$G271&lt;'Cash Flow'!$E$6+91),1,0))</f>
        <v>0</v>
      </c>
      <c r="I271" s="82"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80" t="n">
        <f aca="false">IF($C272="","",Recurring!$D$21)</f>
        <v>143.37</v>
      </c>
      <c r="F272" s="8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1" t="n">
        <f aca="false">IF($F272="","",IF(Recurring!$G$21="Move Before",IF(WEEKDAY($F272,2)=6,$F272-1,IF(WEEKDAY($F272,2)=7,$F272-2,$F272)),IF(Recurring!$G$21="Move After",IF(WEEKDAY($F272,2)=6,$F272+2,IF(WEEKDAY($F272,2)=7,$F272+1,$F272)),$F272)))</f>
        <v>46630</v>
      </c>
      <c r="H272" s="82" t="n">
        <f aca="false">IF($G272="",0,IF(AND($G272&gt;='Cash Flow'!$E$6,$G272&lt;'Cash Flow'!$E$6+91),1,0))</f>
        <v>0</v>
      </c>
      <c r="I272" s="82"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80" t="n">
        <f aca="false">IF($C273="","",Recurring!$D$21)</f>
        <v>143.37</v>
      </c>
      <c r="F273" s="8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1" t="n">
        <f aca="false">IF($F273="","",IF(Recurring!$G$21="Move Before",IF(WEEKDAY($F273,2)=6,$F273-1,IF(WEEKDAY($F273,2)=7,$F273-2,$F273)),IF(Recurring!$G$21="Move After",IF(WEEKDAY($F273,2)=6,$F273+2,IF(WEEKDAY($F273,2)=7,$F273+1,$F273)),$F273)))</f>
        <v>46660</v>
      </c>
      <c r="H273" s="82" t="n">
        <f aca="false">IF($G273="",0,IF(AND($G273&gt;='Cash Flow'!$E$6,$G273&lt;'Cash Flow'!$E$6+91),1,0))</f>
        <v>0</v>
      </c>
      <c r="I273" s="82"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80" t="n">
        <f aca="false">IF($C274="","",Recurring!$D$21)</f>
        <v>143.37</v>
      </c>
      <c r="F274" s="8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1" t="n">
        <f aca="false">IF($F274="","",IF(Recurring!$G$21="Move Before",IF(WEEKDAY($F274,2)=6,$F274-1,IF(WEEKDAY($F274,2)=7,$F274-2,$F274)),IF(Recurring!$G$21="Move After",IF(WEEKDAY($F274,2)=6,$F274+2,IF(WEEKDAY($F274,2)=7,$F274+1,$F274)),$F274)))</f>
        <v>46691</v>
      </c>
      <c r="H274" s="82" t="n">
        <f aca="false">IF($G274="",0,IF(AND($G274&gt;='Cash Flow'!$E$6,$G274&lt;'Cash Flow'!$E$6+91),1,0))</f>
        <v>0</v>
      </c>
      <c r="I274" s="82"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80" t="n">
        <f aca="false">IF($C275="","",Recurring!$D$21)</f>
        <v>143.37</v>
      </c>
      <c r="F275" s="8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1" t="n">
        <f aca="false">IF($F275="","",IF(Recurring!$G$21="Move Before",IF(WEEKDAY($F275,2)=6,$F275-1,IF(WEEKDAY($F275,2)=7,$F275-2,$F275)),IF(Recurring!$G$21="Move After",IF(WEEKDAY($F275,2)=6,$F275+2,IF(WEEKDAY($F275,2)=7,$F275+1,$F275)),$F275)))</f>
        <v>46721</v>
      </c>
      <c r="H275" s="82" t="n">
        <f aca="false">IF($G275="",0,IF(AND($G275&gt;='Cash Flow'!$E$6,$G275&lt;'Cash Flow'!$E$6+91),1,0))</f>
        <v>0</v>
      </c>
      <c r="I275" s="82"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80" t="str">
        <f aca="false">IF($C276="","",Recurring!$D$22)</f>
        <v/>
      </c>
      <c r="F276" s="81"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1" t="str">
        <f aca="false">IF($F276="","",IF(Recurring!$G$22="Move Before",IF(WEEKDAY($F276,2)=6,$F276-1,IF(WEEKDAY($F276,2)=7,$F276-2,$F276)),IF(Recurring!$G$22="Move After",IF(WEEKDAY($F276,2)=6,$F276+2,IF(WEEKDAY($F276,2)=7,$F276+1,$F276)),$F276)))</f>
        <v/>
      </c>
      <c r="H276" s="82" t="n">
        <f aca="false">IF($G276="",0,IF(AND($G276&gt;='Cash Flow'!$E$6-90,$G276&lt;'Cash Flow'!$E$6+91),1,0))</f>
        <v>0</v>
      </c>
      <c r="I276" s="82"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80" t="str">
        <f aca="false">IF($C277="","",Recurring!$D$22)</f>
        <v/>
      </c>
      <c r="F277" s="8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1" t="str">
        <f aca="false">IF($F277="","",IF(Recurring!$G$22="Move Before",IF(WEEKDAY($F277,2)=6,$F277-1,IF(WEEKDAY($F277,2)=7,$F277-2,$F277)),IF(Recurring!$G$22="Move After",IF(WEEKDAY($F277,2)=6,$F277+2,IF(WEEKDAY($F277,2)=7,$F277+1,$F277)),$F277)))</f>
        <v/>
      </c>
      <c r="H277" s="82" t="n">
        <f aca="false">IF($G277="",0,IF(AND($G277&gt;='Cash Flow'!$E$6,$G277&lt;'Cash Flow'!$E$6+91),1,0))</f>
        <v>0</v>
      </c>
      <c r="I277" s="82"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80" t="str">
        <f aca="false">IF($C278="","",Recurring!$D$22)</f>
        <v/>
      </c>
      <c r="F278" s="8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1" t="str">
        <f aca="false">IF($F278="","",IF(Recurring!$G$22="Move Before",IF(WEEKDAY($F278,2)=6,$F278-1,IF(WEEKDAY($F278,2)=7,$F278-2,$F278)),IF(Recurring!$G$22="Move After",IF(WEEKDAY($F278,2)=6,$F278+2,IF(WEEKDAY($F278,2)=7,$F278+1,$F278)),$F278)))</f>
        <v/>
      </c>
      <c r="H278" s="82" t="n">
        <f aca="false">IF($G278="",0,IF(AND($G278&gt;='Cash Flow'!$E$6,$G278&lt;'Cash Flow'!$E$6+91),1,0))</f>
        <v>0</v>
      </c>
      <c r="I278" s="82"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80" t="str">
        <f aca="false">IF($C279="","",Recurring!$D$22)</f>
        <v/>
      </c>
      <c r="F279" s="8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1" t="str">
        <f aca="false">IF($F279="","",IF(Recurring!$G$22="Move Before",IF(WEEKDAY($F279,2)=6,$F279-1,IF(WEEKDAY($F279,2)=7,$F279-2,$F279)),IF(Recurring!$G$22="Move After",IF(WEEKDAY($F279,2)=6,$F279+2,IF(WEEKDAY($F279,2)=7,$F279+1,$F279)),$F279)))</f>
        <v/>
      </c>
      <c r="H279" s="82" t="n">
        <f aca="false">IF($G279="",0,IF(AND($G279&gt;='Cash Flow'!$E$6,$G279&lt;'Cash Flow'!$E$6+91),1,0))</f>
        <v>0</v>
      </c>
      <c r="I279" s="82"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80" t="str">
        <f aca="false">IF($C280="","",Recurring!$D$22)</f>
        <v/>
      </c>
      <c r="F280" s="8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1" t="str">
        <f aca="false">IF($F280="","",IF(Recurring!$G$22="Move Before",IF(WEEKDAY($F280,2)=6,$F280-1,IF(WEEKDAY($F280,2)=7,$F280-2,$F280)),IF(Recurring!$G$22="Move After",IF(WEEKDAY($F280,2)=6,$F280+2,IF(WEEKDAY($F280,2)=7,$F280+1,$F280)),$F280)))</f>
        <v/>
      </c>
      <c r="H280" s="82" t="n">
        <f aca="false">IF($G280="",0,IF(AND($G280&gt;='Cash Flow'!$E$6,$G280&lt;'Cash Flow'!$E$6+91),1,0))</f>
        <v>0</v>
      </c>
      <c r="I280" s="82"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80" t="str">
        <f aca="false">IF($C281="","",Recurring!$D$22)</f>
        <v/>
      </c>
      <c r="F281" s="8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1" t="str">
        <f aca="false">IF($F281="","",IF(Recurring!$G$22="Move Before",IF(WEEKDAY($F281,2)=6,$F281-1,IF(WEEKDAY($F281,2)=7,$F281-2,$F281)),IF(Recurring!$G$22="Move After",IF(WEEKDAY($F281,2)=6,$F281+2,IF(WEEKDAY($F281,2)=7,$F281+1,$F281)),$F281)))</f>
        <v/>
      </c>
      <c r="H281" s="82" t="n">
        <f aca="false">IF($G281="",0,IF(AND($G281&gt;='Cash Flow'!$E$6,$G281&lt;'Cash Flow'!$E$6+91),1,0))</f>
        <v>0</v>
      </c>
      <c r="I281" s="82"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80" t="str">
        <f aca="false">IF($C282="","",Recurring!$D$22)</f>
        <v/>
      </c>
      <c r="F282" s="8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1" t="str">
        <f aca="false">IF($F282="","",IF(Recurring!$G$22="Move Before",IF(WEEKDAY($F282,2)=6,$F282-1,IF(WEEKDAY($F282,2)=7,$F282-2,$F282)),IF(Recurring!$G$22="Move After",IF(WEEKDAY($F282,2)=6,$F282+2,IF(WEEKDAY($F282,2)=7,$F282+1,$F282)),$F282)))</f>
        <v/>
      </c>
      <c r="H282" s="82" t="n">
        <f aca="false">IF($G282="",0,IF(AND($G282&gt;='Cash Flow'!$E$6,$G282&lt;'Cash Flow'!$E$6+91),1,0))</f>
        <v>0</v>
      </c>
      <c r="I282" s="82"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80" t="str">
        <f aca="false">IF($C283="","",Recurring!$D$22)</f>
        <v/>
      </c>
      <c r="F283" s="8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1" t="str">
        <f aca="false">IF($F283="","",IF(Recurring!$G$22="Move Before",IF(WEEKDAY($F283,2)=6,$F283-1,IF(WEEKDAY($F283,2)=7,$F283-2,$F283)),IF(Recurring!$G$22="Move After",IF(WEEKDAY($F283,2)=6,$F283+2,IF(WEEKDAY($F283,2)=7,$F283+1,$F283)),$F283)))</f>
        <v/>
      </c>
      <c r="H283" s="82" t="n">
        <f aca="false">IF($G283="",0,IF(AND($G283&gt;='Cash Flow'!$E$6,$G283&lt;'Cash Flow'!$E$6+91),1,0))</f>
        <v>0</v>
      </c>
      <c r="I283" s="82"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80" t="str">
        <f aca="false">IF($C284="","",Recurring!$D$22)</f>
        <v/>
      </c>
      <c r="F284" s="8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1" t="str">
        <f aca="false">IF($F284="","",IF(Recurring!$G$22="Move Before",IF(WEEKDAY($F284,2)=6,$F284-1,IF(WEEKDAY($F284,2)=7,$F284-2,$F284)),IF(Recurring!$G$22="Move After",IF(WEEKDAY($F284,2)=6,$F284+2,IF(WEEKDAY($F284,2)=7,$F284+1,$F284)),$F284)))</f>
        <v/>
      </c>
      <c r="H284" s="82" t="n">
        <f aca="false">IF($G284="",0,IF(AND($G284&gt;='Cash Flow'!$E$6,$G284&lt;'Cash Flow'!$E$6+91),1,0))</f>
        <v>0</v>
      </c>
      <c r="I284" s="82"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80" t="str">
        <f aca="false">IF($C285="","",Recurring!$D$22)</f>
        <v/>
      </c>
      <c r="F285" s="8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1" t="str">
        <f aca="false">IF($F285="","",IF(Recurring!$G$22="Move Before",IF(WEEKDAY($F285,2)=6,$F285-1,IF(WEEKDAY($F285,2)=7,$F285-2,$F285)),IF(Recurring!$G$22="Move After",IF(WEEKDAY($F285,2)=6,$F285+2,IF(WEEKDAY($F285,2)=7,$F285+1,$F285)),$F285)))</f>
        <v/>
      </c>
      <c r="H285" s="82" t="n">
        <f aca="false">IF($G285="",0,IF(AND($G285&gt;='Cash Flow'!$E$6,$G285&lt;'Cash Flow'!$E$6+91),1,0))</f>
        <v>0</v>
      </c>
      <c r="I285" s="82"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80" t="str">
        <f aca="false">IF($C286="","",Recurring!$D$22)</f>
        <v/>
      </c>
      <c r="F286" s="8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1" t="str">
        <f aca="false">IF($F286="","",IF(Recurring!$G$22="Move Before",IF(WEEKDAY($F286,2)=6,$F286-1,IF(WEEKDAY($F286,2)=7,$F286-2,$F286)),IF(Recurring!$G$22="Move After",IF(WEEKDAY($F286,2)=6,$F286+2,IF(WEEKDAY($F286,2)=7,$F286+1,$F286)),$F286)))</f>
        <v/>
      </c>
      <c r="H286" s="82" t="n">
        <f aca="false">IF($G286="",0,IF(AND($G286&gt;='Cash Flow'!$E$6,$G286&lt;'Cash Flow'!$E$6+91),1,0))</f>
        <v>0</v>
      </c>
      <c r="I286" s="82"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80" t="str">
        <f aca="false">IF($C287="","",Recurring!$D$22)</f>
        <v/>
      </c>
      <c r="F287" s="8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1" t="str">
        <f aca="false">IF($F287="","",IF(Recurring!$G$22="Move Before",IF(WEEKDAY($F287,2)=6,$F287-1,IF(WEEKDAY($F287,2)=7,$F287-2,$F287)),IF(Recurring!$G$22="Move After",IF(WEEKDAY($F287,2)=6,$F287+2,IF(WEEKDAY($F287,2)=7,$F287+1,$F287)),$F287)))</f>
        <v/>
      </c>
      <c r="H287" s="82" t="n">
        <f aca="false">IF($G287="",0,IF(AND($G287&gt;='Cash Flow'!$E$6,$G287&lt;'Cash Flow'!$E$6+91),1,0))</f>
        <v>0</v>
      </c>
      <c r="I287" s="82"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80" t="str">
        <f aca="false">IF($C288="","",Recurring!$D$22)</f>
        <v/>
      </c>
      <c r="F288" s="8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1" t="str">
        <f aca="false">IF($F288="","",IF(Recurring!$G$22="Move Before",IF(WEEKDAY($F288,2)=6,$F288-1,IF(WEEKDAY($F288,2)=7,$F288-2,$F288)),IF(Recurring!$G$22="Move After",IF(WEEKDAY($F288,2)=6,$F288+2,IF(WEEKDAY($F288,2)=7,$F288+1,$F288)),$F288)))</f>
        <v/>
      </c>
      <c r="H288" s="82" t="n">
        <f aca="false">IF($G288="",0,IF(AND($G288&gt;='Cash Flow'!$E$6,$G288&lt;'Cash Flow'!$E$6+91),1,0))</f>
        <v>0</v>
      </c>
      <c r="I288" s="82"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80" t="str">
        <f aca="false">IF($C289="","",Recurring!$D$22)</f>
        <v/>
      </c>
      <c r="F289" s="8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1" t="str">
        <f aca="false">IF($F289="","",IF(Recurring!$G$22="Move Before",IF(WEEKDAY($F289,2)=6,$F289-1,IF(WEEKDAY($F289,2)=7,$F289-2,$F289)),IF(Recurring!$G$22="Move After",IF(WEEKDAY($F289,2)=6,$F289+2,IF(WEEKDAY($F289,2)=7,$F289+1,$F289)),$F289)))</f>
        <v/>
      </c>
      <c r="H289" s="82" t="n">
        <f aca="false">IF($G289="",0,IF(AND($G289&gt;='Cash Flow'!$E$6,$G289&lt;'Cash Flow'!$E$6+91),1,0))</f>
        <v>0</v>
      </c>
      <c r="I289" s="82"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80" t="str">
        <f aca="false">IF($C290="","",Recurring!$D$22)</f>
        <v/>
      </c>
      <c r="F290" s="8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1" t="str">
        <f aca="false">IF($F290="","",IF(Recurring!$G$22="Move Before",IF(WEEKDAY($F290,2)=6,$F290-1,IF(WEEKDAY($F290,2)=7,$F290-2,$F290)),IF(Recurring!$G$22="Move After",IF(WEEKDAY($F290,2)=6,$F290+2,IF(WEEKDAY($F290,2)=7,$F290+1,$F290)),$F290)))</f>
        <v/>
      </c>
      <c r="H290" s="82" t="n">
        <f aca="false">IF($G290="",0,IF(AND($G290&gt;='Cash Flow'!$E$6,$G290&lt;'Cash Flow'!$E$6+91),1,0))</f>
        <v>0</v>
      </c>
      <c r="I290" s="82"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80" t="str">
        <f aca="false">IF($C291="","",Recurring!$D$22)</f>
        <v/>
      </c>
      <c r="F291" s="8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1" t="str">
        <f aca="false">IF($F291="","",IF(Recurring!$G$22="Move Before",IF(WEEKDAY($F291,2)=6,$F291-1,IF(WEEKDAY($F291,2)=7,$F291-2,$F291)),IF(Recurring!$G$22="Move After",IF(WEEKDAY($F291,2)=6,$F291+2,IF(WEEKDAY($F291,2)=7,$F291+1,$F291)),$F291)))</f>
        <v/>
      </c>
      <c r="H291" s="82" t="n">
        <f aca="false">IF($G291="",0,IF(AND($G291&gt;='Cash Flow'!$E$6,$G291&lt;'Cash Flow'!$E$6+91),1,0))</f>
        <v>0</v>
      </c>
      <c r="I291" s="82"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80" t="str">
        <f aca="false">IF($C292="","",Recurring!$D$23)</f>
        <v/>
      </c>
      <c r="F292" s="81"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1" t="str">
        <f aca="false">IF($F292="","",IF(Recurring!$G$23="Move Before",IF(WEEKDAY($F292,2)=6,$F292-1,IF(WEEKDAY($F292,2)=7,$F292-2,$F292)),IF(Recurring!$G$23="Move After",IF(WEEKDAY($F292,2)=6,$F292+2,IF(WEEKDAY($F292,2)=7,$F292+1,$F292)),$F292)))</f>
        <v/>
      </c>
      <c r="H292" s="82" t="n">
        <f aca="false">IF($G292="",0,IF(AND($G292&gt;='Cash Flow'!$E$6-90,$G292&lt;'Cash Flow'!$E$6+91),1,0))</f>
        <v>0</v>
      </c>
      <c r="I292" s="82"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80" t="str">
        <f aca="false">IF($C293="","",Recurring!$D$23)</f>
        <v/>
      </c>
      <c r="F293" s="8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1" t="str">
        <f aca="false">IF($F293="","",IF(Recurring!$G$23="Move Before",IF(WEEKDAY($F293,2)=6,$F293-1,IF(WEEKDAY($F293,2)=7,$F293-2,$F293)),IF(Recurring!$G$23="Move After",IF(WEEKDAY($F293,2)=6,$F293+2,IF(WEEKDAY($F293,2)=7,$F293+1,$F293)),$F293)))</f>
        <v/>
      </c>
      <c r="H293" s="82" t="n">
        <f aca="false">IF($G293="",0,IF(AND($G293&gt;='Cash Flow'!$E$6,$G293&lt;'Cash Flow'!$E$6+91),1,0))</f>
        <v>0</v>
      </c>
      <c r="I293" s="82"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80" t="str">
        <f aca="false">IF($C294="","",Recurring!$D$23)</f>
        <v/>
      </c>
      <c r="F294" s="8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1" t="str">
        <f aca="false">IF($F294="","",IF(Recurring!$G$23="Move Before",IF(WEEKDAY($F294,2)=6,$F294-1,IF(WEEKDAY($F294,2)=7,$F294-2,$F294)),IF(Recurring!$G$23="Move After",IF(WEEKDAY($F294,2)=6,$F294+2,IF(WEEKDAY($F294,2)=7,$F294+1,$F294)),$F294)))</f>
        <v/>
      </c>
      <c r="H294" s="82" t="n">
        <f aca="false">IF($G294="",0,IF(AND($G294&gt;='Cash Flow'!$E$6,$G294&lt;'Cash Flow'!$E$6+91),1,0))</f>
        <v>0</v>
      </c>
      <c r="I294" s="82"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80" t="str">
        <f aca="false">IF($C295="","",Recurring!$D$23)</f>
        <v/>
      </c>
      <c r="F295" s="8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1" t="str">
        <f aca="false">IF($F295="","",IF(Recurring!$G$23="Move Before",IF(WEEKDAY($F295,2)=6,$F295-1,IF(WEEKDAY($F295,2)=7,$F295-2,$F295)),IF(Recurring!$G$23="Move After",IF(WEEKDAY($F295,2)=6,$F295+2,IF(WEEKDAY($F295,2)=7,$F295+1,$F295)),$F295)))</f>
        <v/>
      </c>
      <c r="H295" s="82" t="n">
        <f aca="false">IF($G295="",0,IF(AND($G295&gt;='Cash Flow'!$E$6,$G295&lt;'Cash Flow'!$E$6+91),1,0))</f>
        <v>0</v>
      </c>
      <c r="I295" s="82"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80" t="str">
        <f aca="false">IF($C296="","",Recurring!$D$23)</f>
        <v/>
      </c>
      <c r="F296" s="8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1" t="str">
        <f aca="false">IF($F296="","",IF(Recurring!$G$23="Move Before",IF(WEEKDAY($F296,2)=6,$F296-1,IF(WEEKDAY($F296,2)=7,$F296-2,$F296)),IF(Recurring!$G$23="Move After",IF(WEEKDAY($F296,2)=6,$F296+2,IF(WEEKDAY($F296,2)=7,$F296+1,$F296)),$F296)))</f>
        <v/>
      </c>
      <c r="H296" s="82" t="n">
        <f aca="false">IF($G296="",0,IF(AND($G296&gt;='Cash Flow'!$E$6,$G296&lt;'Cash Flow'!$E$6+91),1,0))</f>
        <v>0</v>
      </c>
      <c r="I296" s="82"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80" t="str">
        <f aca="false">IF($C297="","",Recurring!$D$23)</f>
        <v/>
      </c>
      <c r="F297" s="8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1" t="str">
        <f aca="false">IF($F297="","",IF(Recurring!$G$23="Move Before",IF(WEEKDAY($F297,2)=6,$F297-1,IF(WEEKDAY($F297,2)=7,$F297-2,$F297)),IF(Recurring!$G$23="Move After",IF(WEEKDAY($F297,2)=6,$F297+2,IF(WEEKDAY($F297,2)=7,$F297+1,$F297)),$F297)))</f>
        <v/>
      </c>
      <c r="H297" s="82" t="n">
        <f aca="false">IF($G297="",0,IF(AND($G297&gt;='Cash Flow'!$E$6,$G297&lt;'Cash Flow'!$E$6+91),1,0))</f>
        <v>0</v>
      </c>
      <c r="I297" s="82"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80" t="str">
        <f aca="false">IF($C298="","",Recurring!$D$23)</f>
        <v/>
      </c>
      <c r="F298" s="8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1" t="str">
        <f aca="false">IF($F298="","",IF(Recurring!$G$23="Move Before",IF(WEEKDAY($F298,2)=6,$F298-1,IF(WEEKDAY($F298,2)=7,$F298-2,$F298)),IF(Recurring!$G$23="Move After",IF(WEEKDAY($F298,2)=6,$F298+2,IF(WEEKDAY($F298,2)=7,$F298+1,$F298)),$F298)))</f>
        <v/>
      </c>
      <c r="H298" s="82" t="n">
        <f aca="false">IF($G298="",0,IF(AND($G298&gt;='Cash Flow'!$E$6,$G298&lt;'Cash Flow'!$E$6+91),1,0))</f>
        <v>0</v>
      </c>
      <c r="I298" s="82"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80" t="str">
        <f aca="false">IF($C299="","",Recurring!$D$23)</f>
        <v/>
      </c>
      <c r="F299" s="8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1" t="str">
        <f aca="false">IF($F299="","",IF(Recurring!$G$23="Move Before",IF(WEEKDAY($F299,2)=6,$F299-1,IF(WEEKDAY($F299,2)=7,$F299-2,$F299)),IF(Recurring!$G$23="Move After",IF(WEEKDAY($F299,2)=6,$F299+2,IF(WEEKDAY($F299,2)=7,$F299+1,$F299)),$F299)))</f>
        <v/>
      </c>
      <c r="H299" s="82" t="n">
        <f aca="false">IF($G299="",0,IF(AND($G299&gt;='Cash Flow'!$E$6,$G299&lt;'Cash Flow'!$E$6+91),1,0))</f>
        <v>0</v>
      </c>
      <c r="I299" s="82"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80" t="str">
        <f aca="false">IF($C300="","",Recurring!$D$23)</f>
        <v/>
      </c>
      <c r="F300" s="8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1" t="str">
        <f aca="false">IF($F300="","",IF(Recurring!$G$23="Move Before",IF(WEEKDAY($F300,2)=6,$F300-1,IF(WEEKDAY($F300,2)=7,$F300-2,$F300)),IF(Recurring!$G$23="Move After",IF(WEEKDAY($F300,2)=6,$F300+2,IF(WEEKDAY($F300,2)=7,$F300+1,$F300)),$F300)))</f>
        <v/>
      </c>
      <c r="H300" s="82" t="n">
        <f aca="false">IF($G300="",0,IF(AND($G300&gt;='Cash Flow'!$E$6,$G300&lt;'Cash Flow'!$E$6+91),1,0))</f>
        <v>0</v>
      </c>
      <c r="I300" s="82"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80" t="str">
        <f aca="false">IF($C301="","",Recurring!$D$23)</f>
        <v/>
      </c>
      <c r="F301" s="8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1" t="str">
        <f aca="false">IF($F301="","",IF(Recurring!$G$23="Move Before",IF(WEEKDAY($F301,2)=6,$F301-1,IF(WEEKDAY($F301,2)=7,$F301-2,$F301)),IF(Recurring!$G$23="Move After",IF(WEEKDAY($F301,2)=6,$F301+2,IF(WEEKDAY($F301,2)=7,$F301+1,$F301)),$F301)))</f>
        <v/>
      </c>
      <c r="H301" s="82" t="n">
        <f aca="false">IF($G301="",0,IF(AND($G301&gt;='Cash Flow'!$E$6,$G301&lt;'Cash Flow'!$E$6+91),1,0))</f>
        <v>0</v>
      </c>
      <c r="I301" s="82"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80" t="str">
        <f aca="false">IF($C302="","",Recurring!$D$23)</f>
        <v/>
      </c>
      <c r="F302" s="8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1" t="str">
        <f aca="false">IF($F302="","",IF(Recurring!$G$23="Move Before",IF(WEEKDAY($F302,2)=6,$F302-1,IF(WEEKDAY($F302,2)=7,$F302-2,$F302)),IF(Recurring!$G$23="Move After",IF(WEEKDAY($F302,2)=6,$F302+2,IF(WEEKDAY($F302,2)=7,$F302+1,$F302)),$F302)))</f>
        <v/>
      </c>
      <c r="H302" s="82" t="n">
        <f aca="false">IF($G302="",0,IF(AND($G302&gt;='Cash Flow'!$E$6,$G302&lt;'Cash Flow'!$E$6+91),1,0))</f>
        <v>0</v>
      </c>
      <c r="I302" s="82"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80" t="str">
        <f aca="false">IF($C303="","",Recurring!$D$23)</f>
        <v/>
      </c>
      <c r="F303" s="8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1" t="str">
        <f aca="false">IF($F303="","",IF(Recurring!$G$23="Move Before",IF(WEEKDAY($F303,2)=6,$F303-1,IF(WEEKDAY($F303,2)=7,$F303-2,$F303)),IF(Recurring!$G$23="Move After",IF(WEEKDAY($F303,2)=6,$F303+2,IF(WEEKDAY($F303,2)=7,$F303+1,$F303)),$F303)))</f>
        <v/>
      </c>
      <c r="H303" s="82" t="n">
        <f aca="false">IF($G303="",0,IF(AND($G303&gt;='Cash Flow'!$E$6,$G303&lt;'Cash Flow'!$E$6+91),1,0))</f>
        <v>0</v>
      </c>
      <c r="I303" s="82"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80" t="str">
        <f aca="false">IF($C304="","",Recurring!$D$23)</f>
        <v/>
      </c>
      <c r="F304" s="8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1" t="str">
        <f aca="false">IF($F304="","",IF(Recurring!$G$23="Move Before",IF(WEEKDAY($F304,2)=6,$F304-1,IF(WEEKDAY($F304,2)=7,$F304-2,$F304)),IF(Recurring!$G$23="Move After",IF(WEEKDAY($F304,2)=6,$F304+2,IF(WEEKDAY($F304,2)=7,$F304+1,$F304)),$F304)))</f>
        <v/>
      </c>
      <c r="H304" s="82" t="n">
        <f aca="false">IF($G304="",0,IF(AND($G304&gt;='Cash Flow'!$E$6,$G304&lt;'Cash Flow'!$E$6+91),1,0))</f>
        <v>0</v>
      </c>
      <c r="I304" s="82"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80" t="str">
        <f aca="false">IF($C305="","",Recurring!$D$23)</f>
        <v/>
      </c>
      <c r="F305" s="8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1" t="str">
        <f aca="false">IF($F305="","",IF(Recurring!$G$23="Move Before",IF(WEEKDAY($F305,2)=6,$F305-1,IF(WEEKDAY($F305,2)=7,$F305-2,$F305)),IF(Recurring!$G$23="Move After",IF(WEEKDAY($F305,2)=6,$F305+2,IF(WEEKDAY($F305,2)=7,$F305+1,$F305)),$F305)))</f>
        <v/>
      </c>
      <c r="H305" s="82" t="n">
        <f aca="false">IF($G305="",0,IF(AND($G305&gt;='Cash Flow'!$E$6,$G305&lt;'Cash Flow'!$E$6+91),1,0))</f>
        <v>0</v>
      </c>
      <c r="I305" s="82"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80" t="str">
        <f aca="false">IF($C306="","",Recurring!$D$23)</f>
        <v/>
      </c>
      <c r="F306" s="8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1" t="str">
        <f aca="false">IF($F306="","",IF(Recurring!$G$23="Move Before",IF(WEEKDAY($F306,2)=6,$F306-1,IF(WEEKDAY($F306,2)=7,$F306-2,$F306)),IF(Recurring!$G$23="Move After",IF(WEEKDAY($F306,2)=6,$F306+2,IF(WEEKDAY($F306,2)=7,$F306+1,$F306)),$F306)))</f>
        <v/>
      </c>
      <c r="H306" s="82" t="n">
        <f aca="false">IF($G306="",0,IF(AND($G306&gt;='Cash Flow'!$E$6,$G306&lt;'Cash Flow'!$E$6+91),1,0))</f>
        <v>0</v>
      </c>
      <c r="I306" s="82"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80" t="str">
        <f aca="false">IF($C307="","",Recurring!$D$23)</f>
        <v/>
      </c>
      <c r="F307" s="8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1" t="str">
        <f aca="false">IF($F307="","",IF(Recurring!$G$23="Move Before",IF(WEEKDAY($F307,2)=6,$F307-1,IF(WEEKDAY($F307,2)=7,$F307-2,$F307)),IF(Recurring!$G$23="Move After",IF(WEEKDAY($F307,2)=6,$F307+2,IF(WEEKDAY($F307,2)=7,$F307+1,$F307)),$F307)))</f>
        <v/>
      </c>
      <c r="H307" s="82" t="n">
        <f aca="false">IF($G307="",0,IF(AND($G307&gt;='Cash Flow'!$E$6,$G307&lt;'Cash Flow'!$E$6+91),1,0))</f>
        <v>0</v>
      </c>
      <c r="I307" s="82"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80" t="str">
        <f aca="false">IF($C308="","",Recurring!$D$24)</f>
        <v/>
      </c>
      <c r="F308" s="81"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1" t="str">
        <f aca="false">IF($F308="","",IF(Recurring!$G$24="Move Before",IF(WEEKDAY($F308,2)=6,$F308-1,IF(WEEKDAY($F308,2)=7,$F308-2,$F308)),IF(Recurring!$G$24="Move After",IF(WEEKDAY($F308,2)=6,$F308+2,IF(WEEKDAY($F308,2)=7,$F308+1,$F308)),$F308)))</f>
        <v/>
      </c>
      <c r="H308" s="82" t="n">
        <f aca="false">IF($G308="",0,IF(AND($G308&gt;='Cash Flow'!$E$6-90,$G308&lt;'Cash Flow'!$E$6+91),1,0))</f>
        <v>0</v>
      </c>
      <c r="I308" s="82"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80" t="str">
        <f aca="false">IF($C309="","",Recurring!$D$24)</f>
        <v/>
      </c>
      <c r="F309" s="8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1" t="str">
        <f aca="false">IF($F309="","",IF(Recurring!$G$24="Move Before",IF(WEEKDAY($F309,2)=6,$F309-1,IF(WEEKDAY($F309,2)=7,$F309-2,$F309)),IF(Recurring!$G$24="Move After",IF(WEEKDAY($F309,2)=6,$F309+2,IF(WEEKDAY($F309,2)=7,$F309+1,$F309)),$F309)))</f>
        <v/>
      </c>
      <c r="H309" s="82" t="n">
        <f aca="false">IF($G309="",0,IF(AND($G309&gt;='Cash Flow'!$E$6,$G309&lt;'Cash Flow'!$E$6+91),1,0))</f>
        <v>0</v>
      </c>
      <c r="I309" s="82"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80" t="str">
        <f aca="false">IF($C310="","",Recurring!$D$24)</f>
        <v/>
      </c>
      <c r="F310" s="8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1" t="str">
        <f aca="false">IF($F310="","",IF(Recurring!$G$24="Move Before",IF(WEEKDAY($F310,2)=6,$F310-1,IF(WEEKDAY($F310,2)=7,$F310-2,$F310)),IF(Recurring!$G$24="Move After",IF(WEEKDAY($F310,2)=6,$F310+2,IF(WEEKDAY($F310,2)=7,$F310+1,$F310)),$F310)))</f>
        <v/>
      </c>
      <c r="H310" s="82" t="n">
        <f aca="false">IF($G310="",0,IF(AND($G310&gt;='Cash Flow'!$E$6,$G310&lt;'Cash Flow'!$E$6+91),1,0))</f>
        <v>0</v>
      </c>
      <c r="I310" s="82"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80" t="str">
        <f aca="false">IF($C311="","",Recurring!$D$24)</f>
        <v/>
      </c>
      <c r="F311" s="8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1" t="str">
        <f aca="false">IF($F311="","",IF(Recurring!$G$24="Move Before",IF(WEEKDAY($F311,2)=6,$F311-1,IF(WEEKDAY($F311,2)=7,$F311-2,$F311)),IF(Recurring!$G$24="Move After",IF(WEEKDAY($F311,2)=6,$F311+2,IF(WEEKDAY($F311,2)=7,$F311+1,$F311)),$F311)))</f>
        <v/>
      </c>
      <c r="H311" s="82" t="n">
        <f aca="false">IF($G311="",0,IF(AND($G311&gt;='Cash Flow'!$E$6,$G311&lt;'Cash Flow'!$E$6+91),1,0))</f>
        <v>0</v>
      </c>
      <c r="I311" s="82"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80" t="str">
        <f aca="false">IF($C312="","",Recurring!$D$24)</f>
        <v/>
      </c>
      <c r="F312" s="8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1" t="str">
        <f aca="false">IF($F312="","",IF(Recurring!$G$24="Move Before",IF(WEEKDAY($F312,2)=6,$F312-1,IF(WEEKDAY($F312,2)=7,$F312-2,$F312)),IF(Recurring!$G$24="Move After",IF(WEEKDAY($F312,2)=6,$F312+2,IF(WEEKDAY($F312,2)=7,$F312+1,$F312)),$F312)))</f>
        <v/>
      </c>
      <c r="H312" s="82" t="n">
        <f aca="false">IF($G312="",0,IF(AND($G312&gt;='Cash Flow'!$E$6,$G312&lt;'Cash Flow'!$E$6+91),1,0))</f>
        <v>0</v>
      </c>
      <c r="I312" s="82"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80" t="str">
        <f aca="false">IF($C313="","",Recurring!$D$24)</f>
        <v/>
      </c>
      <c r="F313" s="8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1" t="str">
        <f aca="false">IF($F313="","",IF(Recurring!$G$24="Move Before",IF(WEEKDAY($F313,2)=6,$F313-1,IF(WEEKDAY($F313,2)=7,$F313-2,$F313)),IF(Recurring!$G$24="Move After",IF(WEEKDAY($F313,2)=6,$F313+2,IF(WEEKDAY($F313,2)=7,$F313+1,$F313)),$F313)))</f>
        <v/>
      </c>
      <c r="H313" s="82" t="n">
        <f aca="false">IF($G313="",0,IF(AND($G313&gt;='Cash Flow'!$E$6,$G313&lt;'Cash Flow'!$E$6+91),1,0))</f>
        <v>0</v>
      </c>
      <c r="I313" s="82"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80" t="str">
        <f aca="false">IF($C314="","",Recurring!$D$24)</f>
        <v/>
      </c>
      <c r="F314" s="8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1" t="str">
        <f aca="false">IF($F314="","",IF(Recurring!$G$24="Move Before",IF(WEEKDAY($F314,2)=6,$F314-1,IF(WEEKDAY($F314,2)=7,$F314-2,$F314)),IF(Recurring!$G$24="Move After",IF(WEEKDAY($F314,2)=6,$F314+2,IF(WEEKDAY($F314,2)=7,$F314+1,$F314)),$F314)))</f>
        <v/>
      </c>
      <c r="H314" s="82" t="n">
        <f aca="false">IF($G314="",0,IF(AND($G314&gt;='Cash Flow'!$E$6,$G314&lt;'Cash Flow'!$E$6+91),1,0))</f>
        <v>0</v>
      </c>
      <c r="I314" s="82"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80" t="str">
        <f aca="false">IF($C315="","",Recurring!$D$24)</f>
        <v/>
      </c>
      <c r="F315" s="8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1" t="str">
        <f aca="false">IF($F315="","",IF(Recurring!$G$24="Move Before",IF(WEEKDAY($F315,2)=6,$F315-1,IF(WEEKDAY($F315,2)=7,$F315-2,$F315)),IF(Recurring!$G$24="Move After",IF(WEEKDAY($F315,2)=6,$F315+2,IF(WEEKDAY($F315,2)=7,$F315+1,$F315)),$F315)))</f>
        <v/>
      </c>
      <c r="H315" s="82" t="n">
        <f aca="false">IF($G315="",0,IF(AND($G315&gt;='Cash Flow'!$E$6,$G315&lt;'Cash Flow'!$E$6+91),1,0))</f>
        <v>0</v>
      </c>
      <c r="I315" s="82"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80" t="str">
        <f aca="false">IF($C316="","",Recurring!$D$24)</f>
        <v/>
      </c>
      <c r="F316" s="8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1" t="str">
        <f aca="false">IF($F316="","",IF(Recurring!$G$24="Move Before",IF(WEEKDAY($F316,2)=6,$F316-1,IF(WEEKDAY($F316,2)=7,$F316-2,$F316)),IF(Recurring!$G$24="Move After",IF(WEEKDAY($F316,2)=6,$F316+2,IF(WEEKDAY($F316,2)=7,$F316+1,$F316)),$F316)))</f>
        <v/>
      </c>
      <c r="H316" s="82" t="n">
        <f aca="false">IF($G316="",0,IF(AND($G316&gt;='Cash Flow'!$E$6,$G316&lt;'Cash Flow'!$E$6+91),1,0))</f>
        <v>0</v>
      </c>
      <c r="I316" s="82"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80" t="str">
        <f aca="false">IF($C317="","",Recurring!$D$24)</f>
        <v/>
      </c>
      <c r="F317" s="8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1" t="str">
        <f aca="false">IF($F317="","",IF(Recurring!$G$24="Move Before",IF(WEEKDAY($F317,2)=6,$F317-1,IF(WEEKDAY($F317,2)=7,$F317-2,$F317)),IF(Recurring!$G$24="Move After",IF(WEEKDAY($F317,2)=6,$F317+2,IF(WEEKDAY($F317,2)=7,$F317+1,$F317)),$F317)))</f>
        <v/>
      </c>
      <c r="H317" s="82" t="n">
        <f aca="false">IF($G317="",0,IF(AND($G317&gt;='Cash Flow'!$E$6,$G317&lt;'Cash Flow'!$E$6+91),1,0))</f>
        <v>0</v>
      </c>
      <c r="I317" s="82"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80" t="str">
        <f aca="false">IF($C318="","",Recurring!$D$24)</f>
        <v/>
      </c>
      <c r="F318" s="8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1" t="str">
        <f aca="false">IF($F318="","",IF(Recurring!$G$24="Move Before",IF(WEEKDAY($F318,2)=6,$F318-1,IF(WEEKDAY($F318,2)=7,$F318-2,$F318)),IF(Recurring!$G$24="Move After",IF(WEEKDAY($F318,2)=6,$F318+2,IF(WEEKDAY($F318,2)=7,$F318+1,$F318)),$F318)))</f>
        <v/>
      </c>
      <c r="H318" s="82" t="n">
        <f aca="false">IF($G318="",0,IF(AND($G318&gt;='Cash Flow'!$E$6,$G318&lt;'Cash Flow'!$E$6+91),1,0))</f>
        <v>0</v>
      </c>
      <c r="I318" s="82"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80" t="str">
        <f aca="false">IF($C319="","",Recurring!$D$24)</f>
        <v/>
      </c>
      <c r="F319" s="8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1" t="str">
        <f aca="false">IF($F319="","",IF(Recurring!$G$24="Move Before",IF(WEEKDAY($F319,2)=6,$F319-1,IF(WEEKDAY($F319,2)=7,$F319-2,$F319)),IF(Recurring!$G$24="Move After",IF(WEEKDAY($F319,2)=6,$F319+2,IF(WEEKDAY($F319,2)=7,$F319+1,$F319)),$F319)))</f>
        <v/>
      </c>
      <c r="H319" s="82" t="n">
        <f aca="false">IF($G319="",0,IF(AND($G319&gt;='Cash Flow'!$E$6,$G319&lt;'Cash Flow'!$E$6+91),1,0))</f>
        <v>0</v>
      </c>
      <c r="I319" s="82"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80" t="str">
        <f aca="false">IF($C320="","",Recurring!$D$24)</f>
        <v/>
      </c>
      <c r="F320" s="8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1" t="str">
        <f aca="false">IF($F320="","",IF(Recurring!$G$24="Move Before",IF(WEEKDAY($F320,2)=6,$F320-1,IF(WEEKDAY($F320,2)=7,$F320-2,$F320)),IF(Recurring!$G$24="Move After",IF(WEEKDAY($F320,2)=6,$F320+2,IF(WEEKDAY($F320,2)=7,$F320+1,$F320)),$F320)))</f>
        <v/>
      </c>
      <c r="H320" s="82" t="n">
        <f aca="false">IF($G320="",0,IF(AND($G320&gt;='Cash Flow'!$E$6,$G320&lt;'Cash Flow'!$E$6+91),1,0))</f>
        <v>0</v>
      </c>
      <c r="I320" s="82"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80" t="str">
        <f aca="false">IF($C321="","",Recurring!$D$24)</f>
        <v/>
      </c>
      <c r="F321" s="8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1" t="str">
        <f aca="false">IF($F321="","",IF(Recurring!$G$24="Move Before",IF(WEEKDAY($F321,2)=6,$F321-1,IF(WEEKDAY($F321,2)=7,$F321-2,$F321)),IF(Recurring!$G$24="Move After",IF(WEEKDAY($F321,2)=6,$F321+2,IF(WEEKDAY($F321,2)=7,$F321+1,$F321)),$F321)))</f>
        <v/>
      </c>
      <c r="H321" s="82" t="n">
        <f aca="false">IF($G321="",0,IF(AND($G321&gt;='Cash Flow'!$E$6,$G321&lt;'Cash Flow'!$E$6+91),1,0))</f>
        <v>0</v>
      </c>
      <c r="I321" s="82"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80" t="str">
        <f aca="false">IF($C322="","",Recurring!$D$24)</f>
        <v/>
      </c>
      <c r="F322" s="8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1" t="str">
        <f aca="false">IF($F322="","",IF(Recurring!$G$24="Move Before",IF(WEEKDAY($F322,2)=6,$F322-1,IF(WEEKDAY($F322,2)=7,$F322-2,$F322)),IF(Recurring!$G$24="Move After",IF(WEEKDAY($F322,2)=6,$F322+2,IF(WEEKDAY($F322,2)=7,$F322+1,$F322)),$F322)))</f>
        <v/>
      </c>
      <c r="H322" s="82" t="n">
        <f aca="false">IF($G322="",0,IF(AND($G322&gt;='Cash Flow'!$E$6,$G322&lt;'Cash Flow'!$E$6+91),1,0))</f>
        <v>0</v>
      </c>
      <c r="I322" s="82"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80" t="str">
        <f aca="false">IF($C323="","",Recurring!$D$24)</f>
        <v/>
      </c>
      <c r="F323" s="8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1" t="str">
        <f aca="false">IF($F323="","",IF(Recurring!$G$24="Move Before",IF(WEEKDAY($F323,2)=6,$F323-1,IF(WEEKDAY($F323,2)=7,$F323-2,$F323)),IF(Recurring!$G$24="Move After",IF(WEEKDAY($F323,2)=6,$F323+2,IF(WEEKDAY($F323,2)=7,$F323+1,$F323)),$F323)))</f>
        <v/>
      </c>
      <c r="H323" s="82" t="n">
        <f aca="false">IF($G323="",0,IF(AND($G323&gt;='Cash Flow'!$E$6,$G323&lt;'Cash Flow'!$E$6+91),1,0))</f>
        <v>0</v>
      </c>
      <c r="I323" s="82"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80" t="str">
        <f aca="false">IF($C324="","",Recurring!$D$25)</f>
        <v/>
      </c>
      <c r="F324" s="81"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1" t="str">
        <f aca="false">IF($F324="","",IF(Recurring!$G$25="Move Before",IF(WEEKDAY($F324,2)=6,$F324-1,IF(WEEKDAY($F324,2)=7,$F324-2,$F324)),IF(Recurring!$G$25="Move After",IF(WEEKDAY($F324,2)=6,$F324+2,IF(WEEKDAY($F324,2)=7,$F324+1,$F324)),$F324)))</f>
        <v/>
      </c>
      <c r="H324" s="82" t="n">
        <f aca="false">IF($G324="",0,IF(AND($G324&gt;='Cash Flow'!$E$6-90,$G324&lt;'Cash Flow'!$E$6+91),1,0))</f>
        <v>0</v>
      </c>
      <c r="I324" s="82"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80" t="str">
        <f aca="false">IF($C325="","",Recurring!$D$25)</f>
        <v/>
      </c>
      <c r="F325" s="8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1" t="str">
        <f aca="false">IF($F325="","",IF(Recurring!$G$25="Move Before",IF(WEEKDAY($F325,2)=6,$F325-1,IF(WEEKDAY($F325,2)=7,$F325-2,$F325)),IF(Recurring!$G$25="Move After",IF(WEEKDAY($F325,2)=6,$F325+2,IF(WEEKDAY($F325,2)=7,$F325+1,$F325)),$F325)))</f>
        <v/>
      </c>
      <c r="H325" s="82" t="n">
        <f aca="false">IF($G325="",0,IF(AND($G325&gt;='Cash Flow'!$E$6,$G325&lt;'Cash Flow'!$E$6+91),1,0))</f>
        <v>0</v>
      </c>
      <c r="I325" s="82"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80" t="str">
        <f aca="false">IF($C326="","",Recurring!$D$25)</f>
        <v/>
      </c>
      <c r="F326" s="8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1" t="str">
        <f aca="false">IF($F326="","",IF(Recurring!$G$25="Move Before",IF(WEEKDAY($F326,2)=6,$F326-1,IF(WEEKDAY($F326,2)=7,$F326-2,$F326)),IF(Recurring!$G$25="Move After",IF(WEEKDAY($F326,2)=6,$F326+2,IF(WEEKDAY($F326,2)=7,$F326+1,$F326)),$F326)))</f>
        <v/>
      </c>
      <c r="H326" s="82" t="n">
        <f aca="false">IF($G326="",0,IF(AND($G326&gt;='Cash Flow'!$E$6,$G326&lt;'Cash Flow'!$E$6+91),1,0))</f>
        <v>0</v>
      </c>
      <c r="I326" s="82"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80" t="str">
        <f aca="false">IF($C327="","",Recurring!$D$25)</f>
        <v/>
      </c>
      <c r="F327" s="8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1" t="str">
        <f aca="false">IF($F327="","",IF(Recurring!$G$25="Move Before",IF(WEEKDAY($F327,2)=6,$F327-1,IF(WEEKDAY($F327,2)=7,$F327-2,$F327)),IF(Recurring!$G$25="Move After",IF(WEEKDAY($F327,2)=6,$F327+2,IF(WEEKDAY($F327,2)=7,$F327+1,$F327)),$F327)))</f>
        <v/>
      </c>
      <c r="H327" s="82" t="n">
        <f aca="false">IF($G327="",0,IF(AND($G327&gt;='Cash Flow'!$E$6,$G327&lt;'Cash Flow'!$E$6+91),1,0))</f>
        <v>0</v>
      </c>
      <c r="I327" s="82"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80" t="str">
        <f aca="false">IF($C328="","",Recurring!$D$25)</f>
        <v/>
      </c>
      <c r="F328" s="8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1" t="str">
        <f aca="false">IF($F328="","",IF(Recurring!$G$25="Move Before",IF(WEEKDAY($F328,2)=6,$F328-1,IF(WEEKDAY($F328,2)=7,$F328-2,$F328)),IF(Recurring!$G$25="Move After",IF(WEEKDAY($F328,2)=6,$F328+2,IF(WEEKDAY($F328,2)=7,$F328+1,$F328)),$F328)))</f>
        <v/>
      </c>
      <c r="H328" s="82" t="n">
        <f aca="false">IF($G328="",0,IF(AND($G328&gt;='Cash Flow'!$E$6,$G328&lt;'Cash Flow'!$E$6+91),1,0))</f>
        <v>0</v>
      </c>
      <c r="I328" s="82"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80" t="str">
        <f aca="false">IF($C329="","",Recurring!$D$25)</f>
        <v/>
      </c>
      <c r="F329" s="8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1" t="str">
        <f aca="false">IF($F329="","",IF(Recurring!$G$25="Move Before",IF(WEEKDAY($F329,2)=6,$F329-1,IF(WEEKDAY($F329,2)=7,$F329-2,$F329)),IF(Recurring!$G$25="Move After",IF(WEEKDAY($F329,2)=6,$F329+2,IF(WEEKDAY($F329,2)=7,$F329+1,$F329)),$F329)))</f>
        <v/>
      </c>
      <c r="H329" s="82" t="n">
        <f aca="false">IF($G329="",0,IF(AND($G329&gt;='Cash Flow'!$E$6,$G329&lt;'Cash Flow'!$E$6+91),1,0))</f>
        <v>0</v>
      </c>
      <c r="I329" s="82"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80" t="str">
        <f aca="false">IF($C330="","",Recurring!$D$25)</f>
        <v/>
      </c>
      <c r="F330" s="8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1" t="str">
        <f aca="false">IF($F330="","",IF(Recurring!$G$25="Move Before",IF(WEEKDAY($F330,2)=6,$F330-1,IF(WEEKDAY($F330,2)=7,$F330-2,$F330)),IF(Recurring!$G$25="Move After",IF(WEEKDAY($F330,2)=6,$F330+2,IF(WEEKDAY($F330,2)=7,$F330+1,$F330)),$F330)))</f>
        <v/>
      </c>
      <c r="H330" s="82" t="n">
        <f aca="false">IF($G330="",0,IF(AND($G330&gt;='Cash Flow'!$E$6,$G330&lt;'Cash Flow'!$E$6+91),1,0))</f>
        <v>0</v>
      </c>
      <c r="I330" s="82"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80" t="str">
        <f aca="false">IF($C331="","",Recurring!$D$25)</f>
        <v/>
      </c>
      <c r="F331" s="8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1" t="str">
        <f aca="false">IF($F331="","",IF(Recurring!$G$25="Move Before",IF(WEEKDAY($F331,2)=6,$F331-1,IF(WEEKDAY($F331,2)=7,$F331-2,$F331)),IF(Recurring!$G$25="Move After",IF(WEEKDAY($F331,2)=6,$F331+2,IF(WEEKDAY($F331,2)=7,$F331+1,$F331)),$F331)))</f>
        <v/>
      </c>
      <c r="H331" s="82" t="n">
        <f aca="false">IF($G331="",0,IF(AND($G331&gt;='Cash Flow'!$E$6,$G331&lt;'Cash Flow'!$E$6+91),1,0))</f>
        <v>0</v>
      </c>
      <c r="I331" s="82"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80" t="str">
        <f aca="false">IF($C332="","",Recurring!$D$25)</f>
        <v/>
      </c>
      <c r="F332" s="8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1" t="str">
        <f aca="false">IF($F332="","",IF(Recurring!$G$25="Move Before",IF(WEEKDAY($F332,2)=6,$F332-1,IF(WEEKDAY($F332,2)=7,$F332-2,$F332)),IF(Recurring!$G$25="Move After",IF(WEEKDAY($F332,2)=6,$F332+2,IF(WEEKDAY($F332,2)=7,$F332+1,$F332)),$F332)))</f>
        <v/>
      </c>
      <c r="H332" s="82" t="n">
        <f aca="false">IF($G332="",0,IF(AND($G332&gt;='Cash Flow'!$E$6,$G332&lt;'Cash Flow'!$E$6+91),1,0))</f>
        <v>0</v>
      </c>
      <c r="I332" s="82"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80" t="str">
        <f aca="false">IF($C333="","",Recurring!$D$25)</f>
        <v/>
      </c>
      <c r="F333" s="8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1" t="str">
        <f aca="false">IF($F333="","",IF(Recurring!$G$25="Move Before",IF(WEEKDAY($F333,2)=6,$F333-1,IF(WEEKDAY($F333,2)=7,$F333-2,$F333)),IF(Recurring!$G$25="Move After",IF(WEEKDAY($F333,2)=6,$F333+2,IF(WEEKDAY($F333,2)=7,$F333+1,$F333)),$F333)))</f>
        <v/>
      </c>
      <c r="H333" s="82" t="n">
        <f aca="false">IF($G333="",0,IF(AND($G333&gt;='Cash Flow'!$E$6,$G333&lt;'Cash Flow'!$E$6+91),1,0))</f>
        <v>0</v>
      </c>
      <c r="I333" s="82"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80" t="str">
        <f aca="false">IF($C334="","",Recurring!$D$25)</f>
        <v/>
      </c>
      <c r="F334" s="8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1" t="str">
        <f aca="false">IF($F334="","",IF(Recurring!$G$25="Move Before",IF(WEEKDAY($F334,2)=6,$F334-1,IF(WEEKDAY($F334,2)=7,$F334-2,$F334)),IF(Recurring!$G$25="Move After",IF(WEEKDAY($F334,2)=6,$F334+2,IF(WEEKDAY($F334,2)=7,$F334+1,$F334)),$F334)))</f>
        <v/>
      </c>
      <c r="H334" s="82" t="n">
        <f aca="false">IF($G334="",0,IF(AND($G334&gt;='Cash Flow'!$E$6,$G334&lt;'Cash Flow'!$E$6+91),1,0))</f>
        <v>0</v>
      </c>
      <c r="I334" s="82"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80" t="str">
        <f aca="false">IF($C335="","",Recurring!$D$25)</f>
        <v/>
      </c>
      <c r="F335" s="8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1" t="str">
        <f aca="false">IF($F335="","",IF(Recurring!$G$25="Move Before",IF(WEEKDAY($F335,2)=6,$F335-1,IF(WEEKDAY($F335,2)=7,$F335-2,$F335)),IF(Recurring!$G$25="Move After",IF(WEEKDAY($F335,2)=6,$F335+2,IF(WEEKDAY($F335,2)=7,$F335+1,$F335)),$F335)))</f>
        <v/>
      </c>
      <c r="H335" s="82" t="n">
        <f aca="false">IF($G335="",0,IF(AND($G335&gt;='Cash Flow'!$E$6,$G335&lt;'Cash Flow'!$E$6+91),1,0))</f>
        <v>0</v>
      </c>
      <c r="I335" s="82"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80" t="str">
        <f aca="false">IF($C336="","",Recurring!$D$25)</f>
        <v/>
      </c>
      <c r="F336" s="8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1" t="str">
        <f aca="false">IF($F336="","",IF(Recurring!$G$25="Move Before",IF(WEEKDAY($F336,2)=6,$F336-1,IF(WEEKDAY($F336,2)=7,$F336-2,$F336)),IF(Recurring!$G$25="Move After",IF(WEEKDAY($F336,2)=6,$F336+2,IF(WEEKDAY($F336,2)=7,$F336+1,$F336)),$F336)))</f>
        <v/>
      </c>
      <c r="H336" s="82" t="n">
        <f aca="false">IF($G336="",0,IF(AND($G336&gt;='Cash Flow'!$E$6,$G336&lt;'Cash Flow'!$E$6+91),1,0))</f>
        <v>0</v>
      </c>
      <c r="I336" s="82"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80" t="str">
        <f aca="false">IF($C337="","",Recurring!$D$25)</f>
        <v/>
      </c>
      <c r="F337" s="8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1" t="str">
        <f aca="false">IF($F337="","",IF(Recurring!$G$25="Move Before",IF(WEEKDAY($F337,2)=6,$F337-1,IF(WEEKDAY($F337,2)=7,$F337-2,$F337)),IF(Recurring!$G$25="Move After",IF(WEEKDAY($F337,2)=6,$F337+2,IF(WEEKDAY($F337,2)=7,$F337+1,$F337)),$F337)))</f>
        <v/>
      </c>
      <c r="H337" s="82" t="n">
        <f aca="false">IF($G337="",0,IF(AND($G337&gt;='Cash Flow'!$E$6,$G337&lt;'Cash Flow'!$E$6+91),1,0))</f>
        <v>0</v>
      </c>
      <c r="I337" s="82"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80" t="str">
        <f aca="false">IF($C338="","",Recurring!$D$25)</f>
        <v/>
      </c>
      <c r="F338" s="8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1" t="str">
        <f aca="false">IF($F338="","",IF(Recurring!$G$25="Move Before",IF(WEEKDAY($F338,2)=6,$F338-1,IF(WEEKDAY($F338,2)=7,$F338-2,$F338)),IF(Recurring!$G$25="Move After",IF(WEEKDAY($F338,2)=6,$F338+2,IF(WEEKDAY($F338,2)=7,$F338+1,$F338)),$F338)))</f>
        <v/>
      </c>
      <c r="H338" s="82" t="n">
        <f aca="false">IF($G338="",0,IF(AND($G338&gt;='Cash Flow'!$E$6,$G338&lt;'Cash Flow'!$E$6+91),1,0))</f>
        <v>0</v>
      </c>
      <c r="I338" s="82"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80" t="str">
        <f aca="false">IF($C339="","",Recurring!$D$25)</f>
        <v/>
      </c>
      <c r="F339" s="8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1" t="str">
        <f aca="false">IF($F339="","",IF(Recurring!$G$25="Move Before",IF(WEEKDAY($F339,2)=6,$F339-1,IF(WEEKDAY($F339,2)=7,$F339-2,$F339)),IF(Recurring!$G$25="Move After",IF(WEEKDAY($F339,2)=6,$F339+2,IF(WEEKDAY($F339,2)=7,$F339+1,$F339)),$F339)))</f>
        <v/>
      </c>
      <c r="H339" s="82" t="n">
        <f aca="false">IF($G339="",0,IF(AND($G339&gt;='Cash Flow'!$E$6,$G339&lt;'Cash Flow'!$E$6+91),1,0))</f>
        <v>0</v>
      </c>
      <c r="I339" s="82"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80" t="str">
        <f aca="false">IF($C340="","",Recurring!$D$26)</f>
        <v/>
      </c>
      <c r="F340" s="8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1" t="str">
        <f aca="false">IF($F340="","",IF(Recurring!$G$26="Move Before",IF(WEEKDAY($F340,2)=6,$F340-1,IF(WEEKDAY($F340,2)=7,$F340-2,$F340)),IF(Recurring!$G$26="Move After",IF(WEEKDAY($F340,2)=6,$F340+2,IF(WEEKDAY($F340,2)=7,$F340+1,$F340)),$F340)))</f>
        <v/>
      </c>
      <c r="H340" s="82" t="n">
        <f aca="false">IF($G340="",0,IF(AND($G340&gt;='Cash Flow'!$E$6-90,$G340&lt;'Cash Flow'!$E$6+91),1,0))</f>
        <v>0</v>
      </c>
      <c r="I340" s="82"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80" t="str">
        <f aca="false">IF($C341="","",Recurring!$D$26)</f>
        <v/>
      </c>
      <c r="F341" s="8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1" t="str">
        <f aca="false">IF($F341="","",IF(Recurring!$G$26="Move Before",IF(WEEKDAY($F341,2)=6,$F341-1,IF(WEEKDAY($F341,2)=7,$F341-2,$F341)),IF(Recurring!$G$26="Move After",IF(WEEKDAY($F341,2)=6,$F341+2,IF(WEEKDAY($F341,2)=7,$F341+1,$F341)),$F341)))</f>
        <v/>
      </c>
      <c r="H341" s="82" t="n">
        <f aca="false">IF($G341="",0,IF(AND($G341&gt;='Cash Flow'!$E$6,$G341&lt;'Cash Flow'!$E$6+91),1,0))</f>
        <v>0</v>
      </c>
      <c r="I341" s="82"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80" t="str">
        <f aca="false">IF($C342="","",Recurring!$D$26)</f>
        <v/>
      </c>
      <c r="F342" s="8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1" t="str">
        <f aca="false">IF($F342="","",IF(Recurring!$G$26="Move Before",IF(WEEKDAY($F342,2)=6,$F342-1,IF(WEEKDAY($F342,2)=7,$F342-2,$F342)),IF(Recurring!$G$26="Move After",IF(WEEKDAY($F342,2)=6,$F342+2,IF(WEEKDAY($F342,2)=7,$F342+1,$F342)),$F342)))</f>
        <v/>
      </c>
      <c r="H342" s="82" t="n">
        <f aca="false">IF($G342="",0,IF(AND($G342&gt;='Cash Flow'!$E$6,$G342&lt;'Cash Flow'!$E$6+91),1,0))</f>
        <v>0</v>
      </c>
      <c r="I342" s="82"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80" t="str">
        <f aca="false">IF($C343="","",Recurring!$D$26)</f>
        <v/>
      </c>
      <c r="F343" s="8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1" t="str">
        <f aca="false">IF($F343="","",IF(Recurring!$G$26="Move Before",IF(WEEKDAY($F343,2)=6,$F343-1,IF(WEEKDAY($F343,2)=7,$F343-2,$F343)),IF(Recurring!$G$26="Move After",IF(WEEKDAY($F343,2)=6,$F343+2,IF(WEEKDAY($F343,2)=7,$F343+1,$F343)),$F343)))</f>
        <v/>
      </c>
      <c r="H343" s="82" t="n">
        <f aca="false">IF($G343="",0,IF(AND($G343&gt;='Cash Flow'!$E$6,$G343&lt;'Cash Flow'!$E$6+91),1,0))</f>
        <v>0</v>
      </c>
      <c r="I343" s="82"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80" t="str">
        <f aca="false">IF($C344="","",Recurring!$D$26)</f>
        <v/>
      </c>
      <c r="F344" s="8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1" t="str">
        <f aca="false">IF($F344="","",IF(Recurring!$G$26="Move Before",IF(WEEKDAY($F344,2)=6,$F344-1,IF(WEEKDAY($F344,2)=7,$F344-2,$F344)),IF(Recurring!$G$26="Move After",IF(WEEKDAY($F344,2)=6,$F344+2,IF(WEEKDAY($F344,2)=7,$F344+1,$F344)),$F344)))</f>
        <v/>
      </c>
      <c r="H344" s="82" t="n">
        <f aca="false">IF($G344="",0,IF(AND($G344&gt;='Cash Flow'!$E$6,$G344&lt;'Cash Flow'!$E$6+91),1,0))</f>
        <v>0</v>
      </c>
      <c r="I344" s="82"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80" t="str">
        <f aca="false">IF($C345="","",Recurring!$D$26)</f>
        <v/>
      </c>
      <c r="F345" s="8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1" t="str">
        <f aca="false">IF($F345="","",IF(Recurring!$G$26="Move Before",IF(WEEKDAY($F345,2)=6,$F345-1,IF(WEEKDAY($F345,2)=7,$F345-2,$F345)),IF(Recurring!$G$26="Move After",IF(WEEKDAY($F345,2)=6,$F345+2,IF(WEEKDAY($F345,2)=7,$F345+1,$F345)),$F345)))</f>
        <v/>
      </c>
      <c r="H345" s="82" t="n">
        <f aca="false">IF($G345="",0,IF(AND($G345&gt;='Cash Flow'!$E$6,$G345&lt;'Cash Flow'!$E$6+91),1,0))</f>
        <v>0</v>
      </c>
      <c r="I345" s="82"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80" t="str">
        <f aca="false">IF($C346="","",Recurring!$D$26)</f>
        <v/>
      </c>
      <c r="F346" s="8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1" t="str">
        <f aca="false">IF($F346="","",IF(Recurring!$G$26="Move Before",IF(WEEKDAY($F346,2)=6,$F346-1,IF(WEEKDAY($F346,2)=7,$F346-2,$F346)),IF(Recurring!$G$26="Move After",IF(WEEKDAY($F346,2)=6,$F346+2,IF(WEEKDAY($F346,2)=7,$F346+1,$F346)),$F346)))</f>
        <v/>
      </c>
      <c r="H346" s="82" t="n">
        <f aca="false">IF($G346="",0,IF(AND($G346&gt;='Cash Flow'!$E$6,$G346&lt;'Cash Flow'!$E$6+91),1,0))</f>
        <v>0</v>
      </c>
      <c r="I346" s="82"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80" t="str">
        <f aca="false">IF($C347="","",Recurring!$D$26)</f>
        <v/>
      </c>
      <c r="F347" s="8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1" t="str">
        <f aca="false">IF($F347="","",IF(Recurring!$G$26="Move Before",IF(WEEKDAY($F347,2)=6,$F347-1,IF(WEEKDAY($F347,2)=7,$F347-2,$F347)),IF(Recurring!$G$26="Move After",IF(WEEKDAY($F347,2)=6,$F347+2,IF(WEEKDAY($F347,2)=7,$F347+1,$F347)),$F347)))</f>
        <v/>
      </c>
      <c r="H347" s="82" t="n">
        <f aca="false">IF($G347="",0,IF(AND($G347&gt;='Cash Flow'!$E$6,$G347&lt;'Cash Flow'!$E$6+91),1,0))</f>
        <v>0</v>
      </c>
      <c r="I347" s="82"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80" t="str">
        <f aca="false">IF($C348="","",Recurring!$D$26)</f>
        <v/>
      </c>
      <c r="F348" s="8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1" t="str">
        <f aca="false">IF($F348="","",IF(Recurring!$G$26="Move Before",IF(WEEKDAY($F348,2)=6,$F348-1,IF(WEEKDAY($F348,2)=7,$F348-2,$F348)),IF(Recurring!$G$26="Move After",IF(WEEKDAY($F348,2)=6,$F348+2,IF(WEEKDAY($F348,2)=7,$F348+1,$F348)),$F348)))</f>
        <v/>
      </c>
      <c r="H348" s="82" t="n">
        <f aca="false">IF($G348="",0,IF(AND($G348&gt;='Cash Flow'!$E$6,$G348&lt;'Cash Flow'!$E$6+91),1,0))</f>
        <v>0</v>
      </c>
      <c r="I348" s="82"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80" t="str">
        <f aca="false">IF($C349="","",Recurring!$D$26)</f>
        <v/>
      </c>
      <c r="F349" s="8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1" t="str">
        <f aca="false">IF($F349="","",IF(Recurring!$G$26="Move Before",IF(WEEKDAY($F349,2)=6,$F349-1,IF(WEEKDAY($F349,2)=7,$F349-2,$F349)),IF(Recurring!$G$26="Move After",IF(WEEKDAY($F349,2)=6,$F349+2,IF(WEEKDAY($F349,2)=7,$F349+1,$F349)),$F349)))</f>
        <v/>
      </c>
      <c r="H349" s="82" t="n">
        <f aca="false">IF($G349="",0,IF(AND($G349&gt;='Cash Flow'!$E$6,$G349&lt;'Cash Flow'!$E$6+91),1,0))</f>
        <v>0</v>
      </c>
      <c r="I349" s="82"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80" t="str">
        <f aca="false">IF($C350="","",Recurring!$D$26)</f>
        <v/>
      </c>
      <c r="F350" s="8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1" t="str">
        <f aca="false">IF($F350="","",IF(Recurring!$G$26="Move Before",IF(WEEKDAY($F350,2)=6,$F350-1,IF(WEEKDAY($F350,2)=7,$F350-2,$F350)),IF(Recurring!$G$26="Move After",IF(WEEKDAY($F350,2)=6,$F350+2,IF(WEEKDAY($F350,2)=7,$F350+1,$F350)),$F350)))</f>
        <v/>
      </c>
      <c r="H350" s="82" t="n">
        <f aca="false">IF($G350="",0,IF(AND($G350&gt;='Cash Flow'!$E$6,$G350&lt;'Cash Flow'!$E$6+91),1,0))</f>
        <v>0</v>
      </c>
      <c r="I350" s="82"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80" t="str">
        <f aca="false">IF($C351="","",Recurring!$D$26)</f>
        <v/>
      </c>
      <c r="F351" s="8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1" t="str">
        <f aca="false">IF($F351="","",IF(Recurring!$G$26="Move Before",IF(WEEKDAY($F351,2)=6,$F351-1,IF(WEEKDAY($F351,2)=7,$F351-2,$F351)),IF(Recurring!$G$26="Move After",IF(WEEKDAY($F351,2)=6,$F351+2,IF(WEEKDAY($F351,2)=7,$F351+1,$F351)),$F351)))</f>
        <v/>
      </c>
      <c r="H351" s="82" t="n">
        <f aca="false">IF($G351="",0,IF(AND($G351&gt;='Cash Flow'!$E$6,$G351&lt;'Cash Flow'!$E$6+91),1,0))</f>
        <v>0</v>
      </c>
      <c r="I351" s="82"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80" t="str">
        <f aca="false">IF($C352="","",Recurring!$D$26)</f>
        <v/>
      </c>
      <c r="F352" s="8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1" t="str">
        <f aca="false">IF($F352="","",IF(Recurring!$G$26="Move Before",IF(WEEKDAY($F352,2)=6,$F352-1,IF(WEEKDAY($F352,2)=7,$F352-2,$F352)),IF(Recurring!$G$26="Move After",IF(WEEKDAY($F352,2)=6,$F352+2,IF(WEEKDAY($F352,2)=7,$F352+1,$F352)),$F352)))</f>
        <v/>
      </c>
      <c r="H352" s="82" t="n">
        <f aca="false">IF($G352="",0,IF(AND($G352&gt;='Cash Flow'!$E$6,$G352&lt;'Cash Flow'!$E$6+91),1,0))</f>
        <v>0</v>
      </c>
      <c r="I352" s="82"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80" t="str">
        <f aca="false">IF($C353="","",Recurring!$D$26)</f>
        <v/>
      </c>
      <c r="F353" s="8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1" t="str">
        <f aca="false">IF($F353="","",IF(Recurring!$G$26="Move Before",IF(WEEKDAY($F353,2)=6,$F353-1,IF(WEEKDAY($F353,2)=7,$F353-2,$F353)),IF(Recurring!$G$26="Move After",IF(WEEKDAY($F353,2)=6,$F353+2,IF(WEEKDAY($F353,2)=7,$F353+1,$F353)),$F353)))</f>
        <v/>
      </c>
      <c r="H353" s="82" t="n">
        <f aca="false">IF($G353="",0,IF(AND($G353&gt;='Cash Flow'!$E$6,$G353&lt;'Cash Flow'!$E$6+91),1,0))</f>
        <v>0</v>
      </c>
      <c r="I353" s="82"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80" t="str">
        <f aca="false">IF($C354="","",Recurring!$D$26)</f>
        <v/>
      </c>
      <c r="F354" s="8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1" t="str">
        <f aca="false">IF($F354="","",IF(Recurring!$G$26="Move Before",IF(WEEKDAY($F354,2)=6,$F354-1,IF(WEEKDAY($F354,2)=7,$F354-2,$F354)),IF(Recurring!$G$26="Move After",IF(WEEKDAY($F354,2)=6,$F354+2,IF(WEEKDAY($F354,2)=7,$F354+1,$F354)),$F354)))</f>
        <v/>
      </c>
      <c r="H354" s="82" t="n">
        <f aca="false">IF($G354="",0,IF(AND($G354&gt;='Cash Flow'!$E$6,$G354&lt;'Cash Flow'!$E$6+91),1,0))</f>
        <v>0</v>
      </c>
      <c r="I354" s="82"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80" t="str">
        <f aca="false">IF($C355="","",Recurring!$D$26)</f>
        <v/>
      </c>
      <c r="F355" s="8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1" t="str">
        <f aca="false">IF($F355="","",IF(Recurring!$G$26="Move Before",IF(WEEKDAY($F355,2)=6,$F355-1,IF(WEEKDAY($F355,2)=7,$F355-2,$F355)),IF(Recurring!$G$26="Move After",IF(WEEKDAY($F355,2)=6,$F355+2,IF(WEEKDAY($F355,2)=7,$F355+1,$F355)),$F355)))</f>
        <v/>
      </c>
      <c r="H355" s="82" t="n">
        <f aca="false">IF($G355="",0,IF(AND($G355&gt;='Cash Flow'!$E$6,$G355&lt;'Cash Flow'!$E$6+91),1,0))</f>
        <v>0</v>
      </c>
      <c r="I355" s="82"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80" t="str">
        <f aca="false">IF($C356="","",Recurring!$D$27)</f>
        <v/>
      </c>
      <c r="F356" s="81"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1" t="str">
        <f aca="false">IF($F356="","",IF(Recurring!$G$27="Move Before",IF(WEEKDAY($F356,2)=6,$F356-1,IF(WEEKDAY($F356,2)=7,$F356-2,$F356)),IF(Recurring!$G$27="Move After",IF(WEEKDAY($F356,2)=6,$F356+2,IF(WEEKDAY($F356,2)=7,$F356+1,$F356)),$F356)))</f>
        <v/>
      </c>
      <c r="H356" s="82" t="n">
        <f aca="false">IF($G356="",0,IF(AND($G356&gt;='Cash Flow'!$E$6-90,$G356&lt;'Cash Flow'!$E$6+91),1,0))</f>
        <v>0</v>
      </c>
      <c r="I356" s="82"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80" t="str">
        <f aca="false">IF($C357="","",Recurring!$D$27)</f>
        <v/>
      </c>
      <c r="F357" s="8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1" t="str">
        <f aca="false">IF($F357="","",IF(Recurring!$G$27="Move Before",IF(WEEKDAY($F357,2)=6,$F357-1,IF(WEEKDAY($F357,2)=7,$F357-2,$F357)),IF(Recurring!$G$27="Move After",IF(WEEKDAY($F357,2)=6,$F357+2,IF(WEEKDAY($F357,2)=7,$F357+1,$F357)),$F357)))</f>
        <v/>
      </c>
      <c r="H357" s="82" t="n">
        <f aca="false">IF($G357="",0,IF(AND($G357&gt;='Cash Flow'!$E$6,$G357&lt;'Cash Flow'!$E$6+91),1,0))</f>
        <v>0</v>
      </c>
      <c r="I357" s="82"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80" t="str">
        <f aca="false">IF($C358="","",Recurring!$D$27)</f>
        <v/>
      </c>
      <c r="F358" s="8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1" t="str">
        <f aca="false">IF($F358="","",IF(Recurring!$G$27="Move Before",IF(WEEKDAY($F358,2)=6,$F358-1,IF(WEEKDAY($F358,2)=7,$F358-2,$F358)),IF(Recurring!$G$27="Move After",IF(WEEKDAY($F358,2)=6,$F358+2,IF(WEEKDAY($F358,2)=7,$F358+1,$F358)),$F358)))</f>
        <v/>
      </c>
      <c r="H358" s="82" t="n">
        <f aca="false">IF($G358="",0,IF(AND($G358&gt;='Cash Flow'!$E$6,$G358&lt;'Cash Flow'!$E$6+91),1,0))</f>
        <v>0</v>
      </c>
      <c r="I358" s="82"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80" t="str">
        <f aca="false">IF($C359="","",Recurring!$D$27)</f>
        <v/>
      </c>
      <c r="F359" s="8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1" t="str">
        <f aca="false">IF($F359="","",IF(Recurring!$G$27="Move Before",IF(WEEKDAY($F359,2)=6,$F359-1,IF(WEEKDAY($F359,2)=7,$F359-2,$F359)),IF(Recurring!$G$27="Move After",IF(WEEKDAY($F359,2)=6,$F359+2,IF(WEEKDAY($F359,2)=7,$F359+1,$F359)),$F359)))</f>
        <v/>
      </c>
      <c r="H359" s="82" t="n">
        <f aca="false">IF($G359="",0,IF(AND($G359&gt;='Cash Flow'!$E$6,$G359&lt;'Cash Flow'!$E$6+91),1,0))</f>
        <v>0</v>
      </c>
      <c r="I359" s="82"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80" t="str">
        <f aca="false">IF($C360="","",Recurring!$D$27)</f>
        <v/>
      </c>
      <c r="F360" s="8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1" t="str">
        <f aca="false">IF($F360="","",IF(Recurring!$G$27="Move Before",IF(WEEKDAY($F360,2)=6,$F360-1,IF(WEEKDAY($F360,2)=7,$F360-2,$F360)),IF(Recurring!$G$27="Move After",IF(WEEKDAY($F360,2)=6,$F360+2,IF(WEEKDAY($F360,2)=7,$F360+1,$F360)),$F360)))</f>
        <v/>
      </c>
      <c r="H360" s="82" t="n">
        <f aca="false">IF($G360="",0,IF(AND($G360&gt;='Cash Flow'!$E$6,$G360&lt;'Cash Flow'!$E$6+91),1,0))</f>
        <v>0</v>
      </c>
      <c r="I360" s="82"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80" t="str">
        <f aca="false">IF($C361="","",Recurring!$D$27)</f>
        <v/>
      </c>
      <c r="F361" s="8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1" t="str">
        <f aca="false">IF($F361="","",IF(Recurring!$G$27="Move Before",IF(WEEKDAY($F361,2)=6,$F361-1,IF(WEEKDAY($F361,2)=7,$F361-2,$F361)),IF(Recurring!$G$27="Move After",IF(WEEKDAY($F361,2)=6,$F361+2,IF(WEEKDAY($F361,2)=7,$F361+1,$F361)),$F361)))</f>
        <v/>
      </c>
      <c r="H361" s="82" t="n">
        <f aca="false">IF($G361="",0,IF(AND($G361&gt;='Cash Flow'!$E$6,$G361&lt;'Cash Flow'!$E$6+91),1,0))</f>
        <v>0</v>
      </c>
      <c r="I361" s="82"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80" t="str">
        <f aca="false">IF($C362="","",Recurring!$D$27)</f>
        <v/>
      </c>
      <c r="F362" s="8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1" t="str">
        <f aca="false">IF($F362="","",IF(Recurring!$G$27="Move Before",IF(WEEKDAY($F362,2)=6,$F362-1,IF(WEEKDAY($F362,2)=7,$F362-2,$F362)),IF(Recurring!$G$27="Move After",IF(WEEKDAY($F362,2)=6,$F362+2,IF(WEEKDAY($F362,2)=7,$F362+1,$F362)),$F362)))</f>
        <v/>
      </c>
      <c r="H362" s="82" t="n">
        <f aca="false">IF($G362="",0,IF(AND($G362&gt;='Cash Flow'!$E$6,$G362&lt;'Cash Flow'!$E$6+91),1,0))</f>
        <v>0</v>
      </c>
      <c r="I362" s="82"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80" t="str">
        <f aca="false">IF($C363="","",Recurring!$D$27)</f>
        <v/>
      </c>
      <c r="F363" s="8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1" t="str">
        <f aca="false">IF($F363="","",IF(Recurring!$G$27="Move Before",IF(WEEKDAY($F363,2)=6,$F363-1,IF(WEEKDAY($F363,2)=7,$F363-2,$F363)),IF(Recurring!$G$27="Move After",IF(WEEKDAY($F363,2)=6,$F363+2,IF(WEEKDAY($F363,2)=7,$F363+1,$F363)),$F363)))</f>
        <v/>
      </c>
      <c r="H363" s="82" t="n">
        <f aca="false">IF($G363="",0,IF(AND($G363&gt;='Cash Flow'!$E$6,$G363&lt;'Cash Flow'!$E$6+91),1,0))</f>
        <v>0</v>
      </c>
      <c r="I363" s="82"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80" t="str">
        <f aca="false">IF($C364="","",Recurring!$D$27)</f>
        <v/>
      </c>
      <c r="F364" s="8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1" t="str">
        <f aca="false">IF($F364="","",IF(Recurring!$G$27="Move Before",IF(WEEKDAY($F364,2)=6,$F364-1,IF(WEEKDAY($F364,2)=7,$F364-2,$F364)),IF(Recurring!$G$27="Move After",IF(WEEKDAY($F364,2)=6,$F364+2,IF(WEEKDAY($F364,2)=7,$F364+1,$F364)),$F364)))</f>
        <v/>
      </c>
      <c r="H364" s="82" t="n">
        <f aca="false">IF($G364="",0,IF(AND($G364&gt;='Cash Flow'!$E$6,$G364&lt;'Cash Flow'!$E$6+91),1,0))</f>
        <v>0</v>
      </c>
      <c r="I364" s="82"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80" t="str">
        <f aca="false">IF($C365="","",Recurring!$D$27)</f>
        <v/>
      </c>
      <c r="F365" s="8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1" t="str">
        <f aca="false">IF($F365="","",IF(Recurring!$G$27="Move Before",IF(WEEKDAY($F365,2)=6,$F365-1,IF(WEEKDAY($F365,2)=7,$F365-2,$F365)),IF(Recurring!$G$27="Move After",IF(WEEKDAY($F365,2)=6,$F365+2,IF(WEEKDAY($F365,2)=7,$F365+1,$F365)),$F365)))</f>
        <v/>
      </c>
      <c r="H365" s="82" t="n">
        <f aca="false">IF($G365="",0,IF(AND($G365&gt;='Cash Flow'!$E$6,$G365&lt;'Cash Flow'!$E$6+91),1,0))</f>
        <v>0</v>
      </c>
      <c r="I365" s="82"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80" t="str">
        <f aca="false">IF($C366="","",Recurring!$D$27)</f>
        <v/>
      </c>
      <c r="F366" s="8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1" t="str">
        <f aca="false">IF($F366="","",IF(Recurring!$G$27="Move Before",IF(WEEKDAY($F366,2)=6,$F366-1,IF(WEEKDAY($F366,2)=7,$F366-2,$F366)),IF(Recurring!$G$27="Move After",IF(WEEKDAY($F366,2)=6,$F366+2,IF(WEEKDAY($F366,2)=7,$F366+1,$F366)),$F366)))</f>
        <v/>
      </c>
      <c r="H366" s="82" t="n">
        <f aca="false">IF($G366="",0,IF(AND($G366&gt;='Cash Flow'!$E$6,$G366&lt;'Cash Flow'!$E$6+91),1,0))</f>
        <v>0</v>
      </c>
      <c r="I366" s="82"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80" t="str">
        <f aca="false">IF($C367="","",Recurring!$D$27)</f>
        <v/>
      </c>
      <c r="F367" s="8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1" t="str">
        <f aca="false">IF($F367="","",IF(Recurring!$G$27="Move Before",IF(WEEKDAY($F367,2)=6,$F367-1,IF(WEEKDAY($F367,2)=7,$F367-2,$F367)),IF(Recurring!$G$27="Move After",IF(WEEKDAY($F367,2)=6,$F367+2,IF(WEEKDAY($F367,2)=7,$F367+1,$F367)),$F367)))</f>
        <v/>
      </c>
      <c r="H367" s="82" t="n">
        <f aca="false">IF($G367="",0,IF(AND($G367&gt;='Cash Flow'!$E$6,$G367&lt;'Cash Flow'!$E$6+91),1,0))</f>
        <v>0</v>
      </c>
      <c r="I367" s="82"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80" t="str">
        <f aca="false">IF($C368="","",Recurring!$D$27)</f>
        <v/>
      </c>
      <c r="F368" s="8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1" t="str">
        <f aca="false">IF($F368="","",IF(Recurring!$G$27="Move Before",IF(WEEKDAY($F368,2)=6,$F368-1,IF(WEEKDAY($F368,2)=7,$F368-2,$F368)),IF(Recurring!$G$27="Move After",IF(WEEKDAY($F368,2)=6,$F368+2,IF(WEEKDAY($F368,2)=7,$F368+1,$F368)),$F368)))</f>
        <v/>
      </c>
      <c r="H368" s="82" t="n">
        <f aca="false">IF($G368="",0,IF(AND($G368&gt;='Cash Flow'!$E$6,$G368&lt;'Cash Flow'!$E$6+91),1,0))</f>
        <v>0</v>
      </c>
      <c r="I368" s="82"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80" t="str">
        <f aca="false">IF($C369="","",Recurring!$D$27)</f>
        <v/>
      </c>
      <c r="F369" s="8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1" t="str">
        <f aca="false">IF($F369="","",IF(Recurring!$G$27="Move Before",IF(WEEKDAY($F369,2)=6,$F369-1,IF(WEEKDAY($F369,2)=7,$F369-2,$F369)),IF(Recurring!$G$27="Move After",IF(WEEKDAY($F369,2)=6,$F369+2,IF(WEEKDAY($F369,2)=7,$F369+1,$F369)),$F369)))</f>
        <v/>
      </c>
      <c r="H369" s="82" t="n">
        <f aca="false">IF($G369="",0,IF(AND($G369&gt;='Cash Flow'!$E$6,$G369&lt;'Cash Flow'!$E$6+91),1,0))</f>
        <v>0</v>
      </c>
      <c r="I369" s="82"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80" t="str">
        <f aca="false">IF($C370="","",Recurring!$D$27)</f>
        <v/>
      </c>
      <c r="F370" s="8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1" t="str">
        <f aca="false">IF($F370="","",IF(Recurring!$G$27="Move Before",IF(WEEKDAY($F370,2)=6,$F370-1,IF(WEEKDAY($F370,2)=7,$F370-2,$F370)),IF(Recurring!$G$27="Move After",IF(WEEKDAY($F370,2)=6,$F370+2,IF(WEEKDAY($F370,2)=7,$F370+1,$F370)),$F370)))</f>
        <v/>
      </c>
      <c r="H370" s="82" t="n">
        <f aca="false">IF($G370="",0,IF(AND($G370&gt;='Cash Flow'!$E$6,$G370&lt;'Cash Flow'!$E$6+91),1,0))</f>
        <v>0</v>
      </c>
      <c r="I370" s="82"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80" t="str">
        <f aca="false">IF($C371="","",Recurring!$D$27)</f>
        <v/>
      </c>
      <c r="F371" s="8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1" t="str">
        <f aca="false">IF($F371="","",IF(Recurring!$G$27="Move Before",IF(WEEKDAY($F371,2)=6,$F371-1,IF(WEEKDAY($F371,2)=7,$F371-2,$F371)),IF(Recurring!$G$27="Move After",IF(WEEKDAY($F371,2)=6,$F371+2,IF(WEEKDAY($F371,2)=7,$F371+1,$F371)),$F371)))</f>
        <v/>
      </c>
      <c r="H371" s="82" t="n">
        <f aca="false">IF($G371="",0,IF(AND($G371&gt;='Cash Flow'!$E$6,$G371&lt;'Cash Flow'!$E$6+91),1,0))</f>
        <v>0</v>
      </c>
      <c r="I371" s="82"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80" t="str">
        <f aca="false">IF($C372="","",Recurring!$D$28)</f>
        <v/>
      </c>
      <c r="F372" s="8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1" t="str">
        <f aca="false">IF($F372="","",IF(Recurring!$G$28="Move Before",IF(WEEKDAY($F372,2)=6,$F372-1,IF(WEEKDAY($F372,2)=7,$F372-2,$F372)),IF(Recurring!$G$28="Move After",IF(WEEKDAY($F372,2)=6,$F372+2,IF(WEEKDAY($F372,2)=7,$F372+1,$F372)),$F372)))</f>
        <v/>
      </c>
      <c r="H372" s="82" t="n">
        <f aca="false">IF($G372="",0,IF(AND($G372&gt;='Cash Flow'!$E$6-90,$G372&lt;'Cash Flow'!$E$6+91),1,0))</f>
        <v>0</v>
      </c>
      <c r="I372" s="82"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80" t="str">
        <f aca="false">IF($C373="","",Recurring!$D$28)</f>
        <v/>
      </c>
      <c r="F373" s="8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1" t="str">
        <f aca="false">IF($F373="","",IF(Recurring!$G$28="Move Before",IF(WEEKDAY($F373,2)=6,$F373-1,IF(WEEKDAY($F373,2)=7,$F373-2,$F373)),IF(Recurring!$G$28="Move After",IF(WEEKDAY($F373,2)=6,$F373+2,IF(WEEKDAY($F373,2)=7,$F373+1,$F373)),$F373)))</f>
        <v/>
      </c>
      <c r="H373" s="82" t="n">
        <f aca="false">IF($G373="",0,IF(AND($G373&gt;='Cash Flow'!$E$6,$G373&lt;'Cash Flow'!$E$6+91),1,0))</f>
        <v>0</v>
      </c>
      <c r="I373" s="82"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80" t="str">
        <f aca="false">IF($C374="","",Recurring!$D$28)</f>
        <v/>
      </c>
      <c r="F374" s="8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1" t="str">
        <f aca="false">IF($F374="","",IF(Recurring!$G$28="Move Before",IF(WEEKDAY($F374,2)=6,$F374-1,IF(WEEKDAY($F374,2)=7,$F374-2,$F374)),IF(Recurring!$G$28="Move After",IF(WEEKDAY($F374,2)=6,$F374+2,IF(WEEKDAY($F374,2)=7,$F374+1,$F374)),$F374)))</f>
        <v/>
      </c>
      <c r="H374" s="82" t="n">
        <f aca="false">IF($G374="",0,IF(AND($G374&gt;='Cash Flow'!$E$6,$G374&lt;'Cash Flow'!$E$6+91),1,0))</f>
        <v>0</v>
      </c>
      <c r="I374" s="82"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80" t="str">
        <f aca="false">IF($C375="","",Recurring!$D$28)</f>
        <v/>
      </c>
      <c r="F375" s="8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1" t="str">
        <f aca="false">IF($F375="","",IF(Recurring!$G$28="Move Before",IF(WEEKDAY($F375,2)=6,$F375-1,IF(WEEKDAY($F375,2)=7,$F375-2,$F375)),IF(Recurring!$G$28="Move After",IF(WEEKDAY($F375,2)=6,$F375+2,IF(WEEKDAY($F375,2)=7,$F375+1,$F375)),$F375)))</f>
        <v/>
      </c>
      <c r="H375" s="82" t="n">
        <f aca="false">IF($G375="",0,IF(AND($G375&gt;='Cash Flow'!$E$6,$G375&lt;'Cash Flow'!$E$6+91),1,0))</f>
        <v>0</v>
      </c>
      <c r="I375" s="82"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80" t="str">
        <f aca="false">IF($C376="","",Recurring!$D$28)</f>
        <v/>
      </c>
      <c r="F376" s="8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1" t="str">
        <f aca="false">IF($F376="","",IF(Recurring!$G$28="Move Before",IF(WEEKDAY($F376,2)=6,$F376-1,IF(WEEKDAY($F376,2)=7,$F376-2,$F376)),IF(Recurring!$G$28="Move After",IF(WEEKDAY($F376,2)=6,$F376+2,IF(WEEKDAY($F376,2)=7,$F376+1,$F376)),$F376)))</f>
        <v/>
      </c>
      <c r="H376" s="82" t="n">
        <f aca="false">IF($G376="",0,IF(AND($G376&gt;='Cash Flow'!$E$6,$G376&lt;'Cash Flow'!$E$6+91),1,0))</f>
        <v>0</v>
      </c>
      <c r="I376" s="82"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80" t="str">
        <f aca="false">IF($C377="","",Recurring!$D$28)</f>
        <v/>
      </c>
      <c r="F377" s="8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1" t="str">
        <f aca="false">IF($F377="","",IF(Recurring!$G$28="Move Before",IF(WEEKDAY($F377,2)=6,$F377-1,IF(WEEKDAY($F377,2)=7,$F377-2,$F377)),IF(Recurring!$G$28="Move After",IF(WEEKDAY($F377,2)=6,$F377+2,IF(WEEKDAY($F377,2)=7,$F377+1,$F377)),$F377)))</f>
        <v/>
      </c>
      <c r="H377" s="82" t="n">
        <f aca="false">IF($G377="",0,IF(AND($G377&gt;='Cash Flow'!$E$6,$G377&lt;'Cash Flow'!$E$6+91),1,0))</f>
        <v>0</v>
      </c>
      <c r="I377" s="82"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80" t="str">
        <f aca="false">IF($C378="","",Recurring!$D$28)</f>
        <v/>
      </c>
      <c r="F378" s="8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1" t="str">
        <f aca="false">IF($F378="","",IF(Recurring!$G$28="Move Before",IF(WEEKDAY($F378,2)=6,$F378-1,IF(WEEKDAY($F378,2)=7,$F378-2,$F378)),IF(Recurring!$G$28="Move After",IF(WEEKDAY($F378,2)=6,$F378+2,IF(WEEKDAY($F378,2)=7,$F378+1,$F378)),$F378)))</f>
        <v/>
      </c>
      <c r="H378" s="82" t="n">
        <f aca="false">IF($G378="",0,IF(AND($G378&gt;='Cash Flow'!$E$6,$G378&lt;'Cash Flow'!$E$6+91),1,0))</f>
        <v>0</v>
      </c>
      <c r="I378" s="82"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80" t="str">
        <f aca="false">IF($C379="","",Recurring!$D$28)</f>
        <v/>
      </c>
      <c r="F379" s="8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1" t="str">
        <f aca="false">IF($F379="","",IF(Recurring!$G$28="Move Before",IF(WEEKDAY($F379,2)=6,$F379-1,IF(WEEKDAY($F379,2)=7,$F379-2,$F379)),IF(Recurring!$G$28="Move After",IF(WEEKDAY($F379,2)=6,$F379+2,IF(WEEKDAY($F379,2)=7,$F379+1,$F379)),$F379)))</f>
        <v/>
      </c>
      <c r="H379" s="82" t="n">
        <f aca="false">IF($G379="",0,IF(AND($G379&gt;='Cash Flow'!$E$6,$G379&lt;'Cash Flow'!$E$6+91),1,0))</f>
        <v>0</v>
      </c>
      <c r="I379" s="82"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80" t="str">
        <f aca="false">IF($C380="","",Recurring!$D$28)</f>
        <v/>
      </c>
      <c r="F380" s="8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1" t="str">
        <f aca="false">IF($F380="","",IF(Recurring!$G$28="Move Before",IF(WEEKDAY($F380,2)=6,$F380-1,IF(WEEKDAY($F380,2)=7,$F380-2,$F380)),IF(Recurring!$G$28="Move After",IF(WEEKDAY($F380,2)=6,$F380+2,IF(WEEKDAY($F380,2)=7,$F380+1,$F380)),$F380)))</f>
        <v/>
      </c>
      <c r="H380" s="82" t="n">
        <f aca="false">IF($G380="",0,IF(AND($G380&gt;='Cash Flow'!$E$6,$G380&lt;'Cash Flow'!$E$6+91),1,0))</f>
        <v>0</v>
      </c>
      <c r="I380" s="82"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80" t="str">
        <f aca="false">IF($C381="","",Recurring!$D$28)</f>
        <v/>
      </c>
      <c r="F381" s="8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1" t="str">
        <f aca="false">IF($F381="","",IF(Recurring!$G$28="Move Before",IF(WEEKDAY($F381,2)=6,$F381-1,IF(WEEKDAY($F381,2)=7,$F381-2,$F381)),IF(Recurring!$G$28="Move After",IF(WEEKDAY($F381,2)=6,$F381+2,IF(WEEKDAY($F381,2)=7,$F381+1,$F381)),$F381)))</f>
        <v/>
      </c>
      <c r="H381" s="82" t="n">
        <f aca="false">IF($G381="",0,IF(AND($G381&gt;='Cash Flow'!$E$6,$G381&lt;'Cash Flow'!$E$6+91),1,0))</f>
        <v>0</v>
      </c>
      <c r="I381" s="82"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80" t="str">
        <f aca="false">IF($C382="","",Recurring!$D$28)</f>
        <v/>
      </c>
      <c r="F382" s="8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1" t="str">
        <f aca="false">IF($F382="","",IF(Recurring!$G$28="Move Before",IF(WEEKDAY($F382,2)=6,$F382-1,IF(WEEKDAY($F382,2)=7,$F382-2,$F382)),IF(Recurring!$G$28="Move After",IF(WEEKDAY($F382,2)=6,$F382+2,IF(WEEKDAY($F382,2)=7,$F382+1,$F382)),$F382)))</f>
        <v/>
      </c>
      <c r="H382" s="82" t="n">
        <f aca="false">IF($G382="",0,IF(AND($G382&gt;='Cash Flow'!$E$6,$G382&lt;'Cash Flow'!$E$6+91),1,0))</f>
        <v>0</v>
      </c>
      <c r="I382" s="82"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80" t="str">
        <f aca="false">IF($C383="","",Recurring!$D$28)</f>
        <v/>
      </c>
      <c r="F383" s="8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1" t="str">
        <f aca="false">IF($F383="","",IF(Recurring!$G$28="Move Before",IF(WEEKDAY($F383,2)=6,$F383-1,IF(WEEKDAY($F383,2)=7,$F383-2,$F383)),IF(Recurring!$G$28="Move After",IF(WEEKDAY($F383,2)=6,$F383+2,IF(WEEKDAY($F383,2)=7,$F383+1,$F383)),$F383)))</f>
        <v/>
      </c>
      <c r="H383" s="82" t="n">
        <f aca="false">IF($G383="",0,IF(AND($G383&gt;='Cash Flow'!$E$6,$G383&lt;'Cash Flow'!$E$6+91),1,0))</f>
        <v>0</v>
      </c>
      <c r="I383" s="82"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80" t="str">
        <f aca="false">IF($C384="","",Recurring!$D$28)</f>
        <v/>
      </c>
      <c r="F384" s="8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1" t="str">
        <f aca="false">IF($F384="","",IF(Recurring!$G$28="Move Before",IF(WEEKDAY($F384,2)=6,$F384-1,IF(WEEKDAY($F384,2)=7,$F384-2,$F384)),IF(Recurring!$G$28="Move After",IF(WEEKDAY($F384,2)=6,$F384+2,IF(WEEKDAY($F384,2)=7,$F384+1,$F384)),$F384)))</f>
        <v/>
      </c>
      <c r="H384" s="82" t="n">
        <f aca="false">IF($G384="",0,IF(AND($G384&gt;='Cash Flow'!$E$6,$G384&lt;'Cash Flow'!$E$6+91),1,0))</f>
        <v>0</v>
      </c>
      <c r="I384" s="82"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80" t="str">
        <f aca="false">IF($C385="","",Recurring!$D$28)</f>
        <v/>
      </c>
      <c r="F385" s="8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1" t="str">
        <f aca="false">IF($F385="","",IF(Recurring!$G$28="Move Before",IF(WEEKDAY($F385,2)=6,$F385-1,IF(WEEKDAY($F385,2)=7,$F385-2,$F385)),IF(Recurring!$G$28="Move After",IF(WEEKDAY($F385,2)=6,$F385+2,IF(WEEKDAY($F385,2)=7,$F385+1,$F385)),$F385)))</f>
        <v/>
      </c>
      <c r="H385" s="82" t="n">
        <f aca="false">IF($G385="",0,IF(AND($G385&gt;='Cash Flow'!$E$6,$G385&lt;'Cash Flow'!$E$6+91),1,0))</f>
        <v>0</v>
      </c>
      <c r="I385" s="82"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80" t="str">
        <f aca="false">IF($C386="","",Recurring!$D$28)</f>
        <v/>
      </c>
      <c r="F386" s="8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1" t="str">
        <f aca="false">IF($F386="","",IF(Recurring!$G$28="Move Before",IF(WEEKDAY($F386,2)=6,$F386-1,IF(WEEKDAY($F386,2)=7,$F386-2,$F386)),IF(Recurring!$G$28="Move After",IF(WEEKDAY($F386,2)=6,$F386+2,IF(WEEKDAY($F386,2)=7,$F386+1,$F386)),$F386)))</f>
        <v/>
      </c>
      <c r="H386" s="82" t="n">
        <f aca="false">IF($G386="",0,IF(AND($G386&gt;='Cash Flow'!$E$6,$G386&lt;'Cash Flow'!$E$6+91),1,0))</f>
        <v>0</v>
      </c>
      <c r="I386" s="82"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80" t="str">
        <f aca="false">IF($C387="","",Recurring!$D$28)</f>
        <v/>
      </c>
      <c r="F387" s="8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1" t="str">
        <f aca="false">IF($F387="","",IF(Recurring!$G$28="Move Before",IF(WEEKDAY($F387,2)=6,$F387-1,IF(WEEKDAY($F387,2)=7,$F387-2,$F387)),IF(Recurring!$G$28="Move After",IF(WEEKDAY($F387,2)=6,$F387+2,IF(WEEKDAY($F387,2)=7,$F387+1,$F387)),$F387)))</f>
        <v/>
      </c>
      <c r="H387" s="82" t="n">
        <f aca="false">IF($G387="",0,IF(AND($G387&gt;='Cash Flow'!$E$6,$G387&lt;'Cash Flow'!$E$6+91),1,0))</f>
        <v>0</v>
      </c>
      <c r="I387" s="82"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80" t="str">
        <f aca="false">IF($C388="","",Recurring!$D$29)</f>
        <v/>
      </c>
      <c r="F388" s="8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1" t="str">
        <f aca="false">IF($F388="","",IF(Recurring!$G$29="Move Before",IF(WEEKDAY($F388,2)=6,$F388-1,IF(WEEKDAY($F388,2)=7,$F388-2,$F388)),IF(Recurring!$G$29="Move After",IF(WEEKDAY($F388,2)=6,$F388+2,IF(WEEKDAY($F388,2)=7,$F388+1,$F388)),$F388)))</f>
        <v/>
      </c>
      <c r="H388" s="82" t="n">
        <f aca="false">IF($G388="",0,IF(AND($G388&gt;='Cash Flow'!$E$6-90,$G388&lt;'Cash Flow'!$E$6+91),1,0))</f>
        <v>0</v>
      </c>
      <c r="I388" s="82"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80" t="str">
        <f aca="false">IF($C389="","",Recurring!$D$29)</f>
        <v/>
      </c>
      <c r="F389" s="8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1" t="str">
        <f aca="false">IF($F389="","",IF(Recurring!$G$29="Move Before",IF(WEEKDAY($F389,2)=6,$F389-1,IF(WEEKDAY($F389,2)=7,$F389-2,$F389)),IF(Recurring!$G$29="Move After",IF(WEEKDAY($F389,2)=6,$F389+2,IF(WEEKDAY($F389,2)=7,$F389+1,$F389)),$F389)))</f>
        <v/>
      </c>
      <c r="H389" s="82" t="n">
        <f aca="false">IF($G389="",0,IF(AND($G389&gt;='Cash Flow'!$E$6,$G389&lt;'Cash Flow'!$E$6+91),1,0))</f>
        <v>0</v>
      </c>
      <c r="I389" s="82"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80" t="str">
        <f aca="false">IF($C390="","",Recurring!$D$29)</f>
        <v/>
      </c>
      <c r="F390" s="8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1" t="str">
        <f aca="false">IF($F390="","",IF(Recurring!$G$29="Move Before",IF(WEEKDAY($F390,2)=6,$F390-1,IF(WEEKDAY($F390,2)=7,$F390-2,$F390)),IF(Recurring!$G$29="Move After",IF(WEEKDAY($F390,2)=6,$F390+2,IF(WEEKDAY($F390,2)=7,$F390+1,$F390)),$F390)))</f>
        <v/>
      </c>
      <c r="H390" s="82" t="n">
        <f aca="false">IF($G390="",0,IF(AND($G390&gt;='Cash Flow'!$E$6,$G390&lt;'Cash Flow'!$E$6+91),1,0))</f>
        <v>0</v>
      </c>
      <c r="I390" s="82"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80" t="str">
        <f aca="false">IF($C391="","",Recurring!$D$29)</f>
        <v/>
      </c>
      <c r="F391" s="8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1" t="str">
        <f aca="false">IF($F391="","",IF(Recurring!$G$29="Move Before",IF(WEEKDAY($F391,2)=6,$F391-1,IF(WEEKDAY($F391,2)=7,$F391-2,$F391)),IF(Recurring!$G$29="Move After",IF(WEEKDAY($F391,2)=6,$F391+2,IF(WEEKDAY($F391,2)=7,$F391+1,$F391)),$F391)))</f>
        <v/>
      </c>
      <c r="H391" s="82" t="n">
        <f aca="false">IF($G391="",0,IF(AND($G391&gt;='Cash Flow'!$E$6,$G391&lt;'Cash Flow'!$E$6+91),1,0))</f>
        <v>0</v>
      </c>
      <c r="I391" s="82"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80" t="str">
        <f aca="false">IF($C392="","",Recurring!$D$29)</f>
        <v/>
      </c>
      <c r="F392" s="8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1" t="str">
        <f aca="false">IF($F392="","",IF(Recurring!$G$29="Move Before",IF(WEEKDAY($F392,2)=6,$F392-1,IF(WEEKDAY($F392,2)=7,$F392-2,$F392)),IF(Recurring!$G$29="Move After",IF(WEEKDAY($F392,2)=6,$F392+2,IF(WEEKDAY($F392,2)=7,$F392+1,$F392)),$F392)))</f>
        <v/>
      </c>
      <c r="H392" s="82" t="n">
        <f aca="false">IF($G392="",0,IF(AND($G392&gt;='Cash Flow'!$E$6,$G392&lt;'Cash Flow'!$E$6+91),1,0))</f>
        <v>0</v>
      </c>
      <c r="I392" s="82"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80" t="str">
        <f aca="false">IF($C393="","",Recurring!$D$29)</f>
        <v/>
      </c>
      <c r="F393" s="8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1" t="str">
        <f aca="false">IF($F393="","",IF(Recurring!$G$29="Move Before",IF(WEEKDAY($F393,2)=6,$F393-1,IF(WEEKDAY($F393,2)=7,$F393-2,$F393)),IF(Recurring!$G$29="Move After",IF(WEEKDAY($F393,2)=6,$F393+2,IF(WEEKDAY($F393,2)=7,$F393+1,$F393)),$F393)))</f>
        <v/>
      </c>
      <c r="H393" s="82" t="n">
        <f aca="false">IF($G393="",0,IF(AND($G393&gt;='Cash Flow'!$E$6,$G393&lt;'Cash Flow'!$E$6+91),1,0))</f>
        <v>0</v>
      </c>
      <c r="I393" s="82"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80" t="str">
        <f aca="false">IF($C394="","",Recurring!$D$29)</f>
        <v/>
      </c>
      <c r="F394" s="8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1" t="str">
        <f aca="false">IF($F394="","",IF(Recurring!$G$29="Move Before",IF(WEEKDAY($F394,2)=6,$F394-1,IF(WEEKDAY($F394,2)=7,$F394-2,$F394)),IF(Recurring!$G$29="Move After",IF(WEEKDAY($F394,2)=6,$F394+2,IF(WEEKDAY($F394,2)=7,$F394+1,$F394)),$F394)))</f>
        <v/>
      </c>
      <c r="H394" s="82" t="n">
        <f aca="false">IF($G394="",0,IF(AND($G394&gt;='Cash Flow'!$E$6,$G394&lt;'Cash Flow'!$E$6+91),1,0))</f>
        <v>0</v>
      </c>
      <c r="I394" s="82"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80" t="str">
        <f aca="false">IF($C395="","",Recurring!$D$29)</f>
        <v/>
      </c>
      <c r="F395" s="8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1" t="str">
        <f aca="false">IF($F395="","",IF(Recurring!$G$29="Move Before",IF(WEEKDAY($F395,2)=6,$F395-1,IF(WEEKDAY($F395,2)=7,$F395-2,$F395)),IF(Recurring!$G$29="Move After",IF(WEEKDAY($F395,2)=6,$F395+2,IF(WEEKDAY($F395,2)=7,$F395+1,$F395)),$F395)))</f>
        <v/>
      </c>
      <c r="H395" s="82" t="n">
        <f aca="false">IF($G395="",0,IF(AND($G395&gt;='Cash Flow'!$E$6,$G395&lt;'Cash Flow'!$E$6+91),1,0))</f>
        <v>0</v>
      </c>
      <c r="I395" s="82"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80" t="str">
        <f aca="false">IF($C396="","",Recurring!$D$29)</f>
        <v/>
      </c>
      <c r="F396" s="8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1" t="str">
        <f aca="false">IF($F396="","",IF(Recurring!$G$29="Move Before",IF(WEEKDAY($F396,2)=6,$F396-1,IF(WEEKDAY($F396,2)=7,$F396-2,$F396)),IF(Recurring!$G$29="Move After",IF(WEEKDAY($F396,2)=6,$F396+2,IF(WEEKDAY($F396,2)=7,$F396+1,$F396)),$F396)))</f>
        <v/>
      </c>
      <c r="H396" s="82" t="n">
        <f aca="false">IF($G396="",0,IF(AND($G396&gt;='Cash Flow'!$E$6,$G396&lt;'Cash Flow'!$E$6+91),1,0))</f>
        <v>0</v>
      </c>
      <c r="I396" s="82"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80" t="str">
        <f aca="false">IF($C397="","",Recurring!$D$29)</f>
        <v/>
      </c>
      <c r="F397" s="8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1" t="str">
        <f aca="false">IF($F397="","",IF(Recurring!$G$29="Move Before",IF(WEEKDAY($F397,2)=6,$F397-1,IF(WEEKDAY($F397,2)=7,$F397-2,$F397)),IF(Recurring!$G$29="Move After",IF(WEEKDAY($F397,2)=6,$F397+2,IF(WEEKDAY($F397,2)=7,$F397+1,$F397)),$F397)))</f>
        <v/>
      </c>
      <c r="H397" s="82" t="n">
        <f aca="false">IF($G397="",0,IF(AND($G397&gt;='Cash Flow'!$E$6,$G397&lt;'Cash Flow'!$E$6+91),1,0))</f>
        <v>0</v>
      </c>
      <c r="I397" s="82"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80" t="str">
        <f aca="false">IF($C398="","",Recurring!$D$29)</f>
        <v/>
      </c>
      <c r="F398" s="8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1" t="str">
        <f aca="false">IF($F398="","",IF(Recurring!$G$29="Move Before",IF(WEEKDAY($F398,2)=6,$F398-1,IF(WEEKDAY($F398,2)=7,$F398-2,$F398)),IF(Recurring!$G$29="Move After",IF(WEEKDAY($F398,2)=6,$F398+2,IF(WEEKDAY($F398,2)=7,$F398+1,$F398)),$F398)))</f>
        <v/>
      </c>
      <c r="H398" s="82" t="n">
        <f aca="false">IF($G398="",0,IF(AND($G398&gt;='Cash Flow'!$E$6,$G398&lt;'Cash Flow'!$E$6+91),1,0))</f>
        <v>0</v>
      </c>
      <c r="I398" s="82"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80" t="str">
        <f aca="false">IF($C399="","",Recurring!$D$29)</f>
        <v/>
      </c>
      <c r="F399" s="8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1" t="str">
        <f aca="false">IF($F399="","",IF(Recurring!$G$29="Move Before",IF(WEEKDAY($F399,2)=6,$F399-1,IF(WEEKDAY($F399,2)=7,$F399-2,$F399)),IF(Recurring!$G$29="Move After",IF(WEEKDAY($F399,2)=6,$F399+2,IF(WEEKDAY($F399,2)=7,$F399+1,$F399)),$F399)))</f>
        <v/>
      </c>
      <c r="H399" s="82" t="n">
        <f aca="false">IF($G399="",0,IF(AND($G399&gt;='Cash Flow'!$E$6,$G399&lt;'Cash Flow'!$E$6+91),1,0))</f>
        <v>0</v>
      </c>
      <c r="I399" s="82"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80" t="str">
        <f aca="false">IF($C400="","",Recurring!$D$29)</f>
        <v/>
      </c>
      <c r="F400" s="8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1" t="str">
        <f aca="false">IF($F400="","",IF(Recurring!$G$29="Move Before",IF(WEEKDAY($F400,2)=6,$F400-1,IF(WEEKDAY($F400,2)=7,$F400-2,$F400)),IF(Recurring!$G$29="Move After",IF(WEEKDAY($F400,2)=6,$F400+2,IF(WEEKDAY($F400,2)=7,$F400+1,$F400)),$F400)))</f>
        <v/>
      </c>
      <c r="H400" s="82" t="n">
        <f aca="false">IF($G400="",0,IF(AND($G400&gt;='Cash Flow'!$E$6,$G400&lt;'Cash Flow'!$E$6+91),1,0))</f>
        <v>0</v>
      </c>
      <c r="I400" s="82"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80" t="str">
        <f aca="false">IF($C401="","",Recurring!$D$29)</f>
        <v/>
      </c>
      <c r="F401" s="8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1" t="str">
        <f aca="false">IF($F401="","",IF(Recurring!$G$29="Move Before",IF(WEEKDAY($F401,2)=6,$F401-1,IF(WEEKDAY($F401,2)=7,$F401-2,$F401)),IF(Recurring!$G$29="Move After",IF(WEEKDAY($F401,2)=6,$F401+2,IF(WEEKDAY($F401,2)=7,$F401+1,$F401)),$F401)))</f>
        <v/>
      </c>
      <c r="H401" s="82" t="n">
        <f aca="false">IF($G401="",0,IF(AND($G401&gt;='Cash Flow'!$E$6,$G401&lt;'Cash Flow'!$E$6+91),1,0))</f>
        <v>0</v>
      </c>
      <c r="I401" s="82"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80" t="str">
        <f aca="false">IF($C402="","",Recurring!$D$29)</f>
        <v/>
      </c>
      <c r="F402" s="8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1" t="str">
        <f aca="false">IF($F402="","",IF(Recurring!$G$29="Move Before",IF(WEEKDAY($F402,2)=6,$F402-1,IF(WEEKDAY($F402,2)=7,$F402-2,$F402)),IF(Recurring!$G$29="Move After",IF(WEEKDAY($F402,2)=6,$F402+2,IF(WEEKDAY($F402,2)=7,$F402+1,$F402)),$F402)))</f>
        <v/>
      </c>
      <c r="H402" s="82" t="n">
        <f aca="false">IF($G402="",0,IF(AND($G402&gt;='Cash Flow'!$E$6,$G402&lt;'Cash Flow'!$E$6+91),1,0))</f>
        <v>0</v>
      </c>
      <c r="I402" s="82"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80" t="str">
        <f aca="false">IF($C403="","",Recurring!$D$29)</f>
        <v/>
      </c>
      <c r="F403" s="8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1" t="str">
        <f aca="false">IF($F403="","",IF(Recurring!$G$29="Move Before",IF(WEEKDAY($F403,2)=6,$F403-1,IF(WEEKDAY($F403,2)=7,$F403-2,$F403)),IF(Recurring!$G$29="Move After",IF(WEEKDAY($F403,2)=6,$F403+2,IF(WEEKDAY($F403,2)=7,$F403+1,$F403)),$F403)))</f>
        <v/>
      </c>
      <c r="H403" s="82" t="n">
        <f aca="false">IF($G403="",0,IF(AND($G403&gt;='Cash Flow'!$E$6,$G403&lt;'Cash Flow'!$E$6+91),1,0))</f>
        <v>0</v>
      </c>
      <c r="I403" s="82"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80" t="str">
        <f aca="false">IF($C404="","",Recurring!$D$30)</f>
        <v/>
      </c>
      <c r="F404" s="8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1" t="str">
        <f aca="false">IF($F404="","",IF(Recurring!$G$30="Move Before",IF(WEEKDAY($F404,2)=6,$F404-1,IF(WEEKDAY($F404,2)=7,$F404-2,$F404)),IF(Recurring!$G$30="Move After",IF(WEEKDAY($F404,2)=6,$F404+2,IF(WEEKDAY($F404,2)=7,$F404+1,$F404)),$F404)))</f>
        <v/>
      </c>
      <c r="H404" s="82" t="n">
        <f aca="false">IF($G404="",0,IF(AND($G404&gt;='Cash Flow'!$E$6-90,$G404&lt;'Cash Flow'!$E$6+91),1,0))</f>
        <v>0</v>
      </c>
      <c r="I404" s="82"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80" t="str">
        <f aca="false">IF($C405="","",Recurring!$D$30)</f>
        <v/>
      </c>
      <c r="F405" s="8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1" t="str">
        <f aca="false">IF($F405="","",IF(Recurring!$G$30="Move Before",IF(WEEKDAY($F405,2)=6,$F405-1,IF(WEEKDAY($F405,2)=7,$F405-2,$F405)),IF(Recurring!$G$30="Move After",IF(WEEKDAY($F405,2)=6,$F405+2,IF(WEEKDAY($F405,2)=7,$F405+1,$F405)),$F405)))</f>
        <v/>
      </c>
      <c r="H405" s="82" t="n">
        <f aca="false">IF($G405="",0,IF(AND($G405&gt;='Cash Flow'!$E$6,$G405&lt;'Cash Flow'!$E$6+91),1,0))</f>
        <v>0</v>
      </c>
      <c r="I405" s="82"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80" t="str">
        <f aca="false">IF($C406="","",Recurring!$D$30)</f>
        <v/>
      </c>
      <c r="F406" s="8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1" t="str">
        <f aca="false">IF($F406="","",IF(Recurring!$G$30="Move Before",IF(WEEKDAY($F406,2)=6,$F406-1,IF(WEEKDAY($F406,2)=7,$F406-2,$F406)),IF(Recurring!$G$30="Move After",IF(WEEKDAY($F406,2)=6,$F406+2,IF(WEEKDAY($F406,2)=7,$F406+1,$F406)),$F406)))</f>
        <v/>
      </c>
      <c r="H406" s="82" t="n">
        <f aca="false">IF($G406="",0,IF(AND($G406&gt;='Cash Flow'!$E$6,$G406&lt;'Cash Flow'!$E$6+91),1,0))</f>
        <v>0</v>
      </c>
      <c r="I406" s="82"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80" t="str">
        <f aca="false">IF($C407="","",Recurring!$D$30)</f>
        <v/>
      </c>
      <c r="F407" s="8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1" t="str">
        <f aca="false">IF($F407="","",IF(Recurring!$G$30="Move Before",IF(WEEKDAY($F407,2)=6,$F407-1,IF(WEEKDAY($F407,2)=7,$F407-2,$F407)),IF(Recurring!$G$30="Move After",IF(WEEKDAY($F407,2)=6,$F407+2,IF(WEEKDAY($F407,2)=7,$F407+1,$F407)),$F407)))</f>
        <v/>
      </c>
      <c r="H407" s="82" t="n">
        <f aca="false">IF($G407="",0,IF(AND($G407&gt;='Cash Flow'!$E$6,$G407&lt;'Cash Flow'!$E$6+91),1,0))</f>
        <v>0</v>
      </c>
      <c r="I407" s="82"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80" t="str">
        <f aca="false">IF($C408="","",Recurring!$D$30)</f>
        <v/>
      </c>
      <c r="F408" s="8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1" t="str">
        <f aca="false">IF($F408="","",IF(Recurring!$G$30="Move Before",IF(WEEKDAY($F408,2)=6,$F408-1,IF(WEEKDAY($F408,2)=7,$F408-2,$F408)),IF(Recurring!$G$30="Move After",IF(WEEKDAY($F408,2)=6,$F408+2,IF(WEEKDAY($F408,2)=7,$F408+1,$F408)),$F408)))</f>
        <v/>
      </c>
      <c r="H408" s="82" t="n">
        <f aca="false">IF($G408="",0,IF(AND($G408&gt;='Cash Flow'!$E$6,$G408&lt;'Cash Flow'!$E$6+91),1,0))</f>
        <v>0</v>
      </c>
      <c r="I408" s="82"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80" t="str">
        <f aca="false">IF($C409="","",Recurring!$D$30)</f>
        <v/>
      </c>
      <c r="F409" s="8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1" t="str">
        <f aca="false">IF($F409="","",IF(Recurring!$G$30="Move Before",IF(WEEKDAY($F409,2)=6,$F409-1,IF(WEEKDAY($F409,2)=7,$F409-2,$F409)),IF(Recurring!$G$30="Move After",IF(WEEKDAY($F409,2)=6,$F409+2,IF(WEEKDAY($F409,2)=7,$F409+1,$F409)),$F409)))</f>
        <v/>
      </c>
      <c r="H409" s="82" t="n">
        <f aca="false">IF($G409="",0,IF(AND($G409&gt;='Cash Flow'!$E$6,$G409&lt;'Cash Flow'!$E$6+91),1,0))</f>
        <v>0</v>
      </c>
      <c r="I409" s="82"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80" t="str">
        <f aca="false">IF($C410="","",Recurring!$D$30)</f>
        <v/>
      </c>
      <c r="F410" s="8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1" t="str">
        <f aca="false">IF($F410="","",IF(Recurring!$G$30="Move Before",IF(WEEKDAY($F410,2)=6,$F410-1,IF(WEEKDAY($F410,2)=7,$F410-2,$F410)),IF(Recurring!$G$30="Move After",IF(WEEKDAY($F410,2)=6,$F410+2,IF(WEEKDAY($F410,2)=7,$F410+1,$F410)),$F410)))</f>
        <v/>
      </c>
      <c r="H410" s="82" t="n">
        <f aca="false">IF($G410="",0,IF(AND($G410&gt;='Cash Flow'!$E$6,$G410&lt;'Cash Flow'!$E$6+91),1,0))</f>
        <v>0</v>
      </c>
      <c r="I410" s="82"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80" t="str">
        <f aca="false">IF($C411="","",Recurring!$D$30)</f>
        <v/>
      </c>
      <c r="F411" s="8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1" t="str">
        <f aca="false">IF($F411="","",IF(Recurring!$G$30="Move Before",IF(WEEKDAY($F411,2)=6,$F411-1,IF(WEEKDAY($F411,2)=7,$F411-2,$F411)),IF(Recurring!$G$30="Move After",IF(WEEKDAY($F411,2)=6,$F411+2,IF(WEEKDAY($F411,2)=7,$F411+1,$F411)),$F411)))</f>
        <v/>
      </c>
      <c r="H411" s="82" t="n">
        <f aca="false">IF($G411="",0,IF(AND($G411&gt;='Cash Flow'!$E$6,$G411&lt;'Cash Flow'!$E$6+91),1,0))</f>
        <v>0</v>
      </c>
      <c r="I411" s="82"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80" t="str">
        <f aca="false">IF($C412="","",Recurring!$D$30)</f>
        <v/>
      </c>
      <c r="F412" s="8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1" t="str">
        <f aca="false">IF($F412="","",IF(Recurring!$G$30="Move Before",IF(WEEKDAY($F412,2)=6,$F412-1,IF(WEEKDAY($F412,2)=7,$F412-2,$F412)),IF(Recurring!$G$30="Move After",IF(WEEKDAY($F412,2)=6,$F412+2,IF(WEEKDAY($F412,2)=7,$F412+1,$F412)),$F412)))</f>
        <v/>
      </c>
      <c r="H412" s="82" t="n">
        <f aca="false">IF($G412="",0,IF(AND($G412&gt;='Cash Flow'!$E$6,$G412&lt;'Cash Flow'!$E$6+91),1,0))</f>
        <v>0</v>
      </c>
      <c r="I412" s="82"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80" t="str">
        <f aca="false">IF($C413="","",Recurring!$D$30)</f>
        <v/>
      </c>
      <c r="F413" s="8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1" t="str">
        <f aca="false">IF($F413="","",IF(Recurring!$G$30="Move Before",IF(WEEKDAY($F413,2)=6,$F413-1,IF(WEEKDAY($F413,2)=7,$F413-2,$F413)),IF(Recurring!$G$30="Move After",IF(WEEKDAY($F413,2)=6,$F413+2,IF(WEEKDAY($F413,2)=7,$F413+1,$F413)),$F413)))</f>
        <v/>
      </c>
      <c r="H413" s="82" t="n">
        <f aca="false">IF($G413="",0,IF(AND($G413&gt;='Cash Flow'!$E$6,$G413&lt;'Cash Flow'!$E$6+91),1,0))</f>
        <v>0</v>
      </c>
      <c r="I413" s="82"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80" t="str">
        <f aca="false">IF($C414="","",Recurring!$D$30)</f>
        <v/>
      </c>
      <c r="F414" s="8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1" t="str">
        <f aca="false">IF($F414="","",IF(Recurring!$G$30="Move Before",IF(WEEKDAY($F414,2)=6,$F414-1,IF(WEEKDAY($F414,2)=7,$F414-2,$F414)),IF(Recurring!$G$30="Move After",IF(WEEKDAY($F414,2)=6,$F414+2,IF(WEEKDAY($F414,2)=7,$F414+1,$F414)),$F414)))</f>
        <v/>
      </c>
      <c r="H414" s="82" t="n">
        <f aca="false">IF($G414="",0,IF(AND($G414&gt;='Cash Flow'!$E$6,$G414&lt;'Cash Flow'!$E$6+91),1,0))</f>
        <v>0</v>
      </c>
      <c r="I414" s="82"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80" t="str">
        <f aca="false">IF($C415="","",Recurring!$D$30)</f>
        <v/>
      </c>
      <c r="F415" s="8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1" t="str">
        <f aca="false">IF($F415="","",IF(Recurring!$G$30="Move Before",IF(WEEKDAY($F415,2)=6,$F415-1,IF(WEEKDAY($F415,2)=7,$F415-2,$F415)),IF(Recurring!$G$30="Move After",IF(WEEKDAY($F415,2)=6,$F415+2,IF(WEEKDAY($F415,2)=7,$F415+1,$F415)),$F415)))</f>
        <v/>
      </c>
      <c r="H415" s="82" t="n">
        <f aca="false">IF($G415="",0,IF(AND($G415&gt;='Cash Flow'!$E$6,$G415&lt;'Cash Flow'!$E$6+91),1,0))</f>
        <v>0</v>
      </c>
      <c r="I415" s="82"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80" t="str">
        <f aca="false">IF($C416="","",Recurring!$D$30)</f>
        <v/>
      </c>
      <c r="F416" s="8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1" t="str">
        <f aca="false">IF($F416="","",IF(Recurring!$G$30="Move Before",IF(WEEKDAY($F416,2)=6,$F416-1,IF(WEEKDAY($F416,2)=7,$F416-2,$F416)),IF(Recurring!$G$30="Move After",IF(WEEKDAY($F416,2)=6,$F416+2,IF(WEEKDAY($F416,2)=7,$F416+1,$F416)),$F416)))</f>
        <v/>
      </c>
      <c r="H416" s="82" t="n">
        <f aca="false">IF($G416="",0,IF(AND($G416&gt;='Cash Flow'!$E$6,$G416&lt;'Cash Flow'!$E$6+91),1,0))</f>
        <v>0</v>
      </c>
      <c r="I416" s="82"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80" t="str">
        <f aca="false">IF($C417="","",Recurring!$D$30)</f>
        <v/>
      </c>
      <c r="F417" s="8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1" t="str">
        <f aca="false">IF($F417="","",IF(Recurring!$G$30="Move Before",IF(WEEKDAY($F417,2)=6,$F417-1,IF(WEEKDAY($F417,2)=7,$F417-2,$F417)),IF(Recurring!$G$30="Move After",IF(WEEKDAY($F417,2)=6,$F417+2,IF(WEEKDAY($F417,2)=7,$F417+1,$F417)),$F417)))</f>
        <v/>
      </c>
      <c r="H417" s="82" t="n">
        <f aca="false">IF($G417="",0,IF(AND($G417&gt;='Cash Flow'!$E$6,$G417&lt;'Cash Flow'!$E$6+91),1,0))</f>
        <v>0</v>
      </c>
      <c r="I417" s="82"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80" t="str">
        <f aca="false">IF($C418="","",Recurring!$D$30)</f>
        <v/>
      </c>
      <c r="F418" s="8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1" t="str">
        <f aca="false">IF($F418="","",IF(Recurring!$G$30="Move Before",IF(WEEKDAY($F418,2)=6,$F418-1,IF(WEEKDAY($F418,2)=7,$F418-2,$F418)),IF(Recurring!$G$30="Move After",IF(WEEKDAY($F418,2)=6,$F418+2,IF(WEEKDAY($F418,2)=7,$F418+1,$F418)),$F418)))</f>
        <v/>
      </c>
      <c r="H418" s="82" t="n">
        <f aca="false">IF($G418="",0,IF(AND($G418&gt;='Cash Flow'!$E$6,$G418&lt;'Cash Flow'!$E$6+91),1,0))</f>
        <v>0</v>
      </c>
      <c r="I418" s="82"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80" t="str">
        <f aca="false">IF($C419="","",Recurring!$D$30)</f>
        <v/>
      </c>
      <c r="F419" s="8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1" t="str">
        <f aca="false">IF($F419="","",IF(Recurring!$G$30="Move Before",IF(WEEKDAY($F419,2)=6,$F419-1,IF(WEEKDAY($F419,2)=7,$F419-2,$F419)),IF(Recurring!$G$30="Move After",IF(WEEKDAY($F419,2)=6,$F419+2,IF(WEEKDAY($F419,2)=7,$F419+1,$F419)),$F419)))</f>
        <v/>
      </c>
      <c r="H419" s="82" t="n">
        <f aca="false">IF($G419="",0,IF(AND($G419&gt;='Cash Flow'!$E$6,$G419&lt;'Cash Flow'!$E$6+91),1,0))</f>
        <v>0</v>
      </c>
      <c r="I419" s="82"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80" t="str">
        <f aca="false">IF($C420="","",Recurring!$D$31)</f>
        <v/>
      </c>
      <c r="F420" s="8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1" t="str">
        <f aca="false">IF($F420="","",IF(Recurring!$G$31="Move Before",IF(WEEKDAY($F420,2)=6,$F420-1,IF(WEEKDAY($F420,2)=7,$F420-2,$F420)),IF(Recurring!$G$31="Move After",IF(WEEKDAY($F420,2)=6,$F420+2,IF(WEEKDAY($F420,2)=7,$F420+1,$F420)),$F420)))</f>
        <v/>
      </c>
      <c r="H420" s="82" t="n">
        <f aca="false">IF($G420="",0,IF(AND($G420&gt;='Cash Flow'!$E$6-90,$G420&lt;'Cash Flow'!$E$6+91),1,0))</f>
        <v>0</v>
      </c>
      <c r="I420" s="82"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80" t="str">
        <f aca="false">IF($C421="","",Recurring!$D$31)</f>
        <v/>
      </c>
      <c r="F421" s="8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1" t="str">
        <f aca="false">IF($F421="","",IF(Recurring!$G$31="Move Before",IF(WEEKDAY($F421,2)=6,$F421-1,IF(WEEKDAY($F421,2)=7,$F421-2,$F421)),IF(Recurring!$G$31="Move After",IF(WEEKDAY($F421,2)=6,$F421+2,IF(WEEKDAY($F421,2)=7,$F421+1,$F421)),$F421)))</f>
        <v/>
      </c>
      <c r="H421" s="82" t="n">
        <f aca="false">IF($G421="",0,IF(AND($G421&gt;='Cash Flow'!$E$6,$G421&lt;'Cash Flow'!$E$6+91),1,0))</f>
        <v>0</v>
      </c>
      <c r="I421" s="82"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80" t="str">
        <f aca="false">IF($C422="","",Recurring!$D$31)</f>
        <v/>
      </c>
      <c r="F422" s="8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1" t="str">
        <f aca="false">IF($F422="","",IF(Recurring!$G$31="Move Before",IF(WEEKDAY($F422,2)=6,$F422-1,IF(WEEKDAY($F422,2)=7,$F422-2,$F422)),IF(Recurring!$G$31="Move After",IF(WEEKDAY($F422,2)=6,$F422+2,IF(WEEKDAY($F422,2)=7,$F422+1,$F422)),$F422)))</f>
        <v/>
      </c>
      <c r="H422" s="82" t="n">
        <f aca="false">IF($G422="",0,IF(AND($G422&gt;='Cash Flow'!$E$6,$G422&lt;'Cash Flow'!$E$6+91),1,0))</f>
        <v>0</v>
      </c>
      <c r="I422" s="82"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80" t="str">
        <f aca="false">IF($C423="","",Recurring!$D$31)</f>
        <v/>
      </c>
      <c r="F423" s="8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1" t="str">
        <f aca="false">IF($F423="","",IF(Recurring!$G$31="Move Before",IF(WEEKDAY($F423,2)=6,$F423-1,IF(WEEKDAY($F423,2)=7,$F423-2,$F423)),IF(Recurring!$G$31="Move After",IF(WEEKDAY($F423,2)=6,$F423+2,IF(WEEKDAY($F423,2)=7,$F423+1,$F423)),$F423)))</f>
        <v/>
      </c>
      <c r="H423" s="82" t="n">
        <f aca="false">IF($G423="",0,IF(AND($G423&gt;='Cash Flow'!$E$6,$G423&lt;'Cash Flow'!$E$6+91),1,0))</f>
        <v>0</v>
      </c>
      <c r="I423" s="82"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80" t="str">
        <f aca="false">IF($C424="","",Recurring!$D$31)</f>
        <v/>
      </c>
      <c r="F424" s="8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1" t="str">
        <f aca="false">IF($F424="","",IF(Recurring!$G$31="Move Before",IF(WEEKDAY($F424,2)=6,$F424-1,IF(WEEKDAY($F424,2)=7,$F424-2,$F424)),IF(Recurring!$G$31="Move After",IF(WEEKDAY($F424,2)=6,$F424+2,IF(WEEKDAY($F424,2)=7,$F424+1,$F424)),$F424)))</f>
        <v/>
      </c>
      <c r="H424" s="82" t="n">
        <f aca="false">IF($G424="",0,IF(AND($G424&gt;='Cash Flow'!$E$6,$G424&lt;'Cash Flow'!$E$6+91),1,0))</f>
        <v>0</v>
      </c>
      <c r="I424" s="82"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80" t="str">
        <f aca="false">IF($C425="","",Recurring!$D$31)</f>
        <v/>
      </c>
      <c r="F425" s="8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1" t="str">
        <f aca="false">IF($F425="","",IF(Recurring!$G$31="Move Before",IF(WEEKDAY($F425,2)=6,$F425-1,IF(WEEKDAY($F425,2)=7,$F425-2,$F425)),IF(Recurring!$G$31="Move After",IF(WEEKDAY($F425,2)=6,$F425+2,IF(WEEKDAY($F425,2)=7,$F425+1,$F425)),$F425)))</f>
        <v/>
      </c>
      <c r="H425" s="82" t="n">
        <f aca="false">IF($G425="",0,IF(AND($G425&gt;='Cash Flow'!$E$6,$G425&lt;'Cash Flow'!$E$6+91),1,0))</f>
        <v>0</v>
      </c>
      <c r="I425" s="82"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80" t="str">
        <f aca="false">IF($C426="","",Recurring!$D$31)</f>
        <v/>
      </c>
      <c r="F426" s="8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1" t="str">
        <f aca="false">IF($F426="","",IF(Recurring!$G$31="Move Before",IF(WEEKDAY($F426,2)=6,$F426-1,IF(WEEKDAY($F426,2)=7,$F426-2,$F426)),IF(Recurring!$G$31="Move After",IF(WEEKDAY($F426,2)=6,$F426+2,IF(WEEKDAY($F426,2)=7,$F426+1,$F426)),$F426)))</f>
        <v/>
      </c>
      <c r="H426" s="82" t="n">
        <f aca="false">IF($G426="",0,IF(AND($G426&gt;='Cash Flow'!$E$6,$G426&lt;'Cash Flow'!$E$6+91),1,0))</f>
        <v>0</v>
      </c>
      <c r="I426" s="82"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80" t="str">
        <f aca="false">IF($C427="","",Recurring!$D$31)</f>
        <v/>
      </c>
      <c r="F427" s="8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1" t="str">
        <f aca="false">IF($F427="","",IF(Recurring!$G$31="Move Before",IF(WEEKDAY($F427,2)=6,$F427-1,IF(WEEKDAY($F427,2)=7,$F427-2,$F427)),IF(Recurring!$G$31="Move After",IF(WEEKDAY($F427,2)=6,$F427+2,IF(WEEKDAY($F427,2)=7,$F427+1,$F427)),$F427)))</f>
        <v/>
      </c>
      <c r="H427" s="82" t="n">
        <f aca="false">IF($G427="",0,IF(AND($G427&gt;='Cash Flow'!$E$6,$G427&lt;'Cash Flow'!$E$6+91),1,0))</f>
        <v>0</v>
      </c>
      <c r="I427" s="82"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80" t="str">
        <f aca="false">IF($C428="","",Recurring!$D$31)</f>
        <v/>
      </c>
      <c r="F428" s="8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1" t="str">
        <f aca="false">IF($F428="","",IF(Recurring!$G$31="Move Before",IF(WEEKDAY($F428,2)=6,$F428-1,IF(WEEKDAY($F428,2)=7,$F428-2,$F428)),IF(Recurring!$G$31="Move After",IF(WEEKDAY($F428,2)=6,$F428+2,IF(WEEKDAY($F428,2)=7,$F428+1,$F428)),$F428)))</f>
        <v/>
      </c>
      <c r="H428" s="82" t="n">
        <f aca="false">IF($G428="",0,IF(AND($G428&gt;='Cash Flow'!$E$6,$G428&lt;'Cash Flow'!$E$6+91),1,0))</f>
        <v>0</v>
      </c>
      <c r="I428" s="82"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80" t="str">
        <f aca="false">IF($C429="","",Recurring!$D$31)</f>
        <v/>
      </c>
      <c r="F429" s="8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1" t="str">
        <f aca="false">IF($F429="","",IF(Recurring!$G$31="Move Before",IF(WEEKDAY($F429,2)=6,$F429-1,IF(WEEKDAY($F429,2)=7,$F429-2,$F429)),IF(Recurring!$G$31="Move After",IF(WEEKDAY($F429,2)=6,$F429+2,IF(WEEKDAY($F429,2)=7,$F429+1,$F429)),$F429)))</f>
        <v/>
      </c>
      <c r="H429" s="82" t="n">
        <f aca="false">IF($G429="",0,IF(AND($G429&gt;='Cash Flow'!$E$6,$G429&lt;'Cash Flow'!$E$6+91),1,0))</f>
        <v>0</v>
      </c>
      <c r="I429" s="82"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80" t="str">
        <f aca="false">IF($C430="","",Recurring!$D$31)</f>
        <v/>
      </c>
      <c r="F430" s="8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1" t="str">
        <f aca="false">IF($F430="","",IF(Recurring!$G$31="Move Before",IF(WEEKDAY($F430,2)=6,$F430-1,IF(WEEKDAY($F430,2)=7,$F430-2,$F430)),IF(Recurring!$G$31="Move After",IF(WEEKDAY($F430,2)=6,$F430+2,IF(WEEKDAY($F430,2)=7,$F430+1,$F430)),$F430)))</f>
        <v/>
      </c>
      <c r="H430" s="82" t="n">
        <f aca="false">IF($G430="",0,IF(AND($G430&gt;='Cash Flow'!$E$6,$G430&lt;'Cash Flow'!$E$6+91),1,0))</f>
        <v>0</v>
      </c>
      <c r="I430" s="82"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80" t="str">
        <f aca="false">IF($C431="","",Recurring!$D$31)</f>
        <v/>
      </c>
      <c r="F431" s="8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1" t="str">
        <f aca="false">IF($F431="","",IF(Recurring!$G$31="Move Before",IF(WEEKDAY($F431,2)=6,$F431-1,IF(WEEKDAY($F431,2)=7,$F431-2,$F431)),IF(Recurring!$G$31="Move After",IF(WEEKDAY($F431,2)=6,$F431+2,IF(WEEKDAY($F431,2)=7,$F431+1,$F431)),$F431)))</f>
        <v/>
      </c>
      <c r="H431" s="82" t="n">
        <f aca="false">IF($G431="",0,IF(AND($G431&gt;='Cash Flow'!$E$6,$G431&lt;'Cash Flow'!$E$6+91),1,0))</f>
        <v>0</v>
      </c>
      <c r="I431" s="82"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80" t="str">
        <f aca="false">IF($C432="","",Recurring!$D$31)</f>
        <v/>
      </c>
      <c r="F432" s="8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1" t="str">
        <f aca="false">IF($F432="","",IF(Recurring!$G$31="Move Before",IF(WEEKDAY($F432,2)=6,$F432-1,IF(WEEKDAY($F432,2)=7,$F432-2,$F432)),IF(Recurring!$G$31="Move After",IF(WEEKDAY($F432,2)=6,$F432+2,IF(WEEKDAY($F432,2)=7,$F432+1,$F432)),$F432)))</f>
        <v/>
      </c>
      <c r="H432" s="82" t="n">
        <f aca="false">IF($G432="",0,IF(AND($G432&gt;='Cash Flow'!$E$6,$G432&lt;'Cash Flow'!$E$6+91),1,0))</f>
        <v>0</v>
      </c>
      <c r="I432" s="82"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80" t="str">
        <f aca="false">IF($C433="","",Recurring!$D$31)</f>
        <v/>
      </c>
      <c r="F433" s="8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1" t="str">
        <f aca="false">IF($F433="","",IF(Recurring!$G$31="Move Before",IF(WEEKDAY($F433,2)=6,$F433-1,IF(WEEKDAY($F433,2)=7,$F433-2,$F433)),IF(Recurring!$G$31="Move After",IF(WEEKDAY($F433,2)=6,$F433+2,IF(WEEKDAY($F433,2)=7,$F433+1,$F433)),$F433)))</f>
        <v/>
      </c>
      <c r="H433" s="82" t="n">
        <f aca="false">IF($G433="",0,IF(AND($G433&gt;='Cash Flow'!$E$6,$G433&lt;'Cash Flow'!$E$6+91),1,0))</f>
        <v>0</v>
      </c>
      <c r="I433" s="82"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80" t="str">
        <f aca="false">IF($C434="","",Recurring!$D$31)</f>
        <v/>
      </c>
      <c r="F434" s="8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1" t="str">
        <f aca="false">IF($F434="","",IF(Recurring!$G$31="Move Before",IF(WEEKDAY($F434,2)=6,$F434-1,IF(WEEKDAY($F434,2)=7,$F434-2,$F434)),IF(Recurring!$G$31="Move After",IF(WEEKDAY($F434,2)=6,$F434+2,IF(WEEKDAY($F434,2)=7,$F434+1,$F434)),$F434)))</f>
        <v/>
      </c>
      <c r="H434" s="82" t="n">
        <f aca="false">IF($G434="",0,IF(AND($G434&gt;='Cash Flow'!$E$6,$G434&lt;'Cash Flow'!$E$6+91),1,0))</f>
        <v>0</v>
      </c>
      <c r="I434" s="82"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80" t="str">
        <f aca="false">IF($C435="","",Recurring!$D$31)</f>
        <v/>
      </c>
      <c r="F435" s="8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1" t="str">
        <f aca="false">IF($F435="","",IF(Recurring!$G$31="Move Before",IF(WEEKDAY($F435,2)=6,$F435-1,IF(WEEKDAY($F435,2)=7,$F435-2,$F435)),IF(Recurring!$G$31="Move After",IF(WEEKDAY($F435,2)=6,$F435+2,IF(WEEKDAY($F435,2)=7,$F435+1,$F435)),$F435)))</f>
        <v/>
      </c>
      <c r="H435" s="82" t="n">
        <f aca="false">IF($G435="",0,IF(AND($G435&gt;='Cash Flow'!$E$6,$G435&lt;'Cash Flow'!$E$6+91),1,0))</f>
        <v>0</v>
      </c>
      <c r="I435" s="82"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80" t="str">
        <f aca="false">IF($C436="","",Recurring!$D$32)</f>
        <v/>
      </c>
      <c r="F436" s="8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1" t="str">
        <f aca="false">IF($F436="","",IF(Recurring!$G$32="Move Before",IF(WEEKDAY($F436,2)=6,$F436-1,IF(WEEKDAY($F436,2)=7,$F436-2,$F436)),IF(Recurring!$G$32="Move After",IF(WEEKDAY($F436,2)=6,$F436+2,IF(WEEKDAY($F436,2)=7,$F436+1,$F436)),$F436)))</f>
        <v/>
      </c>
      <c r="H436" s="82" t="n">
        <f aca="false">IF($G436="",0,IF(AND($G436&gt;='Cash Flow'!$E$6-90,$G436&lt;'Cash Flow'!$E$6+91),1,0))</f>
        <v>0</v>
      </c>
      <c r="I436" s="82"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80" t="str">
        <f aca="false">IF($C437="","",Recurring!$D$32)</f>
        <v/>
      </c>
      <c r="F437" s="8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1" t="str">
        <f aca="false">IF($F437="","",IF(Recurring!$G$32="Move Before",IF(WEEKDAY($F437,2)=6,$F437-1,IF(WEEKDAY($F437,2)=7,$F437-2,$F437)),IF(Recurring!$G$32="Move After",IF(WEEKDAY($F437,2)=6,$F437+2,IF(WEEKDAY($F437,2)=7,$F437+1,$F437)),$F437)))</f>
        <v/>
      </c>
      <c r="H437" s="82" t="n">
        <f aca="false">IF($G437="",0,IF(AND($G437&gt;='Cash Flow'!$E$6,$G437&lt;'Cash Flow'!$E$6+91),1,0))</f>
        <v>0</v>
      </c>
      <c r="I437" s="82"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80" t="str">
        <f aca="false">IF($C438="","",Recurring!$D$32)</f>
        <v/>
      </c>
      <c r="F438" s="8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1" t="str">
        <f aca="false">IF($F438="","",IF(Recurring!$G$32="Move Before",IF(WEEKDAY($F438,2)=6,$F438-1,IF(WEEKDAY($F438,2)=7,$F438-2,$F438)),IF(Recurring!$G$32="Move After",IF(WEEKDAY($F438,2)=6,$F438+2,IF(WEEKDAY($F438,2)=7,$F438+1,$F438)),$F438)))</f>
        <v/>
      </c>
      <c r="H438" s="82" t="n">
        <f aca="false">IF($G438="",0,IF(AND($G438&gt;='Cash Flow'!$E$6,$G438&lt;'Cash Flow'!$E$6+91),1,0))</f>
        <v>0</v>
      </c>
      <c r="I438" s="82"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80" t="str">
        <f aca="false">IF($C439="","",Recurring!$D$32)</f>
        <v/>
      </c>
      <c r="F439" s="8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1" t="str">
        <f aca="false">IF($F439="","",IF(Recurring!$G$32="Move Before",IF(WEEKDAY($F439,2)=6,$F439-1,IF(WEEKDAY($F439,2)=7,$F439-2,$F439)),IF(Recurring!$G$32="Move After",IF(WEEKDAY($F439,2)=6,$F439+2,IF(WEEKDAY($F439,2)=7,$F439+1,$F439)),$F439)))</f>
        <v/>
      </c>
      <c r="H439" s="82" t="n">
        <f aca="false">IF($G439="",0,IF(AND($G439&gt;='Cash Flow'!$E$6,$G439&lt;'Cash Flow'!$E$6+91),1,0))</f>
        <v>0</v>
      </c>
      <c r="I439" s="82"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80" t="str">
        <f aca="false">IF($C440="","",Recurring!$D$32)</f>
        <v/>
      </c>
      <c r="F440" s="8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1" t="str">
        <f aca="false">IF($F440="","",IF(Recurring!$G$32="Move Before",IF(WEEKDAY($F440,2)=6,$F440-1,IF(WEEKDAY($F440,2)=7,$F440-2,$F440)),IF(Recurring!$G$32="Move After",IF(WEEKDAY($F440,2)=6,$F440+2,IF(WEEKDAY($F440,2)=7,$F440+1,$F440)),$F440)))</f>
        <v/>
      </c>
      <c r="H440" s="82" t="n">
        <f aca="false">IF($G440="",0,IF(AND($G440&gt;='Cash Flow'!$E$6,$G440&lt;'Cash Flow'!$E$6+91),1,0))</f>
        <v>0</v>
      </c>
      <c r="I440" s="82"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80" t="str">
        <f aca="false">IF($C441="","",Recurring!$D$32)</f>
        <v/>
      </c>
      <c r="F441" s="8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1" t="str">
        <f aca="false">IF($F441="","",IF(Recurring!$G$32="Move Before",IF(WEEKDAY($F441,2)=6,$F441-1,IF(WEEKDAY($F441,2)=7,$F441-2,$F441)),IF(Recurring!$G$32="Move After",IF(WEEKDAY($F441,2)=6,$F441+2,IF(WEEKDAY($F441,2)=7,$F441+1,$F441)),$F441)))</f>
        <v/>
      </c>
      <c r="H441" s="82" t="n">
        <f aca="false">IF($G441="",0,IF(AND($G441&gt;='Cash Flow'!$E$6,$G441&lt;'Cash Flow'!$E$6+91),1,0))</f>
        <v>0</v>
      </c>
      <c r="I441" s="82"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80" t="str">
        <f aca="false">IF($C442="","",Recurring!$D$32)</f>
        <v/>
      </c>
      <c r="F442" s="8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1" t="str">
        <f aca="false">IF($F442="","",IF(Recurring!$G$32="Move Before",IF(WEEKDAY($F442,2)=6,$F442-1,IF(WEEKDAY($F442,2)=7,$F442-2,$F442)),IF(Recurring!$G$32="Move After",IF(WEEKDAY($F442,2)=6,$F442+2,IF(WEEKDAY($F442,2)=7,$F442+1,$F442)),$F442)))</f>
        <v/>
      </c>
      <c r="H442" s="82" t="n">
        <f aca="false">IF($G442="",0,IF(AND($G442&gt;='Cash Flow'!$E$6,$G442&lt;'Cash Flow'!$E$6+91),1,0))</f>
        <v>0</v>
      </c>
      <c r="I442" s="82"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80" t="str">
        <f aca="false">IF($C443="","",Recurring!$D$32)</f>
        <v/>
      </c>
      <c r="F443" s="8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1" t="str">
        <f aca="false">IF($F443="","",IF(Recurring!$G$32="Move Before",IF(WEEKDAY($F443,2)=6,$F443-1,IF(WEEKDAY($F443,2)=7,$F443-2,$F443)),IF(Recurring!$G$32="Move After",IF(WEEKDAY($F443,2)=6,$F443+2,IF(WEEKDAY($F443,2)=7,$F443+1,$F443)),$F443)))</f>
        <v/>
      </c>
      <c r="H443" s="82" t="n">
        <f aca="false">IF($G443="",0,IF(AND($G443&gt;='Cash Flow'!$E$6,$G443&lt;'Cash Flow'!$E$6+91),1,0))</f>
        <v>0</v>
      </c>
      <c r="I443" s="82"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80" t="str">
        <f aca="false">IF($C444="","",Recurring!$D$32)</f>
        <v/>
      </c>
      <c r="F444" s="8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1" t="str">
        <f aca="false">IF($F444="","",IF(Recurring!$G$32="Move Before",IF(WEEKDAY($F444,2)=6,$F444-1,IF(WEEKDAY($F444,2)=7,$F444-2,$F444)),IF(Recurring!$G$32="Move After",IF(WEEKDAY($F444,2)=6,$F444+2,IF(WEEKDAY($F444,2)=7,$F444+1,$F444)),$F444)))</f>
        <v/>
      </c>
      <c r="H444" s="82" t="n">
        <f aca="false">IF($G444="",0,IF(AND($G444&gt;='Cash Flow'!$E$6,$G444&lt;'Cash Flow'!$E$6+91),1,0))</f>
        <v>0</v>
      </c>
      <c r="I444" s="82"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80" t="str">
        <f aca="false">IF($C445="","",Recurring!$D$32)</f>
        <v/>
      </c>
      <c r="F445" s="8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1" t="str">
        <f aca="false">IF($F445="","",IF(Recurring!$G$32="Move Before",IF(WEEKDAY($F445,2)=6,$F445-1,IF(WEEKDAY($F445,2)=7,$F445-2,$F445)),IF(Recurring!$G$32="Move After",IF(WEEKDAY($F445,2)=6,$F445+2,IF(WEEKDAY($F445,2)=7,$F445+1,$F445)),$F445)))</f>
        <v/>
      </c>
      <c r="H445" s="82" t="n">
        <f aca="false">IF($G445="",0,IF(AND($G445&gt;='Cash Flow'!$E$6,$G445&lt;'Cash Flow'!$E$6+91),1,0))</f>
        <v>0</v>
      </c>
      <c r="I445" s="82"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80" t="str">
        <f aca="false">IF($C446="","",Recurring!$D$32)</f>
        <v/>
      </c>
      <c r="F446" s="8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1" t="str">
        <f aca="false">IF($F446="","",IF(Recurring!$G$32="Move Before",IF(WEEKDAY($F446,2)=6,$F446-1,IF(WEEKDAY($F446,2)=7,$F446-2,$F446)),IF(Recurring!$G$32="Move After",IF(WEEKDAY($F446,2)=6,$F446+2,IF(WEEKDAY($F446,2)=7,$F446+1,$F446)),$F446)))</f>
        <v/>
      </c>
      <c r="H446" s="82" t="n">
        <f aca="false">IF($G446="",0,IF(AND($G446&gt;='Cash Flow'!$E$6,$G446&lt;'Cash Flow'!$E$6+91),1,0))</f>
        <v>0</v>
      </c>
      <c r="I446" s="82"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80" t="str">
        <f aca="false">IF($C447="","",Recurring!$D$32)</f>
        <v/>
      </c>
      <c r="F447" s="8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1" t="str">
        <f aca="false">IF($F447="","",IF(Recurring!$G$32="Move Before",IF(WEEKDAY($F447,2)=6,$F447-1,IF(WEEKDAY($F447,2)=7,$F447-2,$F447)),IF(Recurring!$G$32="Move After",IF(WEEKDAY($F447,2)=6,$F447+2,IF(WEEKDAY($F447,2)=7,$F447+1,$F447)),$F447)))</f>
        <v/>
      </c>
      <c r="H447" s="82" t="n">
        <f aca="false">IF($G447="",0,IF(AND($G447&gt;='Cash Flow'!$E$6,$G447&lt;'Cash Flow'!$E$6+91),1,0))</f>
        <v>0</v>
      </c>
      <c r="I447" s="82"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80" t="str">
        <f aca="false">IF($C448="","",Recurring!$D$32)</f>
        <v/>
      </c>
      <c r="F448" s="8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1" t="str">
        <f aca="false">IF($F448="","",IF(Recurring!$G$32="Move Before",IF(WEEKDAY($F448,2)=6,$F448-1,IF(WEEKDAY($F448,2)=7,$F448-2,$F448)),IF(Recurring!$G$32="Move After",IF(WEEKDAY($F448,2)=6,$F448+2,IF(WEEKDAY($F448,2)=7,$F448+1,$F448)),$F448)))</f>
        <v/>
      </c>
      <c r="H448" s="82" t="n">
        <f aca="false">IF($G448="",0,IF(AND($G448&gt;='Cash Flow'!$E$6,$G448&lt;'Cash Flow'!$E$6+91),1,0))</f>
        <v>0</v>
      </c>
      <c r="I448" s="82"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80" t="str">
        <f aca="false">IF($C449="","",Recurring!$D$32)</f>
        <v/>
      </c>
      <c r="F449" s="8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1" t="str">
        <f aca="false">IF($F449="","",IF(Recurring!$G$32="Move Before",IF(WEEKDAY($F449,2)=6,$F449-1,IF(WEEKDAY($F449,2)=7,$F449-2,$F449)),IF(Recurring!$G$32="Move After",IF(WEEKDAY($F449,2)=6,$F449+2,IF(WEEKDAY($F449,2)=7,$F449+1,$F449)),$F449)))</f>
        <v/>
      </c>
      <c r="H449" s="82" t="n">
        <f aca="false">IF($G449="",0,IF(AND($G449&gt;='Cash Flow'!$E$6,$G449&lt;'Cash Flow'!$E$6+91),1,0))</f>
        <v>0</v>
      </c>
      <c r="I449" s="82"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80" t="str">
        <f aca="false">IF($C450="","",Recurring!$D$32)</f>
        <v/>
      </c>
      <c r="F450" s="8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1" t="str">
        <f aca="false">IF($F450="","",IF(Recurring!$G$32="Move Before",IF(WEEKDAY($F450,2)=6,$F450-1,IF(WEEKDAY($F450,2)=7,$F450-2,$F450)),IF(Recurring!$G$32="Move After",IF(WEEKDAY($F450,2)=6,$F450+2,IF(WEEKDAY($F450,2)=7,$F450+1,$F450)),$F450)))</f>
        <v/>
      </c>
      <c r="H450" s="82" t="n">
        <f aca="false">IF($G450="",0,IF(AND($G450&gt;='Cash Flow'!$E$6,$G450&lt;'Cash Flow'!$E$6+91),1,0))</f>
        <v>0</v>
      </c>
      <c r="I450" s="82"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80" t="str">
        <f aca="false">IF($C451="","",Recurring!$D$32)</f>
        <v/>
      </c>
      <c r="F451" s="8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1" t="str">
        <f aca="false">IF($F451="","",IF(Recurring!$G$32="Move Before",IF(WEEKDAY($F451,2)=6,$F451-1,IF(WEEKDAY($F451,2)=7,$F451-2,$F451)),IF(Recurring!$G$32="Move After",IF(WEEKDAY($F451,2)=6,$F451+2,IF(WEEKDAY($F451,2)=7,$F451+1,$F451)),$F451)))</f>
        <v/>
      </c>
      <c r="H451" s="82" t="n">
        <f aca="false">IF($G451="",0,IF(AND($G451&gt;='Cash Flow'!$E$6,$G451&lt;'Cash Flow'!$E$6+91),1,0))</f>
        <v>0</v>
      </c>
      <c r="I451" s="82"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80" t="str">
        <f aca="false">IF($C452="","",Recurring!$D$33)</f>
        <v/>
      </c>
      <c r="F452" s="8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1" t="str">
        <f aca="false">IF($F452="","",IF(Recurring!$G$33="Move Before",IF(WEEKDAY($F452,2)=6,$F452-1,IF(WEEKDAY($F452,2)=7,$F452-2,$F452)),IF(Recurring!$G$33="Move After",IF(WEEKDAY($F452,2)=6,$F452+2,IF(WEEKDAY($F452,2)=7,$F452+1,$F452)),$F452)))</f>
        <v/>
      </c>
      <c r="H452" s="82" t="n">
        <f aca="false">IF($G452="",0,IF(AND($G452&gt;='Cash Flow'!$E$6-90,$G452&lt;'Cash Flow'!$E$6+91),1,0))</f>
        <v>0</v>
      </c>
      <c r="I452" s="82"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80" t="str">
        <f aca="false">IF($C453="","",Recurring!$D$33)</f>
        <v/>
      </c>
      <c r="F453" s="8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1" t="str">
        <f aca="false">IF($F453="","",IF(Recurring!$G$33="Move Before",IF(WEEKDAY($F453,2)=6,$F453-1,IF(WEEKDAY($F453,2)=7,$F453-2,$F453)),IF(Recurring!$G$33="Move After",IF(WEEKDAY($F453,2)=6,$F453+2,IF(WEEKDAY($F453,2)=7,$F453+1,$F453)),$F453)))</f>
        <v/>
      </c>
      <c r="H453" s="82" t="n">
        <f aca="false">IF($G453="",0,IF(AND($G453&gt;='Cash Flow'!$E$6,$G453&lt;'Cash Flow'!$E$6+91),1,0))</f>
        <v>0</v>
      </c>
      <c r="I453" s="82"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80" t="str">
        <f aca="false">IF($C454="","",Recurring!$D$33)</f>
        <v/>
      </c>
      <c r="F454" s="8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1" t="str">
        <f aca="false">IF($F454="","",IF(Recurring!$G$33="Move Before",IF(WEEKDAY($F454,2)=6,$F454-1,IF(WEEKDAY($F454,2)=7,$F454-2,$F454)),IF(Recurring!$G$33="Move After",IF(WEEKDAY($F454,2)=6,$F454+2,IF(WEEKDAY($F454,2)=7,$F454+1,$F454)),$F454)))</f>
        <v/>
      </c>
      <c r="H454" s="82" t="n">
        <f aca="false">IF($G454="",0,IF(AND($G454&gt;='Cash Flow'!$E$6,$G454&lt;'Cash Flow'!$E$6+91),1,0))</f>
        <v>0</v>
      </c>
      <c r="I454" s="82"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80" t="str">
        <f aca="false">IF($C455="","",Recurring!$D$33)</f>
        <v/>
      </c>
      <c r="F455" s="8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1" t="str">
        <f aca="false">IF($F455="","",IF(Recurring!$G$33="Move Before",IF(WEEKDAY($F455,2)=6,$F455-1,IF(WEEKDAY($F455,2)=7,$F455-2,$F455)),IF(Recurring!$G$33="Move After",IF(WEEKDAY($F455,2)=6,$F455+2,IF(WEEKDAY($F455,2)=7,$F455+1,$F455)),$F455)))</f>
        <v/>
      </c>
      <c r="H455" s="82" t="n">
        <f aca="false">IF($G455="",0,IF(AND($G455&gt;='Cash Flow'!$E$6,$G455&lt;'Cash Flow'!$E$6+91),1,0))</f>
        <v>0</v>
      </c>
      <c r="I455" s="82"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80" t="str">
        <f aca="false">IF($C456="","",Recurring!$D$33)</f>
        <v/>
      </c>
      <c r="F456" s="8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1" t="str">
        <f aca="false">IF($F456="","",IF(Recurring!$G$33="Move Before",IF(WEEKDAY($F456,2)=6,$F456-1,IF(WEEKDAY($F456,2)=7,$F456-2,$F456)),IF(Recurring!$G$33="Move After",IF(WEEKDAY($F456,2)=6,$F456+2,IF(WEEKDAY($F456,2)=7,$F456+1,$F456)),$F456)))</f>
        <v/>
      </c>
      <c r="H456" s="82" t="n">
        <f aca="false">IF($G456="",0,IF(AND($G456&gt;='Cash Flow'!$E$6,$G456&lt;'Cash Flow'!$E$6+91),1,0))</f>
        <v>0</v>
      </c>
      <c r="I456" s="82"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80" t="str">
        <f aca="false">IF($C457="","",Recurring!$D$33)</f>
        <v/>
      </c>
      <c r="F457" s="8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1" t="str">
        <f aca="false">IF($F457="","",IF(Recurring!$G$33="Move Before",IF(WEEKDAY($F457,2)=6,$F457-1,IF(WEEKDAY($F457,2)=7,$F457-2,$F457)),IF(Recurring!$G$33="Move After",IF(WEEKDAY($F457,2)=6,$F457+2,IF(WEEKDAY($F457,2)=7,$F457+1,$F457)),$F457)))</f>
        <v/>
      </c>
      <c r="H457" s="82" t="n">
        <f aca="false">IF($G457="",0,IF(AND($G457&gt;='Cash Flow'!$E$6,$G457&lt;'Cash Flow'!$E$6+91),1,0))</f>
        <v>0</v>
      </c>
      <c r="I457" s="82"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80" t="str">
        <f aca="false">IF($C458="","",Recurring!$D$33)</f>
        <v/>
      </c>
      <c r="F458" s="8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1" t="str">
        <f aca="false">IF($F458="","",IF(Recurring!$G$33="Move Before",IF(WEEKDAY($F458,2)=6,$F458-1,IF(WEEKDAY($F458,2)=7,$F458-2,$F458)),IF(Recurring!$G$33="Move After",IF(WEEKDAY($F458,2)=6,$F458+2,IF(WEEKDAY($F458,2)=7,$F458+1,$F458)),$F458)))</f>
        <v/>
      </c>
      <c r="H458" s="82" t="n">
        <f aca="false">IF($G458="",0,IF(AND($G458&gt;='Cash Flow'!$E$6,$G458&lt;'Cash Flow'!$E$6+91),1,0))</f>
        <v>0</v>
      </c>
      <c r="I458" s="82"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80" t="str">
        <f aca="false">IF($C459="","",Recurring!$D$33)</f>
        <v/>
      </c>
      <c r="F459" s="8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1" t="str">
        <f aca="false">IF($F459="","",IF(Recurring!$G$33="Move Before",IF(WEEKDAY($F459,2)=6,$F459-1,IF(WEEKDAY($F459,2)=7,$F459-2,$F459)),IF(Recurring!$G$33="Move After",IF(WEEKDAY($F459,2)=6,$F459+2,IF(WEEKDAY($F459,2)=7,$F459+1,$F459)),$F459)))</f>
        <v/>
      </c>
      <c r="H459" s="82" t="n">
        <f aca="false">IF($G459="",0,IF(AND($G459&gt;='Cash Flow'!$E$6,$G459&lt;'Cash Flow'!$E$6+91),1,0))</f>
        <v>0</v>
      </c>
      <c r="I459" s="82"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80" t="str">
        <f aca="false">IF($C460="","",Recurring!$D$33)</f>
        <v/>
      </c>
      <c r="F460" s="8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1" t="str">
        <f aca="false">IF($F460="","",IF(Recurring!$G$33="Move Before",IF(WEEKDAY($F460,2)=6,$F460-1,IF(WEEKDAY($F460,2)=7,$F460-2,$F460)),IF(Recurring!$G$33="Move After",IF(WEEKDAY($F460,2)=6,$F460+2,IF(WEEKDAY($F460,2)=7,$F460+1,$F460)),$F460)))</f>
        <v/>
      </c>
      <c r="H460" s="82" t="n">
        <f aca="false">IF($G460="",0,IF(AND($G460&gt;='Cash Flow'!$E$6,$G460&lt;'Cash Flow'!$E$6+91),1,0))</f>
        <v>0</v>
      </c>
      <c r="I460" s="82"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80" t="str">
        <f aca="false">IF($C461="","",Recurring!$D$33)</f>
        <v/>
      </c>
      <c r="F461" s="8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1" t="str">
        <f aca="false">IF($F461="","",IF(Recurring!$G$33="Move Before",IF(WEEKDAY($F461,2)=6,$F461-1,IF(WEEKDAY($F461,2)=7,$F461-2,$F461)),IF(Recurring!$G$33="Move After",IF(WEEKDAY($F461,2)=6,$F461+2,IF(WEEKDAY($F461,2)=7,$F461+1,$F461)),$F461)))</f>
        <v/>
      </c>
      <c r="H461" s="82" t="n">
        <f aca="false">IF($G461="",0,IF(AND($G461&gt;='Cash Flow'!$E$6,$G461&lt;'Cash Flow'!$E$6+91),1,0))</f>
        <v>0</v>
      </c>
      <c r="I461" s="82"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80" t="str">
        <f aca="false">IF($C462="","",Recurring!$D$33)</f>
        <v/>
      </c>
      <c r="F462" s="8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1" t="str">
        <f aca="false">IF($F462="","",IF(Recurring!$G$33="Move Before",IF(WEEKDAY($F462,2)=6,$F462-1,IF(WEEKDAY($F462,2)=7,$F462-2,$F462)),IF(Recurring!$G$33="Move After",IF(WEEKDAY($F462,2)=6,$F462+2,IF(WEEKDAY($F462,2)=7,$F462+1,$F462)),$F462)))</f>
        <v/>
      </c>
      <c r="H462" s="82" t="n">
        <f aca="false">IF($G462="",0,IF(AND($G462&gt;='Cash Flow'!$E$6,$G462&lt;'Cash Flow'!$E$6+91),1,0))</f>
        <v>0</v>
      </c>
      <c r="I462" s="82"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80" t="str">
        <f aca="false">IF($C463="","",Recurring!$D$33)</f>
        <v/>
      </c>
      <c r="F463" s="8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1" t="str">
        <f aca="false">IF($F463="","",IF(Recurring!$G$33="Move Before",IF(WEEKDAY($F463,2)=6,$F463-1,IF(WEEKDAY($F463,2)=7,$F463-2,$F463)),IF(Recurring!$G$33="Move After",IF(WEEKDAY($F463,2)=6,$F463+2,IF(WEEKDAY($F463,2)=7,$F463+1,$F463)),$F463)))</f>
        <v/>
      </c>
      <c r="H463" s="82" t="n">
        <f aca="false">IF($G463="",0,IF(AND($G463&gt;='Cash Flow'!$E$6,$G463&lt;'Cash Flow'!$E$6+91),1,0))</f>
        <v>0</v>
      </c>
      <c r="I463" s="82"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80" t="str">
        <f aca="false">IF($C464="","",Recurring!$D$33)</f>
        <v/>
      </c>
      <c r="F464" s="8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1" t="str">
        <f aca="false">IF($F464="","",IF(Recurring!$G$33="Move Before",IF(WEEKDAY($F464,2)=6,$F464-1,IF(WEEKDAY($F464,2)=7,$F464-2,$F464)),IF(Recurring!$G$33="Move After",IF(WEEKDAY($F464,2)=6,$F464+2,IF(WEEKDAY($F464,2)=7,$F464+1,$F464)),$F464)))</f>
        <v/>
      </c>
      <c r="H464" s="82" t="n">
        <f aca="false">IF($G464="",0,IF(AND($G464&gt;='Cash Flow'!$E$6,$G464&lt;'Cash Flow'!$E$6+91),1,0))</f>
        <v>0</v>
      </c>
      <c r="I464" s="82"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80" t="str">
        <f aca="false">IF($C465="","",Recurring!$D$33)</f>
        <v/>
      </c>
      <c r="F465" s="8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1" t="str">
        <f aca="false">IF($F465="","",IF(Recurring!$G$33="Move Before",IF(WEEKDAY($F465,2)=6,$F465-1,IF(WEEKDAY($F465,2)=7,$F465-2,$F465)),IF(Recurring!$G$33="Move After",IF(WEEKDAY($F465,2)=6,$F465+2,IF(WEEKDAY($F465,2)=7,$F465+1,$F465)),$F465)))</f>
        <v/>
      </c>
      <c r="H465" s="82" t="n">
        <f aca="false">IF($G465="",0,IF(AND($G465&gt;='Cash Flow'!$E$6,$G465&lt;'Cash Flow'!$E$6+91),1,0))</f>
        <v>0</v>
      </c>
      <c r="I465" s="82"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80" t="str">
        <f aca="false">IF($C466="","",Recurring!$D$33)</f>
        <v/>
      </c>
      <c r="F466" s="8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1" t="str">
        <f aca="false">IF($F466="","",IF(Recurring!$G$33="Move Before",IF(WEEKDAY($F466,2)=6,$F466-1,IF(WEEKDAY($F466,2)=7,$F466-2,$F466)),IF(Recurring!$G$33="Move After",IF(WEEKDAY($F466,2)=6,$F466+2,IF(WEEKDAY($F466,2)=7,$F466+1,$F466)),$F466)))</f>
        <v/>
      </c>
      <c r="H466" s="82" t="n">
        <f aca="false">IF($G466="",0,IF(AND($G466&gt;='Cash Flow'!$E$6,$G466&lt;'Cash Flow'!$E$6+91),1,0))</f>
        <v>0</v>
      </c>
      <c r="I466" s="82"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80" t="str">
        <f aca="false">IF($C467="","",Recurring!$D$33)</f>
        <v/>
      </c>
      <c r="F467" s="8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1" t="str">
        <f aca="false">IF($F467="","",IF(Recurring!$G$33="Move Before",IF(WEEKDAY($F467,2)=6,$F467-1,IF(WEEKDAY($F467,2)=7,$F467-2,$F467)),IF(Recurring!$G$33="Move After",IF(WEEKDAY($F467,2)=6,$F467+2,IF(WEEKDAY($F467,2)=7,$F467+1,$F467)),$F467)))</f>
        <v/>
      </c>
      <c r="H467" s="82" t="n">
        <f aca="false">IF($G467="",0,IF(AND($G467&gt;='Cash Flow'!$E$6,$G467&lt;'Cash Flow'!$E$6+91),1,0))</f>
        <v>0</v>
      </c>
      <c r="I467" s="82"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80" t="str">
        <f aca="false">IF($C468="","",Recurring!$D$34)</f>
        <v/>
      </c>
      <c r="F468" s="8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1" t="str">
        <f aca="false">IF($F468="","",IF(Recurring!$G$34="Move Before",IF(WEEKDAY($F468,2)=6,$F468-1,IF(WEEKDAY($F468,2)=7,$F468-2,$F468)),IF(Recurring!$G$34="Move After",IF(WEEKDAY($F468,2)=6,$F468+2,IF(WEEKDAY($F468,2)=7,$F468+1,$F468)),$F468)))</f>
        <v/>
      </c>
      <c r="H468" s="82" t="n">
        <f aca="false">IF($G468="",0,IF(AND($G468&gt;='Cash Flow'!$E$6-90,$G468&lt;'Cash Flow'!$E$6+91),1,0))</f>
        <v>0</v>
      </c>
      <c r="I468" s="82"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80" t="str">
        <f aca="false">IF($C469="","",Recurring!$D$34)</f>
        <v/>
      </c>
      <c r="F469" s="8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1" t="str">
        <f aca="false">IF($F469="","",IF(Recurring!$G$34="Move Before",IF(WEEKDAY($F469,2)=6,$F469-1,IF(WEEKDAY($F469,2)=7,$F469-2,$F469)),IF(Recurring!$G$34="Move After",IF(WEEKDAY($F469,2)=6,$F469+2,IF(WEEKDAY($F469,2)=7,$F469+1,$F469)),$F469)))</f>
        <v/>
      </c>
      <c r="H469" s="82" t="n">
        <f aca="false">IF($G469="",0,IF(AND($G469&gt;='Cash Flow'!$E$6,$G469&lt;'Cash Flow'!$E$6+91),1,0))</f>
        <v>0</v>
      </c>
      <c r="I469" s="82"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80" t="str">
        <f aca="false">IF($C470="","",Recurring!$D$34)</f>
        <v/>
      </c>
      <c r="F470" s="8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1" t="str">
        <f aca="false">IF($F470="","",IF(Recurring!$G$34="Move Before",IF(WEEKDAY($F470,2)=6,$F470-1,IF(WEEKDAY($F470,2)=7,$F470-2,$F470)),IF(Recurring!$G$34="Move After",IF(WEEKDAY($F470,2)=6,$F470+2,IF(WEEKDAY($F470,2)=7,$F470+1,$F470)),$F470)))</f>
        <v/>
      </c>
      <c r="H470" s="82" t="n">
        <f aca="false">IF($G470="",0,IF(AND($G470&gt;='Cash Flow'!$E$6,$G470&lt;'Cash Flow'!$E$6+91),1,0))</f>
        <v>0</v>
      </c>
      <c r="I470" s="82"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80" t="str">
        <f aca="false">IF($C471="","",Recurring!$D$34)</f>
        <v/>
      </c>
      <c r="F471" s="8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1" t="str">
        <f aca="false">IF($F471="","",IF(Recurring!$G$34="Move Before",IF(WEEKDAY($F471,2)=6,$F471-1,IF(WEEKDAY($F471,2)=7,$F471-2,$F471)),IF(Recurring!$G$34="Move After",IF(WEEKDAY($F471,2)=6,$F471+2,IF(WEEKDAY($F471,2)=7,$F471+1,$F471)),$F471)))</f>
        <v/>
      </c>
      <c r="H471" s="82" t="n">
        <f aca="false">IF($G471="",0,IF(AND($G471&gt;='Cash Flow'!$E$6,$G471&lt;'Cash Flow'!$E$6+91),1,0))</f>
        <v>0</v>
      </c>
      <c r="I471" s="82"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80" t="str">
        <f aca="false">IF($C472="","",Recurring!$D$34)</f>
        <v/>
      </c>
      <c r="F472" s="8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1" t="str">
        <f aca="false">IF($F472="","",IF(Recurring!$G$34="Move Before",IF(WEEKDAY($F472,2)=6,$F472-1,IF(WEEKDAY($F472,2)=7,$F472-2,$F472)),IF(Recurring!$G$34="Move After",IF(WEEKDAY($F472,2)=6,$F472+2,IF(WEEKDAY($F472,2)=7,$F472+1,$F472)),$F472)))</f>
        <v/>
      </c>
      <c r="H472" s="82" t="n">
        <f aca="false">IF($G472="",0,IF(AND($G472&gt;='Cash Flow'!$E$6,$G472&lt;'Cash Flow'!$E$6+91),1,0))</f>
        <v>0</v>
      </c>
      <c r="I472" s="82"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80" t="str">
        <f aca="false">IF($C473="","",Recurring!$D$34)</f>
        <v/>
      </c>
      <c r="F473" s="8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1" t="str">
        <f aca="false">IF($F473="","",IF(Recurring!$G$34="Move Before",IF(WEEKDAY($F473,2)=6,$F473-1,IF(WEEKDAY($F473,2)=7,$F473-2,$F473)),IF(Recurring!$G$34="Move After",IF(WEEKDAY($F473,2)=6,$F473+2,IF(WEEKDAY($F473,2)=7,$F473+1,$F473)),$F473)))</f>
        <v/>
      </c>
      <c r="H473" s="82" t="n">
        <f aca="false">IF($G473="",0,IF(AND($G473&gt;='Cash Flow'!$E$6,$G473&lt;'Cash Flow'!$E$6+91),1,0))</f>
        <v>0</v>
      </c>
      <c r="I473" s="82"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80" t="str">
        <f aca="false">IF($C474="","",Recurring!$D$34)</f>
        <v/>
      </c>
      <c r="F474" s="8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1" t="str">
        <f aca="false">IF($F474="","",IF(Recurring!$G$34="Move Before",IF(WEEKDAY($F474,2)=6,$F474-1,IF(WEEKDAY($F474,2)=7,$F474-2,$F474)),IF(Recurring!$G$34="Move After",IF(WEEKDAY($F474,2)=6,$F474+2,IF(WEEKDAY($F474,2)=7,$F474+1,$F474)),$F474)))</f>
        <v/>
      </c>
      <c r="H474" s="82" t="n">
        <f aca="false">IF($G474="",0,IF(AND($G474&gt;='Cash Flow'!$E$6,$G474&lt;'Cash Flow'!$E$6+91),1,0))</f>
        <v>0</v>
      </c>
      <c r="I474" s="82"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80" t="str">
        <f aca="false">IF($C475="","",Recurring!$D$34)</f>
        <v/>
      </c>
      <c r="F475" s="8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1" t="str">
        <f aca="false">IF($F475="","",IF(Recurring!$G$34="Move Before",IF(WEEKDAY($F475,2)=6,$F475-1,IF(WEEKDAY($F475,2)=7,$F475-2,$F475)),IF(Recurring!$G$34="Move After",IF(WEEKDAY($F475,2)=6,$F475+2,IF(WEEKDAY($F475,2)=7,$F475+1,$F475)),$F475)))</f>
        <v/>
      </c>
      <c r="H475" s="82" t="n">
        <f aca="false">IF($G475="",0,IF(AND($G475&gt;='Cash Flow'!$E$6,$G475&lt;'Cash Flow'!$E$6+91),1,0))</f>
        <v>0</v>
      </c>
      <c r="I475" s="82"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80" t="str">
        <f aca="false">IF($C476="","",Recurring!$D$34)</f>
        <v/>
      </c>
      <c r="F476" s="8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1" t="str">
        <f aca="false">IF($F476="","",IF(Recurring!$G$34="Move Before",IF(WEEKDAY($F476,2)=6,$F476-1,IF(WEEKDAY($F476,2)=7,$F476-2,$F476)),IF(Recurring!$G$34="Move After",IF(WEEKDAY($F476,2)=6,$F476+2,IF(WEEKDAY($F476,2)=7,$F476+1,$F476)),$F476)))</f>
        <v/>
      </c>
      <c r="H476" s="82" t="n">
        <f aca="false">IF($G476="",0,IF(AND($G476&gt;='Cash Flow'!$E$6,$G476&lt;'Cash Flow'!$E$6+91),1,0))</f>
        <v>0</v>
      </c>
      <c r="I476" s="82"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80" t="str">
        <f aca="false">IF($C477="","",Recurring!$D$34)</f>
        <v/>
      </c>
      <c r="F477" s="8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1" t="str">
        <f aca="false">IF($F477="","",IF(Recurring!$G$34="Move Before",IF(WEEKDAY($F477,2)=6,$F477-1,IF(WEEKDAY($F477,2)=7,$F477-2,$F477)),IF(Recurring!$G$34="Move After",IF(WEEKDAY($F477,2)=6,$F477+2,IF(WEEKDAY($F477,2)=7,$F477+1,$F477)),$F477)))</f>
        <v/>
      </c>
      <c r="H477" s="82" t="n">
        <f aca="false">IF($G477="",0,IF(AND($G477&gt;='Cash Flow'!$E$6,$G477&lt;'Cash Flow'!$E$6+91),1,0))</f>
        <v>0</v>
      </c>
      <c r="I477" s="82"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80" t="str">
        <f aca="false">IF($C478="","",Recurring!$D$34)</f>
        <v/>
      </c>
      <c r="F478" s="8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1" t="str">
        <f aca="false">IF($F478="","",IF(Recurring!$G$34="Move Before",IF(WEEKDAY($F478,2)=6,$F478-1,IF(WEEKDAY($F478,2)=7,$F478-2,$F478)),IF(Recurring!$G$34="Move After",IF(WEEKDAY($F478,2)=6,$F478+2,IF(WEEKDAY($F478,2)=7,$F478+1,$F478)),$F478)))</f>
        <v/>
      </c>
      <c r="H478" s="82" t="n">
        <f aca="false">IF($G478="",0,IF(AND($G478&gt;='Cash Flow'!$E$6,$G478&lt;'Cash Flow'!$E$6+91),1,0))</f>
        <v>0</v>
      </c>
      <c r="I478" s="82"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80" t="str">
        <f aca="false">IF($C479="","",Recurring!$D$34)</f>
        <v/>
      </c>
      <c r="F479" s="8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1" t="str">
        <f aca="false">IF($F479="","",IF(Recurring!$G$34="Move Before",IF(WEEKDAY($F479,2)=6,$F479-1,IF(WEEKDAY($F479,2)=7,$F479-2,$F479)),IF(Recurring!$G$34="Move After",IF(WEEKDAY($F479,2)=6,$F479+2,IF(WEEKDAY($F479,2)=7,$F479+1,$F479)),$F479)))</f>
        <v/>
      </c>
      <c r="H479" s="82" t="n">
        <f aca="false">IF($G479="",0,IF(AND($G479&gt;='Cash Flow'!$E$6,$G479&lt;'Cash Flow'!$E$6+91),1,0))</f>
        <v>0</v>
      </c>
      <c r="I479" s="82"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80" t="str">
        <f aca="false">IF($C480="","",Recurring!$D$34)</f>
        <v/>
      </c>
      <c r="F480" s="8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1" t="str">
        <f aca="false">IF($F480="","",IF(Recurring!$G$34="Move Before",IF(WEEKDAY($F480,2)=6,$F480-1,IF(WEEKDAY($F480,2)=7,$F480-2,$F480)),IF(Recurring!$G$34="Move After",IF(WEEKDAY($F480,2)=6,$F480+2,IF(WEEKDAY($F480,2)=7,$F480+1,$F480)),$F480)))</f>
        <v/>
      </c>
      <c r="H480" s="82" t="n">
        <f aca="false">IF($G480="",0,IF(AND($G480&gt;='Cash Flow'!$E$6,$G480&lt;'Cash Flow'!$E$6+91),1,0))</f>
        <v>0</v>
      </c>
      <c r="I480" s="82"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80" t="str">
        <f aca="false">IF($C481="","",Recurring!$D$34)</f>
        <v/>
      </c>
      <c r="F481" s="8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1" t="str">
        <f aca="false">IF($F481="","",IF(Recurring!$G$34="Move Before",IF(WEEKDAY($F481,2)=6,$F481-1,IF(WEEKDAY($F481,2)=7,$F481-2,$F481)),IF(Recurring!$G$34="Move After",IF(WEEKDAY($F481,2)=6,$F481+2,IF(WEEKDAY($F481,2)=7,$F481+1,$F481)),$F481)))</f>
        <v/>
      </c>
      <c r="H481" s="82" t="n">
        <f aca="false">IF($G481="",0,IF(AND($G481&gt;='Cash Flow'!$E$6,$G481&lt;'Cash Flow'!$E$6+91),1,0))</f>
        <v>0</v>
      </c>
      <c r="I481" s="82"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80" t="str">
        <f aca="false">IF($C482="","",Recurring!$D$34)</f>
        <v/>
      </c>
      <c r="F482" s="8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1" t="str">
        <f aca="false">IF($F482="","",IF(Recurring!$G$34="Move Before",IF(WEEKDAY($F482,2)=6,$F482-1,IF(WEEKDAY($F482,2)=7,$F482-2,$F482)),IF(Recurring!$G$34="Move After",IF(WEEKDAY($F482,2)=6,$F482+2,IF(WEEKDAY($F482,2)=7,$F482+1,$F482)),$F482)))</f>
        <v/>
      </c>
      <c r="H482" s="82" t="n">
        <f aca="false">IF($G482="",0,IF(AND($G482&gt;='Cash Flow'!$E$6,$G482&lt;'Cash Flow'!$E$6+91),1,0))</f>
        <v>0</v>
      </c>
      <c r="I482" s="82"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80" t="str">
        <f aca="false">IF($C483="","",Recurring!$D$34)</f>
        <v/>
      </c>
      <c r="F483" s="8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1" t="str">
        <f aca="false">IF($F483="","",IF(Recurring!$G$34="Move Before",IF(WEEKDAY($F483,2)=6,$F483-1,IF(WEEKDAY($F483,2)=7,$F483-2,$F483)),IF(Recurring!$G$34="Move After",IF(WEEKDAY($F483,2)=6,$F483+2,IF(WEEKDAY($F483,2)=7,$F483+1,$F483)),$F483)))</f>
        <v/>
      </c>
      <c r="H483" s="82" t="n">
        <f aca="false">IF($G483="",0,IF(AND($G483&gt;='Cash Flow'!$E$6,$G483&lt;'Cash Flow'!$E$6+91),1,0))</f>
        <v>0</v>
      </c>
      <c r="I483" s="82"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2026-08-12T11:43:24Z</dcterms:created>
  <dc:creator>openpyxl</dc:creator>
  <dc:description/>
  <dc:language>en-US</dc:language>
  <cp:lastModifiedBy/>
  <dcterms:modified xsi:type="dcterms:W3CDTF">2026-08-12T11:43:25Z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