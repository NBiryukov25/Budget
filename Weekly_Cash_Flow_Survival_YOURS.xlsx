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<sst xmlns="http://schemas.openxmlformats.org/spreadsheetml/2006/main" count="400" uniqueCount="177">
  <si>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</si>
  <si>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</si>
  <si>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</si>
  <si>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</si>
  <si>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</si>
  <si>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</si>
  <si>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</si>
  <si>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</si>
  <si>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</si>
  <si>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</si>
  <si>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</si>
  <si>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</si>
  <si>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</si>
  <si>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</si>
  <si>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</si>
  <si>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</si>
  <si>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</si>
  <si>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</si>
  <si>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</si>
  <si>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</si>
  <si>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</si>
  <si>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</si>
  <si>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</si>
  <si>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</si>
  <si>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</si>
  <si>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</si>
  <si>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</si>
  <si>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</si>
  <si>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</si>
  <si>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</si>
  <si>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</si>
  <si>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</si>
  <si>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</si>
  <si>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</si>
  <si>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</si>
  <si>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</si>
  <si>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</si>
  <si>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</si>
  <si>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</si>
  <si>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</si>
  <si>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</si>
  <si>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</si>
  <si>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</si>
  <si>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</si>
  <si>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</si>
  <si>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</si>
  <si>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</si>
  <si>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</si>
  <si>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</si>
  <si>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</si>
  <si>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</si>
  <si>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</si>
  <si>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</si>
  <si>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</si>
  <si>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</si>
  <si>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</si>
  <si>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</si>
  <si>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</si>
  <si>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</si>
  <si>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</si>
  <si>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</si>
  <si>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</si>
  <si>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</si>
  <si>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</si>
  <si>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</si>
  <si>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</si>
  <si>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</si>
  <si>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</si>
  <si>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</si>
  <si>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</si>
  <si>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</si>
  <si>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</si>
  <si>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</si>
  <si>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</si>
  <si>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</si>
  <si>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</si>
  <si>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</si>
  <si>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</si>
  <si>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</si>
  <si>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</si>
  <si>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</si>
  <si>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</si>
  <si>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</si>
  <si>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</si>
  <si>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</si>
  <si>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</si>
  <si>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</si>
  <si>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</si>
  <si>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</si>
  <si>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</si>
  <si>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</si>
  <si>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</si>
  <si>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</si>
  <si>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</si>
  <si>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</si>
  <si>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</si>
  <si>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</si>
  <si>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</si>
  <si>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</si>
  <si>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</si>
  <si>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</si>
  <si>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</si>
  <si>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</si>
  <si>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</si>
  <si>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</si>
  <si>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</si>
  <si>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</si>
  <si>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</si>
  <si>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</si>
  <si>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</si>
  <si>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</si>
  <si>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</si>
  <si>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</si>
  <si>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</si>
  <si>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</si>
  <si>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</si>
  <si>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</si>
  <si>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</si>
  <si>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</si>
  <si>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</si>
  <si>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</si>
  <si>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</si>
  <si>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</si>
  <si>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</si>
  <si>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</si>
  <si>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</si>
  <si>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</si>
  <si>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</si>
  <si>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Anthropic</t>
  </si>
  <si>
    <t xml:space="preserve">Medication</t>
  </si>
  <si>
    <t xml:space="preserve">Hannaford Supermarket</t>
  </si>
  <si>
    <t xml:space="preserve">Market Basket</t>
  </si>
  <si>
    <t xml:space="preserve">7-Eleven</t>
  </si>
  <si>
    <t xml:space="preserve">Shell (2 charges)</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</si>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</sst>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4.03"/>
    <col collapsed="false" customWidth="true" hidden="false" outlineLevel="0" max="3" min="3" style="0" width="62.01"/>
    <col collapsed="false" customWidth="true" hidden="false" outlineLevel="0" max="5" min="4" style="0" width="2.96"/>
  </cols>
  <sheetData>
    <row r="2" customFormat="false" ht="20.25" hidden="false" customHeight="tru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4.75" hidden="false" customHeight="true" outlineLevel="0" collapsed="false">
      <c r="B17" s="10" t="s">
        <v>22</v>
      </c>
      <c r="C17" s="5" t="s">
        <v>23</v>
      </c>
    </row>
    <row r="18" customFormat="false" ht="24.75" hidden="false" customHeight="tru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7265625" defaultRowHeight="15" zeroHeight="false" outlineLevelRow="0" outlineLevelCol="0"/>
  <cols>
    <col collapsed="false" customWidth="true" hidden="false" outlineLevel="0" max="1" min="1" style="0" width="6.05"/>
    <col collapsed="false" customWidth="true" hidden="false" outlineLevel="0" max="2" min="2" style="0" width="29.99"/>
    <col collapsed="false" customWidth="true" hidden="false" outlineLevel="0" max="3" min="3" style="0" width="11.03"/>
    <col collapsed="false" customWidth="true" hidden="false" outlineLevel="0" max="4" min="4" style="0" width="11.97"/>
    <col collapsed="false" customWidth="true" hidden="false" outlineLevel="0" max="5" min="5" style="0" width="16.01"/>
    <col collapsed="false" customWidth="true" hidden="false" outlineLevel="0" max="6" min="6" style="0" width="14.93"/>
    <col collapsed="false" customWidth="true" hidden="false" outlineLevel="0" max="7" min="7" style="0" width="13.99"/>
    <col collapsed="false" customWidth="true" hidden="false" outlineLevel="0" max="8" min="8" style="0" width="7.94"/>
    <col collapsed="false" customWidth="true" hidden="false" outlineLevel="0" max="9" min="9" style="0" width="14.93"/>
    <col collapsed="false" customWidth="true" hidden="false" outlineLevel="0" max="10" min="10" style="0" width="25.97"/>
  </cols>
  <sheetData>
    <row r="1" customFormat="false" ht="20.25" hidden="false" customHeight="tru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46246</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46248</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46238</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46239</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46239</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4"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19"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4"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46247</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46248</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19"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4"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19"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4"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19"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4"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19" t="n">
        <v>46265</v>
      </c>
      <c r="G21" s="17" t="s">
        <v>82</v>
      </c>
      <c r="H21" s="17" t="s">
        <v>83</v>
      </c>
      <c r="I21" s="6" t="s">
        <v>108</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84" hidden="false" customHeight="true" outlineLevel="0" collapsed="false">
      <c r="B36" s="14" t="s">
        <v>109</v>
      </c>
    </row>
    <row r="37" customFormat="false" ht="42.75" hidden="false" customHeight="true" outlineLevel="0" collapsed="false">
      <c r="B37" s="14" t="s">
        <v>110</v>
      </c>
    </row>
    <row r="38" customFormat="false" ht="15" hidden="false" customHeight="false" outlineLevel="0" collapsed="false">
      <c r="B38" s="25"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21" activePane="bottomRight" state="frozen"/>
      <selection pane="topLeft" activeCell="A1" activeCellId="0" sqref="A1"/>
      <selection pane="topRight" activeCell="B1" activeCellId="0" sqref="B1"/>
      <selection pane="bottomLeft" activeCell="A21" activeCellId="0" sqref="A21"/>
      <selection pane="bottomRight" activeCell="H24" activeCellId="0" sqref="H24"/>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2.02"/>
    <col collapsed="false" customWidth="true" hidden="false" outlineLevel="0" max="3" min="3" style="0" width="13.05"/>
    <col collapsed="false" customWidth="true" hidden="false" outlineLevel="0" max="4" min="4" style="0" width="11.03"/>
    <col collapsed="false" customWidth="true" hidden="false" outlineLevel="0" max="8" min="5" style="0" width="13.99"/>
    <col collapsed="false" customWidth="true" hidden="false" outlineLevel="0" max="9" min="9" style="0" width="14.93"/>
    <col collapsed="false" customWidth="true" hidden="false" outlineLevel="0" max="10" min="10" style="0" width="11.97"/>
    <col collapsed="false" customWidth="true" hidden="false" outlineLevel="0" max="11" min="11" style="0" width="52.06"/>
    <col collapsed="false" customWidth="true" hidden="true" outlineLevel="0" max="13" min="12" style="0" width="9.95"/>
  </cols>
  <sheetData>
    <row r="1" customFormat="false" ht="20.25" hidden="false" customHeight="tru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6" t="n">
        <f aca="false">0.18+21.21+20+10</f>
        <v>51.39</v>
      </c>
    </row>
    <row r="6" customFormat="false" ht="15" hidden="false" customHeight="false" outlineLevel="0" collapsed="false">
      <c r="B6" s="12" t="s">
        <v>115</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116</v>
      </c>
      <c r="E7" s="26" t="n">
        <v>200</v>
      </c>
    </row>
    <row r="8" customFormat="false" ht="15" hidden="false" customHeight="false" outlineLevel="0" collapsed="false">
      <c r="B8" s="29" t="s">
        <v>117</v>
      </c>
      <c r="E8" s="30" t="n">
        <f aca="true">TODAY()</f>
        <v>46246</v>
      </c>
    </row>
    <row r="9" customFormat="false" ht="15" hidden="false" customHeight="false" outlineLevel="0" collapsed="false">
      <c r="B9" s="25" t="s">
        <v>118</v>
      </c>
    </row>
    <row r="10" customFormat="false" ht="15" hidden="false" customHeight="false" outlineLevel="0" collapsed="false">
      <c r="B10" s="25" t="s">
        <v>119</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120</v>
      </c>
      <c r="H13" s="32"/>
      <c r="I13" s="34" t="n">
        <f aca="false">$E$5</f>
        <v>51.39</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121</v>
      </c>
      <c r="C14" s="35" t="s">
        <v>122</v>
      </c>
      <c r="D14" s="35" t="s">
        <v>72</v>
      </c>
      <c r="E14" s="35" t="s">
        <v>123</v>
      </c>
      <c r="F14" s="35" t="s">
        <v>124</v>
      </c>
      <c r="G14" s="36" t="s">
        <v>18</v>
      </c>
      <c r="H14" s="37" t="s">
        <v>20</v>
      </c>
      <c r="I14" s="35" t="s">
        <v>125</v>
      </c>
      <c r="J14" s="35" t="s">
        <v>126</v>
      </c>
    </row>
    <row r="15" customFormat="false" ht="15" hidden="false" customHeight="false" outlineLevel="0" collapsed="false">
      <c r="B15" s="38" t="str">
        <f aca="false">IFERROR(INDEX(Schedule!$C$4:$C$483,MATCH(1001,Schedule!$K$4:$K$483,0)),"")</f>
        <v>Apple: Claude</v>
      </c>
      <c r="C15" s="39" t="n">
        <f aca="false">IF($B15="","",INDEX(Schedule!$G$4:$G$483,MATCH(1001,Schedule!$K$4:$K$483,0)))</f>
        <v>46238</v>
      </c>
      <c r="D15" s="40" t="str">
        <f aca="false">IF($B15="","",INDEX(Schedule!$D$4:$D$483,MATCH(1001,Schedule!$K$4:$K$483,0)))</f>
        <v>Expense</v>
      </c>
      <c r="E15" s="41" t="n">
        <f aca="false">IF($B15="","",INDEX(Schedule!$E$4:$E$483,MATCH(1001,Schedule!$K$4:$K$483,0)))</f>
        <v>21.1</v>
      </c>
      <c r="F15" s="42" t="n">
        <v>21.1</v>
      </c>
      <c r="G15" s="43" t="str">
        <f aca="false">IF($B15="","",IF($D15="Income",IF($F15&lt;&gt;"",$F15,$E15),""))</f>
        <v/>
      </c>
      <c r="H15" s="44" t="n">
        <f aca="false">IF($B15="","",IF($D15="Income","",IF($F15&lt;&gt;"",$F15,$E15)))</f>
        <v>21.1</v>
      </c>
      <c r="I15" s="45" t="n">
        <f aca="false">IF($B15="","",$I$13+SUMIFS($G$15:$G$31,$M$15:$M$31,"&lt;="&amp;$M15)-SUMIFS($H$15:$H$31,$M$15:$M$31,"&lt;="&amp;$M15))</f>
        <v>30.29</v>
      </c>
      <c r="J15" s="46" t="str">
        <f aca="true">IF($B15="","",IF($F15&lt;&gt;"",IF($C15&gt;TODAY(),"ADJUSTED","PAID"),IF($C15&lt;TODAY(),"PAST DUE",IF($C15&lt;=TODAY()+7,"DUE","Upcoming"))))</f>
        <v>PAID</v>
      </c>
      <c r="L15" s="47" t="n">
        <f aca="false">IF($B15="","",$C15)</f>
        <v>46238</v>
      </c>
      <c r="M15" s="0" t="n">
        <f aca="false">IF($L15="","",COUNTIFS($L$15:$L$31,"&lt;"&amp;$L15)+COUNTIFS($L$15:$L15,$L15))</f>
        <v>1</v>
      </c>
    </row>
    <row r="16" customFormat="false" ht="15" hidden="false" customHeight="false" outlineLevel="0" collapsed="false">
      <c r="B16" s="38" t="str">
        <f aca="false">IFERROR(INDEX(Schedule!$C$4:$C$483,MATCH(1002,Schedule!$K$4:$K$483,0)),"")</f>
        <v>OpenAI</v>
      </c>
      <c r="C16" s="39" t="n">
        <f aca="false">IF($B16="","",INDEX(Schedule!$G$4:$G$483,MATCH(1002,Schedule!$K$4:$K$483,0)))</f>
        <v>46239</v>
      </c>
      <c r="D16" s="40" t="str">
        <f aca="false">IF($B16="","",INDEX(Schedule!$D$4:$D$483,MATCH(1002,Schedule!$K$4:$K$483,0)))</f>
        <v>Expense</v>
      </c>
      <c r="E16" s="41" t="n">
        <f aca="false">IF($B16="","",INDEX(Schedule!$E$4:$E$483,MATCH(1002,Schedule!$K$4:$K$483,0)))</f>
        <v>20</v>
      </c>
      <c r="F16" s="42" t="n">
        <v>20</v>
      </c>
      <c r="G16" s="43" t="str">
        <f aca="false">IF($B16="","",IF($D16="Income",IF($F16&lt;&gt;"",$F16,$E16),""))</f>
        <v/>
      </c>
      <c r="H16" s="44" t="n">
        <f aca="false">IF($B16="","",IF($D16="Income","",IF($F16&lt;&gt;"",$F16,$E16)))</f>
        <v>20</v>
      </c>
      <c r="I16" s="45" t="n">
        <f aca="false">IF($B16="","",$I$13+SUMIFS($G$15:$G$31,$M$15:$M$31,"&lt;="&amp;$M16)-SUMIFS($H$15:$H$31,$M$15:$M$31,"&lt;="&amp;$M16))</f>
        <v>10.29</v>
      </c>
      <c r="J16" s="46" t="str">
        <f aca="true">IF($B16="","",IF($F16&lt;&gt;"",IF($C16&gt;TODAY(),"ADJUSTED","PAID"),IF($C16&lt;TODAY(),"PAST DUE",IF($C16&lt;=TODAY()+7,"DUE","Upcoming"))))</f>
        <v>PAID</v>
      </c>
      <c r="L16" s="47" t="n">
        <f aca="false">IF($B16="","",$C16)</f>
        <v>46239</v>
      </c>
      <c r="M16" s="0" t="n">
        <f aca="false">IF($L16="","",COUNTIFS($L$15:$L$31,"&lt;"&amp;$L16)+COUNTIFS($L$15:$L16,$L16))</f>
        <v>2</v>
      </c>
    </row>
    <row r="17" customFormat="false" ht="15" hidden="false" customHeight="false" outlineLevel="0" collapsed="false">
      <c r="B17" s="38" t="str">
        <f aca="false">IFERROR(INDEX(Schedule!$C$4:$C$483,MATCH(1003,Schedule!$K$4:$K$483,0)),"")</f>
        <v>Obsidian</v>
      </c>
      <c r="C17" s="39" t="n">
        <f aca="false">IF($B17="","",INDEX(Schedule!$G$4:$G$483,MATCH(1003,Schedule!$K$4:$K$483,0)))</f>
        <v>46239</v>
      </c>
      <c r="D17" s="40" t="str">
        <f aca="false">IF($B17="","",INDEX(Schedule!$D$4:$D$483,MATCH(1003,Schedule!$K$4:$K$483,0)))</f>
        <v>Expense</v>
      </c>
      <c r="E17" s="41" t="n">
        <f aca="false">IF($B17="","",INDEX(Schedule!$E$4:$E$483,MATCH(1003,Schedule!$K$4:$K$483,0)))</f>
        <v>10</v>
      </c>
      <c r="F17" s="42" t="n">
        <v>10</v>
      </c>
      <c r="G17" s="43" t="str">
        <f aca="false">IF($B17="","",IF($D17="Income",IF($F17&lt;&gt;"",$F17,$E17),""))</f>
        <v/>
      </c>
      <c r="H17" s="44" t="n">
        <f aca="false">IF($B17="","",IF($D17="Income","",IF($F17&lt;&gt;"",$F17,$E17)))</f>
        <v>10</v>
      </c>
      <c r="I17" s="45" t="n">
        <f aca="false">IF($B17="","",$I$13+SUMIFS($G$15:$G$31,$M$15:$M$31,"&lt;="&amp;$M17)-SUMIFS($H$15:$H$31,$M$15:$M$31,"&lt;="&amp;$M17))</f>
        <v>0.289999999999999</v>
      </c>
      <c r="J17" s="46" t="str">
        <f aca="true">IF($B17="","",IF($F17&lt;&gt;"",IF($C17&gt;TODAY(),"ADJUSTED","PAID"),IF($C17&lt;TODAY(),"PAST DUE",IF($C17&lt;=TODAY()+7,"DUE","Upcoming"))))</f>
        <v>PAID</v>
      </c>
      <c r="L17" s="47" t="n">
        <f aca="false">IF($B17="","",$C17)</f>
        <v>46239</v>
      </c>
      <c r="M17" s="0" t="n">
        <f aca="false">IF($L17="","",COUNTIFS($L$15:$L$31,"&lt;"&amp;$L17)+COUNTIFS($L$15:$L17,$L17))</f>
        <v>3</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46246</v>
      </c>
      <c r="D18" s="40" t="str">
        <f aca="false">IF($B18="","",INDEX(Schedule!$D$4:$D$483,MATCH(1004,Schedule!$K$4:$K$483,0)))</f>
        <v>Income</v>
      </c>
      <c r="E18" s="41" t="n">
        <f aca="false">IF($B18="","",INDEX(Schedule!$E$4:$E$483,MATCH(1004,Schedule!$K$4:$K$483,0)))</f>
        <v>90</v>
      </c>
      <c r="F18" s="42" t="n">
        <v>232.63</v>
      </c>
      <c r="G18" s="43" t="n">
        <f aca="false">IF($B18="","",IF($D18="Income",IF($F18&lt;&gt;"",$F18,$E18),""))</f>
        <v>232.63</v>
      </c>
      <c r="H18" s="44" t="str">
        <f aca="false">IF($B18="","",IF($D18="Income","",IF($F18&lt;&gt;"",$F18,$E18)))</f>
        <v/>
      </c>
      <c r="I18" s="45" t="n">
        <f aca="false">IF($B18="","",$I$13+SUMIFS($G$15:$G$31,$M$15:$M$31,"&lt;="&amp;$M18)-SUMIFS($H$15:$H$31,$M$15:$M$31,"&lt;="&amp;$M18))</f>
        <v>181.17</v>
      </c>
      <c r="J18" s="46" t="str">
        <f aca="true">IF($B18="","",IF($F18&lt;&gt;"",IF($C18&gt;TODAY(),"ADJUSTED","PAID"),IF($C18&lt;TODAY(),"PAST DUE",IF($C18&lt;=TODAY()+7,"DUE","Upcoming"))))</f>
        <v>PAID</v>
      </c>
      <c r="L18" s="47" t="n">
        <f aca="false">IF($B18="","",$C18)</f>
        <v>46246</v>
      </c>
      <c r="M18" s="0" t="n">
        <f aca="false">IF($L18="","",COUNTIFS($L$15:$L$31,"&lt;"&amp;$L18)+COUNTIFS($L$15:$L18,$L18))</f>
        <v>9</v>
      </c>
    </row>
    <row r="19" customFormat="false" ht="15" hidden="false" customHeight="false" outlineLevel="0" collapsed="false">
      <c r="B19" s="38" t="str">
        <f aca="false">IFERROR(INDEX(Schedule!$C$4:$C$483,MATCH(1005,Schedule!$K$4:$K$483,0)),"")</f>
        <v>Apple: iCloud</v>
      </c>
      <c r="C19" s="39" t="n">
        <f aca="false">IF($B19="","",INDEX(Schedule!$G$4:$G$483,MATCH(1005,Schedule!$K$4:$K$483,0)))</f>
        <v>46247</v>
      </c>
      <c r="D19" s="40" t="str">
        <f aca="false">IF($B19="","",INDEX(Schedule!$D$4:$D$483,MATCH(1005,Schedule!$K$4:$K$483,0)))</f>
        <v>Expense</v>
      </c>
      <c r="E19" s="41" t="n">
        <f aca="false">IF($B19="","",INDEX(Schedule!$E$4:$E$483,MATCH(1005,Schedule!$K$4:$K$483,0)))</f>
        <v>2.99</v>
      </c>
      <c r="F19" s="42"/>
      <c r="G19" s="43" t="str">
        <f aca="false">IF($B19="","",IF($D19="Income",IF($F19&lt;&gt;"",$F19,$E19),""))</f>
        <v/>
      </c>
      <c r="H19" s="44" t="n">
        <f aca="false">IF($B19="","",IF($D19="Income","",IF($F19&lt;&gt;"",$F19,$E19)))</f>
        <v>2.99</v>
      </c>
      <c r="I19" s="45" t="n">
        <f aca="false">IF($B19="","",$I$13+SUMIFS($G$15:$G$31,$M$15:$M$31,"&lt;="&amp;$M19)-SUMIFS($H$15:$H$31,$M$15:$M$31,"&lt;="&amp;$M19))</f>
        <v>58.18</v>
      </c>
      <c r="J19" s="46" t="str">
        <f aca="true">IF($B19="","",IF($F19&lt;&gt;"",IF($C19&gt;TODAY(),"ADJUSTED","PAID"),IF($C19&lt;TODAY(),"PAST DUE",IF($C19&lt;=TODAY()+7,"DUE","Upcoming"))))</f>
        <v>DUE</v>
      </c>
      <c r="L19" s="47" t="n">
        <f aca="false">IF($B19="","",$C19)</f>
        <v>46247</v>
      </c>
      <c r="M19" s="0" t="n">
        <f aca="false">IF($L19="","",COUNTIFS($L$15:$L$31,"&lt;"&amp;$L19)+COUNTIFS($L$15:$L19,$L19))</f>
        <v>11</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IF($B20="","",$I$13+SUMIFS($G$15:$G$31,$M$15:$M$31,"&lt;="&amp;$M20)-SUMIFS($H$15:$H$31,$M$15:$M$31,"&lt;="&amp;$M20))</f>
        <v/>
      </c>
      <c r="J20" s="46" t="str">
        <f aca="true">IF($B20="","",IF($F20&lt;&gt;"",IF($C20&gt;TODAY(),"ADJUSTED","PAID"),IF($C20&lt;TODAY(),"PAST DUE",IF($C20&lt;=TODAY()+7,"DUE","Upcoming"))))</f>
        <v/>
      </c>
      <c r="L20" s="0" t="str">
        <f aca="false">IF($B20="","",$C20)</f>
        <v/>
      </c>
      <c r="M20" s="0" t="str">
        <f aca="false">IF($L20="","",COUNTIFS($L$15:$L$31,"&lt;"&amp;$L20)+COUNTIFS($L$15:$L20,$L20))</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IF($B21="","",$I$13+SUMIFS($G$15:$G$31,$M$15:$M$31,"&lt;="&amp;$M21)-SUMIFS($H$15:$H$31,$M$15:$M$31,"&lt;="&amp;$M21))</f>
        <v/>
      </c>
      <c r="J21" s="46" t="str">
        <f aca="true">IF($B21="","",IF($F21&lt;&gt;"",IF($C21&gt;TODAY(),"ADJUSTED","PAID"),IF($C21&lt;TODAY(),"PAST DUE",IF($C21&lt;=TODAY()+7,"DUE","Upcoming"))))</f>
        <v/>
      </c>
      <c r="L21" s="0" t="str">
        <f aca="false">IF($B21="","",$C21)</f>
        <v/>
      </c>
      <c r="M21" s="0" t="str">
        <f aca="false">IF($L21="","",COUNTIFS($L$15:$L$31,"&lt;"&amp;$L21)+COUNTIFS($L$15:$L21,$L21))</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IF($B22="","",$I$13+SUMIFS($G$15:$G$31,$M$15:$M$31,"&lt;="&amp;$M22)-SUMIFS($H$15:$H$31,$M$15:$M$31,"&lt;="&amp;$M22))</f>
        <v/>
      </c>
      <c r="J22" s="46" t="str">
        <f aca="true">IF($B22="","",IF($F22&lt;&gt;"",IF($C22&gt;TODAY(),"ADJUSTED","PAID"),IF($C22&lt;TODAY(),"PAST DUE",IF($C22&lt;=TODAY()+7,"DUE","Upcoming"))))</f>
        <v/>
      </c>
      <c r="L22" s="0" t="str">
        <f aca="false">IF($B22="","",$C22)</f>
        <v/>
      </c>
      <c r="M22" s="0" t="str">
        <f aca="false">IF($L22="","",COUNTIFS($L$15:$L$31,"&lt;"&amp;$L22)+COUNTIFS($L$15:$L22,$L22))</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IF($B23="","",$I$13+SUMIFS($G$15:$G$31,$M$15:$M$31,"&lt;="&amp;$M23)-SUMIFS($H$15:$H$31,$M$15:$M$31,"&lt;="&amp;$M23))</f>
        <v/>
      </c>
      <c r="J23" s="46" t="str">
        <f aca="true">IF($B23="","",IF($F23&lt;&gt;"",IF($C23&gt;TODAY(),"ADJUSTED","PAID"),IF($C23&lt;TODAY(),"PAST DUE",IF($C23&lt;=TODAY()+7,"DUE","Upcoming"))))</f>
        <v/>
      </c>
      <c r="L23" s="0" t="str">
        <f aca="false">IF($B23="","",$C23)</f>
        <v/>
      </c>
      <c r="M23" s="0" t="str">
        <f aca="false">IF($L23="","",COUNTIFS($L$15:$L$31,"&lt;"&amp;$L23)+COUNTIFS($L$15:$L23,$L23))</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IF($B24="","",$I$13+SUMIFS($G$15:$G$31,$M$15:$M$31,"&lt;="&amp;$M24)-SUMIFS($H$15:$H$31,$M$15:$M$31,"&lt;="&amp;$M24))</f>
        <v/>
      </c>
      <c r="J24" s="46" t="str">
        <f aca="true">IF($B24="","",IF($F24&lt;&gt;"",IF($C24&gt;TODAY(),"ADJUSTED","PAID"),IF($C24&lt;TODAY(),"PAST DUE",IF($C24&lt;=TODAY()+7,"DUE","Upcoming"))))</f>
        <v/>
      </c>
      <c r="L24" s="0" t="str">
        <f aca="false">IF($B24="","",$C24)</f>
        <v/>
      </c>
      <c r="M24" s="0" t="str">
        <f aca="false">IF($L24="","",COUNTIFS($L$15:$L$31,"&lt;"&amp;$L24)+COUNTIFS($L$15:$L24,$L24))</f>
        <v/>
      </c>
    </row>
    <row r="25" customFormat="false" ht="15" hidden="false" customHeight="false" outlineLevel="0" collapsed="false">
      <c r="B25" s="48" t="s">
        <v>127</v>
      </c>
      <c r="C25" s="49"/>
      <c r="D25" s="49"/>
      <c r="E25" s="49"/>
      <c r="F25" s="49"/>
      <c r="G25" s="49"/>
      <c r="H25" s="49"/>
      <c r="I25" s="49"/>
      <c r="J25" s="49"/>
    </row>
    <row r="26" customFormat="false" ht="15" hidden="false" customHeight="false" outlineLevel="0" collapsed="false">
      <c r="B26" s="6" t="s">
        <v>128</v>
      </c>
      <c r="C26" s="50" t="n">
        <v>46242</v>
      </c>
      <c r="D26" s="51" t="str">
        <f aca="false">IF($B26="","","Expense")</f>
        <v>Expense</v>
      </c>
      <c r="E26" s="18" t="n">
        <v>6</v>
      </c>
      <c r="F26" s="10"/>
      <c r="G26" s="10"/>
      <c r="H26" s="52" t="n">
        <f aca="false">IF($B26="","",N($E26))</f>
        <v>6</v>
      </c>
      <c r="I26" s="53" t="n">
        <f aca="false">IF($B26="","",$I$13+SUMIFS($G$15:$G$31,$M$15:$M$31,"&lt;="&amp;$M26)-SUMIFS($H$15:$H$31,$M$15:$M$31,"&lt;="&amp;$M26))</f>
        <v>-5.71</v>
      </c>
      <c r="J26" s="10"/>
      <c r="L26" s="47" t="n">
        <f aca="false">IF($B26="","",IF($C26="",$E$6+6,$C26))</f>
        <v>46242</v>
      </c>
      <c r="M26" s="0" t="n">
        <f aca="false">IF($L26="","",COUNTIFS($L$15:$L$31,"&lt;"&amp;$L26)+COUNTIFS($L$15:$L26,$L26))</f>
        <v>4</v>
      </c>
    </row>
    <row r="27" customFormat="false" ht="15" hidden="false" customHeight="false" outlineLevel="0" collapsed="false">
      <c r="B27" s="6" t="s">
        <v>129</v>
      </c>
      <c r="C27" s="50" t="n">
        <v>46246</v>
      </c>
      <c r="D27" s="51" t="str">
        <f aca="false">IF($B27="","","Expense")</f>
        <v>Expense</v>
      </c>
      <c r="E27" s="18" t="n">
        <v>120</v>
      </c>
      <c r="F27" s="10"/>
      <c r="G27" s="10"/>
      <c r="H27" s="52" t="n">
        <f aca="false">IF($B27="","",N($E27))</f>
        <v>120</v>
      </c>
      <c r="I27" s="53" t="n">
        <f aca="false">IF($B27="","",$I$13+SUMIFS($G$15:$G$31,$M$15:$M$31,"&lt;="&amp;$M27)-SUMIFS($H$15:$H$31,$M$15:$M$31,"&lt;="&amp;$M27))</f>
        <v>61.17</v>
      </c>
      <c r="J27" s="10"/>
      <c r="L27" s="47" t="n">
        <f aca="false">IF($B27="","",IF($C27="",$E$6+6,$C27))</f>
        <v>46246</v>
      </c>
      <c r="M27" s="0" t="n">
        <f aca="false">IF($L27="","",COUNTIFS($L$15:$L$31,"&lt;"&amp;$L27)+COUNTIFS($L$15:$L27,$L27))</f>
        <v>10</v>
      </c>
    </row>
    <row r="28" customFormat="false" ht="15" hidden="false" customHeight="false" outlineLevel="0" collapsed="false">
      <c r="B28" s="6" t="s">
        <v>130</v>
      </c>
      <c r="C28" s="50" t="n">
        <v>46245</v>
      </c>
      <c r="D28" s="51" t="str">
        <f aca="false">IF($B28="","","Expense")</f>
        <v>Expense</v>
      </c>
      <c r="E28" s="18" t="n">
        <v>4.83</v>
      </c>
      <c r="F28" s="10"/>
      <c r="G28" s="10"/>
      <c r="H28" s="52" t="n">
        <f aca="false">IF($B28="","",N($E28))</f>
        <v>4.83</v>
      </c>
      <c r="I28" s="53" t="n">
        <f aca="false">IF($B28="","",$I$13+SUMIFS($G$15:$G$31,$M$15:$M$31,"&lt;="&amp;$M28)-SUMIFS($H$15:$H$31,$M$15:$M$31,"&lt;="&amp;$M28))</f>
        <v>-10.54</v>
      </c>
      <c r="J28" s="10"/>
      <c r="L28" s="47" t="n">
        <f aca="false">IF($B28="","",IF($C28="",$E$6+6,$C28))</f>
        <v>46245</v>
      </c>
      <c r="M28" s="0" t="n">
        <f aca="false">IF($L28="","",COUNTIFS($L$15:$L$31,"&lt;"&amp;$L28)+COUNTIFS($L$15:$L28,$L28))</f>
        <v>5</v>
      </c>
    </row>
    <row r="29" customFormat="false" ht="15" hidden="false" customHeight="false" outlineLevel="0" collapsed="false">
      <c r="B29" s="6" t="s">
        <v>131</v>
      </c>
      <c r="C29" s="50" t="n">
        <v>46245</v>
      </c>
      <c r="D29" s="51" t="str">
        <f aca="false">IF($B29="","","Expense")</f>
        <v>Expense</v>
      </c>
      <c r="E29" s="18" t="n">
        <v>21.43</v>
      </c>
      <c r="F29" s="10"/>
      <c r="G29" s="10"/>
      <c r="H29" s="52" t="n">
        <f aca="false">IF($B29="","",N($E29))</f>
        <v>21.43</v>
      </c>
      <c r="I29" s="53" t="n">
        <f aca="false">IF($B29="","",$I$13+SUMIFS($G$15:$G$31,$M$15:$M$31,"&lt;="&amp;$M29)-SUMIFS($H$15:$H$31,$M$15:$M$31,"&lt;="&amp;$M29))</f>
        <v>-31.97</v>
      </c>
      <c r="J29" s="10"/>
      <c r="L29" s="47" t="n">
        <f aca="false">IF($B29="","",IF($C29="",$E$6+6,$C29))</f>
        <v>46245</v>
      </c>
      <c r="M29" s="0" t="n">
        <f aca="false">IF($L29="","",COUNTIFS($L$15:$L$31,"&lt;"&amp;$L29)+COUNTIFS($L$15:$L29,$L29))</f>
        <v>6</v>
      </c>
    </row>
    <row r="30" customFormat="false" ht="15" hidden="false" customHeight="false" outlineLevel="0" collapsed="false">
      <c r="B30" s="6" t="s">
        <v>132</v>
      </c>
      <c r="C30" s="50" t="n">
        <v>46245</v>
      </c>
      <c r="D30" s="51" t="str">
        <f aca="false">IF($B30="","","Expense")</f>
        <v>Expense</v>
      </c>
      <c r="E30" s="18" t="n">
        <v>3.23</v>
      </c>
      <c r="F30" s="10"/>
      <c r="G30" s="10"/>
      <c r="H30" s="52" t="n">
        <f aca="false">IF($B30="","",N($E30))</f>
        <v>3.23</v>
      </c>
      <c r="I30" s="53" t="n">
        <f aca="false">IF($B30="","",$I$13+SUMIFS($G$15:$G$31,$M$15:$M$31,"&lt;="&amp;$M30)-SUMIFS($H$15:$H$31,$M$15:$M$31,"&lt;="&amp;$M30))</f>
        <v>-35.2</v>
      </c>
      <c r="J30" s="10"/>
      <c r="L30" s="47" t="n">
        <f aca="false">IF($B30="","",IF($C30="",$E$6+6,$C30))</f>
        <v>46245</v>
      </c>
      <c r="M30" s="0" t="n">
        <f aca="false">IF($L30="","",COUNTIFS($L$15:$L$31,"&lt;"&amp;$L30)+COUNTIFS($L$15:$L30,$L30))</f>
        <v>7</v>
      </c>
    </row>
    <row r="31" customFormat="false" ht="15" hidden="false" customHeight="false" outlineLevel="0" collapsed="false">
      <c r="B31" s="6" t="s">
        <v>133</v>
      </c>
      <c r="C31" s="50" t="n">
        <v>46245</v>
      </c>
      <c r="D31" s="51" t="str">
        <f aca="false">IF($B31="","","Expense")</f>
        <v>Expense</v>
      </c>
      <c r="E31" s="18" t="n">
        <v>16.26</v>
      </c>
      <c r="F31" s="10"/>
      <c r="G31" s="10"/>
      <c r="H31" s="52" t="n">
        <f aca="false">IF($B31="","",N($E31))</f>
        <v>16.26</v>
      </c>
      <c r="I31" s="53" t="n">
        <f aca="false">IF($B31="","",$I$13+SUMIFS($G$15:$G$31,$M$15:$M$31,"&lt;="&amp;$M31)-SUMIFS($H$15:$H$31,$M$15:$M$31,"&lt;="&amp;$M31))</f>
        <v>-51.46</v>
      </c>
      <c r="J31" s="10"/>
      <c r="L31" s="47" t="n">
        <f aca="false">IF($B31="","",IF($C31="",$E$6+6,$C31))</f>
        <v>46245</v>
      </c>
      <c r="M31" s="0" t="n">
        <f aca="false">IF($L31="","",COUNTIFS($L$15:$L$31,"&lt;"&amp;$L31)+COUNTIFS($L$15:$L31,$L31))</f>
        <v>8</v>
      </c>
    </row>
    <row r="32" customFormat="false" ht="15" hidden="false" customHeight="false" outlineLevel="0" collapsed="false">
      <c r="B32" s="54" t="s">
        <v>134</v>
      </c>
      <c r="C32" s="55"/>
      <c r="D32" s="55"/>
      <c r="E32" s="55"/>
      <c r="F32" s="55"/>
      <c r="G32" s="56" t="n">
        <f aca="false">SUM($G$15:$G$31)</f>
        <v>232.63</v>
      </c>
      <c r="H32" s="56" t="n">
        <f aca="false">SUM($H$15:$H$31)</f>
        <v>225.84</v>
      </c>
      <c r="I32" s="57" t="n">
        <f aca="false">$I$13+$G$32-$H$32</f>
        <v>58.18</v>
      </c>
      <c r="J32" s="58" t="str">
        <f aca="false">IF($I$32&lt;0,"SHORTFALL",IF($I$32&lt;$E$7,"TIGHT","OK"))</f>
        <v>TIGHT</v>
      </c>
      <c r="K32" s="59" t="str">
        <f aca="false">IF(COUNT($I$15:$I$31)=0,"","Lowest point this week: "&amp;TEXT(MIN($I$15:$I$31),"$#,##0.00;-$#,##0.00")&amp;" on "&amp;TEXT(INDEX($C$15:$C$31,MATCH(MIN($I$15:$I$31),$I$15:$I$31,0)),"ddd mmm d")&amp;"     (in "&amp;TEXT($G$32,"$#,##0.00")&amp;", out "&amp;TEXT($H$32,"$#,##0.00")&amp;")")</f>
        <v>Lowest point this week: -$51.46 on Tue Aug 11     (in $232.63, out $225.84)</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120</v>
      </c>
      <c r="H34" s="32"/>
      <c r="I34" s="34" t="n">
        <f aca="false">$I$32</f>
        <v>58.18</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121</v>
      </c>
      <c r="C35" s="35" t="s">
        <v>122</v>
      </c>
      <c r="D35" s="35" t="s">
        <v>72</v>
      </c>
      <c r="E35" s="35" t="s">
        <v>123</v>
      </c>
      <c r="F35" s="35" t="s">
        <v>124</v>
      </c>
      <c r="G35" s="36" t="s">
        <v>18</v>
      </c>
      <c r="H35" s="37" t="s">
        <v>20</v>
      </c>
      <c r="I35" s="35" t="s">
        <v>125</v>
      </c>
      <c r="J35" s="35" t="s">
        <v>126</v>
      </c>
    </row>
    <row r="36" customFormat="false" ht="15" hidden="false" customHeight="false" outlineLevel="0" collapsed="false">
      <c r="B36" s="38" t="str">
        <f aca="false">IFERROR(INDEX(Schedule!$C$4:$C$483,MATCH(2001,Schedule!$K$4:$K$483,0)),"")</f>
        <v>Compunnel Software (paycheck)</v>
      </c>
      <c r="C36" s="39" t="n">
        <f aca="false">IF($B36="","",INDEX(Schedule!$G$4:$G$483,MATCH(2001,Schedule!$K$4:$K$483,0)))</f>
        <v>46248</v>
      </c>
      <c r="D36" s="40" t="str">
        <f aca="false">IF($B36="","",INDEX(Schedule!$D$4:$D$483,MATCH(2001,Schedule!$K$4:$K$483,0)))</f>
        <v>Income</v>
      </c>
      <c r="E36" s="41" t="n">
        <f aca="false">IF($B36="","",INDEX(Schedule!$E$4:$E$483,MATCH(2001,Schedule!$K$4:$K$483,0)))</f>
        <v>790</v>
      </c>
      <c r="F36" s="42"/>
      <c r="G36" s="43" t="n">
        <f aca="false">IF($B36="","",IF($D36="Income",IF($F36&lt;&gt;"",$F36,$E36),""))</f>
        <v>790</v>
      </c>
      <c r="H36" s="44" t="str">
        <f aca="false">IF($B36="","",IF($D36="Income","",IF($F36&lt;&gt;"",$F36,$E36)))</f>
        <v/>
      </c>
      <c r="I36" s="45" t="n">
        <f aca="false">IF($B36="","",$I$34+SUMIFS($G$36:$G$52,$M$36:$M$52,"&lt;="&amp;$M36)-SUMIFS($H$36:$H$52,$M$36:$M$52,"&lt;="&amp;$M36))</f>
        <v>848.18</v>
      </c>
      <c r="J36" s="46" t="str">
        <f aca="true">IF($B36="","",IF($F36&lt;&gt;"",IF($C36&gt;TODAY(),"ADJUSTED","PAID"),IF($C36&lt;TODAY(),"PAST DUE",IF($C36&lt;=TODAY()+7,"DUE","Upcoming"))))</f>
        <v>DUE</v>
      </c>
      <c r="L36" s="47" t="n">
        <f aca="false">IF($B36="","",$C36)</f>
        <v>46248</v>
      </c>
      <c r="M36" s="0" t="n">
        <f aca="false">IF($L36="","",COUNTIFS($L$36:$L$52,"&lt;"&amp;$L36)+COUNTIFS($L$36:$L36,$L36))</f>
        <v>1</v>
      </c>
    </row>
    <row r="37" customFormat="false" ht="15" hidden="false" customHeight="false" outlineLevel="0" collapsed="false">
      <c r="B37" s="38" t="str">
        <f aca="false">IFERROR(INDEX(Schedule!$C$4:$C$483,MATCH(2002,Schedule!$K$4:$K$483,0)),"")</f>
        <v>Patrick Rombalski (rent)</v>
      </c>
      <c r="C37" s="39" t="n">
        <f aca="false">IF($B37="","",INDEX(Schedule!$G$4:$G$483,MATCH(2002,Schedule!$K$4:$K$483,0)))</f>
        <v>46248</v>
      </c>
      <c r="D37" s="40" t="str">
        <f aca="false">IF($B37="","",INDEX(Schedule!$D$4:$D$483,MATCH(2002,Schedule!$K$4:$K$483,0)))</f>
        <v>Expense</v>
      </c>
      <c r="E37" s="41" t="n">
        <f aca="false">IF($B37="","",INDEX(Schedule!$E$4:$E$483,MATCH(2002,Schedule!$K$4:$K$483,0)))</f>
        <v>350</v>
      </c>
      <c r="F37" s="42"/>
      <c r="G37" s="43" t="str">
        <f aca="false">IF($B37="","",IF($D37="Income",IF($F37&lt;&gt;"",$F37,$E37),""))</f>
        <v/>
      </c>
      <c r="H37" s="44" t="n">
        <f aca="false">IF($B37="","",IF($D37="Income","",IF($F37&lt;&gt;"",$F37,$E37)))</f>
        <v>350</v>
      </c>
      <c r="I37" s="45" t="n">
        <f aca="false">IF($B37="","",$I$34+SUMIFS($G$36:$G$52,$M$36:$M$52,"&lt;="&amp;$M37)-SUMIFS($H$36:$H$52,$M$36:$M$52,"&lt;="&amp;$M37))</f>
        <v>498.18</v>
      </c>
      <c r="J37" s="46" t="str">
        <f aca="true">IF($B37="","",IF($F37&lt;&gt;"",IF($C37&gt;TODAY(),"ADJUSTED","PAID"),IF($C37&lt;TODAY(),"PAST DUE",IF($C37&lt;=TODAY()+7,"DUE","Upcoming"))))</f>
        <v>DUE</v>
      </c>
      <c r="L37" s="47" t="n">
        <f aca="false">IF($B37="","",$C37)</f>
        <v>46248</v>
      </c>
      <c r="M37" s="0" t="n">
        <f aca="false">IF($L37="","",COUNTIFS($L$36:$L$52,"&lt;"&amp;$L37)+COUNTIFS($L$36:$L37,$L37))</f>
        <v>2</v>
      </c>
    </row>
    <row r="38" customFormat="false" ht="15" hidden="false" customHeight="false" outlineLevel="0" collapsed="false">
      <c r="B38" s="38" t="str">
        <f aca="false">IFERROR(INDEX(Schedule!$C$4:$C$483,MATCH(2003,Schedule!$K$4:$K$483,0)),"")</f>
        <v>Spectrum</v>
      </c>
      <c r="C38" s="39" t="n">
        <f aca="false">IF($B38="","",INDEX(Schedule!$G$4:$G$483,MATCH(2003,Schedule!$K$4:$K$483,0)))</f>
        <v>46250</v>
      </c>
      <c r="D38" s="40" t="str">
        <f aca="false">IF($B38="","",INDEX(Schedule!$D$4:$D$483,MATCH(2003,Schedule!$K$4:$K$483,0)))</f>
        <v>Expense</v>
      </c>
      <c r="E38" s="41" t="n">
        <f aca="false">IF($B38="","",INDEX(Schedule!$E$4:$E$483,MATCH(2003,Schedule!$K$4:$K$483,0)))</f>
        <v>171.1</v>
      </c>
      <c r="F38" s="42"/>
      <c r="G38" s="43" t="str">
        <f aca="false">IF($B38="","",IF($D38="Income",IF($F38&lt;&gt;"",$F38,$E38),""))</f>
        <v/>
      </c>
      <c r="H38" s="44" t="n">
        <f aca="false">IF($B38="","",IF($D38="Income","",IF($F38&lt;&gt;"",$F38,$E38)))</f>
        <v>171.1</v>
      </c>
      <c r="I38" s="45" t="n">
        <f aca="false">IF($B38="","",$I$34+SUMIFS($G$36:$G$52,$M$36:$M$52,"&lt;="&amp;$M38)-SUMIFS($H$36:$H$52,$M$36:$M$52,"&lt;="&amp;$M38))</f>
        <v>327.08</v>
      </c>
      <c r="J38" s="46" t="str">
        <f aca="true">IF($B38="","",IF($F38&lt;&gt;"",IF($C38&gt;TODAY(),"ADJUSTED","PAID"),IF($C38&lt;TODAY(),"PAST DUE",IF($C38&lt;=TODAY()+7,"DUE","Upcoming"))))</f>
        <v>DUE</v>
      </c>
      <c r="L38" s="47" t="n">
        <f aca="false">IF($B38="","",$C38)</f>
        <v>46250</v>
      </c>
      <c r="M38" s="0" t="n">
        <f aca="false">IF($L38="","",COUNTIFS($L$36:$L$52,"&lt;"&amp;$L38)+COUNTIFS($L$36:$L38,$L38))</f>
        <v>3</v>
      </c>
    </row>
    <row r="39" customFormat="false" ht="15" hidden="false" customHeight="false" outlineLevel="0" collapsed="false">
      <c r="B39" s="38" t="str">
        <f aca="false">IFERROR(INDEX(Schedule!$C$4:$C$483,MATCH(2004,Schedule!$K$4:$K$483,0)),"")</f>
        <v>Maine Revenue Services</v>
      </c>
      <c r="C39" s="39" t="n">
        <f aca="false">IF($B39="","",INDEX(Schedule!$G$4:$G$483,MATCH(2004,Schedule!$K$4:$K$483,0)))</f>
        <v>46250</v>
      </c>
      <c r="D39" s="40" t="str">
        <f aca="false">IF($B39="","",INDEX(Schedule!$D$4:$D$483,MATCH(2004,Schedule!$K$4:$K$483,0)))</f>
        <v>Expense</v>
      </c>
      <c r="E39" s="41" t="n">
        <f aca="false">IF($B39="","",INDEX(Schedule!$E$4:$E$483,MATCH(2004,Schedule!$K$4:$K$483,0)))</f>
        <v>45</v>
      </c>
      <c r="F39" s="42"/>
      <c r="G39" s="43" t="str">
        <f aca="false">IF($B39="","",IF($D39="Income",IF($F39&lt;&gt;"",$F39,$E39),""))</f>
        <v/>
      </c>
      <c r="H39" s="44" t="n">
        <f aca="false">IF($B39="","",IF($D39="Income","",IF($F39&lt;&gt;"",$F39,$E39)))</f>
        <v>45</v>
      </c>
      <c r="I39" s="45" t="n">
        <f aca="false">IF($B39="","",$I$34+SUMIFS($G$36:$G$52,$M$36:$M$52,"&lt;="&amp;$M39)-SUMIFS($H$36:$H$52,$M$36:$M$52,"&lt;="&amp;$M39))</f>
        <v>282.08</v>
      </c>
      <c r="J39" s="46" t="str">
        <f aca="true">IF($B39="","",IF($F39&lt;&gt;"",IF($C39&gt;TODAY(),"ADJUSTED","PAID"),IF($C39&lt;TODAY(),"PAST DUE",IF($C39&lt;=TODAY()+7,"DUE","Upcoming"))))</f>
        <v>DUE</v>
      </c>
      <c r="L39" s="47" t="n">
        <f aca="false">IF($B39="","",$C39)</f>
        <v>46250</v>
      </c>
      <c r="M39" s="0" t="n">
        <f aca="false">IF($L39="","",COUNTIFS($L$36:$L$52,"&lt;"&amp;$L39)+COUNTIFS($L$36:$L39,$L39))</f>
        <v>4</v>
      </c>
    </row>
    <row r="40" customFormat="false" ht="15" hidden="false" customHeight="false" outlineLevel="0" collapsed="false">
      <c r="B40" s="38" t="str">
        <f aca="false">IFERROR(INDEX(Schedule!$C$4:$C$483,MATCH(2005,Schedule!$K$4:$K$483,0)),"")</f>
        <v>Metal Copy</v>
      </c>
      <c r="C40" s="39" t="n">
        <f aca="false">IF($B40="","",INDEX(Schedule!$G$4:$G$483,MATCH(2005,Schedule!$K$4:$K$483,0)))</f>
        <v>46252</v>
      </c>
      <c r="D40" s="40" t="str">
        <f aca="false">IF($B40="","",INDEX(Schedule!$D$4:$D$483,MATCH(2005,Schedule!$K$4:$K$483,0)))</f>
        <v>Expense</v>
      </c>
      <c r="E40" s="41" t="n">
        <f aca="false">IF($B40="","",INDEX(Schedule!$E$4:$E$483,MATCH(2005,Schedule!$K$4:$K$483,0)))</f>
        <v>16.99</v>
      </c>
      <c r="F40" s="42"/>
      <c r="G40" s="43" t="str">
        <f aca="false">IF($B40="","",IF($D40="Income",IF($F40&lt;&gt;"",$F40,$E40),""))</f>
        <v/>
      </c>
      <c r="H40" s="44" t="n">
        <f aca="false">IF($B40="","",IF($D40="Income","",IF($F40&lt;&gt;"",$F40,$E40)))</f>
        <v>16.99</v>
      </c>
      <c r="I40" s="45" t="n">
        <f aca="false">IF($B40="","",$I$34+SUMIFS($G$36:$G$52,$M$36:$M$52,"&lt;="&amp;$M40)-SUMIFS($H$36:$H$52,$M$36:$M$52,"&lt;="&amp;$M40))</f>
        <v>265.09</v>
      </c>
      <c r="J40" s="46" t="str">
        <f aca="true">IF($B40="","",IF($F40&lt;&gt;"",IF($C40&gt;TODAY(),"ADJUSTED","PAID"),IF($C40&lt;TODAY(),"PAST DUE",IF($C40&lt;=TODAY()+7,"DUE","Upcoming"))))</f>
        <v>DUE</v>
      </c>
      <c r="L40" s="47" t="n">
        <f aca="false">IF($B40="","",$C40)</f>
        <v>46252</v>
      </c>
      <c r="M40" s="0" t="n">
        <f aca="false">IF($L40="","",COUNTIFS($L$36:$L$52,"&lt;"&amp;$L40)+COUNTIFS($L$36:$L40,$L40))</f>
        <v>5</v>
      </c>
    </row>
    <row r="41" customFormat="false" ht="15" hidden="false" customHeight="false" outlineLevel="0" collapsed="false">
      <c r="B41" s="38" t="str">
        <f aca="false">IFERROR(INDEX(Schedule!$C$4:$C$483,MATCH(2006,Schedule!$K$4:$K$483,0)),"")</f>
        <v>Bruno's Restaurant (paycheck)</v>
      </c>
      <c r="C41" s="39" t="n">
        <f aca="false">IF($B41="","",INDEX(Schedule!$G$4:$G$483,MATCH(2006,Schedule!$K$4:$K$483,0)))</f>
        <v>46253</v>
      </c>
      <c r="D41" s="40" t="str">
        <f aca="false">IF($B41="","",INDEX(Schedule!$D$4:$D$483,MATCH(2006,Schedule!$K$4:$K$483,0)))</f>
        <v>Income</v>
      </c>
      <c r="E41" s="41" t="n">
        <f aca="false">IF($B41="","",INDEX(Schedule!$E$4:$E$483,MATCH(2006,Schedule!$K$4:$K$483,0)))</f>
        <v>90</v>
      </c>
      <c r="F41" s="42"/>
      <c r="G41" s="43" t="n">
        <f aca="false">IF($B41="","",IF($D41="Income",IF($F41&lt;&gt;"",$F41,$E41),""))</f>
        <v>90</v>
      </c>
      <c r="H41" s="44" t="str">
        <f aca="false">IF($B41="","",IF($D41="Income","",IF($F41&lt;&gt;"",$F41,$E41)))</f>
        <v/>
      </c>
      <c r="I41" s="45" t="n">
        <f aca="false">IF($B41="","",$I$34+SUMIFS($G$36:$G$52,$M$36:$M$52,"&lt;="&amp;$M41)-SUMIFS($H$36:$H$52,$M$36:$M$52,"&lt;="&amp;$M41))</f>
        <v>355.09</v>
      </c>
      <c r="J41" s="46" t="str">
        <f aca="true">IF($B41="","",IF($F41&lt;&gt;"",IF($C41&gt;TODAY(),"ADJUSTED","PAID"),IF($C41&lt;TODAY(),"PAST DUE",IF($C41&lt;=TODAY()+7,"DUE","Upcoming"))))</f>
        <v>DUE</v>
      </c>
      <c r="L41" s="47" t="n">
        <f aca="false">IF($B41="","",$C41)</f>
        <v>46253</v>
      </c>
      <c r="M41" s="0" t="n">
        <f aca="false">IF($L41="","",COUNTIFS($L$36:$L$52,"&lt;"&amp;$L41)+COUNTIFS($L$36:$L41,$L41))</f>
        <v>6</v>
      </c>
    </row>
    <row r="42" customFormat="false" ht="15" hidden="false" customHeight="false" outlineLevel="0" collapsed="false">
      <c r="B42" s="38" t="str">
        <f aca="false">IFERROR(INDEX(Schedule!$C$4:$C$483,MATCH(2007,Schedule!$K$4:$K$483,0)),"")</f>
        <v/>
      </c>
      <c r="C42" s="39" t="str">
        <f aca="false">IF($B42="","",INDEX(Schedule!$G$4:$G$483,MATCH(2007,Schedule!$K$4:$K$483,0)))</f>
        <v/>
      </c>
      <c r="D42" s="40" t="str">
        <f aca="false">IF($B42="","",INDEX(Schedule!$D$4:$D$483,MATCH(2007,Schedule!$K$4:$K$483,0)))</f>
        <v/>
      </c>
      <c r="E42" s="41" t="str">
        <f aca="false">IF($B42="","",INDEX(Schedule!$E$4:$E$483,MATCH(2007,Schedule!$K$4:$K$483,0)))</f>
        <v/>
      </c>
      <c r="F42" s="42"/>
      <c r="G42" s="43" t="str">
        <f aca="false">IF($B42="","",IF($D42="Income",IF($F42&lt;&gt;"",$F42,$E42),""))</f>
        <v/>
      </c>
      <c r="H42" s="44" t="str">
        <f aca="false">IF($B42="","",IF($D42="Income","",IF($F42&lt;&gt;"",$F42,$E42)))</f>
        <v/>
      </c>
      <c r="I42" s="45" t="str">
        <f aca="false">IF($B42="","",$I$34+SUMIFS($G$36:$G$52,$M$36:$M$52,"&lt;="&amp;$M42)-SUMIFS($H$36:$H$52,$M$36:$M$52,"&lt;="&amp;$M42))</f>
        <v/>
      </c>
      <c r="J42" s="46" t="str">
        <f aca="true">IF($B42="","",IF($F42&lt;&gt;"",IF($C42&gt;TODAY(),"ADJUSTED","PAID"),IF($C42&lt;TODAY(),"PAST DUE",IF($C42&lt;=TODAY()+7,"DUE","Upcoming"))))</f>
        <v/>
      </c>
      <c r="L42" s="0" t="str">
        <f aca="false">IF($B42="","",$C42)</f>
        <v/>
      </c>
      <c r="M42" s="0" t="str">
        <f aca="false">IF($L42="","",COUNTIFS($L$36:$L$52,"&lt;"&amp;$L42)+COUNTIFS($L$36:$L42,$L42))</f>
        <v/>
      </c>
    </row>
    <row r="43" customFormat="false" ht="15" hidden="false" customHeight="false" outlineLevel="0" collapsed="false">
      <c r="B43" s="38" t="str">
        <f aca="false">IFERROR(INDEX(Schedule!$C$4:$C$483,MATCH(2008,Schedule!$K$4:$K$483,0)),"")</f>
        <v/>
      </c>
      <c r="C43" s="39" t="str">
        <f aca="false">IF($B43="","",INDEX(Schedule!$G$4:$G$483,MATCH(2008,Schedule!$K$4:$K$483,0)))</f>
        <v/>
      </c>
      <c r="D43" s="40" t="str">
        <f aca="false">IF($B43="","",INDEX(Schedule!$D$4:$D$483,MATCH(2008,Schedule!$K$4:$K$483,0)))</f>
        <v/>
      </c>
      <c r="E43" s="41" t="str">
        <f aca="false">IF($B43="","",INDEX(Schedule!$E$4:$E$483,MATCH(2008,Schedule!$K$4:$K$483,0)))</f>
        <v/>
      </c>
      <c r="F43" s="42"/>
      <c r="G43" s="43" t="str">
        <f aca="false">IF($B43="","",IF($D43="Income",IF($F43&lt;&gt;"",$F43,$E43),""))</f>
        <v/>
      </c>
      <c r="H43" s="44" t="str">
        <f aca="false">IF($B43="","",IF($D43="Income","",IF($F43&lt;&gt;"",$F43,$E43)))</f>
        <v/>
      </c>
      <c r="I43" s="45" t="str">
        <f aca="false">IF($B43="","",$I$34+SUMIFS($G$36:$G$52,$M$36:$M$52,"&lt;="&amp;$M43)-SUMIFS($H$36:$H$52,$M$36:$M$52,"&lt;="&amp;$M43))</f>
        <v/>
      </c>
      <c r="J43" s="46" t="str">
        <f aca="true">IF($B43="","",IF($F43&lt;&gt;"",IF($C43&gt;TODAY(),"ADJUSTED","PAID"),IF($C43&lt;TODAY(),"PAST DUE",IF($C43&lt;=TODAY()+7,"DUE","Upcoming"))))</f>
        <v/>
      </c>
      <c r="L43" s="0" t="str">
        <f aca="false">IF($B43="","",$C43)</f>
        <v/>
      </c>
      <c r="M43" s="0" t="str">
        <f aca="false">IF($L43="","",COUNTIFS($L$36:$L$52,"&lt;"&amp;$L43)+COUNTIFS($L$36:$L43,$L43))</f>
        <v/>
      </c>
    </row>
    <row r="44" customFormat="false" ht="15" hidden="false" customHeight="false" outlineLevel="0" collapsed="false">
      <c r="B44" s="38" t="str">
        <f aca="false">IFERROR(INDEX(Schedule!$C$4:$C$483,MATCH(2009,Schedule!$K$4:$K$483,0)),"")</f>
        <v/>
      </c>
      <c r="C44" s="39" t="str">
        <f aca="false">IF($B44="","",INDEX(Schedule!$G$4:$G$483,MATCH(2009,Schedule!$K$4:$K$483,0)))</f>
        <v/>
      </c>
      <c r="D44" s="40" t="str">
        <f aca="false">IF($B44="","",INDEX(Schedule!$D$4:$D$483,MATCH(2009,Schedule!$K$4:$K$483,0)))</f>
        <v/>
      </c>
      <c r="E44" s="41" t="str">
        <f aca="false">IF($B44="","",INDEX(Schedule!$E$4:$E$483,MATCH(2009,Schedule!$K$4:$K$483,0)))</f>
        <v/>
      </c>
      <c r="F44" s="42"/>
      <c r="G44" s="43" t="str">
        <f aca="false">IF($B44="","",IF($D44="Income",IF($F44&lt;&gt;"",$F44,$E44),""))</f>
        <v/>
      </c>
      <c r="H44" s="44" t="str">
        <f aca="false">IF($B44="","",IF($D44="Income","",IF($F44&lt;&gt;"",$F44,$E44)))</f>
        <v/>
      </c>
      <c r="I44" s="45" t="str">
        <f aca="false">IF($B44="","",$I$34+SUMIFS($G$36:$G$52,$M$36:$M$52,"&lt;="&amp;$M44)-SUMIFS($H$36:$H$52,$M$36:$M$52,"&lt;="&amp;$M44))</f>
        <v/>
      </c>
      <c r="J44" s="46" t="str">
        <f aca="true">IF($B44="","",IF($F44&lt;&gt;"",IF($C44&gt;TODAY(),"ADJUSTED","PAID"),IF($C44&lt;TODAY(),"PAST DUE",IF($C44&lt;=TODAY()+7,"DUE","Upcoming"))))</f>
        <v/>
      </c>
      <c r="L44" s="0" t="str">
        <f aca="false">IF($B44="","",$C44)</f>
        <v/>
      </c>
      <c r="M44" s="0" t="str">
        <f aca="false">IF($L44="","",COUNTIFS($L$36:$L$52,"&lt;"&amp;$L44)+COUNTIFS($L$36:$L44,$L44))</f>
        <v/>
      </c>
    </row>
    <row r="45" customFormat="false" ht="15" hidden="false" customHeight="false" outlineLevel="0" collapsed="false">
      <c r="B45" s="38" t="str">
        <f aca="false">IFERROR(INDEX(Schedule!$C$4:$C$483,MATCH(2010,Schedule!$K$4:$K$483,0)),"")</f>
        <v/>
      </c>
      <c r="C45" s="39" t="str">
        <f aca="false">IF($B45="","",INDEX(Schedule!$G$4:$G$483,MATCH(2010,Schedule!$K$4:$K$483,0)))</f>
        <v/>
      </c>
      <c r="D45" s="40" t="str">
        <f aca="false">IF($B45="","",INDEX(Schedule!$D$4:$D$483,MATCH(2010,Schedule!$K$4:$K$483,0)))</f>
        <v/>
      </c>
      <c r="E45" s="41" t="str">
        <f aca="false">IF($B45="","",INDEX(Schedule!$E$4:$E$483,MATCH(2010,Schedule!$K$4:$K$483,0)))</f>
        <v/>
      </c>
      <c r="F45" s="42"/>
      <c r="G45" s="43" t="str">
        <f aca="false">IF($B45="","",IF($D45="Income",IF($F45&lt;&gt;"",$F45,$E45),""))</f>
        <v/>
      </c>
      <c r="H45" s="44" t="str">
        <f aca="false">IF($B45="","",IF($D45="Income","",IF($F45&lt;&gt;"",$F45,$E45)))</f>
        <v/>
      </c>
      <c r="I45" s="45" t="str">
        <f aca="false">IF($B45="","",$I$34+SUMIFS($G$36:$G$52,$M$36:$M$52,"&lt;="&amp;$M45)-SUMIFS($H$36:$H$52,$M$36:$M$52,"&lt;="&amp;$M45))</f>
        <v/>
      </c>
      <c r="J45" s="46" t="str">
        <f aca="true">IF($B45="","",IF($F45&lt;&gt;"",IF($C45&gt;TODAY(),"ADJUSTED","PAID"),IF($C45&lt;TODAY(),"PAST DUE",IF($C45&lt;=TODAY()+7,"DUE","Upcoming"))))</f>
        <v/>
      </c>
      <c r="L45" s="0" t="str">
        <f aca="false">IF($B45="","",$C45)</f>
        <v/>
      </c>
      <c r="M45" s="0" t="str">
        <f aca="false">IF($L45="","",COUNTIFS($L$36:$L$52,"&lt;"&amp;$L45)+COUNTIFS($L$36:$L45,$L45))</f>
        <v/>
      </c>
    </row>
    <row r="46" customFormat="false" ht="15" hidden="false" customHeight="false" outlineLevel="0" collapsed="false">
      <c r="B46" s="48" t="s">
        <v>127</v>
      </c>
      <c r="C46" s="49"/>
      <c r="D46" s="49"/>
      <c r="E46" s="49"/>
      <c r="F46" s="49"/>
      <c r="G46" s="49"/>
      <c r="H46" s="49"/>
      <c r="I46" s="49"/>
      <c r="J46" s="49"/>
    </row>
    <row r="47" customFormat="false" ht="15" hidden="false" customHeight="false" outlineLevel="0" collapsed="false">
      <c r="B47" s="6"/>
      <c r="C47" s="50"/>
      <c r="D47" s="51" t="str">
        <f aca="false">IF($B47="","","Expense")</f>
        <v/>
      </c>
      <c r="E47" s="18"/>
      <c r="F47" s="10"/>
      <c r="G47" s="10"/>
      <c r="H47" s="52" t="str">
        <f aca="false">IF($B47="","",N($E47))</f>
        <v/>
      </c>
      <c r="I47" s="53" t="str">
        <f aca="false">IF($B47="","",$I$34+SUMIFS($G$36:$G$52,$M$36:$M$52,"&lt;="&amp;$M47)-SUMIFS($H$36:$H$52,$M$36:$M$52,"&lt;="&amp;$M47))</f>
        <v/>
      </c>
      <c r="J47" s="10"/>
      <c r="L47" s="0" t="str">
        <f aca="false">IF($B47="","",IF($C47="",$E$6+13,$C47))</f>
        <v/>
      </c>
      <c r="M47" s="0" t="str">
        <f aca="false">IF($L47="","",COUNTIFS($L$36:$L$52,"&lt;"&amp;$L47)+COUNTIFS($L$36:$L47,$L47))</f>
        <v/>
      </c>
    </row>
    <row r="48" customFormat="false" ht="15" hidden="false" customHeight="false" outlineLevel="0" collapsed="false">
      <c r="B48" s="6"/>
      <c r="C48" s="50"/>
      <c r="D48" s="51" t="str">
        <f aca="false">IF($B48="","","Expense")</f>
        <v/>
      </c>
      <c r="E48" s="18"/>
      <c r="F48" s="10"/>
      <c r="G48" s="10"/>
      <c r="H48" s="52" t="str">
        <f aca="false">IF($B48="","",N($E48))</f>
        <v/>
      </c>
      <c r="I48" s="53" t="str">
        <f aca="false">IF($B48="","",$I$34+SUMIFS($G$36:$G$52,$M$36:$M$52,"&lt;="&amp;$M48)-SUMIFS($H$36:$H$52,$M$36:$M$52,"&lt;="&amp;$M48))</f>
        <v/>
      </c>
      <c r="J48" s="10"/>
      <c r="L48" s="0" t="str">
        <f aca="false">IF($B48="","",IF($C48="",$E$6+13,$C48))</f>
        <v/>
      </c>
      <c r="M48" s="0" t="str">
        <f aca="false">IF($L48="","",COUNTIFS($L$36:$L$52,"&lt;"&amp;$L48)+COUNTIFS($L$36:$L48,$L48))</f>
        <v/>
      </c>
    </row>
    <row r="49" customFormat="false" ht="15" hidden="false" customHeight="false" outlineLevel="0" collapsed="false">
      <c r="B49" s="6"/>
      <c r="C49" s="50"/>
      <c r="D49" s="51" t="str">
        <f aca="false">IF($B49="","","Expense")</f>
        <v/>
      </c>
      <c r="E49" s="18"/>
      <c r="F49" s="10"/>
      <c r="G49" s="10"/>
      <c r="H49" s="52" t="str">
        <f aca="false">IF($B49="","",N($E49))</f>
        <v/>
      </c>
      <c r="I49" s="53" t="str">
        <f aca="false">IF($B49="","",$I$34+SUMIFS($G$36:$G$52,$M$36:$M$52,"&lt;="&amp;$M49)-SUMIFS($H$36:$H$52,$M$36:$M$52,"&lt;="&amp;$M49))</f>
        <v/>
      </c>
      <c r="J49" s="10"/>
      <c r="L49" s="0" t="str">
        <f aca="false">IF($B49="","",IF($C49="",$E$6+13,$C49))</f>
        <v/>
      </c>
      <c r="M49" s="0" t="str">
        <f aca="false">IF($L49="","",COUNTIFS($L$36:$L$52,"&lt;"&amp;$L49)+COUNTIFS($L$36:$L49,$L49))</f>
        <v/>
      </c>
    </row>
    <row r="50" customFormat="false" ht="15" hidden="false" customHeight="false" outlineLevel="0" collapsed="false">
      <c r="B50" s="6"/>
      <c r="C50" s="50"/>
      <c r="D50" s="51" t="str">
        <f aca="false">IF($B50="","","Expense")</f>
        <v/>
      </c>
      <c r="E50" s="18"/>
      <c r="F50" s="10"/>
      <c r="G50" s="10"/>
      <c r="H50" s="52" t="str">
        <f aca="false">IF($B50="","",N($E50))</f>
        <v/>
      </c>
      <c r="I50" s="53" t="str">
        <f aca="false">IF($B50="","",$I$34+SUMIFS($G$36:$G$52,$M$36:$M$52,"&lt;="&amp;$M50)-SUMIFS($H$36:$H$52,$M$36:$M$52,"&lt;="&amp;$M50))</f>
        <v/>
      </c>
      <c r="J50" s="10"/>
      <c r="L50" s="0" t="str">
        <f aca="false">IF($B50="","",IF($C50="",$E$6+13,$C50))</f>
        <v/>
      </c>
      <c r="M50" s="0" t="str">
        <f aca="false">IF($L50="","",COUNTIFS($L$36:$L$52,"&lt;"&amp;$L50)+COUNTIFS($L$36:$L50,$L50))</f>
        <v/>
      </c>
    </row>
    <row r="51" customFormat="false" ht="15" hidden="false" customHeight="false" outlineLevel="0" collapsed="false">
      <c r="B51" s="6"/>
      <c r="C51" s="50"/>
      <c r="D51" s="51" t="str">
        <f aca="false">IF($B51="","","Expense")</f>
        <v/>
      </c>
      <c r="E51" s="18"/>
      <c r="F51" s="10"/>
      <c r="G51" s="10"/>
      <c r="H51" s="52" t="str">
        <f aca="false">IF($B51="","",N($E51))</f>
        <v/>
      </c>
      <c r="I51" s="53" t="str">
        <f aca="false">IF($B51="","",$I$34+SUMIFS($G$36:$G$52,$M$36:$M$52,"&lt;="&amp;$M51)-SUMIFS($H$36:$H$52,$M$36:$M$52,"&lt;="&amp;$M51))</f>
        <v/>
      </c>
      <c r="J51" s="10"/>
      <c r="L51" s="0" t="str">
        <f aca="false">IF($B51="","",IF($C51="",$E$6+13,$C51))</f>
        <v/>
      </c>
      <c r="M51" s="0" t="str">
        <f aca="false">IF($L51="","",COUNTIFS($L$36:$L$52,"&lt;"&amp;$L51)+COUNTIFS($L$36:$L51,$L51))</f>
        <v/>
      </c>
    </row>
    <row r="52" customFormat="false" ht="15" hidden="false" customHeight="false" outlineLevel="0" collapsed="false">
      <c r="B52" s="6"/>
      <c r="C52" s="50"/>
      <c r="D52" s="51" t="str">
        <f aca="false">IF($B52="","","Expense")</f>
        <v/>
      </c>
      <c r="E52" s="18"/>
      <c r="F52" s="10"/>
      <c r="G52" s="10"/>
      <c r="H52" s="52" t="str">
        <f aca="false">IF($B52="","",N($E52))</f>
        <v/>
      </c>
      <c r="I52" s="53" t="str">
        <f aca="false">IF($B52="","",$I$34+SUMIFS($G$36:$G$52,$M$36:$M$52,"&lt;="&amp;$M52)-SUMIFS($H$36:$H$52,$M$36:$M$52,"&lt;="&amp;$M52))</f>
        <v/>
      </c>
      <c r="J52" s="10"/>
      <c r="L52" s="0" t="str">
        <f aca="false">IF($B52="","",IF($C52="",$E$6+13,$C52))</f>
        <v/>
      </c>
      <c r="M52" s="0" t="str">
        <f aca="false">IF($L52="","",COUNTIFS($L$36:$L$52,"&lt;"&amp;$L52)+COUNTIFS($L$36:$L52,$L52))</f>
        <v/>
      </c>
    </row>
    <row r="53" customFormat="false" ht="15" hidden="false" customHeight="false" outlineLevel="0" collapsed="false">
      <c r="B53" s="54" t="s">
        <v>135</v>
      </c>
      <c r="C53" s="55"/>
      <c r="D53" s="55"/>
      <c r="E53" s="55"/>
      <c r="F53" s="55"/>
      <c r="G53" s="56" t="n">
        <f aca="false">SUM($G$36:$G$52)</f>
        <v>880</v>
      </c>
      <c r="H53" s="56" t="n">
        <f aca="false">SUM($H$36:$H$52)</f>
        <v>583.09</v>
      </c>
      <c r="I53" s="57" t="n">
        <f aca="false">$I$34+$G$53-$H$53</f>
        <v>355.09</v>
      </c>
      <c r="J53" s="58" t="str">
        <f aca="false">IF($I$53&lt;0,"SHORTFALL",IF($I$53&lt;$E$7,"TIGHT","OK"))</f>
        <v>OK</v>
      </c>
      <c r="K53" s="59" t="str">
        <f aca="false">IF(COUNT($I$36:$I$52)=0,"","Lowest point this week: "&amp;TEXT(MIN($I$36:$I$52),"$#,##0.00;-$#,##0.00")&amp;" on "&amp;TEXT(INDEX($C$36:$C$52,MATCH(MIN($I$36:$I$52),$I$36:$I$52,0)),"ddd mmm d")&amp;"     (in "&amp;TEXT($G$53,"$#,##0.00")&amp;", out "&amp;TEXT($H$53,"$#,##0.00")&amp;")")</f>
        <v>Lowest point this week: $265.09 on Tue Aug 18     (in $880.00, out $583.09)</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120</v>
      </c>
      <c r="H55" s="32"/>
      <c r="I55" s="34" t="n">
        <f aca="false">$I$53</f>
        <v>355.09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121</v>
      </c>
      <c r="C56" s="35" t="s">
        <v>122</v>
      </c>
      <c r="D56" s="35" t="s">
        <v>72</v>
      </c>
      <c r="E56" s="35" t="s">
        <v>123</v>
      </c>
      <c r="F56" s="35" t="s">
        <v>124</v>
      </c>
      <c r="G56" s="36" t="s">
        <v>18</v>
      </c>
      <c r="H56" s="37" t="s">
        <v>20</v>
      </c>
      <c r="I56" s="35" t="s">
        <v>125</v>
      </c>
      <c r="J56" s="35" t="s">
        <v>126</v>
      </c>
    </row>
    <row r="57" customFormat="false" ht="15" hidden="false" customHeight="false" outlineLevel="0" collapsed="false">
      <c r="B57" s="38" t="str">
        <f aca="false">IFERROR(INDEX(Schedule!$C$4:$C$483,MATCH(3001,Schedule!$K$4:$K$483,0)),"")</f>
        <v>Compunnel Software (paycheck)</v>
      </c>
      <c r="C57" s="39" t="n">
        <f aca="false">IF($B57="","",INDEX(Schedule!$G$4:$G$483,MATCH(3001,Schedule!$K$4:$K$483,0)))</f>
        <v>46255</v>
      </c>
      <c r="D57" s="40" t="str">
        <f aca="false">IF($B57="","",INDEX(Schedule!$D$4:$D$483,MATCH(3001,Schedule!$K$4:$K$483,0)))</f>
        <v>Income</v>
      </c>
      <c r="E57" s="41" t="n">
        <f aca="false">IF($B57="","",INDEX(Schedule!$E$4:$E$483,MATCH(3001,Schedule!$K$4:$K$483,0)))</f>
        <v>790</v>
      </c>
      <c r="F57" s="42"/>
      <c r="G57" s="43" t="n">
        <f aca="false">IF($B57="","",IF($D57="Income",IF($F57&lt;&gt;"",$F57,$E57),""))</f>
        <v>790</v>
      </c>
      <c r="H57" s="44" t="str">
        <f aca="false">IF($B57="","",IF($D57="Income","",IF($F57&lt;&gt;"",$F57,$E57)))</f>
        <v/>
      </c>
      <c r="I57" s="45" t="n">
        <f aca="false">IF($B57="","",$I$55+SUMIFS($G$57:$G$73,$M$57:$M$73,"&lt;="&amp;$M57)-SUMIFS($H$57:$H$73,$M$57:$M$73,"&lt;="&amp;$M57))</f>
        <v>1145.09</v>
      </c>
      <c r="J57" s="46" t="str">
        <f aca="true">IF($B57="","",IF($F57&lt;&gt;"",IF($C57&gt;TODAY(),"ADJUSTED","PAID"),IF($C57&lt;TODAY(),"PAST DUE",IF($C57&lt;=TODAY()+7,"DUE","Upcoming"))))</f>
        <v>Upcoming</v>
      </c>
      <c r="L57" s="47" t="n">
        <f aca="false">IF($B57="","",$C57)</f>
        <v>46255</v>
      </c>
      <c r="M57" s="0" t="n">
        <f aca="false">IF($L57="","",COUNTIFS($L$57:$L$73,"&lt;"&amp;$L57)+COUNTIFS($L$57:$L57,$L57))</f>
        <v>1</v>
      </c>
    </row>
    <row r="58" customFormat="false" ht="15" hidden="false" customHeight="false" outlineLevel="0" collapsed="false">
      <c r="B58" s="38" t="str">
        <f aca="false">IFERROR(INDEX(Schedule!$C$4:$C$483,MATCH(3002,Schedule!$K$4:$K$483,0)),"")</f>
        <v>Microsoft</v>
      </c>
      <c r="C58" s="39" t="n">
        <f aca="false">IF($B58="","",INDEX(Schedule!$G$4:$G$483,MATCH(3002,Schedule!$K$4:$K$483,0)))</f>
        <v>46259</v>
      </c>
      <c r="D58" s="40" t="str">
        <f aca="false">IF($B58="","",INDEX(Schedule!$D$4:$D$483,MATCH(3002,Schedule!$K$4:$K$483,0)))</f>
        <v>Expense</v>
      </c>
      <c r="E58" s="41" t="n">
        <f aca="false">IF($B58="","",INDEX(Schedule!$E$4:$E$483,MATCH(3002,Schedule!$K$4:$K$483,0)))</f>
        <v>13.7</v>
      </c>
      <c r="F58" s="42"/>
      <c r="G58" s="43" t="str">
        <f aca="false">IF($B58="","",IF($D58="Income",IF($F58&lt;&gt;"",$F58,$E58),""))</f>
        <v/>
      </c>
      <c r="H58" s="44" t="n">
        <f aca="false">IF($B58="","",IF($D58="Income","",IF($F58&lt;&gt;"",$F58,$E58)))</f>
        <v>13.7</v>
      </c>
      <c r="I58" s="45" t="n">
        <f aca="false">IF($B58="","",$I$55+SUMIFS($G$57:$G$73,$M$57:$M$73,"&lt;="&amp;$M58)-SUMIFS($H$57:$H$73,$M$57:$M$73,"&lt;="&amp;$M58))</f>
        <v>1131.39</v>
      </c>
      <c r="J58" s="46" t="str">
        <f aca="true">IF($B58="","",IF($F58&lt;&gt;"",IF($C58&gt;TODAY(),"ADJUSTED","PAID"),IF($C58&lt;TODAY(),"PAST DUE",IF($C58&lt;=TODAY()+7,"DUE","Upcoming"))))</f>
        <v>Upcoming</v>
      </c>
      <c r="L58" s="47" t="n">
        <f aca="false">IF($B58="","",$C58)</f>
        <v>46259</v>
      </c>
      <c r="M58" s="0" t="n">
        <f aca="false">IF($L58="","",COUNTIFS($L$57:$L$73,"&lt;"&amp;$L58)+COUNTIFS($L$57:$L58,$L58))</f>
        <v>2</v>
      </c>
    </row>
    <row r="59" customFormat="false" ht="15" hidden="false" customHeight="false" outlineLevel="0" collapsed="false">
      <c r="B59" s="38" t="str">
        <f aca="false">IFERROR(INDEX(Schedule!$C$4:$C$483,MATCH(3003,Schedule!$K$4:$K$483,0)),"")</f>
        <v>Central Maine Power: Payment Plan</v>
      </c>
      <c r="C59" s="39" t="n">
        <f aca="false">IF($B59="","",INDEX(Schedule!$G$4:$G$483,MATCH(3003,Schedule!$K$4:$K$483,0)))</f>
        <v>46259</v>
      </c>
      <c r="D59" s="40" t="str">
        <f aca="false">IF($B59="","",INDEX(Schedule!$D$4:$D$483,MATCH(3003,Schedule!$K$4:$K$483,0)))</f>
        <v>Expense</v>
      </c>
      <c r="E59" s="41" t="n">
        <f aca="false">IF($B59="","",INDEX(Schedule!$E$4:$E$483,MATCH(3003,Schedule!$K$4:$K$483,0)))</f>
        <v>43.87</v>
      </c>
      <c r="F59" s="42"/>
      <c r="G59" s="43" t="str">
        <f aca="false">IF($B59="","",IF($D59="Income",IF($F59&lt;&gt;"",$F59,$E59),""))</f>
        <v/>
      </c>
      <c r="H59" s="44" t="n">
        <f aca="false">IF($B59="","",IF($D59="Income","",IF($F59&lt;&gt;"",$F59,$E59)))</f>
        <v>43.87</v>
      </c>
      <c r="I59" s="45" t="n">
        <f aca="false">IF($B59="","",$I$55+SUMIFS($G$57:$G$73,$M$57:$M$73,"&lt;="&amp;$M59)-SUMIFS($H$57:$H$73,$M$57:$M$73,"&lt;="&amp;$M59))</f>
        <v>1087.52</v>
      </c>
      <c r="J59" s="46" t="str">
        <f aca="true">IF($B59="","",IF($F59&lt;&gt;"",IF($C59&gt;TODAY(),"ADJUSTED","PAID"),IF($C59&lt;TODAY(),"PAST DUE",IF($C59&lt;=TODAY()+7,"DUE","Upcoming"))))</f>
        <v>Upcoming</v>
      </c>
      <c r="L59" s="47" t="n">
        <f aca="false">IF($B59="","",$C59)</f>
        <v>46259</v>
      </c>
      <c r="M59" s="0" t="n">
        <f aca="false">IF($L59="","",COUNTIFS($L$57:$L$73,"&lt;"&amp;$L59)+COUNTIFS($L$57:$L59,$L59))</f>
        <v>3</v>
      </c>
    </row>
    <row r="60" customFormat="false" ht="15" hidden="false" customHeight="false" outlineLevel="0" collapsed="false">
      <c r="B60" s="38" t="str">
        <f aca="false">IFERROR(INDEX(Schedule!$C$4:$C$483,MATCH(3004,Schedule!$K$4:$K$483,0)),"")</f>
        <v>Bruno's Restaurant (paycheck)</v>
      </c>
      <c r="C60" s="39" t="n">
        <f aca="false">IF($B60="","",INDEX(Schedule!$G$4:$G$483,MATCH(3004,Schedule!$K$4:$K$483,0)))</f>
        <v>46260</v>
      </c>
      <c r="D60" s="40" t="str">
        <f aca="false">IF($B60="","",INDEX(Schedule!$D$4:$D$483,MATCH(3004,Schedule!$K$4:$K$483,0)))</f>
        <v>Income</v>
      </c>
      <c r="E60" s="41" t="n">
        <f aca="false">IF($B60="","",INDEX(Schedule!$E$4:$E$483,MATCH(3004,Schedule!$K$4:$K$483,0)))</f>
        <v>90</v>
      </c>
      <c r="F60" s="42"/>
      <c r="G60" s="43" t="n">
        <f aca="false">IF($B60="","",IF($D60="Income",IF($F60&lt;&gt;"",$F60,$E60),""))</f>
        <v>90</v>
      </c>
      <c r="H60" s="44" t="str">
        <f aca="false">IF($B60="","",IF($D60="Income","",IF($F60&lt;&gt;"",$F60,$E60)))</f>
        <v/>
      </c>
      <c r="I60" s="45" t="n">
        <f aca="false">IF($B60="","",$I$55+SUMIFS($G$57:$G$73,$M$57:$M$73,"&lt;="&amp;$M60)-SUMIFS($H$57:$H$73,$M$57:$M$73,"&lt;="&amp;$M60))</f>
        <v>1177.52</v>
      </c>
      <c r="J60" s="46" t="str">
        <f aca="true">IF($B60="","",IF($F60&lt;&gt;"",IF($C60&gt;TODAY(),"ADJUSTED","PAID"),IF($C60&lt;TODAY(),"PAST DUE",IF($C60&lt;=TODAY()+7,"DUE","Upcoming"))))</f>
        <v>Upcoming</v>
      </c>
      <c r="L60" s="47" t="n">
        <f aca="false">IF($B60="","",$C60)</f>
        <v>46260</v>
      </c>
      <c r="M60" s="0" t="n">
        <f aca="false">IF($L60="","",COUNTIFS($L$57:$L$73,"&lt;"&amp;$L60)+COUNTIFS($L$57:$L60,$L60))</f>
        <v>4</v>
      </c>
    </row>
    <row r="61" customFormat="false" ht="15" hidden="false" customHeight="false" outlineLevel="0" collapsed="false">
      <c r="B61" s="38" t="str">
        <f aca="false">IFERROR(INDEX(Schedule!$C$4:$C$483,MATCH(3005,Schedule!$K$4:$K$483,0)),"")</f>
        <v/>
      </c>
      <c r="C61" s="39" t="str">
        <f aca="false">IF($B61="","",INDEX(Schedule!$G$4:$G$483,MATCH(3005,Schedule!$K$4:$K$483,0)))</f>
        <v/>
      </c>
      <c r="D61" s="40" t="str">
        <f aca="false">IF($B61="","",INDEX(Schedule!$D$4:$D$483,MATCH(3005,Schedule!$K$4:$K$483,0)))</f>
        <v/>
      </c>
      <c r="E61" s="41" t="str">
        <f aca="false">IF($B61="","",INDEX(Schedule!$E$4:$E$483,MATCH(3005,Schedule!$K$4:$K$483,0)))</f>
        <v/>
      </c>
      <c r="F61" s="42"/>
      <c r="G61" s="43" t="str">
        <f aca="false">IF($B61="","",IF($D61="Income",IF($F61&lt;&gt;"",$F61,$E61),""))</f>
        <v/>
      </c>
      <c r="H61" s="44" t="str">
        <f aca="false">IF($B61="","",IF($D61="Income","",IF($F61&lt;&gt;"",$F61,$E61)))</f>
        <v/>
      </c>
      <c r="I61" s="45" t="str">
        <f aca="false">IF($B61="","",$I$55+SUMIFS($G$57:$G$73,$M$57:$M$73,"&lt;="&amp;$M61)-SUMIFS($H$57:$H$73,$M$57:$M$73,"&lt;="&amp;$M61))</f>
        <v/>
      </c>
      <c r="J61" s="46" t="str">
        <f aca="true">IF($B61="","",IF($F61&lt;&gt;"",IF($C61&gt;TODAY(),"ADJUSTED","PAID"),IF($C61&lt;TODAY(),"PAST DUE",IF($C61&lt;=TODAY()+7,"DUE","Upcoming"))))</f>
        <v/>
      </c>
      <c r="L61" s="0" t="str">
        <f aca="false">IF($B61="","",$C61)</f>
        <v/>
      </c>
      <c r="M61" s="0" t="str">
        <f aca="false">IF($L61="","",COUNTIFS($L$57:$L$73,"&lt;"&amp;$L61)+COUNTIFS($L$57:$L61,$L61))</f>
        <v/>
      </c>
    </row>
    <row r="62" customFormat="false" ht="15" hidden="false" customHeight="false" outlineLevel="0" collapsed="false">
      <c r="B62" s="38" t="str">
        <f aca="false">IFERROR(INDEX(Schedule!$C$4:$C$483,MATCH(3006,Schedule!$K$4:$K$483,0)),"")</f>
        <v/>
      </c>
      <c r="C62" s="39" t="str">
        <f aca="false">IF($B62="","",INDEX(Schedule!$G$4:$G$483,MATCH(3006,Schedule!$K$4:$K$483,0)))</f>
        <v/>
      </c>
      <c r="D62" s="40" t="str">
        <f aca="false">IF($B62="","",INDEX(Schedule!$D$4:$D$483,MATCH(3006,Schedule!$K$4:$K$483,0)))</f>
        <v/>
      </c>
      <c r="E62" s="41" t="str">
        <f aca="false">IF($B62="","",INDEX(Schedule!$E$4:$E$483,MATCH(3006,Schedule!$K$4:$K$483,0)))</f>
        <v/>
      </c>
      <c r="F62" s="42"/>
      <c r="G62" s="43" t="str">
        <f aca="false">IF($B62="","",IF($D62="Income",IF($F62&lt;&gt;"",$F62,$E62),""))</f>
        <v/>
      </c>
      <c r="H62" s="44" t="str">
        <f aca="false">IF($B62="","",IF($D62="Income","",IF($F62&lt;&gt;"",$F62,$E62)))</f>
        <v/>
      </c>
      <c r="I62" s="45" t="str">
        <f aca="false">IF($B62="","",$I$55+SUMIFS($G$57:$G$73,$M$57:$M$73,"&lt;="&amp;$M62)-SUMIFS($H$57:$H$73,$M$57:$M$73,"&lt;="&amp;$M62))</f>
        <v/>
      </c>
      <c r="J62" s="46" t="str">
        <f aca="true">IF($B62="","",IF($F62&lt;&gt;"",IF($C62&gt;TODAY(),"ADJUSTED","PAID"),IF($C62&lt;TODAY(),"PAST DUE",IF($C62&lt;=TODAY()+7,"DUE","Upcoming"))))</f>
        <v/>
      </c>
      <c r="L62" s="0" t="str">
        <f aca="false">IF($B62="","",$C62)</f>
        <v/>
      </c>
      <c r="M62" s="0" t="str">
        <f aca="false">IF($L62="","",COUNTIFS($L$57:$L$73,"&lt;"&amp;$L62)+COUNTIFS($L$57:$L62,$L62))</f>
        <v/>
      </c>
    </row>
    <row r="63" customFormat="false" ht="15" hidden="false" customHeight="false" outlineLevel="0" collapsed="false">
      <c r="B63" s="38" t="str">
        <f aca="false">IFERROR(INDEX(Schedule!$C$4:$C$483,MATCH(3007,Schedule!$K$4:$K$483,0)),"")</f>
        <v/>
      </c>
      <c r="C63" s="39" t="str">
        <f aca="false">IF($B63="","",INDEX(Schedule!$G$4:$G$483,MATCH(3007,Schedule!$K$4:$K$483,0)))</f>
        <v/>
      </c>
      <c r="D63" s="40" t="str">
        <f aca="false">IF($B63="","",INDEX(Schedule!$D$4:$D$483,MATCH(3007,Schedule!$K$4:$K$483,0)))</f>
        <v/>
      </c>
      <c r="E63" s="41" t="str">
        <f aca="false">IF($B63="","",INDEX(Schedule!$E$4:$E$483,MATCH(3007,Schedule!$K$4:$K$483,0)))</f>
        <v/>
      </c>
      <c r="F63" s="42"/>
      <c r="G63" s="43" t="str">
        <f aca="false">IF($B63="","",IF($D63="Income",IF($F63&lt;&gt;"",$F63,$E63),""))</f>
        <v/>
      </c>
      <c r="H63" s="44" t="str">
        <f aca="false">IF($B63="","",IF($D63="Income","",IF($F63&lt;&gt;"",$F63,$E63)))</f>
        <v/>
      </c>
      <c r="I63" s="45" t="str">
        <f aca="false">IF($B63="","",$I$55+SUMIFS($G$57:$G$73,$M$57:$M$73,"&lt;="&amp;$M63)-SUMIFS($H$57:$H$73,$M$57:$M$73,"&lt;="&amp;$M63))</f>
        <v/>
      </c>
      <c r="J63" s="46" t="str">
        <f aca="true">IF($B63="","",IF($F63&lt;&gt;"",IF($C63&gt;TODAY(),"ADJUSTED","PAID"),IF($C63&lt;TODAY(),"PAST DUE",IF($C63&lt;=TODAY()+7,"DUE","Upcoming"))))</f>
        <v/>
      </c>
      <c r="L63" s="0" t="str">
        <f aca="false">IF($B63="","",$C63)</f>
        <v/>
      </c>
      <c r="M63" s="0" t="str">
        <f aca="false">IF($L63="","",COUNTIFS($L$57:$L$73,"&lt;"&amp;$L63)+COUNTIFS($L$57:$L63,$L63))</f>
        <v/>
      </c>
    </row>
    <row r="64" customFormat="false" ht="15" hidden="false" customHeight="false" outlineLevel="0" collapsed="false">
      <c r="B64" s="38" t="str">
        <f aca="false">IFERROR(INDEX(Schedule!$C$4:$C$483,MATCH(3008,Schedule!$K$4:$K$483,0)),"")</f>
        <v/>
      </c>
      <c r="C64" s="39" t="str">
        <f aca="false">IF($B64="","",INDEX(Schedule!$G$4:$G$483,MATCH(3008,Schedule!$K$4:$K$483,0)))</f>
        <v/>
      </c>
      <c r="D64" s="40" t="str">
        <f aca="false">IF($B64="","",INDEX(Schedule!$D$4:$D$483,MATCH(3008,Schedule!$K$4:$K$483,0)))</f>
        <v/>
      </c>
      <c r="E64" s="41" t="str">
        <f aca="false">IF($B64="","",INDEX(Schedule!$E$4:$E$483,MATCH(3008,Schedule!$K$4:$K$483,0)))</f>
        <v/>
      </c>
      <c r="F64" s="42"/>
      <c r="G64" s="43" t="str">
        <f aca="false">IF($B64="","",IF($D64="Income",IF($F64&lt;&gt;"",$F64,$E64),""))</f>
        <v/>
      </c>
      <c r="H64" s="44" t="str">
        <f aca="false">IF($B64="","",IF($D64="Income","",IF($F64&lt;&gt;"",$F64,$E64)))</f>
        <v/>
      </c>
      <c r="I64" s="45" t="str">
        <f aca="false">IF($B64="","",$I$55+SUMIFS($G$57:$G$73,$M$57:$M$73,"&lt;="&amp;$M64)-SUMIFS($H$57:$H$73,$M$57:$M$73,"&lt;="&amp;$M64))</f>
        <v/>
      </c>
      <c r="J64" s="46" t="str">
        <f aca="true">IF($B64="","",IF($F64&lt;&gt;"",IF($C64&gt;TODAY(),"ADJUSTED","PAID"),IF($C64&lt;TODAY(),"PAST DUE",IF($C64&lt;=TODAY()+7,"DUE","Upcoming"))))</f>
        <v/>
      </c>
      <c r="L64" s="0" t="str">
        <f aca="false">IF($B64="","",$C64)</f>
        <v/>
      </c>
      <c r="M64" s="0" t="str">
        <f aca="false">IF($L64="","",COUNTIFS($L$57:$L$73,"&lt;"&amp;$L64)+COUNTIFS($L$57:$L64,$L64))</f>
        <v/>
      </c>
    </row>
    <row r="65" customFormat="false" ht="15" hidden="false" customHeight="false" outlineLevel="0" collapsed="false">
      <c r="B65" s="38" t="str">
        <f aca="false">IFERROR(INDEX(Schedule!$C$4:$C$483,MATCH(3009,Schedule!$K$4:$K$483,0)),"")</f>
        <v/>
      </c>
      <c r="C65" s="39" t="str">
        <f aca="false">IF($B65="","",INDEX(Schedule!$G$4:$G$483,MATCH(3009,Schedule!$K$4:$K$483,0)))</f>
        <v/>
      </c>
      <c r="D65" s="40" t="str">
        <f aca="false">IF($B65="","",INDEX(Schedule!$D$4:$D$483,MATCH(3009,Schedule!$K$4:$K$483,0)))</f>
        <v/>
      </c>
      <c r="E65" s="41" t="str">
        <f aca="false">IF($B65="","",INDEX(Schedule!$E$4:$E$483,MATCH(3009,Schedule!$K$4:$K$483,0)))</f>
        <v/>
      </c>
      <c r="F65" s="42"/>
      <c r="G65" s="43" t="str">
        <f aca="false">IF($B65="","",IF($D65="Income",IF($F65&lt;&gt;"",$F65,$E65),""))</f>
        <v/>
      </c>
      <c r="H65" s="44" t="str">
        <f aca="false">IF($B65="","",IF($D65="Income","",IF($F65&lt;&gt;"",$F65,$E65)))</f>
        <v/>
      </c>
      <c r="I65" s="45" t="str">
        <f aca="false">IF($B65="","",$I$55+SUMIFS($G$57:$G$73,$M$57:$M$73,"&lt;="&amp;$M65)-SUMIFS($H$57:$H$73,$M$57:$M$73,"&lt;="&amp;$M65))</f>
        <v/>
      </c>
      <c r="J65" s="46" t="str">
        <f aca="true">IF($B65="","",IF($F65&lt;&gt;"",IF($C65&gt;TODAY(),"ADJUSTED","PAID"),IF($C65&lt;TODAY(),"PAST DUE",IF($C65&lt;=TODAY()+7,"DUE","Upcoming"))))</f>
        <v/>
      </c>
      <c r="L65" s="0" t="str">
        <f aca="false">IF($B65="","",$C65)</f>
        <v/>
      </c>
      <c r="M65" s="0" t="str">
        <f aca="false">IF($L65="","",COUNTIFS($L$57:$L$73,"&lt;"&amp;$L65)+COUNTIFS($L$57:$L65,$L65))</f>
        <v/>
      </c>
    </row>
    <row r="66" customFormat="false" ht="15" hidden="false" customHeight="false" outlineLevel="0" collapsed="false">
      <c r="B66" s="38" t="str">
        <f aca="false">IFERROR(INDEX(Schedule!$C$4:$C$483,MATCH(3010,Schedule!$K$4:$K$483,0)),"")</f>
        <v/>
      </c>
      <c r="C66" s="39" t="str">
        <f aca="false">IF($B66="","",INDEX(Schedule!$G$4:$G$483,MATCH(3010,Schedule!$K$4:$K$483,0)))</f>
        <v/>
      </c>
      <c r="D66" s="40" t="str">
        <f aca="false">IF($B66="","",INDEX(Schedule!$D$4:$D$483,MATCH(3010,Schedule!$K$4:$K$483,0)))</f>
        <v/>
      </c>
      <c r="E66" s="41" t="str">
        <f aca="false">IF($B66="","",INDEX(Schedule!$E$4:$E$483,MATCH(3010,Schedule!$K$4:$K$483,0)))</f>
        <v/>
      </c>
      <c r="F66" s="42"/>
      <c r="G66" s="43" t="str">
        <f aca="false">IF($B66="","",IF($D66="Income",IF($F66&lt;&gt;"",$F66,$E66),""))</f>
        <v/>
      </c>
      <c r="H66" s="44" t="str">
        <f aca="false">IF($B66="","",IF($D66="Income","",IF($F66&lt;&gt;"",$F66,$E66)))</f>
        <v/>
      </c>
      <c r="I66" s="45" t="str">
        <f aca="false">IF($B66="","",$I$55+SUMIFS($G$57:$G$73,$M$57:$M$73,"&lt;="&amp;$M66)-SUMIFS($H$57:$H$73,$M$57:$M$73,"&lt;="&amp;$M66))</f>
        <v/>
      </c>
      <c r="J66" s="46" t="str">
        <f aca="true">IF($B66="","",IF($F66&lt;&gt;"",IF($C66&gt;TODAY(),"ADJUSTED","PAID"),IF($C66&lt;TODAY(),"PAST DUE",IF($C66&lt;=TODAY()+7,"DUE","Upcoming"))))</f>
        <v/>
      </c>
      <c r="L66" s="0" t="str">
        <f aca="false">IF($B66="","",$C66)</f>
        <v/>
      </c>
      <c r="M66" s="0" t="str">
        <f aca="false">IF($L66="","",COUNTIFS($L$57:$L$73,"&lt;"&amp;$L66)+COUNTIFS($L$57:$L66,$L66))</f>
        <v/>
      </c>
    </row>
    <row r="67" customFormat="false" ht="15" hidden="false" customHeight="false" outlineLevel="0" collapsed="false">
      <c r="B67" s="48" t="s">
        <v>127</v>
      </c>
      <c r="C67" s="49"/>
      <c r="D67" s="49"/>
      <c r="E67" s="49"/>
      <c r="F67" s="49"/>
      <c r="G67" s="49"/>
      <c r="H67" s="49"/>
      <c r="I67" s="49"/>
      <c r="J67" s="49"/>
    </row>
    <row r="68" customFormat="false" ht="15" hidden="false" customHeight="false" outlineLevel="0" collapsed="false">
      <c r="B68" s="6"/>
      <c r="C68" s="50"/>
      <c r="D68" s="51" t="str">
        <f aca="false">IF($B68="","","Expense")</f>
        <v/>
      </c>
      <c r="E68" s="18"/>
      <c r="F68" s="10"/>
      <c r="G68" s="10"/>
      <c r="H68" s="52" t="str">
        <f aca="false">IF($B68="","",N($E68))</f>
        <v/>
      </c>
      <c r="I68" s="53" t="str">
        <f aca="false">IF($B68="","",$I$55+SUMIFS($G$57:$G$73,$M$57:$M$73,"&lt;="&amp;$M68)-SUMIFS($H$57:$H$73,$M$57:$M$73,"&lt;="&amp;$M68))</f>
        <v/>
      </c>
      <c r="J68" s="10"/>
      <c r="L68" s="0" t="str">
        <f aca="false">IF($B68="","",IF($C68="",$E$6+20,$C68))</f>
        <v/>
      </c>
      <c r="M68" s="0" t="str">
        <f aca="false">IF($L68="","",COUNTIFS($L$57:$L$73,"&lt;"&amp;$L68)+COUNTIFS($L$57:$L68,$L68))</f>
        <v/>
      </c>
    </row>
    <row r="69" customFormat="false" ht="15" hidden="false" customHeight="false" outlineLevel="0" collapsed="false">
      <c r="B69" s="6"/>
      <c r="C69" s="50"/>
      <c r="D69" s="51" t="str">
        <f aca="false">IF($B69="","","Expense")</f>
        <v/>
      </c>
      <c r="E69" s="18"/>
      <c r="F69" s="10"/>
      <c r="G69" s="10"/>
      <c r="H69" s="52" t="str">
        <f aca="false">IF($B69="","",N($E69))</f>
        <v/>
      </c>
      <c r="I69" s="53" t="str">
        <f aca="false">IF($B69="","",$I$55+SUMIFS($G$57:$G$73,$M$57:$M$73,"&lt;="&amp;$M69)-SUMIFS($H$57:$H$73,$M$57:$M$73,"&lt;="&amp;$M69))</f>
        <v/>
      </c>
      <c r="J69" s="10"/>
      <c r="L69" s="0" t="str">
        <f aca="false">IF($B69="","",IF($C69="",$E$6+20,$C69))</f>
        <v/>
      </c>
      <c r="M69" s="0" t="str">
        <f aca="false">IF($L69="","",COUNTIFS($L$57:$L$73,"&lt;"&amp;$L69)+COUNTIFS($L$57:$L69,$L69))</f>
        <v/>
      </c>
    </row>
    <row r="70" customFormat="false" ht="15" hidden="false" customHeight="false" outlineLevel="0" collapsed="false">
      <c r="B70" s="6"/>
      <c r="C70" s="50"/>
      <c r="D70" s="51" t="str">
        <f aca="false">IF($B70="","","Expense")</f>
        <v/>
      </c>
      <c r="E70" s="18"/>
      <c r="F70" s="10"/>
      <c r="G70" s="10"/>
      <c r="H70" s="52" t="str">
        <f aca="false">IF($B70="","",N($E70))</f>
        <v/>
      </c>
      <c r="I70" s="53" t="str">
        <f aca="false">IF($B70="","",$I$55+SUMIFS($G$57:$G$73,$M$57:$M$73,"&lt;="&amp;$M70)-SUMIFS($H$57:$H$73,$M$57:$M$73,"&lt;="&amp;$M70))</f>
        <v/>
      </c>
      <c r="J70" s="10"/>
      <c r="L70" s="0" t="str">
        <f aca="false">IF($B70="","",IF($C70="",$E$6+20,$C70))</f>
        <v/>
      </c>
      <c r="M70" s="0" t="str">
        <f aca="false">IF($L70="","",COUNTIFS($L$57:$L$73,"&lt;"&amp;$L70)+COUNTIFS($L$57:$L70,$L70))</f>
        <v/>
      </c>
    </row>
    <row r="71" customFormat="false" ht="15" hidden="false" customHeight="false" outlineLevel="0" collapsed="false">
      <c r="B71" s="6"/>
      <c r="C71" s="50"/>
      <c r="D71" s="51" t="str">
        <f aca="false">IF($B71="","","Expense")</f>
        <v/>
      </c>
      <c r="E71" s="18"/>
      <c r="F71" s="10"/>
      <c r="G71" s="10"/>
      <c r="H71" s="52" t="str">
        <f aca="false">IF($B71="","",N($E71))</f>
        <v/>
      </c>
      <c r="I71" s="53" t="str">
        <f aca="false">IF($B71="","",$I$55+SUMIFS($G$57:$G$73,$M$57:$M$73,"&lt;="&amp;$M71)-SUMIFS($H$57:$H$73,$M$57:$M$73,"&lt;="&amp;$M71))</f>
        <v/>
      </c>
      <c r="J71" s="10"/>
      <c r="L71" s="0" t="str">
        <f aca="false">IF($B71="","",IF($C71="",$E$6+20,$C71))</f>
        <v/>
      </c>
      <c r="M71" s="0" t="str">
        <f aca="false">IF($L71="","",COUNTIFS($L$57:$L$73,"&lt;"&amp;$L71)+COUNTIFS($L$57:$L71,$L71))</f>
        <v/>
      </c>
    </row>
    <row r="72" customFormat="false" ht="15" hidden="false" customHeight="false" outlineLevel="0" collapsed="false">
      <c r="B72" s="6"/>
      <c r="C72" s="50"/>
      <c r="D72" s="51" t="str">
        <f aca="false">IF($B72="","","Expense")</f>
        <v/>
      </c>
      <c r="E72" s="18"/>
      <c r="F72" s="10"/>
      <c r="G72" s="10"/>
      <c r="H72" s="52" t="str">
        <f aca="false">IF($B72="","",N($E72))</f>
        <v/>
      </c>
      <c r="I72" s="53" t="str">
        <f aca="false">IF($B72="","",$I$55+SUMIFS($G$57:$G$73,$M$57:$M$73,"&lt;="&amp;$M72)-SUMIFS($H$57:$H$73,$M$57:$M$73,"&lt;="&amp;$M72))</f>
        <v/>
      </c>
      <c r="J72" s="10"/>
      <c r="L72" s="0" t="str">
        <f aca="false">IF($B72="","",IF($C72="",$E$6+20,$C72))</f>
        <v/>
      </c>
      <c r="M72" s="0" t="str">
        <f aca="false">IF($L72="","",COUNTIFS($L$57:$L$73,"&lt;"&amp;$L72)+COUNTIFS($L$57:$L72,$L72))</f>
        <v/>
      </c>
    </row>
    <row r="73" customFormat="false" ht="15" hidden="false" customHeight="false" outlineLevel="0" collapsed="false">
      <c r="B73" s="6"/>
      <c r="C73" s="50"/>
      <c r="D73" s="51" t="str">
        <f aca="false">IF($B73="","","Expense")</f>
        <v/>
      </c>
      <c r="E73" s="18"/>
      <c r="F73" s="10"/>
      <c r="G73" s="10"/>
      <c r="H73" s="52" t="str">
        <f aca="false">IF($B73="","",N($E73))</f>
        <v/>
      </c>
      <c r="I73" s="53" t="str">
        <f aca="false">IF($B73="","",$I$55+SUMIFS($G$57:$G$73,$M$57:$M$73,"&lt;="&amp;$M73)-SUMIFS($H$57:$H$73,$M$57:$M$73,"&lt;="&amp;$M73))</f>
        <v/>
      </c>
      <c r="J73" s="10"/>
      <c r="L73" s="0" t="str">
        <f aca="false">IF($B73="","",IF($C73="",$E$6+20,$C73))</f>
        <v/>
      </c>
      <c r="M73" s="0" t="str">
        <f aca="false">IF($L73="","",COUNTIFS($L$57:$L$73,"&lt;"&amp;$L73)+COUNTIFS($L$57:$L73,$L73))</f>
        <v/>
      </c>
    </row>
    <row r="74" customFormat="false" ht="15" hidden="false" customHeight="false" outlineLevel="0" collapsed="false">
      <c r="B74" s="54" t="s">
        <v>136</v>
      </c>
      <c r="C74" s="55"/>
      <c r="D74" s="55"/>
      <c r="E74" s="55"/>
      <c r="F74" s="55"/>
      <c r="G74" s="56" t="n">
        <f aca="false">SUM($G$57:$G$73)</f>
        <v>880</v>
      </c>
      <c r="H74" s="56" t="n">
        <f aca="false">SUM($H$57:$H$73)</f>
        <v>57.57</v>
      </c>
      <c r="I74" s="57" t="n">
        <f aca="false">$I$55+$G$74-$H$74</f>
        <v>1177.52</v>
      </c>
      <c r="J74" s="58" t="str">
        <f aca="false">IF($I$74&lt;0,"SHORTFALL",IF($I$74&lt;$E$7,"TIGHT","OK"))</f>
        <v>OK</v>
      </c>
      <c r="K74" s="59" t="str">
        <f aca="false">IF(COUNT($I$57:$I$73)=0,"","Lowest point this week: "&amp;TEXT(MIN($I$57:$I$73),"$#,##0.00;-$#,##0.00")&amp;" on "&amp;TEXT(INDEX($C$57:$C$73,MATCH(MIN($I$57:$I$73),$I$57:$I$73,0)),"ddd mmm d")&amp;"     (in "&amp;TEXT($G$74,"$#,##0.00")&amp;", out "&amp;TEXT($H$74,"$#,##0.00")&amp;")")</f>
        <v>Lowest point this week: $1,087.52 on Tue Aug 25     (in $880.00, out $57.57)</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120</v>
      </c>
      <c r="H76" s="32"/>
      <c r="I76" s="34" t="n">
        <f aca="false">$I$74</f>
        <v>1177.52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121</v>
      </c>
      <c r="C77" s="35" t="s">
        <v>122</v>
      </c>
      <c r="D77" s="35" t="s">
        <v>72</v>
      </c>
      <c r="E77" s="35" t="s">
        <v>123</v>
      </c>
      <c r="F77" s="35" t="s">
        <v>124</v>
      </c>
      <c r="G77" s="36" t="s">
        <v>18</v>
      </c>
      <c r="H77" s="37" t="s">
        <v>20</v>
      </c>
      <c r="I77" s="35" t="s">
        <v>125</v>
      </c>
      <c r="J77" s="35" t="s">
        <v>126</v>
      </c>
    </row>
    <row r="78" customFormat="false" ht="15" hidden="false" customHeight="false" outlineLevel="0" collapsed="false">
      <c r="B78" s="38" t="str">
        <f aca="false">IFERROR(INDEX(Schedule!$C$4:$C$483,MATCH(4001,Schedule!$K$4:$K$483,0)),"")</f>
        <v>Compunnel Software (paycheck)</v>
      </c>
      <c r="C78" s="39" t="n">
        <f aca="false">IF($B78="","",INDEX(Schedule!$G$4:$G$483,MATCH(4001,Schedule!$K$4:$K$483,0)))</f>
        <v>46262</v>
      </c>
      <c r="D78" s="40" t="str">
        <f aca="false">IF($B78="","",INDEX(Schedule!$D$4:$D$483,MATCH(4001,Schedule!$K$4:$K$483,0)))</f>
        <v>Income</v>
      </c>
      <c r="E78" s="41" t="n">
        <f aca="false">IF($B78="","",INDEX(Schedule!$E$4:$E$483,MATCH(4001,Schedule!$K$4:$K$483,0)))</f>
        <v>790</v>
      </c>
      <c r="F78" s="42"/>
      <c r="G78" s="43" t="n">
        <f aca="false">IF($B78="","",IF($D78="Income",IF($F78&lt;&gt;"",$F78,$E78),""))</f>
        <v>790</v>
      </c>
      <c r="H78" s="44" t="str">
        <f aca="false">IF($B78="","",IF($D78="Income","",IF($F78&lt;&gt;"",$F78,$E78)))</f>
        <v/>
      </c>
      <c r="I78" s="45" t="n">
        <f aca="false">IF($B78="","",$I$76+SUMIFS($G$78:$G$94,$M$78:$M$94,"&lt;="&amp;$M78)-SUMIFS($H$78:$H$94,$M$78:$M$94,"&lt;="&amp;$M78))</f>
        <v>1967.52</v>
      </c>
      <c r="J78" s="46" t="str">
        <f aca="true">IF($B78="","",IF($F78&lt;&gt;"",IF($C78&gt;TODAY(),"ADJUSTED","PAID"),IF($C78&lt;TODAY(),"PAST DUE",IF($C78&lt;=TODAY()+7,"DUE","Upcoming"))))</f>
        <v>Upcoming</v>
      </c>
      <c r="L78" s="47" t="n">
        <f aca="false">IF($B78="","",$C78)</f>
        <v>46262</v>
      </c>
      <c r="M78" s="0" t="n">
        <f aca="false">IF($L78="","",COUNTIFS($L$78:$L$94,"&lt;"&amp;$L78)+COUNTIFS($L$78:$L78,$L78))</f>
        <v>1</v>
      </c>
    </row>
    <row r="79" customFormat="false" ht="15" hidden="false" customHeight="false" outlineLevel="0" collapsed="false">
      <c r="B79" s="38" t="str">
        <f aca="false">IFERROR(INDEX(Schedule!$C$4:$C$483,MATCH(4002,Schedule!$K$4:$K$483,0)),"")</f>
        <v>Maine Revenue Services (2)</v>
      </c>
      <c r="C79" s="39" t="n">
        <f aca="false">IF($B79="","",INDEX(Schedule!$G$4:$G$483,MATCH(4002,Schedule!$K$4:$K$483,0)))</f>
        <v>46264</v>
      </c>
      <c r="D79" s="40" t="str">
        <f aca="false">IF($B79="","",INDEX(Schedule!$D$4:$D$483,MATCH(4002,Schedule!$K$4:$K$483,0)))</f>
        <v>Expense</v>
      </c>
      <c r="E79" s="41" t="n">
        <f aca="false">IF($B79="","",INDEX(Schedule!$E$4:$E$483,MATCH(4002,Schedule!$K$4:$K$483,0)))</f>
        <v>150</v>
      </c>
      <c r="F79" s="42"/>
      <c r="G79" s="43" t="str">
        <f aca="false">IF($B79="","",IF($D79="Income",IF($F79&lt;&gt;"",$F79,$E79),""))</f>
        <v/>
      </c>
      <c r="H79" s="44" t="n">
        <f aca="false">IF($B79="","",IF($D79="Income","",IF($F79&lt;&gt;"",$F79,$E79)))</f>
        <v>150</v>
      </c>
      <c r="I79" s="45" t="n">
        <f aca="false">IF($B79="","",$I$76+SUMIFS($G$78:$G$94,$M$78:$M$94,"&lt;="&amp;$M79)-SUMIFS($H$78:$H$94,$M$78:$M$94,"&lt;="&amp;$M79))</f>
        <v>1817.52</v>
      </c>
      <c r="J79" s="46" t="str">
        <f aca="true">IF($B79="","",IF($F79&lt;&gt;"",IF($C79&gt;TODAY(),"ADJUSTED","PAID"),IF($C79&lt;TODAY(),"PAST DUE",IF($C79&lt;=TODAY()+7,"DUE","Upcoming"))))</f>
        <v>Upcoming</v>
      </c>
      <c r="L79" s="47" t="n">
        <f aca="false">IF($B79="","",$C79)</f>
        <v>46264</v>
      </c>
      <c r="M79" s="0" t="n">
        <f aca="false">IF($L79="","",COUNTIFS($L$78:$L$94,"&lt;"&amp;$L79)+COUNTIFS($L$78:$L79,$L79))</f>
        <v>2</v>
      </c>
    </row>
    <row r="80" customFormat="false" ht="15" hidden="false" customHeight="false" outlineLevel="0" collapsed="false">
      <c r="B80" s="38" t="str">
        <f aca="false">IFERROR(INDEX(Schedule!$C$4:$C$483,MATCH(4003,Schedule!$K$4:$K$483,0)),"")</f>
        <v>Patrick Rombalski (rent)</v>
      </c>
      <c r="C80" s="39" t="n">
        <f aca="false">IF($B80="","",INDEX(Schedule!$G$4:$G$483,MATCH(4003,Schedule!$K$4:$K$483,0)))</f>
        <v>46265</v>
      </c>
      <c r="D80" s="40" t="str">
        <f aca="false">IF($B80="","",INDEX(Schedule!$D$4:$D$483,MATCH(4003,Schedule!$K$4:$K$483,0)))</f>
        <v>Expense</v>
      </c>
      <c r="E80" s="41" t="n">
        <f aca="false">IF($B80="","",INDEX(Schedule!$E$4:$E$483,MATCH(4003,Schedule!$K$4:$K$483,0)))</f>
        <v>350</v>
      </c>
      <c r="F80" s="42"/>
      <c r="G80" s="43" t="str">
        <f aca="false">IF($B80="","",IF($D80="Income",IF($F80&lt;&gt;"",$F80,$E80),""))</f>
        <v/>
      </c>
      <c r="H80" s="44" t="n">
        <f aca="false">IF($B80="","",IF($D80="Income","",IF($F80&lt;&gt;"",$F80,$E80)))</f>
        <v>350</v>
      </c>
      <c r="I80" s="45" t="n">
        <f aca="false">IF($B80="","",$I$76+SUMIFS($G$78:$G$94,$M$78:$M$94,"&lt;="&amp;$M80)-SUMIFS($H$78:$H$94,$M$78:$M$94,"&lt;="&amp;$M80))</f>
        <v>1467.52</v>
      </c>
      <c r="J80" s="46" t="str">
        <f aca="true">IF($B80="","",IF($F80&lt;&gt;"",IF($C80&gt;TODAY(),"ADJUSTED","PAID"),IF($C80&lt;TODAY(),"PAST DUE",IF($C80&lt;=TODAY()+7,"DUE","Upcoming"))))</f>
        <v>Upcoming</v>
      </c>
      <c r="L80" s="47" t="n">
        <f aca="false">IF($B80="","",$C80)</f>
        <v>46265</v>
      </c>
      <c r="M80" s="0" t="n">
        <f aca="false">IF($L80="","",COUNTIFS($L$78:$L$94,"&lt;"&amp;$L80)+COUNTIFS($L$78:$L80,$L80))</f>
        <v>3</v>
      </c>
    </row>
    <row r="81" customFormat="false" ht="15" hidden="false" customHeight="false" outlineLevel="0" collapsed="false">
      <c r="B81" s="38" t="str">
        <f aca="false">IFERROR(INDEX(Schedule!$C$4:$C$483,MATCH(4004,Schedule!$K$4:$K$483,0)),"")</f>
        <v>Progressive Insurance</v>
      </c>
      <c r="C81" s="39" t="n">
        <f aca="false">IF($B81="","",INDEX(Schedule!$G$4:$G$483,MATCH(4004,Schedule!$K$4:$K$483,0)))</f>
        <v>46265</v>
      </c>
      <c r="D81" s="40" t="str">
        <f aca="false">IF($B81="","",INDEX(Schedule!$D$4:$D$483,MATCH(4004,Schedule!$K$4:$K$483,0)))</f>
        <v>Expense</v>
      </c>
      <c r="E81" s="41" t="n">
        <f aca="false">IF($B81="","",INDEX(Schedule!$E$4:$E$483,MATCH(4004,Schedule!$K$4:$K$483,0)))</f>
        <v>143.37</v>
      </c>
      <c r="F81" s="42"/>
      <c r="G81" s="43" t="str">
        <f aca="false">IF($B81="","",IF($D81="Income",IF($F81&lt;&gt;"",$F81,$E81),""))</f>
        <v/>
      </c>
      <c r="H81" s="44" t="n">
        <f aca="false">IF($B81="","",IF($D81="Income","",IF($F81&lt;&gt;"",$F81,$E81)))</f>
        <v>143.37</v>
      </c>
      <c r="I81" s="45" t="n">
        <f aca="false">IF($B81="","",$I$76+SUMIFS($G$78:$G$94,$M$78:$M$94,"&lt;="&amp;$M81)-SUMIFS($H$78:$H$94,$M$78:$M$94,"&lt;="&amp;$M81))</f>
        <v>1324.15</v>
      </c>
      <c r="J81" s="46" t="str">
        <f aca="true">IF($B81="","",IF($F81&lt;&gt;"",IF($C81&gt;TODAY(),"ADJUSTED","PAID"),IF($C81&lt;TODAY(),"PAST DUE",IF($C81&lt;=TODAY()+7,"DUE","Upcoming"))))</f>
        <v>Upcoming</v>
      </c>
      <c r="L81" s="47" t="n">
        <f aca="false">IF($B81="","",$C81)</f>
        <v>46265</v>
      </c>
      <c r="M81" s="0" t="n">
        <f aca="false">IF($L81="","",COUNTIFS($L$78:$L$94,"&lt;"&amp;$L81)+COUNTIFS($L$78:$L81,$L81))</f>
        <v>4</v>
      </c>
    </row>
    <row r="82" customFormat="false" ht="15" hidden="false" customHeight="false" outlineLevel="0" collapsed="false">
      <c r="B82" s="38" t="str">
        <f aca="false">IFERROR(INDEX(Schedule!$C$4:$C$483,MATCH(4005,Schedule!$K$4:$K$483,0)),"")</f>
        <v>Bruno's Restaurant (paycheck)</v>
      </c>
      <c r="C82" s="39" t="n">
        <f aca="false">IF($B82="","",INDEX(Schedule!$G$4:$G$483,MATCH(4005,Schedule!$K$4:$K$483,0)))</f>
        <v>46267</v>
      </c>
      <c r="D82" s="40" t="str">
        <f aca="false">IF($B82="","",INDEX(Schedule!$D$4:$D$483,MATCH(4005,Schedule!$K$4:$K$483,0)))</f>
        <v>Income</v>
      </c>
      <c r="E82" s="41" t="n">
        <f aca="false">IF($B82="","",INDEX(Schedule!$E$4:$E$483,MATCH(4005,Schedule!$K$4:$K$483,0)))</f>
        <v>90</v>
      </c>
      <c r="F82" s="42"/>
      <c r="G82" s="43" t="n">
        <f aca="false">IF($B82="","",IF($D82="Income",IF($F82&lt;&gt;"",$F82,$E82),""))</f>
        <v>90</v>
      </c>
      <c r="H82" s="44" t="str">
        <f aca="false">IF($B82="","",IF($D82="Income","",IF($F82&lt;&gt;"",$F82,$E82)))</f>
        <v/>
      </c>
      <c r="I82" s="45" t="n">
        <f aca="false">IF($B82="","",$I$76+SUMIFS($G$78:$G$94,$M$78:$M$94,"&lt;="&amp;$M82)-SUMIFS($H$78:$H$94,$M$78:$M$94,"&lt;="&amp;$M82))</f>
        <v>1414.15</v>
      </c>
      <c r="J82" s="46" t="str">
        <f aca="true">IF($B82="","",IF($F82&lt;&gt;"",IF($C82&gt;TODAY(),"ADJUSTED","PAID"),IF($C82&lt;TODAY(),"PAST DUE",IF($C82&lt;=TODAY()+7,"DUE","Upcoming"))))</f>
        <v>Upcoming</v>
      </c>
      <c r="L82" s="47" t="n">
        <f aca="false">IF($B82="","",$C82)</f>
        <v>46267</v>
      </c>
      <c r="M82" s="0" t="n">
        <f aca="false">IF($L82="","",COUNTIFS($L$78:$L$94,"&lt;"&amp;$L82)+COUNTIFS($L$78:$L82,$L82))</f>
        <v>5</v>
      </c>
    </row>
    <row r="83" customFormat="false" ht="15" hidden="false" customHeight="false" outlineLevel="0" collapsed="false">
      <c r="B83" s="38" t="str">
        <f aca="false">IFERROR(INDEX(Schedule!$C$4:$C$483,MATCH(4006,Schedule!$K$4:$K$483,0)),"")</f>
        <v/>
      </c>
      <c r="C83" s="39" t="str">
        <f aca="false">IF($B83="","",INDEX(Schedule!$G$4:$G$483,MATCH(4006,Schedule!$K$4:$K$483,0)))</f>
        <v/>
      </c>
      <c r="D83" s="40" t="str">
        <f aca="false">IF($B83="","",INDEX(Schedule!$D$4:$D$483,MATCH(4006,Schedule!$K$4:$K$483,0)))</f>
        <v/>
      </c>
      <c r="E83" s="41" t="str">
        <f aca="false">IF($B83="","",INDEX(Schedule!$E$4:$E$483,MATCH(4006,Schedule!$K$4:$K$483,0)))</f>
        <v/>
      </c>
      <c r="F83" s="42"/>
      <c r="G83" s="43" t="str">
        <f aca="false">IF($B83="","",IF($D83="Income",IF($F83&lt;&gt;"",$F83,$E83),""))</f>
        <v/>
      </c>
      <c r="H83" s="44" t="str">
        <f aca="false">IF($B83="","",IF($D83="Income","",IF($F83&lt;&gt;"",$F83,$E83)))</f>
        <v/>
      </c>
      <c r="I83" s="45" t="str">
        <f aca="false">IF($B83="","",$I$76+SUMIFS($G$78:$G$94,$M$78:$M$94,"&lt;="&amp;$M83)-SUMIFS($H$78:$H$94,$M$78:$M$94,"&lt;="&amp;$M83))</f>
        <v/>
      </c>
      <c r="J83" s="46" t="str">
        <f aca="true">IF($B83="","",IF($F83&lt;&gt;"",IF($C83&gt;TODAY(),"ADJUSTED","PAID"),IF($C83&lt;TODAY(),"PAST DUE",IF($C83&lt;=TODAY()+7,"DUE","Upcoming"))))</f>
        <v/>
      </c>
      <c r="L83" s="0" t="str">
        <f aca="false">IF($B83="","",$C83)</f>
        <v/>
      </c>
      <c r="M83" s="0" t="str">
        <f aca="false">IF($L83="","",COUNTIFS($L$78:$L$94,"&lt;"&amp;$L83)+COUNTIFS($L$78:$L83,$L83))</f>
        <v/>
      </c>
    </row>
    <row r="84" customFormat="false" ht="15" hidden="false" customHeight="false" outlineLevel="0" collapsed="false">
      <c r="B84" s="38" t="str">
        <f aca="false">IFERROR(INDEX(Schedule!$C$4:$C$483,MATCH(4007,Schedule!$K$4:$K$483,0)),"")</f>
        <v/>
      </c>
      <c r="C84" s="39" t="str">
        <f aca="false">IF($B84="","",INDEX(Schedule!$G$4:$G$483,MATCH(4007,Schedule!$K$4:$K$483,0)))</f>
        <v/>
      </c>
      <c r="D84" s="40" t="str">
        <f aca="false">IF($B84="","",INDEX(Schedule!$D$4:$D$483,MATCH(4007,Schedule!$K$4:$K$483,0)))</f>
        <v/>
      </c>
      <c r="E84" s="41" t="str">
        <f aca="false">IF($B84="","",INDEX(Schedule!$E$4:$E$483,MATCH(4007,Schedule!$K$4:$K$483,0)))</f>
        <v/>
      </c>
      <c r="F84" s="42"/>
      <c r="G84" s="43" t="str">
        <f aca="false">IF($B84="","",IF($D84="Income",IF($F84&lt;&gt;"",$F84,$E84),""))</f>
        <v/>
      </c>
      <c r="H84" s="44" t="str">
        <f aca="false">IF($B84="","",IF($D84="Income","",IF($F84&lt;&gt;"",$F84,$E84)))</f>
        <v/>
      </c>
      <c r="I84" s="45" t="str">
        <f aca="false">IF($B84="","",$I$76+SUMIFS($G$78:$G$94,$M$78:$M$94,"&lt;="&amp;$M84)-SUMIFS($H$78:$H$94,$M$78:$M$94,"&lt;="&amp;$M84))</f>
        <v/>
      </c>
      <c r="J84" s="46" t="str">
        <f aca="true">IF($B84="","",IF($F84&lt;&gt;"",IF($C84&gt;TODAY(),"ADJUSTED","PAID"),IF($C84&lt;TODAY(),"PAST DUE",IF($C84&lt;=TODAY()+7,"DUE","Upcoming"))))</f>
        <v/>
      </c>
      <c r="L84" s="0" t="str">
        <f aca="false">IF($B84="","",$C84)</f>
        <v/>
      </c>
      <c r="M84" s="0" t="str">
        <f aca="false">IF($L84="","",COUNTIFS($L$78:$L$94,"&lt;"&amp;$L84)+COUNTIFS($L$78:$L84,$L84))</f>
        <v/>
      </c>
    </row>
    <row r="85" customFormat="false" ht="15" hidden="false" customHeight="false" outlineLevel="0" collapsed="false">
      <c r="B85" s="38" t="str">
        <f aca="false">IFERROR(INDEX(Schedule!$C$4:$C$483,MATCH(4008,Schedule!$K$4:$K$483,0)),"")</f>
        <v/>
      </c>
      <c r="C85" s="39" t="str">
        <f aca="false">IF($B85="","",INDEX(Schedule!$G$4:$G$483,MATCH(4008,Schedule!$K$4:$K$483,0)))</f>
        <v/>
      </c>
      <c r="D85" s="40" t="str">
        <f aca="false">IF($B85="","",INDEX(Schedule!$D$4:$D$483,MATCH(4008,Schedule!$K$4:$K$483,0)))</f>
        <v/>
      </c>
      <c r="E85" s="41" t="str">
        <f aca="false">IF($B85="","",INDEX(Schedule!$E$4:$E$483,MATCH(4008,Schedule!$K$4:$K$483,0)))</f>
        <v/>
      </c>
      <c r="F85" s="42"/>
      <c r="G85" s="43" t="str">
        <f aca="false">IF($B85="","",IF($D85="Income",IF($F85&lt;&gt;"",$F85,$E85),""))</f>
        <v/>
      </c>
      <c r="H85" s="44" t="str">
        <f aca="false">IF($B85="","",IF($D85="Income","",IF($F85&lt;&gt;"",$F85,$E85)))</f>
        <v/>
      </c>
      <c r="I85" s="45" t="str">
        <f aca="false">IF($B85="","",$I$76+SUMIFS($G$78:$G$94,$M$78:$M$94,"&lt;="&amp;$M85)-SUMIFS($H$78:$H$94,$M$78:$M$94,"&lt;="&amp;$M85))</f>
        <v/>
      </c>
      <c r="J85" s="46" t="str">
        <f aca="true">IF($B85="","",IF($F85&lt;&gt;"",IF($C85&gt;TODAY(),"ADJUSTED","PAID"),IF($C85&lt;TODAY(),"PAST DUE",IF($C85&lt;=TODAY()+7,"DUE","Upcoming"))))</f>
        <v/>
      </c>
      <c r="L85" s="0" t="str">
        <f aca="false">IF($B85="","",$C85)</f>
        <v/>
      </c>
      <c r="M85" s="0" t="str">
        <f aca="false">IF($L85="","",COUNTIFS($L$78:$L$94,"&lt;"&amp;$L85)+COUNTIFS($L$78:$L85,$L85))</f>
        <v/>
      </c>
    </row>
    <row r="86" customFormat="false" ht="15" hidden="false" customHeight="false" outlineLevel="0" collapsed="false">
      <c r="B86" s="38" t="str">
        <f aca="false">IFERROR(INDEX(Schedule!$C$4:$C$483,MATCH(4009,Schedule!$K$4:$K$483,0)),"")</f>
        <v/>
      </c>
      <c r="C86" s="39" t="str">
        <f aca="false">IF($B86="","",INDEX(Schedule!$G$4:$G$483,MATCH(4009,Schedule!$K$4:$K$483,0)))</f>
        <v/>
      </c>
      <c r="D86" s="40" t="str">
        <f aca="false">IF($B86="","",INDEX(Schedule!$D$4:$D$483,MATCH(4009,Schedule!$K$4:$K$483,0)))</f>
        <v/>
      </c>
      <c r="E86" s="41" t="str">
        <f aca="false">IF($B86="","",INDEX(Schedule!$E$4:$E$483,MATCH(4009,Schedule!$K$4:$K$483,0)))</f>
        <v/>
      </c>
      <c r="F86" s="42"/>
      <c r="G86" s="43" t="str">
        <f aca="false">IF($B86="","",IF($D86="Income",IF($F86&lt;&gt;"",$F86,$E86),""))</f>
        <v/>
      </c>
      <c r="H86" s="44" t="str">
        <f aca="false">IF($B86="","",IF($D86="Income","",IF($F86&lt;&gt;"",$F86,$E86)))</f>
        <v/>
      </c>
      <c r="I86" s="45" t="str">
        <f aca="false">IF($B86="","",$I$76+SUMIFS($G$78:$G$94,$M$78:$M$94,"&lt;="&amp;$M86)-SUMIFS($H$78:$H$94,$M$78:$M$94,"&lt;="&amp;$M86))</f>
        <v/>
      </c>
      <c r="J86" s="46" t="str">
        <f aca="true">IF($B86="","",IF($F86&lt;&gt;"",IF($C86&gt;TODAY(),"ADJUSTED","PAID"),IF($C86&lt;TODAY(),"PAST DUE",IF($C86&lt;=TODAY()+7,"DUE","Upcoming"))))</f>
        <v/>
      </c>
      <c r="L86" s="0" t="str">
        <f aca="false">IF($B86="","",$C86)</f>
        <v/>
      </c>
      <c r="M86" s="0" t="str">
        <f aca="false">IF($L86="","",COUNTIFS($L$78:$L$94,"&lt;"&amp;$L86)+COUNTIFS($L$78:$L86,$L86))</f>
        <v/>
      </c>
    </row>
    <row r="87" customFormat="false" ht="15" hidden="false" customHeight="false" outlineLevel="0" collapsed="false">
      <c r="B87" s="38" t="str">
        <f aca="false">IFERROR(INDEX(Schedule!$C$4:$C$483,MATCH(4010,Schedule!$K$4:$K$483,0)),"")</f>
        <v/>
      </c>
      <c r="C87" s="39" t="str">
        <f aca="false">IF($B87="","",INDEX(Schedule!$G$4:$G$483,MATCH(4010,Schedule!$K$4:$K$483,0)))</f>
        <v/>
      </c>
      <c r="D87" s="40" t="str">
        <f aca="false">IF($B87="","",INDEX(Schedule!$D$4:$D$483,MATCH(4010,Schedule!$K$4:$K$483,0)))</f>
        <v/>
      </c>
      <c r="E87" s="41" t="str">
        <f aca="false">IF($B87="","",INDEX(Schedule!$E$4:$E$483,MATCH(4010,Schedule!$K$4:$K$483,0)))</f>
        <v/>
      </c>
      <c r="F87" s="42"/>
      <c r="G87" s="43" t="str">
        <f aca="false">IF($B87="","",IF($D87="Income",IF($F87&lt;&gt;"",$F87,$E87),""))</f>
        <v/>
      </c>
      <c r="H87" s="44" t="str">
        <f aca="false">IF($B87="","",IF($D87="Income","",IF($F87&lt;&gt;"",$F87,$E87)))</f>
        <v/>
      </c>
      <c r="I87" s="45" t="str">
        <f aca="false">IF($B87="","",$I$76+SUMIFS($G$78:$G$94,$M$78:$M$94,"&lt;="&amp;$M87)-SUMIFS($H$78:$H$94,$M$78:$M$94,"&lt;="&amp;$M87))</f>
        <v/>
      </c>
      <c r="J87" s="46" t="str">
        <f aca="true">IF($B87="","",IF($F87&lt;&gt;"",IF($C87&gt;TODAY(),"ADJUSTED","PAID"),IF($C87&lt;TODAY(),"PAST DUE",IF($C87&lt;=TODAY()+7,"DUE","Upcoming"))))</f>
        <v/>
      </c>
      <c r="L87" s="0" t="str">
        <f aca="false">IF($B87="","",$C87)</f>
        <v/>
      </c>
      <c r="M87" s="0" t="str">
        <f aca="false">IF($L87="","",COUNTIFS($L$78:$L$94,"&lt;"&amp;$L87)+COUNTIFS($L$78:$L87,$L87))</f>
        <v/>
      </c>
    </row>
    <row r="88" customFormat="false" ht="15" hidden="false" customHeight="false" outlineLevel="0" collapsed="false">
      <c r="B88" s="48" t="s">
        <v>127</v>
      </c>
      <c r="C88" s="49"/>
      <c r="D88" s="49"/>
      <c r="E88" s="49"/>
      <c r="F88" s="49"/>
      <c r="G88" s="49"/>
      <c r="H88" s="49"/>
      <c r="I88" s="49"/>
      <c r="J88" s="49"/>
    </row>
    <row r="89" customFormat="false" ht="15" hidden="false" customHeight="false" outlineLevel="0" collapsed="false">
      <c r="B89" s="6"/>
      <c r="C89" s="50"/>
      <c r="D89" s="51" t="str">
        <f aca="false">IF($B89="","","Expense")</f>
        <v/>
      </c>
      <c r="E89" s="18"/>
      <c r="F89" s="10"/>
      <c r="G89" s="10"/>
      <c r="H89" s="52" t="str">
        <f aca="false">IF($B89="","",N($E89))</f>
        <v/>
      </c>
      <c r="I89" s="53" t="str">
        <f aca="false">IF($B89="","",$I$76+SUMIFS($G$78:$G$94,$M$78:$M$94,"&lt;="&amp;$M89)-SUMIFS($H$78:$H$94,$M$78:$M$94,"&lt;="&amp;$M89))</f>
        <v/>
      </c>
      <c r="J89" s="10"/>
      <c r="L89" s="0" t="str">
        <f aca="false">IF($B89="","",IF($C89="",$E$6+27,$C89))</f>
        <v/>
      </c>
      <c r="M89" s="0" t="str">
        <f aca="false">IF($L89="","",COUNTIFS($L$78:$L$94,"&lt;"&amp;$L89)+COUNTIFS($L$78:$L89,$L89))</f>
        <v/>
      </c>
    </row>
    <row r="90" customFormat="false" ht="15" hidden="false" customHeight="false" outlineLevel="0" collapsed="false">
      <c r="B90" s="6"/>
      <c r="C90" s="50"/>
      <c r="D90" s="51" t="str">
        <f aca="false">IF($B90="","","Expense")</f>
        <v/>
      </c>
      <c r="E90" s="18"/>
      <c r="F90" s="10"/>
      <c r="G90" s="10"/>
      <c r="H90" s="52" t="str">
        <f aca="false">IF($B90="","",N($E90))</f>
        <v/>
      </c>
      <c r="I90" s="53" t="str">
        <f aca="false">IF($B90="","",$I$76+SUMIFS($G$78:$G$94,$M$78:$M$94,"&lt;="&amp;$M90)-SUMIFS($H$78:$H$94,$M$78:$M$94,"&lt;="&amp;$M90))</f>
        <v/>
      </c>
      <c r="J90" s="10"/>
      <c r="L90" s="0" t="str">
        <f aca="false">IF($B90="","",IF($C90="",$E$6+27,$C90))</f>
        <v/>
      </c>
      <c r="M90" s="0" t="str">
        <f aca="false">IF($L90="","",COUNTIFS($L$78:$L$94,"&lt;"&amp;$L90)+COUNTIFS($L$78:$L90,$L90))</f>
        <v/>
      </c>
    </row>
    <row r="91" customFormat="false" ht="15" hidden="false" customHeight="false" outlineLevel="0" collapsed="false">
      <c r="B91" s="6"/>
      <c r="C91" s="50"/>
      <c r="D91" s="51" t="str">
        <f aca="false">IF($B91="","","Expense")</f>
        <v/>
      </c>
      <c r="E91" s="18"/>
      <c r="F91" s="10"/>
      <c r="G91" s="10"/>
      <c r="H91" s="52" t="str">
        <f aca="false">IF($B91="","",N($E91))</f>
        <v/>
      </c>
      <c r="I91" s="53" t="str">
        <f aca="false">IF($B91="","",$I$76+SUMIFS($G$78:$G$94,$M$78:$M$94,"&lt;="&amp;$M91)-SUMIFS($H$78:$H$94,$M$78:$M$94,"&lt;="&amp;$M91))</f>
        <v/>
      </c>
      <c r="J91" s="10"/>
      <c r="L91" s="0" t="str">
        <f aca="false">IF($B91="","",IF($C91="",$E$6+27,$C91))</f>
        <v/>
      </c>
      <c r="M91" s="0" t="str">
        <f aca="false">IF($L91="","",COUNTIFS($L$78:$L$94,"&lt;"&amp;$L91)+COUNTIFS($L$78:$L91,$L91))</f>
        <v/>
      </c>
    </row>
    <row r="92" customFormat="false" ht="15" hidden="false" customHeight="false" outlineLevel="0" collapsed="false">
      <c r="B92" s="6"/>
      <c r="C92" s="50"/>
      <c r="D92" s="51" t="str">
        <f aca="false">IF($B92="","","Expense")</f>
        <v/>
      </c>
      <c r="E92" s="18"/>
      <c r="F92" s="10"/>
      <c r="G92" s="10"/>
      <c r="H92" s="52" t="str">
        <f aca="false">IF($B92="","",N($E92))</f>
        <v/>
      </c>
      <c r="I92" s="53" t="str">
        <f aca="false">IF($B92="","",$I$76+SUMIFS($G$78:$G$94,$M$78:$M$94,"&lt;="&amp;$M92)-SUMIFS($H$78:$H$94,$M$78:$M$94,"&lt;="&amp;$M92))</f>
        <v/>
      </c>
      <c r="J92" s="10"/>
      <c r="L92" s="0" t="str">
        <f aca="false">IF($B92="","",IF($C92="",$E$6+27,$C92))</f>
        <v/>
      </c>
      <c r="M92" s="0" t="str">
        <f aca="false">IF($L92="","",COUNTIFS($L$78:$L$94,"&lt;"&amp;$L92)+COUNTIFS($L$78:$L92,$L92))</f>
        <v/>
      </c>
    </row>
    <row r="93" customFormat="false" ht="15" hidden="false" customHeight="false" outlineLevel="0" collapsed="false">
      <c r="B93" s="6"/>
      <c r="C93" s="50"/>
      <c r="D93" s="51" t="str">
        <f aca="false">IF($B93="","","Expense")</f>
        <v/>
      </c>
      <c r="E93" s="18"/>
      <c r="F93" s="10"/>
      <c r="G93" s="10"/>
      <c r="H93" s="52" t="str">
        <f aca="false">IF($B93="","",N($E93))</f>
        <v/>
      </c>
      <c r="I93" s="53" t="str">
        <f aca="false">IF($B93="","",$I$76+SUMIFS($G$78:$G$94,$M$78:$M$94,"&lt;="&amp;$M93)-SUMIFS($H$78:$H$94,$M$78:$M$94,"&lt;="&amp;$M93))</f>
        <v/>
      </c>
      <c r="J93" s="10"/>
      <c r="L93" s="0" t="str">
        <f aca="false">IF($B93="","",IF($C93="",$E$6+27,$C93))</f>
        <v/>
      </c>
      <c r="M93" s="0" t="str">
        <f aca="false">IF($L93="","",COUNTIFS($L$78:$L$94,"&lt;"&amp;$L93)+COUNTIFS($L$78:$L93,$L93))</f>
        <v/>
      </c>
    </row>
    <row r="94" customFormat="false" ht="15" hidden="false" customHeight="false" outlineLevel="0" collapsed="false">
      <c r="B94" s="6"/>
      <c r="C94" s="50"/>
      <c r="D94" s="51" t="str">
        <f aca="false">IF($B94="","","Expense")</f>
        <v/>
      </c>
      <c r="E94" s="18"/>
      <c r="F94" s="10"/>
      <c r="G94" s="10"/>
      <c r="H94" s="52" t="str">
        <f aca="false">IF($B94="","",N($E94))</f>
        <v/>
      </c>
      <c r="I94" s="53" t="str">
        <f aca="false">IF($B94="","",$I$76+SUMIFS($G$78:$G$94,$M$78:$M$94,"&lt;="&amp;$M94)-SUMIFS($H$78:$H$94,$M$78:$M$94,"&lt;="&amp;$M94))</f>
        <v/>
      </c>
      <c r="J94" s="10"/>
      <c r="L94" s="0" t="str">
        <f aca="false">IF($B94="","",IF($C94="",$E$6+27,$C94))</f>
        <v/>
      </c>
      <c r="M94" s="0" t="str">
        <f aca="false">IF($L94="","",COUNTIFS($L$78:$L$94,"&lt;"&amp;$L94)+COUNTIFS($L$78:$L94,$L94))</f>
        <v/>
      </c>
    </row>
    <row r="95" customFormat="false" ht="15" hidden="false" customHeight="false" outlineLevel="0" collapsed="false">
      <c r="B95" s="54" t="s">
        <v>137</v>
      </c>
      <c r="C95" s="55"/>
      <c r="D95" s="55"/>
      <c r="E95" s="55"/>
      <c r="F95" s="55"/>
      <c r="G95" s="56" t="n">
        <f aca="false">SUM($G$78:$G$94)</f>
        <v>880</v>
      </c>
      <c r="H95" s="56" t="n">
        <f aca="false">SUM($H$78:$H$94)</f>
        <v>643.37</v>
      </c>
      <c r="I95" s="57" t="n">
        <f aca="false">$I$76+$G$95-$H$95</f>
        <v>1414.15</v>
      </c>
      <c r="J95" s="58" t="str">
        <f aca="false">IF($I$95&lt;0,"SHORTFALL",IF($I$95&lt;$E$7,"TIGHT","OK"))</f>
        <v>OK</v>
      </c>
      <c r="K95" s="59" t="str">
        <f aca="false">IF(COUNT($I$78:$I$94)=0,"","Lowest point this week: "&amp;TEXT(MIN($I$78:$I$94),"$#,##0.00;-$#,##0.00")&amp;" on "&amp;TEXT(INDEX($C$78:$C$94,MATCH(MIN($I$78:$I$94),$I$78:$I$94,0)),"ddd mmm d")&amp;"     (in "&amp;TEXT($G$95,"$#,##0.00")&amp;", out "&amp;TEXT($H$95,"$#,##0.00")&amp;")")</f>
        <v>Lowest point this week: $1,324.15 on Mon Aug 31     (in $880.00, out $643.37)</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120</v>
      </c>
      <c r="H97" s="32"/>
      <c r="I97" s="34" t="n">
        <f aca="false">$I$95</f>
        <v>1414.15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121</v>
      </c>
      <c r="C98" s="35" t="s">
        <v>122</v>
      </c>
      <c r="D98" s="35" t="s">
        <v>72</v>
      </c>
      <c r="E98" s="35" t="s">
        <v>123</v>
      </c>
      <c r="F98" s="35" t="s">
        <v>124</v>
      </c>
      <c r="G98" s="36" t="s">
        <v>18</v>
      </c>
      <c r="H98" s="37" t="s">
        <v>20</v>
      </c>
      <c r="I98" s="35" t="s">
        <v>125</v>
      </c>
      <c r="J98" s="35" t="s">
        <v>126</v>
      </c>
    </row>
    <row r="99" customFormat="false" ht="15" hidden="false" customHeight="false" outlineLevel="0" collapsed="false">
      <c r="B99" s="38" t="str">
        <f aca="false">IFERROR(INDEX(Schedule!$C$4:$C$483,MATCH(5001,Schedule!$K$4:$K$483,0)),"")</f>
        <v>Compunnel Software (paycheck)</v>
      </c>
      <c r="C99" s="39" t="n">
        <f aca="false">IF($B99="","",INDEX(Schedule!$G$4:$G$483,MATCH(5001,Schedule!$K$4:$K$483,0)))</f>
        <v>46269</v>
      </c>
      <c r="D99" s="40" t="str">
        <f aca="false">IF($B99="","",INDEX(Schedule!$D$4:$D$483,MATCH(5001,Schedule!$K$4:$K$483,0)))</f>
        <v>Income</v>
      </c>
      <c r="E99" s="41" t="n">
        <f aca="false">IF($B99="","",INDEX(Schedule!$E$4:$E$483,MATCH(5001,Schedule!$K$4:$K$483,0)))</f>
        <v>790</v>
      </c>
      <c r="F99" s="42"/>
      <c r="G99" s="43" t="n">
        <f aca="false">IF($B99="","",IF($D99="Income",IF($F99&lt;&gt;"",$F99,$E99),""))</f>
        <v>790</v>
      </c>
      <c r="H99" s="44" t="str">
        <f aca="false">IF($B99="","",IF($D99="Income","",IF($F99&lt;&gt;"",$F99,$E99)))</f>
        <v/>
      </c>
      <c r="I99" s="45" t="n">
        <f aca="false">IF($B99="","",$I$97+SUMIFS($G$99:$G$115,$M$99:$M$115,"&lt;="&amp;$M99)-SUMIFS($H$99:$H$115,$M$99:$M$115,"&lt;="&amp;$M99))</f>
        <v>2204.15</v>
      </c>
      <c r="J99" s="46" t="str">
        <f aca="true">IF($B99="","",IF($F99&lt;&gt;"",IF($C99&gt;TODAY(),"ADJUSTED","PAID"),IF($C99&lt;TODAY(),"PAST DUE",IF($C99&lt;=TODAY()+7,"DUE","Upcoming"))))</f>
        <v>Upcoming</v>
      </c>
      <c r="L99" s="47" t="n">
        <f aca="false">IF($B99="","",$C99)</f>
        <v>46269</v>
      </c>
      <c r="M99" s="0" t="n">
        <f aca="false">IF($L99="","",COUNTIFS($L$99:$L$115,"&lt;"&amp;$L99)+COUNTIFS($L$99:$L99,$L99))</f>
        <v>1</v>
      </c>
    </row>
    <row r="100" customFormat="false" ht="15" hidden="false" customHeight="false" outlineLevel="0" collapsed="false">
      <c r="B100" s="38" t="str">
        <f aca="false">IFERROR(INDEX(Schedule!$C$4:$C$483,MATCH(5002,Schedule!$K$4:$K$483,0)),"")</f>
        <v>Apple: Claude</v>
      </c>
      <c r="C100" s="39" t="n">
        <f aca="false">IF($B100="","",INDEX(Schedule!$G$4:$G$483,MATCH(5002,Schedule!$K$4:$K$483,0)))</f>
        <v>46269</v>
      </c>
      <c r="D100" s="40" t="str">
        <f aca="false">IF($B100="","",INDEX(Schedule!$D$4:$D$483,MATCH(5002,Schedule!$K$4:$K$483,0)))</f>
        <v>Expense</v>
      </c>
      <c r="E100" s="41" t="n">
        <f aca="false">IF($B100="","",INDEX(Schedule!$E$4:$E$483,MATCH(5002,Schedule!$K$4:$K$483,0)))</f>
        <v>21.1</v>
      </c>
      <c r="F100" s="42"/>
      <c r="G100" s="43" t="str">
        <f aca="false">IF($B100="","",IF($D100="Income",IF($F100&lt;&gt;"",$F100,$E100),""))</f>
        <v/>
      </c>
      <c r="H100" s="44" t="n">
        <f aca="false">IF($B100="","",IF($D100="Income","",IF($F100&lt;&gt;"",$F100,$E100)))</f>
        <v>21.1</v>
      </c>
      <c r="I100" s="45" t="n">
        <f aca="false">IF($B100="","",$I$97+SUMIFS($G$99:$G$115,$M$99:$M$115,"&lt;="&amp;$M100)-SUMIFS($H$99:$H$115,$M$99:$M$115,"&lt;="&amp;$M100))</f>
        <v>2183.05</v>
      </c>
      <c r="J100" s="46" t="str">
        <f aca="true">IF($B100="","",IF($F100&lt;&gt;"",IF($C100&gt;TODAY(),"ADJUSTED","PAID"),IF($C100&lt;TODAY(),"PAST DUE",IF($C100&lt;=TODAY()+7,"DUE","Upcoming"))))</f>
        <v>Upcoming</v>
      </c>
      <c r="L100" s="47" t="n">
        <f aca="false">IF($B100="","",$C100)</f>
        <v>46269</v>
      </c>
      <c r="M100" s="0" t="n">
        <f aca="false">IF($L100="","",COUNTIFS($L$99:$L$115,"&lt;"&amp;$L100)+COUNTIFS($L$99:$L100,$L100))</f>
        <v>2</v>
      </c>
    </row>
    <row r="101" customFormat="false" ht="15" hidden="false" customHeight="false" outlineLevel="0" collapsed="false">
      <c r="B101" s="38" t="str">
        <f aca="false">IFERROR(INDEX(Schedule!$C$4:$C$483,MATCH(5003,Schedule!$K$4:$K$483,0)),"")</f>
        <v>OpenAI</v>
      </c>
      <c r="C101" s="39" t="n">
        <f aca="false">IF($B101="","",INDEX(Schedule!$G$4:$G$483,MATCH(5003,Schedule!$K$4:$K$483,0)))</f>
        <v>46270</v>
      </c>
      <c r="D101" s="40" t="str">
        <f aca="false">IF($B101="","",INDEX(Schedule!$D$4:$D$483,MATCH(5003,Schedule!$K$4:$K$483,0)))</f>
        <v>Expense</v>
      </c>
      <c r="E101" s="41" t="n">
        <f aca="false">IF($B101="","",INDEX(Schedule!$E$4:$E$483,MATCH(5003,Schedule!$K$4:$K$483,0)))</f>
        <v>20</v>
      </c>
      <c r="F101" s="42"/>
      <c r="G101" s="43" t="str">
        <f aca="false">IF($B101="","",IF($D101="Income",IF($F101&lt;&gt;"",$F101,$E101),""))</f>
        <v/>
      </c>
      <c r="H101" s="44" t="n">
        <f aca="false">IF($B101="","",IF($D101="Income","",IF($F101&lt;&gt;"",$F101,$E101)))</f>
        <v>20</v>
      </c>
      <c r="I101" s="45" t="n">
        <f aca="false">IF($B101="","",$I$97+SUMIFS($G$99:$G$115,$M$99:$M$115,"&lt;="&amp;$M101)-SUMIFS($H$99:$H$115,$M$99:$M$115,"&lt;="&amp;$M101))</f>
        <v>2163.05</v>
      </c>
      <c r="J101" s="46" t="str">
        <f aca="true">IF($B101="","",IF($F101&lt;&gt;"",IF($C101&gt;TODAY(),"ADJUSTED","PAID"),IF($C101&lt;TODAY(),"PAST DUE",IF($C101&lt;=TODAY()+7,"DUE","Upcoming"))))</f>
        <v>Upcoming</v>
      </c>
      <c r="L101" s="47" t="n">
        <f aca="false">IF($B101="","",$C101)</f>
        <v>46270</v>
      </c>
      <c r="M101" s="0" t="n">
        <f aca="false">IF($L101="","",COUNTIFS($L$99:$L$115,"&lt;"&amp;$L101)+COUNTIFS($L$99:$L101,$L101))</f>
        <v>3</v>
      </c>
    </row>
    <row r="102" customFormat="false" ht="15" hidden="false" customHeight="false" outlineLevel="0" collapsed="false">
      <c r="B102" s="38" t="str">
        <f aca="false">IFERROR(INDEX(Schedule!$C$4:$C$483,MATCH(5004,Schedule!$K$4:$K$483,0)),"")</f>
        <v>Obsidian</v>
      </c>
      <c r="C102" s="39" t="n">
        <f aca="false">IF($B102="","",INDEX(Schedule!$G$4:$G$483,MATCH(5004,Schedule!$K$4:$K$483,0)))</f>
        <v>46270</v>
      </c>
      <c r="D102" s="40" t="str">
        <f aca="false">IF($B102="","",INDEX(Schedule!$D$4:$D$483,MATCH(5004,Schedule!$K$4:$K$483,0)))</f>
        <v>Expense</v>
      </c>
      <c r="E102" s="41" t="n">
        <f aca="false">IF($B102="","",INDEX(Schedule!$E$4:$E$483,MATCH(5004,Schedule!$K$4:$K$483,0)))</f>
        <v>10</v>
      </c>
      <c r="F102" s="42"/>
      <c r="G102" s="43" t="str">
        <f aca="false">IF($B102="","",IF($D102="Income",IF($F102&lt;&gt;"",$F102,$E102),""))</f>
        <v/>
      </c>
      <c r="H102" s="44" t="n">
        <f aca="false">IF($B102="","",IF($D102="Income","",IF($F102&lt;&gt;"",$F102,$E102)))</f>
        <v>10</v>
      </c>
      <c r="I102" s="45" t="n">
        <f aca="false">IF($B102="","",$I$97+SUMIFS($G$99:$G$115,$M$99:$M$115,"&lt;="&amp;$M102)-SUMIFS($H$99:$H$115,$M$99:$M$115,"&lt;="&amp;$M102))</f>
        <v>2153.05</v>
      </c>
      <c r="J102" s="46" t="str">
        <f aca="true">IF($B102="","",IF($F102&lt;&gt;"",IF($C102&gt;TODAY(),"ADJUSTED","PAID"),IF($C102&lt;TODAY(),"PAST DUE",IF($C102&lt;=TODAY()+7,"DUE","Upcoming"))))</f>
        <v>Upcoming</v>
      </c>
      <c r="L102" s="47" t="n">
        <f aca="false">IF($B102="","",$C102)</f>
        <v>46270</v>
      </c>
      <c r="M102" s="0" t="n">
        <f aca="false">IF($L102="","",COUNTIFS($L$99:$L$115,"&lt;"&amp;$L102)+COUNTIFS($L$99:$L102,$L102))</f>
        <v>4</v>
      </c>
    </row>
    <row r="103" customFormat="false" ht="15" hidden="false" customHeight="false" outlineLevel="0" collapsed="false">
      <c r="B103" s="38" t="str">
        <f aca="false">IFERROR(INDEX(Schedule!$C$4:$C$483,MATCH(5005,Schedule!$K$4:$K$483,0)),"")</f>
        <v>Google One</v>
      </c>
      <c r="C103" s="39" t="n">
        <f aca="false">IF($B103="","",INDEX(Schedule!$G$4:$G$483,MATCH(5005,Schedule!$K$4:$K$483,0)))</f>
        <v>46272</v>
      </c>
      <c r="D103" s="40" t="str">
        <f aca="false">IF($B103="","",INDEX(Schedule!$D$4:$D$483,MATCH(5005,Schedule!$K$4:$K$483,0)))</f>
        <v>Expense</v>
      </c>
      <c r="E103" s="41" t="n">
        <f aca="false">IF($B103="","",INDEX(Schedule!$E$4:$E$483,MATCH(5005,Schedule!$K$4:$K$483,0)))</f>
        <v>4.99</v>
      </c>
      <c r="F103" s="42"/>
      <c r="G103" s="43" t="str">
        <f aca="false">IF($B103="","",IF($D103="Income",IF($F103&lt;&gt;"",$F103,$E103),""))</f>
        <v/>
      </c>
      <c r="H103" s="44" t="n">
        <f aca="false">IF($B103="","",IF($D103="Income","",IF($F103&lt;&gt;"",$F103,$E103)))</f>
        <v>4.99</v>
      </c>
      <c r="I103" s="45" t="n">
        <f aca="false">IF($B103="","",$I$97+SUMIFS($G$99:$G$115,$M$99:$M$115,"&lt;="&amp;$M103)-SUMIFS($H$99:$H$115,$M$99:$M$115,"&lt;="&amp;$M103))</f>
        <v>2148.06</v>
      </c>
      <c r="J103" s="46" t="str">
        <f aca="true">IF($B103="","",IF($F103&lt;&gt;"",IF($C103&gt;TODAY(),"ADJUSTED","PAID"),IF($C103&lt;TODAY(),"PAST DUE",IF($C103&lt;=TODAY()+7,"DUE","Upcoming"))))</f>
        <v>Upcoming</v>
      </c>
      <c r="L103" s="47" t="n">
        <f aca="false">IF($B103="","",$C103)</f>
        <v>46272</v>
      </c>
      <c r="M103" s="0" t="n">
        <f aca="false">IF($L103="","",COUNTIFS($L$99:$L$115,"&lt;"&amp;$L103)+COUNTIFS($L$99:$L103,$L103))</f>
        <v>5</v>
      </c>
    </row>
    <row r="104" customFormat="false" ht="15" hidden="false" customHeight="false" outlineLevel="0" collapsed="false">
      <c r="B104" s="38" t="str">
        <f aca="false">IFERROR(INDEX(Schedule!$C$4:$C$483,MATCH(5006,Schedule!$K$4:$K$483,0)),"")</f>
        <v>Upstart (loan)</v>
      </c>
      <c r="C104" s="39" t="n">
        <f aca="false">IF($B104="","",INDEX(Schedule!$G$4:$G$483,MATCH(5006,Schedule!$K$4:$K$483,0)))</f>
        <v>46272</v>
      </c>
      <c r="D104" s="40" t="str">
        <f aca="false">IF($B104="","",INDEX(Schedule!$D$4:$D$483,MATCH(5006,Schedule!$K$4:$K$483,0)))</f>
        <v>Expense</v>
      </c>
      <c r="E104" s="41" t="n">
        <f aca="false">IF($B104="","",INDEX(Schedule!$E$4:$E$483,MATCH(5006,Schedule!$K$4:$K$483,0)))</f>
        <v>500</v>
      </c>
      <c r="F104" s="42"/>
      <c r="G104" s="43" t="str">
        <f aca="false">IF($B104="","",IF($D104="Income",IF($F104&lt;&gt;"",$F104,$E104),""))</f>
        <v/>
      </c>
      <c r="H104" s="44" t="n">
        <f aca="false">IF($B104="","",IF($D104="Income","",IF($F104&lt;&gt;"",$F104,$E104)))</f>
        <v>500</v>
      </c>
      <c r="I104" s="45" t="n">
        <f aca="false">IF($B104="","",$I$97+SUMIFS($G$99:$G$115,$M$99:$M$115,"&lt;="&amp;$M104)-SUMIFS($H$99:$H$115,$M$99:$M$115,"&lt;="&amp;$M104))</f>
        <v>1648.06</v>
      </c>
      <c r="J104" s="46" t="str">
        <f aca="true">IF($B104="","",IF($F104&lt;&gt;"",IF($C104&gt;TODAY(),"ADJUSTED","PAID"),IF($C104&lt;TODAY(),"PAST DUE",IF($C104&lt;=TODAY()+7,"DUE","Upcoming"))))</f>
        <v>Upcoming</v>
      </c>
      <c r="L104" s="47" t="n">
        <f aca="false">IF($B104="","",$C104)</f>
        <v>46272</v>
      </c>
      <c r="M104" s="0" t="n">
        <f aca="false">IF($L104="","",COUNTIFS($L$99:$L$115,"&lt;"&amp;$L104)+COUNTIFS($L$99:$L104,$L104))</f>
        <v>6</v>
      </c>
    </row>
    <row r="105" customFormat="false" ht="15" hidden="false" customHeight="false" outlineLevel="0" collapsed="false">
      <c r="B105" s="38" t="str">
        <f aca="false">IFERROR(INDEX(Schedule!$C$4:$C$483,MATCH(5007,Schedule!$K$4:$K$483,0)),"")</f>
        <v>Bruno's Restaurant (paycheck)</v>
      </c>
      <c r="C105" s="39" t="n">
        <f aca="false">IF($B105="","",INDEX(Schedule!$G$4:$G$483,MATCH(5007,Schedule!$K$4:$K$483,0)))</f>
        <v>46274</v>
      </c>
      <c r="D105" s="40" t="str">
        <f aca="false">IF($B105="","",INDEX(Schedule!$D$4:$D$483,MATCH(5007,Schedule!$K$4:$K$483,0)))</f>
        <v>Income</v>
      </c>
      <c r="E105" s="41" t="n">
        <f aca="false">IF($B105="","",INDEX(Schedule!$E$4:$E$483,MATCH(5007,Schedule!$K$4:$K$483,0)))</f>
        <v>90</v>
      </c>
      <c r="F105" s="42"/>
      <c r="G105" s="43" t="n">
        <f aca="false">IF($B105="","",IF($D105="Income",IF($F105&lt;&gt;"",$F105,$E105),""))</f>
        <v>90</v>
      </c>
      <c r="H105" s="44" t="str">
        <f aca="false">IF($B105="","",IF($D105="Income","",IF($F105&lt;&gt;"",$F105,$E105)))</f>
        <v/>
      </c>
      <c r="I105" s="45" t="n">
        <f aca="false">IF($B105="","",$I$97+SUMIFS($G$99:$G$115,$M$99:$M$115,"&lt;="&amp;$M105)-SUMIFS($H$99:$H$115,$M$99:$M$115,"&lt;="&amp;$M105))</f>
        <v>1738.06</v>
      </c>
      <c r="J105" s="46" t="str">
        <f aca="true">IF($B105="","",IF($F105&lt;&gt;"",IF($C105&gt;TODAY(),"ADJUSTED","PAID"),IF($C105&lt;TODAY(),"PAST DUE",IF($C105&lt;=TODAY()+7,"DUE","Upcoming"))))</f>
        <v>Upcoming</v>
      </c>
      <c r="L105" s="47" t="n">
        <f aca="false">IF($B105="","",$C105)</f>
        <v>46274</v>
      </c>
      <c r="M105" s="0" t="n">
        <f aca="false">IF($L105="","",COUNTIFS($L$99:$L$115,"&lt;"&amp;$L105)+COUNTIFS($L$99:$L105,$L105))</f>
        <v>7</v>
      </c>
    </row>
    <row r="106" customFormat="false" ht="15" hidden="false" customHeight="false" outlineLevel="0" collapsed="false">
      <c r="B106" s="38" t="str">
        <f aca="false">IFERROR(INDEX(Schedule!$C$4:$C$483,MATCH(5008,Schedule!$K$4:$K$483,0)),"")</f>
        <v>Central Maine Power Co.</v>
      </c>
      <c r="C106" s="39" t="n">
        <f aca="false">IF($B106="","",INDEX(Schedule!$G$4:$G$483,MATCH(5008,Schedule!$K$4:$K$483,0)))</f>
        <v>46275</v>
      </c>
      <c r="D106" s="40" t="str">
        <f aca="false">IF($B106="","",INDEX(Schedule!$D$4:$D$483,MATCH(5008,Schedule!$K$4:$K$483,0)))</f>
        <v>Expense</v>
      </c>
      <c r="E106" s="41" t="n">
        <f aca="false">IF($B106="","",INDEX(Schedule!$E$4:$E$483,MATCH(5008,Schedule!$K$4:$K$483,0)))</f>
        <v>163.5</v>
      </c>
      <c r="F106" s="42"/>
      <c r="G106" s="43" t="str">
        <f aca="false">IF($B106="","",IF($D106="Income",IF($F106&lt;&gt;"",$F106,$E106),""))</f>
        <v/>
      </c>
      <c r="H106" s="44" t="n">
        <f aca="false">IF($B106="","",IF($D106="Income","",IF($F106&lt;&gt;"",$F106,$E106)))</f>
        <v>163.5</v>
      </c>
      <c r="I106" s="45" t="n">
        <f aca="false">IF($B106="","",$I$97+SUMIFS($G$99:$G$115,$M$99:$M$115,"&lt;="&amp;$M106)-SUMIFS($H$99:$H$115,$M$99:$M$115,"&lt;="&amp;$M106))</f>
        <v>1574.56</v>
      </c>
      <c r="J106" s="46" t="str">
        <f aca="true">IF($B106="","",IF($F106&lt;&gt;"",IF($C106&gt;TODAY(),"ADJUSTED","PAID"),IF($C106&lt;TODAY(),"PAST DUE",IF($C106&lt;=TODAY()+7,"DUE","Upcoming"))))</f>
        <v>Upcoming</v>
      </c>
      <c r="L106" s="47" t="n">
        <f aca="false">IF($B106="","",$C106)</f>
        <v>46275</v>
      </c>
      <c r="M106" s="0" t="n">
        <f aca="false">IF($L106="","",COUNTIFS($L$99:$L$115,"&lt;"&amp;$L106)+COUNTIFS($L$99:$L106,$L106))</f>
        <v>8</v>
      </c>
    </row>
    <row r="107" customFormat="false" ht="15" hidden="false" customHeight="false" outlineLevel="0" collapsed="false">
      <c r="B107" s="38" t="str">
        <f aca="false">IFERROR(INDEX(Schedule!$C$4:$C$483,MATCH(5009,Schedule!$K$4:$K$483,0)),"")</f>
        <v/>
      </c>
      <c r="C107" s="39" t="str">
        <f aca="false">IF($B107="","",INDEX(Schedule!$G$4:$G$483,MATCH(5009,Schedule!$K$4:$K$483,0)))</f>
        <v/>
      </c>
      <c r="D107" s="40" t="str">
        <f aca="false">IF($B107="","",INDEX(Schedule!$D$4:$D$483,MATCH(5009,Schedule!$K$4:$K$483,0)))</f>
        <v/>
      </c>
      <c r="E107" s="41" t="str">
        <f aca="false">IF($B107="","",INDEX(Schedule!$E$4:$E$483,MATCH(5009,Schedule!$K$4:$K$483,0)))</f>
        <v/>
      </c>
      <c r="F107" s="42"/>
      <c r="G107" s="43" t="str">
        <f aca="false">IF($B107="","",IF($D107="Income",IF($F107&lt;&gt;"",$F107,$E107),""))</f>
        <v/>
      </c>
      <c r="H107" s="44" t="str">
        <f aca="false">IF($B107="","",IF($D107="Income","",IF($F107&lt;&gt;"",$F107,$E107)))</f>
        <v/>
      </c>
      <c r="I107" s="45" t="str">
        <f aca="false">IF($B107="","",$I$97+SUMIFS($G$99:$G$115,$M$99:$M$115,"&lt;="&amp;$M107)-SUMIFS($H$99:$H$115,$M$99:$M$115,"&lt;="&amp;$M107))</f>
        <v/>
      </c>
      <c r="J107" s="46" t="str">
        <f aca="true">IF($B107="","",IF($F107&lt;&gt;"",IF($C107&gt;TODAY(),"ADJUSTED","PAID"),IF($C107&lt;TODAY(),"PAST DUE",IF($C107&lt;=TODAY()+7,"DUE","Upcoming"))))</f>
        <v/>
      </c>
      <c r="L107" s="0" t="str">
        <f aca="false">IF($B107="","",$C107)</f>
        <v/>
      </c>
      <c r="M107" s="0" t="str">
        <f aca="false">IF($L107="","",COUNTIFS($L$99:$L$115,"&lt;"&amp;$L107)+COUNTIFS($L$99:$L107,$L107))</f>
        <v/>
      </c>
    </row>
    <row r="108" customFormat="false" ht="15" hidden="false" customHeight="false" outlineLevel="0" collapsed="false">
      <c r="B108" s="38" t="str">
        <f aca="false">IFERROR(INDEX(Schedule!$C$4:$C$483,MATCH(5010,Schedule!$K$4:$K$483,0)),"")</f>
        <v/>
      </c>
      <c r="C108" s="39" t="str">
        <f aca="false">IF($B108="","",INDEX(Schedule!$G$4:$G$483,MATCH(5010,Schedule!$K$4:$K$483,0)))</f>
        <v/>
      </c>
      <c r="D108" s="40" t="str">
        <f aca="false">IF($B108="","",INDEX(Schedule!$D$4:$D$483,MATCH(5010,Schedule!$K$4:$K$483,0)))</f>
        <v/>
      </c>
      <c r="E108" s="41" t="str">
        <f aca="false">IF($B108="","",INDEX(Schedule!$E$4:$E$483,MATCH(5010,Schedule!$K$4:$K$483,0)))</f>
        <v/>
      </c>
      <c r="F108" s="42"/>
      <c r="G108" s="43" t="str">
        <f aca="false">IF($B108="","",IF($D108="Income",IF($F108&lt;&gt;"",$F108,$E108),""))</f>
        <v/>
      </c>
      <c r="H108" s="44" t="str">
        <f aca="false">IF($B108="","",IF($D108="Income","",IF($F108&lt;&gt;"",$F108,$E108)))</f>
        <v/>
      </c>
      <c r="I108" s="45" t="str">
        <f aca="false">IF($B108="","",$I$97+SUMIFS($G$99:$G$115,$M$99:$M$115,"&lt;="&amp;$M108)-SUMIFS($H$99:$H$115,$M$99:$M$115,"&lt;="&amp;$M108))</f>
        <v/>
      </c>
      <c r="J108" s="46" t="str">
        <f aca="true">IF($B108="","",IF($F108&lt;&gt;"",IF($C108&gt;TODAY(),"ADJUSTED","PAID"),IF($C108&lt;TODAY(),"PAST DUE",IF($C108&lt;=TODAY()+7,"DUE","Upcoming"))))</f>
        <v/>
      </c>
      <c r="L108" s="0" t="str">
        <f aca="false">IF($B108="","",$C108)</f>
        <v/>
      </c>
      <c r="M108" s="0" t="str">
        <f aca="false">IF($L108="","",COUNTIFS($L$99:$L$115,"&lt;"&amp;$L108)+COUNTIFS($L$99:$L108,$L108))</f>
        <v/>
      </c>
    </row>
    <row r="109" customFormat="false" ht="15" hidden="false" customHeight="false" outlineLevel="0" collapsed="false">
      <c r="B109" s="48" t="s">
        <v>127</v>
      </c>
      <c r="C109" s="49"/>
      <c r="D109" s="49"/>
      <c r="E109" s="49"/>
      <c r="F109" s="49"/>
      <c r="G109" s="49"/>
      <c r="H109" s="49"/>
      <c r="I109" s="49"/>
      <c r="J109" s="49"/>
    </row>
    <row r="110" customFormat="false" ht="15" hidden="false" customHeight="false" outlineLevel="0" collapsed="false">
      <c r="B110" s="6"/>
      <c r="C110" s="50"/>
      <c r="D110" s="51" t="str">
        <f aca="false">IF($B110="","","Expense")</f>
        <v/>
      </c>
      <c r="E110" s="18"/>
      <c r="F110" s="10"/>
      <c r="G110" s="10"/>
      <c r="H110" s="52" t="str">
        <f aca="false">IF($B110="","",N($E110))</f>
        <v/>
      </c>
      <c r="I110" s="53" t="str">
        <f aca="false">IF($B110="","",$I$97+SUMIFS($G$99:$G$115,$M$99:$M$115,"&lt;="&amp;$M110)-SUMIFS($H$99:$H$115,$M$99:$M$115,"&lt;="&amp;$M110))</f>
        <v/>
      </c>
      <c r="J110" s="10"/>
      <c r="L110" s="0" t="str">
        <f aca="false">IF($B110="","",IF($C110="",$E$6+34,$C110))</f>
        <v/>
      </c>
      <c r="M110" s="0" t="str">
        <f aca="false">IF($L110="","",COUNTIFS($L$99:$L$115,"&lt;"&amp;$L110)+COUNTIFS($L$99:$L110,$L110))</f>
        <v/>
      </c>
    </row>
    <row r="111" customFormat="false" ht="15" hidden="false" customHeight="false" outlineLevel="0" collapsed="false">
      <c r="B111" s="6"/>
      <c r="C111" s="50"/>
      <c r="D111" s="51" t="str">
        <f aca="false">IF($B111="","","Expense")</f>
        <v/>
      </c>
      <c r="E111" s="18"/>
      <c r="F111" s="10"/>
      <c r="G111" s="10"/>
      <c r="H111" s="52" t="str">
        <f aca="false">IF($B111="","",N($E111))</f>
        <v/>
      </c>
      <c r="I111" s="53" t="str">
        <f aca="false">IF($B111="","",$I$97+SUMIFS($G$99:$G$115,$M$99:$M$115,"&lt;="&amp;$M111)-SUMIFS($H$99:$H$115,$M$99:$M$115,"&lt;="&amp;$M111))</f>
        <v/>
      </c>
      <c r="J111" s="10"/>
      <c r="L111" s="0" t="str">
        <f aca="false">IF($B111="","",IF($C111="",$E$6+34,$C111))</f>
        <v/>
      </c>
      <c r="M111" s="0" t="str">
        <f aca="false">IF($L111="","",COUNTIFS($L$99:$L$115,"&lt;"&amp;$L111)+COUNTIFS($L$99:$L111,$L111))</f>
        <v/>
      </c>
    </row>
    <row r="112" customFormat="false" ht="15" hidden="false" customHeight="false" outlineLevel="0" collapsed="false">
      <c r="B112" s="6"/>
      <c r="C112" s="50"/>
      <c r="D112" s="51" t="str">
        <f aca="false">IF($B112="","","Expense")</f>
        <v/>
      </c>
      <c r="E112" s="18"/>
      <c r="F112" s="10"/>
      <c r="G112" s="10"/>
      <c r="H112" s="52" t="str">
        <f aca="false">IF($B112="","",N($E112))</f>
        <v/>
      </c>
      <c r="I112" s="53" t="str">
        <f aca="false">IF($B112="","",$I$97+SUMIFS($G$99:$G$115,$M$99:$M$115,"&lt;="&amp;$M112)-SUMIFS($H$99:$H$115,$M$99:$M$115,"&lt;="&amp;$M112))</f>
        <v/>
      </c>
      <c r="J112" s="10"/>
      <c r="L112" s="0" t="str">
        <f aca="false">IF($B112="","",IF($C112="",$E$6+34,$C112))</f>
        <v/>
      </c>
      <c r="M112" s="0" t="str">
        <f aca="false">IF($L112="","",COUNTIFS($L$99:$L$115,"&lt;"&amp;$L112)+COUNTIFS($L$99:$L112,$L112))</f>
        <v/>
      </c>
    </row>
    <row r="113" customFormat="false" ht="15" hidden="false" customHeight="false" outlineLevel="0" collapsed="false">
      <c r="B113" s="6"/>
      <c r="C113" s="50"/>
      <c r="D113" s="51" t="str">
        <f aca="false">IF($B113="","","Expense")</f>
        <v/>
      </c>
      <c r="E113" s="18"/>
      <c r="F113" s="10"/>
      <c r="G113" s="10"/>
      <c r="H113" s="52" t="str">
        <f aca="false">IF($B113="","",N($E113))</f>
        <v/>
      </c>
      <c r="I113" s="53" t="str">
        <f aca="false">IF($B113="","",$I$97+SUMIFS($G$99:$G$115,$M$99:$M$115,"&lt;="&amp;$M113)-SUMIFS($H$99:$H$115,$M$99:$M$115,"&lt;="&amp;$M113))</f>
        <v/>
      </c>
      <c r="J113" s="10"/>
      <c r="L113" s="0" t="str">
        <f aca="false">IF($B113="","",IF($C113="",$E$6+34,$C113))</f>
        <v/>
      </c>
      <c r="M113" s="0" t="str">
        <f aca="false">IF($L113="","",COUNTIFS($L$99:$L$115,"&lt;"&amp;$L113)+COUNTIFS($L$99:$L113,$L113))</f>
        <v/>
      </c>
    </row>
    <row r="114" customFormat="false" ht="15" hidden="false" customHeight="false" outlineLevel="0" collapsed="false">
      <c r="B114" s="6"/>
      <c r="C114" s="50"/>
      <c r="D114" s="51" t="str">
        <f aca="false">IF($B114="","","Expense")</f>
        <v/>
      </c>
      <c r="E114" s="18"/>
      <c r="F114" s="10"/>
      <c r="G114" s="10"/>
      <c r="H114" s="52" t="str">
        <f aca="false">IF($B114="","",N($E114))</f>
        <v/>
      </c>
      <c r="I114" s="53" t="str">
        <f aca="false">IF($B114="","",$I$97+SUMIFS($G$99:$G$115,$M$99:$M$115,"&lt;="&amp;$M114)-SUMIFS($H$99:$H$115,$M$99:$M$115,"&lt;="&amp;$M114))</f>
        <v/>
      </c>
      <c r="J114" s="10"/>
      <c r="L114" s="0" t="str">
        <f aca="false">IF($B114="","",IF($C114="",$E$6+34,$C114))</f>
        <v/>
      </c>
      <c r="M114" s="0" t="str">
        <f aca="false">IF($L114="","",COUNTIFS($L$99:$L$115,"&lt;"&amp;$L114)+COUNTIFS($L$99:$L114,$L114))</f>
        <v/>
      </c>
    </row>
    <row r="115" customFormat="false" ht="15" hidden="false" customHeight="false" outlineLevel="0" collapsed="false">
      <c r="B115" s="6"/>
      <c r="C115" s="50"/>
      <c r="D115" s="51" t="str">
        <f aca="false">IF($B115="","","Expense")</f>
        <v/>
      </c>
      <c r="E115" s="18"/>
      <c r="F115" s="10"/>
      <c r="G115" s="10"/>
      <c r="H115" s="52" t="str">
        <f aca="false">IF($B115="","",N($E115))</f>
        <v/>
      </c>
      <c r="I115" s="53" t="str">
        <f aca="false">IF($B115="","",$I$97+SUMIFS($G$99:$G$115,$M$99:$M$115,"&lt;="&amp;$M115)-SUMIFS($H$99:$H$115,$M$99:$M$115,"&lt;="&amp;$M115))</f>
        <v/>
      </c>
      <c r="J115" s="10"/>
      <c r="L115" s="0" t="str">
        <f aca="false">IF($B115="","",IF($C115="",$E$6+34,$C115))</f>
        <v/>
      </c>
      <c r="M115" s="0" t="str">
        <f aca="false">IF($L115="","",COUNTIFS($L$99:$L$115,"&lt;"&amp;$L115)+COUNTIFS($L$99:$L115,$L115))</f>
        <v/>
      </c>
    </row>
    <row r="116" customFormat="false" ht="15" hidden="false" customHeight="false" outlineLevel="0" collapsed="false">
      <c r="B116" s="54" t="s">
        <v>138</v>
      </c>
      <c r="C116" s="55"/>
      <c r="D116" s="55"/>
      <c r="E116" s="55"/>
      <c r="F116" s="55"/>
      <c r="G116" s="56" t="n">
        <f aca="false">SUM($G$99:$G$115)</f>
        <v>880</v>
      </c>
      <c r="H116" s="56" t="n">
        <f aca="false">SUM($H$99:$H$115)</f>
        <v>719.59</v>
      </c>
      <c r="I116" s="57" t="n">
        <f aca="false">$I$97+$G$116-$H$116</f>
        <v>1574.56</v>
      </c>
      <c r="J116" s="58" t="str">
        <f aca="false">IF($I$116&lt;0,"SHORTFALL",IF($I$116&lt;$E$7,"TIGHT","OK"))</f>
        <v>OK</v>
      </c>
      <c r="K116" s="59" t="str">
        <f aca="false">IF(COUNT($I$99:$I$115)=0,"","Lowest point this week: "&amp;TEXT(MIN($I$99:$I$115),"$#,##0.00;-$#,##0.00")&amp;" on "&amp;TEXT(INDEX($C$99:$C$115,MATCH(MIN($I$99:$I$115),$I$99:$I$115,0)),"ddd mmm d")&amp;"     (in "&amp;TEXT($G$116,"$#,##0.00")&amp;", out "&amp;TEXT($H$116,"$#,##0.00")&amp;")")</f>
        <v>Lowest point this week: $1,574.56 on Thu Sep 10     (in $880.00, out $719.59)</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120</v>
      </c>
      <c r="H118" s="32"/>
      <c r="I118" s="34" t="n">
        <f aca="false">$I$116</f>
        <v>1574.56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121</v>
      </c>
      <c r="C119" s="35" t="s">
        <v>122</v>
      </c>
      <c r="D119" s="35" t="s">
        <v>72</v>
      </c>
      <c r="E119" s="35" t="s">
        <v>123</v>
      </c>
      <c r="F119" s="35" t="s">
        <v>124</v>
      </c>
      <c r="G119" s="36" t="s">
        <v>18</v>
      </c>
      <c r="H119" s="37" t="s">
        <v>20</v>
      </c>
      <c r="I119" s="35" t="s">
        <v>125</v>
      </c>
      <c r="J119" s="35" t="s">
        <v>126</v>
      </c>
    </row>
    <row r="120" customFormat="false" ht="15" hidden="false" customHeight="false" outlineLevel="0" collapsed="false">
      <c r="B120" s="38" t="str">
        <f aca="false">IFERROR(INDEX(Schedule!$C$4:$C$483,MATCH(6001,Schedule!$K$4:$K$483,0)),"")</f>
        <v>Compunnel Software (paycheck)</v>
      </c>
      <c r="C120" s="39" t="n">
        <f aca="false">IF($B120="","",INDEX(Schedule!$G$4:$G$483,MATCH(6001,Schedule!$K$4:$K$483,0)))</f>
        <v>46276</v>
      </c>
      <c r="D120" s="40" t="str">
        <f aca="false">IF($B120="","",INDEX(Schedule!$D$4:$D$483,MATCH(6001,Schedule!$K$4:$K$483,0)))</f>
        <v>Income</v>
      </c>
      <c r="E120" s="41" t="n">
        <f aca="false">IF($B120="","",INDEX(Schedule!$E$4:$E$483,MATCH(6001,Schedule!$K$4:$K$483,0)))</f>
        <v>790</v>
      </c>
      <c r="F120" s="42"/>
      <c r="G120" s="43" t="n">
        <f aca="false">IF($B120="","",IF($D120="Income",IF($F120&lt;&gt;"",$F120,$E120),""))</f>
        <v>790</v>
      </c>
      <c r="H120" s="44" t="str">
        <f aca="false">IF($B120="","",IF($D120="Income","",IF($F120&lt;&gt;"",$F120,$E120)))</f>
        <v/>
      </c>
      <c r="I120" s="45" t="n">
        <f aca="false">IF($B120="","",$I$118+SUMIFS($G$120:$G$136,$M$120:$M$136,"&lt;="&amp;$M120)-SUMIFS($H$120:$H$136,$M$120:$M$136,"&lt;="&amp;$M120))</f>
        <v>2364.56</v>
      </c>
      <c r="J120" s="46" t="str">
        <f aca="true">IF($B120="","",IF($F120&lt;&gt;"",IF($C120&gt;TODAY(),"ADJUSTED","PAID"),IF($C120&lt;TODAY(),"PAST DUE",IF($C120&lt;=TODAY()+7,"DUE","Upcoming"))))</f>
        <v>Upcoming</v>
      </c>
      <c r="L120" s="47" t="n">
        <f aca="false">IF($B120="","",$C120)</f>
        <v>46276</v>
      </c>
      <c r="M120" s="0" t="n">
        <f aca="false">IF($L120="","",COUNTIFS($L$120:$L$136,"&lt;"&amp;$L120)+COUNTIFS($L$120:$L120,$L120))</f>
        <v>1</v>
      </c>
    </row>
    <row r="121" customFormat="false" ht="15" hidden="false" customHeight="false" outlineLevel="0" collapsed="false">
      <c r="B121" s="38" t="str">
        <f aca="false">IFERROR(INDEX(Schedule!$C$4:$C$483,MATCH(6002,Schedule!$K$4:$K$483,0)),"")</f>
        <v>Apple: iCloud</v>
      </c>
      <c r="C121" s="39" t="n">
        <f aca="false">IF($B121="","",INDEX(Schedule!$G$4:$G$483,MATCH(6002,Schedule!$K$4:$K$483,0)))</f>
        <v>46278</v>
      </c>
      <c r="D121" s="40" t="str">
        <f aca="false">IF($B121="","",INDEX(Schedule!$D$4:$D$483,MATCH(6002,Schedule!$K$4:$K$483,0)))</f>
        <v>Expense</v>
      </c>
      <c r="E121" s="41" t="n">
        <f aca="false">IF($B121="","",INDEX(Schedule!$E$4:$E$483,MATCH(6002,Schedule!$K$4:$K$483,0)))</f>
        <v>2.99</v>
      </c>
      <c r="F121" s="42"/>
      <c r="G121" s="43" t="str">
        <f aca="false">IF($B121="","",IF($D121="Income",IF($F121&lt;&gt;"",$F121,$E121),""))</f>
        <v/>
      </c>
      <c r="H121" s="44" t="n">
        <f aca="false">IF($B121="","",IF($D121="Income","",IF($F121&lt;&gt;"",$F121,$E121)))</f>
        <v>2.99</v>
      </c>
      <c r="I121" s="45" t="n">
        <f aca="false">IF($B121="","",$I$118+SUMIFS($G$120:$G$136,$M$120:$M$136,"&lt;="&amp;$M121)-SUMIFS($H$120:$H$136,$M$120:$M$136,"&lt;="&amp;$M121))</f>
        <v>2361.57</v>
      </c>
      <c r="J121" s="46" t="str">
        <f aca="true">IF($B121="","",IF($F121&lt;&gt;"",IF($C121&gt;TODAY(),"ADJUSTED","PAID"),IF($C121&lt;TODAY(),"PAST DUE",IF($C121&lt;=TODAY()+7,"DUE","Upcoming"))))</f>
        <v>Upcoming</v>
      </c>
      <c r="L121" s="47" t="n">
        <f aca="false">IF($B121="","",$C121)</f>
        <v>46278</v>
      </c>
      <c r="M121" s="0" t="n">
        <f aca="false">IF($L121="","",COUNTIFS($L$120:$L$136,"&lt;"&amp;$L121)+COUNTIFS($L$120:$L121,$L121))</f>
        <v>2</v>
      </c>
    </row>
    <row r="122" customFormat="false" ht="15" hidden="false" customHeight="false" outlineLevel="0" collapsed="false">
      <c r="B122" s="38" t="str">
        <f aca="false">IFERROR(INDEX(Schedule!$C$4:$C$483,MATCH(6003,Schedule!$K$4:$K$483,0)),"")</f>
        <v>Patrick Rombalski (rent)</v>
      </c>
      <c r="C122" s="39" t="n">
        <f aca="false">IF($B122="","",INDEX(Schedule!$G$4:$G$483,MATCH(6003,Schedule!$K$4:$K$483,0)))</f>
        <v>46280</v>
      </c>
      <c r="D122" s="40" t="str">
        <f aca="false">IF($B122="","",INDEX(Schedule!$D$4:$D$483,MATCH(6003,Schedule!$K$4:$K$483,0)))</f>
        <v>Expense</v>
      </c>
      <c r="E122" s="41" t="n">
        <f aca="false">IF($B122="","",INDEX(Schedule!$E$4:$E$483,MATCH(6003,Schedule!$K$4:$K$483,0)))</f>
        <v>350</v>
      </c>
      <c r="F122" s="42"/>
      <c r="G122" s="43" t="str">
        <f aca="false">IF($B122="","",IF($D122="Income",IF($F122&lt;&gt;"",$F122,$E122),""))</f>
        <v/>
      </c>
      <c r="H122" s="44" t="n">
        <f aca="false">IF($B122="","",IF($D122="Income","",IF($F122&lt;&gt;"",$F122,$E122)))</f>
        <v>350</v>
      </c>
      <c r="I122" s="45" t="n">
        <f aca="false">IF($B122="","",$I$118+SUMIFS($G$120:$G$136,$M$120:$M$136,"&lt;="&amp;$M122)-SUMIFS($H$120:$H$136,$M$120:$M$136,"&lt;="&amp;$M122))</f>
        <v>2011.57</v>
      </c>
      <c r="J122" s="46" t="str">
        <f aca="true">IF($B122="","",IF($F122&lt;&gt;"",IF($C122&gt;TODAY(),"ADJUSTED","PAID"),IF($C122&lt;TODAY(),"PAST DUE",IF($C122&lt;=TODAY()+7,"DUE","Upcoming"))))</f>
        <v>Upcoming</v>
      </c>
      <c r="L122" s="47" t="n">
        <f aca="false">IF($B122="","",$C122)</f>
        <v>46280</v>
      </c>
      <c r="M122" s="0" t="n">
        <f aca="false">IF($L122="","",COUNTIFS($L$120:$L$136,"&lt;"&amp;$L122)+COUNTIFS($L$120:$L122,$L122))</f>
        <v>3</v>
      </c>
    </row>
    <row r="123" customFormat="false" ht="15" hidden="false" customHeight="false" outlineLevel="0" collapsed="false">
      <c r="B123" s="38" t="str">
        <f aca="false">IFERROR(INDEX(Schedule!$C$4:$C$483,MATCH(6004,Schedule!$K$4:$K$483,0)),"")</f>
        <v>Bruno's Restaurant (paycheck)</v>
      </c>
      <c r="C123" s="39" t="n">
        <f aca="false">IF($B123="","",INDEX(Schedule!$G$4:$G$483,MATCH(6004,Schedule!$K$4:$K$483,0)))</f>
        <v>46281</v>
      </c>
      <c r="D123" s="40" t="str">
        <f aca="false">IF($B123="","",INDEX(Schedule!$D$4:$D$483,MATCH(6004,Schedule!$K$4:$K$483,0)))</f>
        <v>Income</v>
      </c>
      <c r="E123" s="41" t="n">
        <f aca="false">IF($B123="","",INDEX(Schedule!$E$4:$E$483,MATCH(6004,Schedule!$K$4:$K$483,0)))</f>
        <v>90</v>
      </c>
      <c r="F123" s="42"/>
      <c r="G123" s="43" t="n">
        <f aca="false">IF($B123="","",IF($D123="Income",IF($F123&lt;&gt;"",$F123,$E123),""))</f>
        <v>90</v>
      </c>
      <c r="H123" s="44" t="str">
        <f aca="false">IF($B123="","",IF($D123="Income","",IF($F123&lt;&gt;"",$F123,$E123)))</f>
        <v/>
      </c>
      <c r="I123" s="45" t="n">
        <f aca="false">IF($B123="","",$I$118+SUMIFS($G$120:$G$136,$M$120:$M$136,"&lt;="&amp;$M123)-SUMIFS($H$120:$H$136,$M$120:$M$136,"&lt;="&amp;$M123))</f>
        <v>2101.57</v>
      </c>
      <c r="J123" s="46" t="str">
        <f aca="true">IF($B123="","",IF($F123&lt;&gt;"",IF($C123&gt;TODAY(),"ADJUSTED","PAID"),IF($C123&lt;TODAY(),"PAST DUE",IF($C123&lt;=TODAY()+7,"DUE","Upcoming"))))</f>
        <v>Upcoming</v>
      </c>
      <c r="L123" s="47" t="n">
        <f aca="false">IF($B123="","",$C123)</f>
        <v>46281</v>
      </c>
      <c r="M123" s="0" t="n">
        <f aca="false">IF($L123="","",COUNTIFS($L$120:$L$136,"&lt;"&amp;$L123)+COUNTIFS($L$120:$L123,$L123))</f>
        <v>4</v>
      </c>
    </row>
    <row r="124" customFormat="false" ht="15" hidden="false" customHeight="false" outlineLevel="0" collapsed="false">
      <c r="B124" s="38" t="str">
        <f aca="false">IFERROR(INDEX(Schedule!$C$4:$C$483,MATCH(6005,Schedule!$K$4:$K$483,0)),"")</f>
        <v>Spectrum</v>
      </c>
      <c r="C124" s="39" t="n">
        <f aca="false">IF($B124="","",INDEX(Schedule!$G$4:$G$483,MATCH(6005,Schedule!$K$4:$K$483,0)))</f>
        <v>46281</v>
      </c>
      <c r="D124" s="40" t="str">
        <f aca="false">IF($B124="","",INDEX(Schedule!$D$4:$D$483,MATCH(6005,Schedule!$K$4:$K$483,0)))</f>
        <v>Expense</v>
      </c>
      <c r="E124" s="41" t="n">
        <f aca="false">IF($B124="","",INDEX(Schedule!$E$4:$E$483,MATCH(6005,Schedule!$K$4:$K$483,0)))</f>
        <v>171.1</v>
      </c>
      <c r="F124" s="42"/>
      <c r="G124" s="43" t="str">
        <f aca="false">IF($B124="","",IF($D124="Income",IF($F124&lt;&gt;"",$F124,$E124),""))</f>
        <v/>
      </c>
      <c r="H124" s="44" t="n">
        <f aca="false">IF($B124="","",IF($D124="Income","",IF($F124&lt;&gt;"",$F124,$E124)))</f>
        <v>171.1</v>
      </c>
      <c r="I124" s="45" t="n">
        <f aca="false">IF($B124="","",$I$118+SUMIFS($G$120:$G$136,$M$120:$M$136,"&lt;="&amp;$M124)-SUMIFS($H$120:$H$136,$M$120:$M$136,"&lt;="&amp;$M124))</f>
        <v>1930.47</v>
      </c>
      <c r="J124" s="46" t="str">
        <f aca="true">IF($B124="","",IF($F124&lt;&gt;"",IF($C124&gt;TODAY(),"ADJUSTED","PAID"),IF($C124&lt;TODAY(),"PAST DUE",IF($C124&lt;=TODAY()+7,"DUE","Upcoming"))))</f>
        <v>Upcoming</v>
      </c>
      <c r="L124" s="47" t="n">
        <f aca="false">IF($B124="","",$C124)</f>
        <v>46281</v>
      </c>
      <c r="M124" s="0" t="n">
        <f aca="false">IF($L124="","",COUNTIFS($L$120:$L$136,"&lt;"&amp;$L124)+COUNTIFS($L$120:$L124,$L124))</f>
        <v>5</v>
      </c>
    </row>
    <row r="125" customFormat="false" ht="15" hidden="false" customHeight="false" outlineLevel="0" collapsed="false">
      <c r="B125" s="38" t="str">
        <f aca="false">IFERROR(INDEX(Schedule!$C$4:$C$483,MATCH(6006,Schedule!$K$4:$K$483,0)),"")</f>
        <v>Maine Revenue Services</v>
      </c>
      <c r="C125" s="39" t="n">
        <f aca="false">IF($B125="","",INDEX(Schedule!$G$4:$G$483,MATCH(6006,Schedule!$K$4:$K$483,0)))</f>
        <v>46281</v>
      </c>
      <c r="D125" s="40" t="str">
        <f aca="false">IF($B125="","",INDEX(Schedule!$D$4:$D$483,MATCH(6006,Schedule!$K$4:$K$483,0)))</f>
        <v>Expense</v>
      </c>
      <c r="E125" s="41" t="n">
        <f aca="false">IF($B125="","",INDEX(Schedule!$E$4:$E$483,MATCH(6006,Schedule!$K$4:$K$483,0)))</f>
        <v>45</v>
      </c>
      <c r="F125" s="42"/>
      <c r="G125" s="43" t="str">
        <f aca="false">IF($B125="","",IF($D125="Income",IF($F125&lt;&gt;"",$F125,$E125),""))</f>
        <v/>
      </c>
      <c r="H125" s="44" t="n">
        <f aca="false">IF($B125="","",IF($D125="Income","",IF($F125&lt;&gt;"",$F125,$E125)))</f>
        <v>45</v>
      </c>
      <c r="I125" s="45" t="n">
        <f aca="false">IF($B125="","",$I$118+SUMIFS($G$120:$G$136,$M$120:$M$136,"&lt;="&amp;$M125)-SUMIFS($H$120:$H$136,$M$120:$M$136,"&lt;="&amp;$M125))</f>
        <v>1885.47</v>
      </c>
      <c r="J125" s="46" t="str">
        <f aca="true">IF($B125="","",IF($F125&lt;&gt;"",IF($C125&gt;TODAY(),"ADJUSTED","PAID"),IF($C125&lt;TODAY(),"PAST DUE",IF($C125&lt;=TODAY()+7,"DUE","Upcoming"))))</f>
        <v>Upcoming</v>
      </c>
      <c r="L125" s="47" t="n">
        <f aca="false">IF($B125="","",$C125)</f>
        <v>46281</v>
      </c>
      <c r="M125" s="0" t="n">
        <f aca="false">IF($L125="","",COUNTIFS($L$120:$L$136,"&lt;"&amp;$L125)+COUNTIFS($L$120:$L125,$L125))</f>
        <v>6</v>
      </c>
    </row>
    <row r="126" customFormat="false" ht="15" hidden="false" customHeight="false" outlineLevel="0" collapsed="false">
      <c r="B126" s="38" t="str">
        <f aca="false">IFERROR(INDEX(Schedule!$C$4:$C$483,MATCH(6007,Schedule!$K$4:$K$483,0)),"")</f>
        <v/>
      </c>
      <c r="C126" s="39" t="str">
        <f aca="false">IF($B126="","",INDEX(Schedule!$G$4:$G$483,MATCH(6007,Schedule!$K$4:$K$483,0)))</f>
        <v/>
      </c>
      <c r="D126" s="40" t="str">
        <f aca="false">IF($B126="","",INDEX(Schedule!$D$4:$D$483,MATCH(6007,Schedule!$K$4:$K$483,0)))</f>
        <v/>
      </c>
      <c r="E126" s="41" t="str">
        <f aca="false">IF($B126="","",INDEX(Schedule!$E$4:$E$483,MATCH(6007,Schedule!$K$4:$K$483,0)))</f>
        <v/>
      </c>
      <c r="F126" s="42"/>
      <c r="G126" s="43" t="str">
        <f aca="false">IF($B126="","",IF($D126="Income",IF($F126&lt;&gt;"",$F126,$E126),""))</f>
        <v/>
      </c>
      <c r="H126" s="44" t="str">
        <f aca="false">IF($B126="","",IF($D126="Income","",IF($F126&lt;&gt;"",$F126,$E126)))</f>
        <v/>
      </c>
      <c r="I126" s="45" t="str">
        <f aca="false">IF($B126="","",$I$118+SUMIFS($G$120:$G$136,$M$120:$M$136,"&lt;="&amp;$M126)-SUMIFS($H$120:$H$136,$M$120:$M$136,"&lt;="&amp;$M126))</f>
        <v/>
      </c>
      <c r="J126" s="46" t="str">
        <f aca="true">IF($B126="","",IF($F126&lt;&gt;"",IF($C126&gt;TODAY(),"ADJUSTED","PAID"),IF($C126&lt;TODAY(),"PAST DUE",IF($C126&lt;=TODAY()+7,"DUE","Upcoming"))))</f>
        <v/>
      </c>
      <c r="L126" s="0" t="str">
        <f aca="false">IF($B126="","",$C126)</f>
        <v/>
      </c>
      <c r="M126" s="0" t="str">
        <f aca="false">IF($L126="","",COUNTIFS($L$120:$L$136,"&lt;"&amp;$L126)+COUNTIFS($L$120:$L126,$L126))</f>
        <v/>
      </c>
    </row>
    <row r="127" customFormat="false" ht="15" hidden="false" customHeight="false" outlineLevel="0" collapsed="false">
      <c r="B127" s="38" t="str">
        <f aca="false">IFERROR(INDEX(Schedule!$C$4:$C$483,MATCH(6008,Schedule!$K$4:$K$483,0)),"")</f>
        <v/>
      </c>
      <c r="C127" s="39" t="str">
        <f aca="false">IF($B127="","",INDEX(Schedule!$G$4:$G$483,MATCH(6008,Schedule!$K$4:$K$483,0)))</f>
        <v/>
      </c>
      <c r="D127" s="40" t="str">
        <f aca="false">IF($B127="","",INDEX(Schedule!$D$4:$D$483,MATCH(6008,Schedule!$K$4:$K$483,0)))</f>
        <v/>
      </c>
      <c r="E127" s="41" t="str">
        <f aca="false">IF($B127="","",INDEX(Schedule!$E$4:$E$483,MATCH(6008,Schedule!$K$4:$K$483,0)))</f>
        <v/>
      </c>
      <c r="F127" s="42"/>
      <c r="G127" s="43" t="str">
        <f aca="false">IF($B127="","",IF($D127="Income",IF($F127&lt;&gt;"",$F127,$E127),""))</f>
        <v/>
      </c>
      <c r="H127" s="44" t="str">
        <f aca="false">IF($B127="","",IF($D127="Income","",IF($F127&lt;&gt;"",$F127,$E127)))</f>
        <v/>
      </c>
      <c r="I127" s="45" t="str">
        <f aca="false">IF($B127="","",$I$118+SUMIFS($G$120:$G$136,$M$120:$M$136,"&lt;="&amp;$M127)-SUMIFS($H$120:$H$136,$M$120:$M$136,"&lt;="&amp;$M127))</f>
        <v/>
      </c>
      <c r="J127" s="46" t="str">
        <f aca="true">IF($B127="","",IF($F127&lt;&gt;"",IF($C127&gt;TODAY(),"ADJUSTED","PAID"),IF($C127&lt;TODAY(),"PAST DUE",IF($C127&lt;=TODAY()+7,"DUE","Upcoming"))))</f>
        <v/>
      </c>
      <c r="L127" s="0" t="str">
        <f aca="false">IF($B127="","",$C127)</f>
        <v/>
      </c>
      <c r="M127" s="0" t="str">
        <f aca="false">IF($L127="","",COUNTIFS($L$120:$L$136,"&lt;"&amp;$L127)+COUNTIFS($L$120:$L127,$L127))</f>
        <v/>
      </c>
    </row>
    <row r="128" customFormat="false" ht="15" hidden="false" customHeight="false" outlineLevel="0" collapsed="false">
      <c r="B128" s="38" t="str">
        <f aca="false">IFERROR(INDEX(Schedule!$C$4:$C$483,MATCH(6009,Schedule!$K$4:$K$483,0)),"")</f>
        <v/>
      </c>
      <c r="C128" s="39" t="str">
        <f aca="false">IF($B128="","",INDEX(Schedule!$G$4:$G$483,MATCH(6009,Schedule!$K$4:$K$483,0)))</f>
        <v/>
      </c>
      <c r="D128" s="40" t="str">
        <f aca="false">IF($B128="","",INDEX(Schedule!$D$4:$D$483,MATCH(6009,Schedule!$K$4:$K$483,0)))</f>
        <v/>
      </c>
      <c r="E128" s="41" t="str">
        <f aca="false">IF($B128="","",INDEX(Schedule!$E$4:$E$483,MATCH(6009,Schedule!$K$4:$K$483,0)))</f>
        <v/>
      </c>
      <c r="F128" s="42"/>
      <c r="G128" s="43" t="str">
        <f aca="false">IF($B128="","",IF($D128="Income",IF($F128&lt;&gt;"",$F128,$E128),""))</f>
        <v/>
      </c>
      <c r="H128" s="44" t="str">
        <f aca="false">IF($B128="","",IF($D128="Income","",IF($F128&lt;&gt;"",$F128,$E128)))</f>
        <v/>
      </c>
      <c r="I128" s="45" t="str">
        <f aca="false">IF($B128="","",$I$118+SUMIFS($G$120:$G$136,$M$120:$M$136,"&lt;="&amp;$M128)-SUMIFS($H$120:$H$136,$M$120:$M$136,"&lt;="&amp;$M128))</f>
        <v/>
      </c>
      <c r="J128" s="46" t="str">
        <f aca="true">IF($B128="","",IF($F128&lt;&gt;"",IF($C128&gt;TODAY(),"ADJUSTED","PAID"),IF($C128&lt;TODAY(),"PAST DUE",IF($C128&lt;=TODAY()+7,"DUE","Upcoming"))))</f>
        <v/>
      </c>
      <c r="L128" s="0" t="str">
        <f aca="false">IF($B128="","",$C128)</f>
        <v/>
      </c>
      <c r="M128" s="0" t="str">
        <f aca="false">IF($L128="","",COUNTIFS($L$120:$L$136,"&lt;"&amp;$L128)+COUNTIFS($L$120:$L128,$L128))</f>
        <v/>
      </c>
    </row>
    <row r="129" customFormat="false" ht="15" hidden="false" customHeight="false" outlineLevel="0" collapsed="false">
      <c r="B129" s="38" t="str">
        <f aca="false">IFERROR(INDEX(Schedule!$C$4:$C$483,MATCH(6010,Schedule!$K$4:$K$483,0)),"")</f>
        <v/>
      </c>
      <c r="C129" s="39" t="str">
        <f aca="false">IF($B129="","",INDEX(Schedule!$G$4:$G$483,MATCH(6010,Schedule!$K$4:$K$483,0)))</f>
        <v/>
      </c>
      <c r="D129" s="40" t="str">
        <f aca="false">IF($B129="","",INDEX(Schedule!$D$4:$D$483,MATCH(6010,Schedule!$K$4:$K$483,0)))</f>
        <v/>
      </c>
      <c r="E129" s="41" t="str">
        <f aca="false">IF($B129="","",INDEX(Schedule!$E$4:$E$483,MATCH(6010,Schedule!$K$4:$K$483,0)))</f>
        <v/>
      </c>
      <c r="F129" s="42"/>
      <c r="G129" s="43" t="str">
        <f aca="false">IF($B129="","",IF($D129="Income",IF($F129&lt;&gt;"",$F129,$E129),""))</f>
        <v/>
      </c>
      <c r="H129" s="44" t="str">
        <f aca="false">IF($B129="","",IF($D129="Income","",IF($F129&lt;&gt;"",$F129,$E129)))</f>
        <v/>
      </c>
      <c r="I129" s="45" t="str">
        <f aca="false">IF($B129="","",$I$118+SUMIFS($G$120:$G$136,$M$120:$M$136,"&lt;="&amp;$M129)-SUMIFS($H$120:$H$136,$M$120:$M$136,"&lt;="&amp;$M129))</f>
        <v/>
      </c>
      <c r="J129" s="46" t="str">
        <f aca="true">IF($B129="","",IF($F129&lt;&gt;"",IF($C129&gt;TODAY(),"ADJUSTED","PAID"),IF($C129&lt;TODAY(),"PAST DUE",IF($C129&lt;=TODAY()+7,"DUE","Upcoming"))))</f>
        <v/>
      </c>
      <c r="L129" s="0" t="str">
        <f aca="false">IF($B129="","",$C129)</f>
        <v/>
      </c>
      <c r="M129" s="0" t="str">
        <f aca="false">IF($L129="","",COUNTIFS($L$120:$L$136,"&lt;"&amp;$L129)+COUNTIFS($L$120:$L129,$L129))</f>
        <v/>
      </c>
    </row>
    <row r="130" customFormat="false" ht="15" hidden="false" customHeight="false" outlineLevel="0" collapsed="false">
      <c r="B130" s="48" t="s">
        <v>127</v>
      </c>
      <c r="C130" s="49"/>
      <c r="D130" s="49"/>
      <c r="E130" s="49"/>
      <c r="F130" s="49"/>
      <c r="G130" s="49"/>
      <c r="H130" s="49"/>
      <c r="I130" s="49"/>
      <c r="J130" s="49"/>
    </row>
    <row r="131" customFormat="false" ht="15" hidden="false" customHeight="false" outlineLevel="0" collapsed="false">
      <c r="B131" s="6"/>
      <c r="C131" s="50"/>
      <c r="D131" s="51" t="str">
        <f aca="false">IF($B131="","","Expense")</f>
        <v/>
      </c>
      <c r="E131" s="18"/>
      <c r="F131" s="10"/>
      <c r="G131" s="10"/>
      <c r="H131" s="52" t="str">
        <f aca="false">IF($B131="","",N($E131))</f>
        <v/>
      </c>
      <c r="I131" s="53" t="str">
        <f aca="false">IF($B131="","",$I$118+SUMIFS($G$120:$G$136,$M$120:$M$136,"&lt;="&amp;$M131)-SUMIFS($H$120:$H$136,$M$120:$M$136,"&lt;="&amp;$M131))</f>
        <v/>
      </c>
      <c r="J131" s="10"/>
      <c r="L131" s="0" t="str">
        <f aca="false">IF($B131="","",IF($C131="",$E$6+41,$C131))</f>
        <v/>
      </c>
      <c r="M131" s="0" t="str">
        <f aca="false">IF($L131="","",COUNTIFS($L$120:$L$136,"&lt;"&amp;$L131)+COUNTIFS($L$120:$L131,$L131))</f>
        <v/>
      </c>
    </row>
    <row r="132" customFormat="false" ht="15" hidden="false" customHeight="false" outlineLevel="0" collapsed="false">
      <c r="B132" s="6"/>
      <c r="C132" s="50"/>
      <c r="D132" s="51" t="str">
        <f aca="false">IF($B132="","","Expense")</f>
        <v/>
      </c>
      <c r="E132" s="18"/>
      <c r="F132" s="10"/>
      <c r="G132" s="10"/>
      <c r="H132" s="52" t="str">
        <f aca="false">IF($B132="","",N($E132))</f>
        <v/>
      </c>
      <c r="I132" s="53" t="str">
        <f aca="false">IF($B132="","",$I$118+SUMIFS($G$120:$G$136,$M$120:$M$136,"&lt;="&amp;$M132)-SUMIFS($H$120:$H$136,$M$120:$M$136,"&lt;="&amp;$M132))</f>
        <v/>
      </c>
      <c r="J132" s="10"/>
      <c r="L132" s="0" t="str">
        <f aca="false">IF($B132="","",IF($C132="",$E$6+41,$C132))</f>
        <v/>
      </c>
      <c r="M132" s="0" t="str">
        <f aca="false">IF($L132="","",COUNTIFS($L$120:$L$136,"&lt;"&amp;$L132)+COUNTIFS($L$120:$L132,$L132))</f>
        <v/>
      </c>
    </row>
    <row r="133" customFormat="false" ht="15" hidden="false" customHeight="false" outlineLevel="0" collapsed="false">
      <c r="B133" s="6"/>
      <c r="C133" s="50"/>
      <c r="D133" s="51" t="str">
        <f aca="false">IF($B133="","","Expense")</f>
        <v/>
      </c>
      <c r="E133" s="18"/>
      <c r="F133" s="10"/>
      <c r="G133" s="10"/>
      <c r="H133" s="52" t="str">
        <f aca="false">IF($B133="","",N($E133))</f>
        <v/>
      </c>
      <c r="I133" s="53" t="str">
        <f aca="false">IF($B133="","",$I$118+SUMIFS($G$120:$G$136,$M$120:$M$136,"&lt;="&amp;$M133)-SUMIFS($H$120:$H$136,$M$120:$M$136,"&lt;="&amp;$M133))</f>
        <v/>
      </c>
      <c r="J133" s="10"/>
      <c r="L133" s="0" t="str">
        <f aca="false">IF($B133="","",IF($C133="",$E$6+41,$C133))</f>
        <v/>
      </c>
      <c r="M133" s="0" t="str">
        <f aca="false">IF($L133="","",COUNTIFS($L$120:$L$136,"&lt;"&amp;$L133)+COUNTIFS($L$120:$L133,$L133))</f>
        <v/>
      </c>
    </row>
    <row r="134" customFormat="false" ht="15" hidden="false" customHeight="false" outlineLevel="0" collapsed="false">
      <c r="B134" s="6"/>
      <c r="C134" s="50"/>
      <c r="D134" s="51" t="str">
        <f aca="false">IF($B134="","","Expense")</f>
        <v/>
      </c>
      <c r="E134" s="18"/>
      <c r="F134" s="10"/>
      <c r="G134" s="10"/>
      <c r="H134" s="52" t="str">
        <f aca="false">IF($B134="","",N($E134))</f>
        <v/>
      </c>
      <c r="I134" s="53" t="str">
        <f aca="false">IF($B134="","",$I$118+SUMIFS($G$120:$G$136,$M$120:$M$136,"&lt;="&amp;$M134)-SUMIFS($H$120:$H$136,$M$120:$M$136,"&lt;="&amp;$M134))</f>
        <v/>
      </c>
      <c r="J134" s="10"/>
      <c r="L134" s="0" t="str">
        <f aca="false">IF($B134="","",IF($C134="",$E$6+41,$C134))</f>
        <v/>
      </c>
      <c r="M134" s="0" t="str">
        <f aca="false">IF($L134="","",COUNTIFS($L$120:$L$136,"&lt;"&amp;$L134)+COUNTIFS($L$120:$L134,$L134))</f>
        <v/>
      </c>
    </row>
    <row r="135" customFormat="false" ht="15" hidden="false" customHeight="false" outlineLevel="0" collapsed="false">
      <c r="B135" s="6"/>
      <c r="C135" s="50"/>
      <c r="D135" s="51" t="str">
        <f aca="false">IF($B135="","","Expense")</f>
        <v/>
      </c>
      <c r="E135" s="18"/>
      <c r="F135" s="10"/>
      <c r="G135" s="10"/>
      <c r="H135" s="52" t="str">
        <f aca="false">IF($B135="","",N($E135))</f>
        <v/>
      </c>
      <c r="I135" s="53" t="str">
        <f aca="false">IF($B135="","",$I$118+SUMIFS($G$120:$G$136,$M$120:$M$136,"&lt;="&amp;$M135)-SUMIFS($H$120:$H$136,$M$120:$M$136,"&lt;="&amp;$M135))</f>
        <v/>
      </c>
      <c r="J135" s="10"/>
      <c r="L135" s="0" t="str">
        <f aca="false">IF($B135="","",IF($C135="",$E$6+41,$C135))</f>
        <v/>
      </c>
      <c r="M135" s="0" t="str">
        <f aca="false">IF($L135="","",COUNTIFS($L$120:$L$136,"&lt;"&amp;$L135)+COUNTIFS($L$120:$L135,$L135))</f>
        <v/>
      </c>
    </row>
    <row r="136" customFormat="false" ht="15" hidden="false" customHeight="false" outlineLevel="0" collapsed="false">
      <c r="B136" s="6"/>
      <c r="C136" s="50"/>
      <c r="D136" s="51" t="str">
        <f aca="false">IF($B136="","","Expense")</f>
        <v/>
      </c>
      <c r="E136" s="18"/>
      <c r="F136" s="10"/>
      <c r="G136" s="10"/>
      <c r="H136" s="52" t="str">
        <f aca="false">IF($B136="","",N($E136))</f>
        <v/>
      </c>
      <c r="I136" s="53" t="str">
        <f aca="false">IF($B136="","",$I$118+SUMIFS($G$120:$G$136,$M$120:$M$136,"&lt;="&amp;$M136)-SUMIFS($H$120:$H$136,$M$120:$M$136,"&lt;="&amp;$M136))</f>
        <v/>
      </c>
      <c r="J136" s="10"/>
      <c r="L136" s="0" t="str">
        <f aca="false">IF($B136="","",IF($C136="",$E$6+41,$C136))</f>
        <v/>
      </c>
      <c r="M136" s="0" t="str">
        <f aca="false">IF($L136="","",COUNTIFS($L$120:$L$136,"&lt;"&amp;$L136)+COUNTIFS($L$120:$L136,$L136))</f>
        <v/>
      </c>
    </row>
    <row r="137" customFormat="false" ht="15" hidden="false" customHeight="false" outlineLevel="0" collapsed="false">
      <c r="B137" s="54" t="s">
        <v>139</v>
      </c>
      <c r="C137" s="55"/>
      <c r="D137" s="55"/>
      <c r="E137" s="55"/>
      <c r="F137" s="55"/>
      <c r="G137" s="56" t="n">
        <f aca="false">SUM($G$120:$G$136)</f>
        <v>880</v>
      </c>
      <c r="H137" s="56" t="n">
        <f aca="false">SUM($H$120:$H$136)</f>
        <v>569.09</v>
      </c>
      <c r="I137" s="57" t="n">
        <f aca="false">$I$118+$G$137-$H$137</f>
        <v>1885.47</v>
      </c>
      <c r="J137" s="58" t="str">
        <f aca="false">IF($I$137&lt;0,"SHORTFALL",IF($I$137&lt;$E$7,"TIGHT","OK"))</f>
        <v>OK</v>
      </c>
      <c r="K137" s="59" t="str">
        <f aca="false">IF(COUNT($I$120:$I$136)=0,"","Lowest point this week: "&amp;TEXT(MIN($I$120:$I$136),"$#,##0.00;-$#,##0.00")&amp;" on "&amp;TEXT(INDEX($C$120:$C$136,MATCH(MIN($I$120:$I$136),$I$120:$I$136,0)),"ddd mmm d")&amp;"     (in "&amp;TEXT($G$137,"$#,##0.00")&amp;", out "&amp;TEXT($H$137,"$#,##0.00")&amp;")")</f>
        <v>Lowest point this week: $1,885.47 on Wed Sep 16     (in $880.00, out $569.09)</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120</v>
      </c>
      <c r="H139" s="32"/>
      <c r="I139" s="34" t="n">
        <f aca="false">$I$137</f>
        <v>1885.47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121</v>
      </c>
      <c r="C140" s="35" t="s">
        <v>122</v>
      </c>
      <c r="D140" s="35" t="s">
        <v>72</v>
      </c>
      <c r="E140" s="35" t="s">
        <v>123</v>
      </c>
      <c r="F140" s="35" t="s">
        <v>124</v>
      </c>
      <c r="G140" s="36" t="s">
        <v>18</v>
      </c>
      <c r="H140" s="37" t="s">
        <v>20</v>
      </c>
      <c r="I140" s="35" t="s">
        <v>125</v>
      </c>
      <c r="J140" s="35" t="s">
        <v>126</v>
      </c>
    </row>
    <row r="141" customFormat="false" ht="15" hidden="false" customHeight="false" outlineLevel="0" collapsed="false">
      <c r="B141" s="38" t="str">
        <f aca="false">IFERROR(INDEX(Schedule!$C$4:$C$483,MATCH(7001,Schedule!$K$4:$K$483,0)),"")</f>
        <v>Compunnel Software (paycheck)</v>
      </c>
      <c r="C141" s="39" t="n">
        <f aca="false">IF($B141="","",INDEX(Schedule!$G$4:$G$483,MATCH(7001,Schedule!$K$4:$K$483,0)))</f>
        <v>46283</v>
      </c>
      <c r="D141" s="40" t="str">
        <f aca="false">IF($B141="","",INDEX(Schedule!$D$4:$D$483,MATCH(7001,Schedule!$K$4:$K$483,0)))</f>
        <v>Income</v>
      </c>
      <c r="E141" s="41" t="n">
        <f aca="false">IF($B141="","",INDEX(Schedule!$E$4:$E$483,MATCH(7001,Schedule!$K$4:$K$483,0)))</f>
        <v>790</v>
      </c>
      <c r="F141" s="42"/>
      <c r="G141" s="43" t="n">
        <f aca="false">IF($B141="","",IF($D141="Income",IF($F141&lt;&gt;"",$F141,$E141),""))</f>
        <v>790</v>
      </c>
      <c r="H141" s="44" t="str">
        <f aca="false">IF($B141="","",IF($D141="Income","",IF($F141&lt;&gt;"",$F141,$E141)))</f>
        <v/>
      </c>
      <c r="I141" s="45" t="n">
        <f aca="false">IF($B141="","",$I$139+SUMIFS($G$141:$G$157,$M$141:$M$157,"&lt;="&amp;$M141)-SUMIFS($H$141:$H$157,$M$141:$M$157,"&lt;="&amp;$M141))</f>
        <v>2675.47</v>
      </c>
      <c r="J141" s="46" t="str">
        <f aca="true">IF($B141="","",IF($F141&lt;&gt;"",IF($C141&gt;TODAY(),"ADJUSTED","PAID"),IF($C141&lt;TODAY(),"PAST DUE",IF($C141&lt;=TODAY()+7,"DUE","Upcoming"))))</f>
        <v>Upcoming</v>
      </c>
      <c r="L141" s="47" t="n">
        <f aca="false">IF($B141="","",$C141)</f>
        <v>46283</v>
      </c>
      <c r="M141" s="0" t="n">
        <f aca="false">IF($L141="","",COUNTIFS($L$141:$L$157,"&lt;"&amp;$L141)+COUNTIFS($L$141:$L141,$L141))</f>
        <v>1</v>
      </c>
    </row>
    <row r="142" customFormat="false" ht="15" hidden="false" customHeight="false" outlineLevel="0" collapsed="false">
      <c r="B142" s="38" t="str">
        <f aca="false">IFERROR(INDEX(Schedule!$C$4:$C$483,MATCH(7002,Schedule!$K$4:$K$483,0)),"")</f>
        <v>Metal Copy</v>
      </c>
      <c r="C142" s="39" t="n">
        <f aca="false">IF($B142="","",INDEX(Schedule!$G$4:$G$483,MATCH(7002,Schedule!$K$4:$K$483,0)))</f>
        <v>46283</v>
      </c>
      <c r="D142" s="40" t="str">
        <f aca="false">IF($B142="","",INDEX(Schedule!$D$4:$D$483,MATCH(7002,Schedule!$K$4:$K$483,0)))</f>
        <v>Expense</v>
      </c>
      <c r="E142" s="41" t="n">
        <f aca="false">IF($B142="","",INDEX(Schedule!$E$4:$E$483,MATCH(7002,Schedule!$K$4:$K$483,0)))</f>
        <v>16.99</v>
      </c>
      <c r="F142" s="42"/>
      <c r="G142" s="43" t="str">
        <f aca="false">IF($B142="","",IF($D142="Income",IF($F142&lt;&gt;"",$F142,$E142),""))</f>
        <v/>
      </c>
      <c r="H142" s="44" t="n">
        <f aca="false">IF($B142="","",IF($D142="Income","",IF($F142&lt;&gt;"",$F142,$E142)))</f>
        <v>16.99</v>
      </c>
      <c r="I142" s="45" t="n">
        <f aca="false">IF($B142="","",$I$139+SUMIFS($G$141:$G$157,$M$141:$M$157,"&lt;="&amp;$M142)-SUMIFS($H$141:$H$157,$M$141:$M$157,"&lt;="&amp;$M142))</f>
        <v>2658.48</v>
      </c>
      <c r="J142" s="46" t="str">
        <f aca="true">IF($B142="","",IF($F142&lt;&gt;"",IF($C142&gt;TODAY(),"ADJUSTED","PAID"),IF($C142&lt;TODAY(),"PAST DUE",IF($C142&lt;=TODAY()+7,"DUE","Upcoming"))))</f>
        <v>Upcoming</v>
      </c>
      <c r="L142" s="47" t="n">
        <f aca="false">IF($B142="","",$C142)</f>
        <v>46283</v>
      </c>
      <c r="M142" s="0" t="n">
        <f aca="false">IF($L142="","",COUNTIFS($L$141:$L$157,"&lt;"&amp;$L142)+COUNTIFS($L$141:$L142,$L142))</f>
        <v>2</v>
      </c>
    </row>
    <row r="143" customFormat="false" ht="15" hidden="false" customHeight="false" outlineLevel="0" collapsed="false">
      <c r="B143" s="38" t="str">
        <f aca="false">IFERROR(INDEX(Schedule!$C$4:$C$483,MATCH(7003,Schedule!$K$4:$K$483,0)),"")</f>
        <v>Bruno's Restaurant (paycheck)</v>
      </c>
      <c r="C143" s="39" t="n">
        <f aca="false">IF($B143="","",INDEX(Schedule!$G$4:$G$483,MATCH(7003,Schedule!$K$4:$K$483,0)))</f>
        <v>46288</v>
      </c>
      <c r="D143" s="40" t="str">
        <f aca="false">IF($B143="","",INDEX(Schedule!$D$4:$D$483,MATCH(7003,Schedule!$K$4:$K$483,0)))</f>
        <v>Income</v>
      </c>
      <c r="E143" s="41" t="n">
        <f aca="false">IF($B143="","",INDEX(Schedule!$E$4:$E$483,MATCH(7003,Schedule!$K$4:$K$483,0)))</f>
        <v>90</v>
      </c>
      <c r="F143" s="42"/>
      <c r="G143" s="43" t="n">
        <f aca="false">IF($B143="","",IF($D143="Income",IF($F143&lt;&gt;"",$F143,$E143),""))</f>
        <v>90</v>
      </c>
      <c r="H143" s="44" t="str">
        <f aca="false">IF($B143="","",IF($D143="Income","",IF($F143&lt;&gt;"",$F143,$E143)))</f>
        <v/>
      </c>
      <c r="I143" s="45" t="n">
        <f aca="false">IF($B143="","",$I$139+SUMIFS($G$141:$G$157,$M$141:$M$157,"&lt;="&amp;$M143)-SUMIFS($H$141:$H$157,$M$141:$M$157,"&lt;="&amp;$M143))</f>
        <v>2748.48</v>
      </c>
      <c r="J143" s="46" t="str">
        <f aca="true">IF($B143="","",IF($F143&lt;&gt;"",IF($C143&gt;TODAY(),"ADJUSTED","PAID"),IF($C143&lt;TODAY(),"PAST DUE",IF($C143&lt;=TODAY()+7,"DUE","Upcoming"))))</f>
        <v>Upcoming</v>
      </c>
      <c r="L143" s="47" t="n">
        <f aca="false">IF($B143="","",$C143)</f>
        <v>46288</v>
      </c>
      <c r="M143" s="0" t="n">
        <f aca="false">IF($L143="","",COUNTIFS($L$141:$L$157,"&lt;"&amp;$L143)+COUNTIFS($L$141:$L143,$L143))</f>
        <v>3</v>
      </c>
    </row>
    <row r="144" customFormat="false" ht="15" hidden="false" customHeight="false" outlineLevel="0" collapsed="false">
      <c r="B144" s="38" t="str">
        <f aca="false">IFERROR(INDEX(Schedule!$C$4:$C$483,MATCH(7004,Schedule!$K$4:$K$483,0)),"")</f>
        <v/>
      </c>
      <c r="C144" s="39" t="str">
        <f aca="false">IF($B144="","",INDEX(Schedule!$G$4:$G$483,MATCH(7004,Schedule!$K$4:$K$483,0)))</f>
        <v/>
      </c>
      <c r="D144" s="40" t="str">
        <f aca="false">IF($B144="","",INDEX(Schedule!$D$4:$D$483,MATCH(7004,Schedule!$K$4:$K$483,0)))</f>
        <v/>
      </c>
      <c r="E144" s="41" t="str">
        <f aca="false">IF($B144="","",INDEX(Schedule!$E$4:$E$483,MATCH(7004,Schedule!$K$4:$K$483,0)))</f>
        <v/>
      </c>
      <c r="F144" s="42"/>
      <c r="G144" s="43" t="str">
        <f aca="false">IF($B144="","",IF($D144="Income",IF($F144&lt;&gt;"",$F144,$E144),""))</f>
        <v/>
      </c>
      <c r="H144" s="44" t="str">
        <f aca="false">IF($B144="","",IF($D144="Income","",IF($F144&lt;&gt;"",$F144,$E144)))</f>
        <v/>
      </c>
      <c r="I144" s="45" t="str">
        <f aca="false">IF($B144="","",$I$139+SUMIFS($G$141:$G$157,$M$141:$M$157,"&lt;="&amp;$M144)-SUMIFS($H$141:$H$157,$M$141:$M$157,"&lt;="&amp;$M144))</f>
        <v/>
      </c>
      <c r="J144" s="46" t="str">
        <f aca="true">IF($B144="","",IF($F144&lt;&gt;"",IF($C144&gt;TODAY(),"ADJUSTED","PAID"),IF($C144&lt;TODAY(),"PAST DUE",IF($C144&lt;=TODAY()+7,"DUE","Upcoming"))))</f>
        <v/>
      </c>
      <c r="L144" s="0" t="str">
        <f aca="false">IF($B144="","",$C144)</f>
        <v/>
      </c>
      <c r="M144" s="0" t="str">
        <f aca="false">IF($L144="","",COUNTIFS($L$141:$L$157,"&lt;"&amp;$L144)+COUNTIFS($L$141:$L144,$L144))</f>
        <v/>
      </c>
    </row>
    <row r="145" customFormat="false" ht="15" hidden="false" customHeight="false" outlineLevel="0" collapsed="false">
      <c r="B145" s="38" t="str">
        <f aca="false">IFERROR(INDEX(Schedule!$C$4:$C$483,MATCH(7005,Schedule!$K$4:$K$483,0)),"")</f>
        <v/>
      </c>
      <c r="C145" s="39" t="str">
        <f aca="false">IF($B145="","",INDEX(Schedule!$G$4:$G$483,MATCH(7005,Schedule!$K$4:$K$483,0)))</f>
        <v/>
      </c>
      <c r="D145" s="40" t="str">
        <f aca="false">IF($B145="","",INDEX(Schedule!$D$4:$D$483,MATCH(7005,Schedule!$K$4:$K$483,0)))</f>
        <v/>
      </c>
      <c r="E145" s="41" t="str">
        <f aca="false">IF($B145="","",INDEX(Schedule!$E$4:$E$483,MATCH(7005,Schedule!$K$4:$K$483,0)))</f>
        <v/>
      </c>
      <c r="F145" s="42"/>
      <c r="G145" s="43" t="str">
        <f aca="false">IF($B145="","",IF($D145="Income",IF($F145&lt;&gt;"",$F145,$E145),""))</f>
        <v/>
      </c>
      <c r="H145" s="44" t="str">
        <f aca="false">IF($B145="","",IF($D145="Income","",IF($F145&lt;&gt;"",$F145,$E145)))</f>
        <v/>
      </c>
      <c r="I145" s="45" t="str">
        <f aca="false">IF($B145="","",$I$139+SUMIFS($G$141:$G$157,$M$141:$M$157,"&lt;="&amp;$M145)-SUMIFS($H$141:$H$157,$M$141:$M$157,"&lt;="&amp;$M145))</f>
        <v/>
      </c>
      <c r="J145" s="46" t="str">
        <f aca="true">IF($B145="","",IF($F145&lt;&gt;"",IF($C145&gt;TODAY(),"ADJUSTED","PAID"),IF($C145&lt;TODAY(),"PAST DUE",IF($C145&lt;=TODAY()+7,"DUE","Upcoming"))))</f>
        <v/>
      </c>
      <c r="L145" s="0" t="str">
        <f aca="false">IF($B145="","",$C145)</f>
        <v/>
      </c>
      <c r="M145" s="0" t="str">
        <f aca="false">IF($L145="","",COUNTIFS($L$141:$L$157,"&lt;"&amp;$L145)+COUNTIFS($L$141:$L145,$L145))</f>
        <v/>
      </c>
    </row>
    <row r="146" customFormat="false" ht="15" hidden="false" customHeight="false" outlineLevel="0" collapsed="false">
      <c r="B146" s="38" t="str">
        <f aca="false">IFERROR(INDEX(Schedule!$C$4:$C$483,MATCH(7006,Schedule!$K$4:$K$483,0)),"")</f>
        <v/>
      </c>
      <c r="C146" s="39" t="str">
        <f aca="false">IF($B146="","",INDEX(Schedule!$G$4:$G$483,MATCH(7006,Schedule!$K$4:$K$483,0)))</f>
        <v/>
      </c>
      <c r="D146" s="40" t="str">
        <f aca="false">IF($B146="","",INDEX(Schedule!$D$4:$D$483,MATCH(7006,Schedule!$K$4:$K$483,0)))</f>
        <v/>
      </c>
      <c r="E146" s="41" t="str">
        <f aca="false">IF($B146="","",INDEX(Schedule!$E$4:$E$483,MATCH(7006,Schedule!$K$4:$K$483,0)))</f>
        <v/>
      </c>
      <c r="F146" s="42"/>
      <c r="G146" s="43" t="str">
        <f aca="false">IF($B146="","",IF($D146="Income",IF($F146&lt;&gt;"",$F146,$E146),""))</f>
        <v/>
      </c>
      <c r="H146" s="44" t="str">
        <f aca="false">IF($B146="","",IF($D146="Income","",IF($F146&lt;&gt;"",$F146,$E146)))</f>
        <v/>
      </c>
      <c r="I146" s="45" t="str">
        <f aca="false">IF($B146="","",$I$139+SUMIFS($G$141:$G$157,$M$141:$M$157,"&lt;="&amp;$M146)-SUMIFS($H$141:$H$157,$M$141:$M$157,"&lt;="&amp;$M146))</f>
        <v/>
      </c>
      <c r="J146" s="46" t="str">
        <f aca="true">IF($B146="","",IF($F146&lt;&gt;"",IF($C146&gt;TODAY(),"ADJUSTED","PAID"),IF($C146&lt;TODAY(),"PAST DUE",IF($C146&lt;=TODAY()+7,"DUE","Upcoming"))))</f>
        <v/>
      </c>
      <c r="L146" s="0" t="str">
        <f aca="false">IF($B146="","",$C146)</f>
        <v/>
      </c>
      <c r="M146" s="0" t="str">
        <f aca="false">IF($L146="","",COUNTIFS($L$141:$L$157,"&lt;"&amp;$L146)+COUNTIFS($L$141:$L146,$L146))</f>
        <v/>
      </c>
    </row>
    <row r="147" customFormat="false" ht="15" hidden="false" customHeight="false" outlineLevel="0" collapsed="false">
      <c r="B147" s="38" t="str">
        <f aca="false">IFERROR(INDEX(Schedule!$C$4:$C$483,MATCH(7007,Schedule!$K$4:$K$483,0)),"")</f>
        <v/>
      </c>
      <c r="C147" s="39" t="str">
        <f aca="false">IF($B147="","",INDEX(Schedule!$G$4:$G$483,MATCH(7007,Schedule!$K$4:$K$483,0)))</f>
        <v/>
      </c>
      <c r="D147" s="40" t="str">
        <f aca="false">IF($B147="","",INDEX(Schedule!$D$4:$D$483,MATCH(7007,Schedule!$K$4:$K$483,0)))</f>
        <v/>
      </c>
      <c r="E147" s="41" t="str">
        <f aca="false">IF($B147="","",INDEX(Schedule!$E$4:$E$483,MATCH(7007,Schedule!$K$4:$K$483,0)))</f>
        <v/>
      </c>
      <c r="F147" s="42"/>
      <c r="G147" s="43" t="str">
        <f aca="false">IF($B147="","",IF($D147="Income",IF($F147&lt;&gt;"",$F147,$E147),""))</f>
        <v/>
      </c>
      <c r="H147" s="44" t="str">
        <f aca="false">IF($B147="","",IF($D147="Income","",IF($F147&lt;&gt;"",$F147,$E147)))</f>
        <v/>
      </c>
      <c r="I147" s="45" t="str">
        <f aca="false">IF($B147="","",$I$139+SUMIFS($G$141:$G$157,$M$141:$M$157,"&lt;="&amp;$M147)-SUMIFS($H$141:$H$157,$M$141:$M$157,"&lt;="&amp;$M147))</f>
        <v/>
      </c>
      <c r="J147" s="46" t="str">
        <f aca="true">IF($B147="","",IF($F147&lt;&gt;"",IF($C147&gt;TODAY(),"ADJUSTED","PAID"),IF($C147&lt;TODAY(),"PAST DUE",IF($C147&lt;=TODAY()+7,"DUE","Upcoming"))))</f>
        <v/>
      </c>
      <c r="L147" s="0" t="str">
        <f aca="false">IF($B147="","",$C147)</f>
        <v/>
      </c>
      <c r="M147" s="0" t="str">
        <f aca="false">IF($L147="","",COUNTIFS($L$141:$L$157,"&lt;"&amp;$L147)+COUNTIFS($L$141:$L147,$L147))</f>
        <v/>
      </c>
    </row>
    <row r="148" customFormat="false" ht="15" hidden="false" customHeight="false" outlineLevel="0" collapsed="false">
      <c r="B148" s="38" t="str">
        <f aca="false">IFERROR(INDEX(Schedule!$C$4:$C$483,MATCH(7008,Schedule!$K$4:$K$483,0)),"")</f>
        <v/>
      </c>
      <c r="C148" s="39" t="str">
        <f aca="false">IF($B148="","",INDEX(Schedule!$G$4:$G$483,MATCH(7008,Schedule!$K$4:$K$483,0)))</f>
        <v/>
      </c>
      <c r="D148" s="40" t="str">
        <f aca="false">IF($B148="","",INDEX(Schedule!$D$4:$D$483,MATCH(7008,Schedule!$K$4:$K$483,0)))</f>
        <v/>
      </c>
      <c r="E148" s="41" t="str">
        <f aca="false">IF($B148="","",INDEX(Schedule!$E$4:$E$483,MATCH(7008,Schedule!$K$4:$K$483,0)))</f>
        <v/>
      </c>
      <c r="F148" s="42"/>
      <c r="G148" s="43" t="str">
        <f aca="false">IF($B148="","",IF($D148="Income",IF($F148&lt;&gt;"",$F148,$E148),""))</f>
        <v/>
      </c>
      <c r="H148" s="44" t="str">
        <f aca="false">IF($B148="","",IF($D148="Income","",IF($F148&lt;&gt;"",$F148,$E148)))</f>
        <v/>
      </c>
      <c r="I148" s="45" t="str">
        <f aca="false">IF($B148="","",$I$139+SUMIFS($G$141:$G$157,$M$141:$M$157,"&lt;="&amp;$M148)-SUMIFS($H$141:$H$157,$M$141:$M$157,"&lt;="&amp;$M148))</f>
        <v/>
      </c>
      <c r="J148" s="46" t="str">
        <f aca="true">IF($B148="","",IF($F148&lt;&gt;"",IF($C148&gt;TODAY(),"ADJUSTED","PAID"),IF($C148&lt;TODAY(),"PAST DUE",IF($C148&lt;=TODAY()+7,"DUE","Upcoming"))))</f>
        <v/>
      </c>
      <c r="L148" s="0" t="str">
        <f aca="false">IF($B148="","",$C148)</f>
        <v/>
      </c>
      <c r="M148" s="0" t="str">
        <f aca="false">IF($L148="","",COUNTIFS($L$141:$L$157,"&lt;"&amp;$L148)+COUNTIFS($L$141:$L148,$L148))</f>
        <v/>
      </c>
    </row>
    <row r="149" customFormat="false" ht="15" hidden="false" customHeight="false" outlineLevel="0" collapsed="false">
      <c r="B149" s="38" t="str">
        <f aca="false">IFERROR(INDEX(Schedule!$C$4:$C$483,MATCH(7009,Schedule!$K$4:$K$483,0)),"")</f>
        <v/>
      </c>
      <c r="C149" s="39" t="str">
        <f aca="false">IF($B149="","",INDEX(Schedule!$G$4:$G$483,MATCH(7009,Schedule!$K$4:$K$483,0)))</f>
        <v/>
      </c>
      <c r="D149" s="40" t="str">
        <f aca="false">IF($B149="","",INDEX(Schedule!$D$4:$D$483,MATCH(7009,Schedule!$K$4:$K$483,0)))</f>
        <v/>
      </c>
      <c r="E149" s="41" t="str">
        <f aca="false">IF($B149="","",INDEX(Schedule!$E$4:$E$483,MATCH(7009,Schedule!$K$4:$K$483,0)))</f>
        <v/>
      </c>
      <c r="F149" s="42"/>
      <c r="G149" s="43" t="str">
        <f aca="false">IF($B149="","",IF($D149="Income",IF($F149&lt;&gt;"",$F149,$E149),""))</f>
        <v/>
      </c>
      <c r="H149" s="44" t="str">
        <f aca="false">IF($B149="","",IF($D149="Income","",IF($F149&lt;&gt;"",$F149,$E149)))</f>
        <v/>
      </c>
      <c r="I149" s="45" t="str">
        <f aca="false">IF($B149="","",$I$139+SUMIFS($G$141:$G$157,$M$141:$M$157,"&lt;="&amp;$M149)-SUMIFS($H$141:$H$157,$M$141:$M$157,"&lt;="&amp;$M149))</f>
        <v/>
      </c>
      <c r="J149" s="46" t="str">
        <f aca="true">IF($B149="","",IF($F149&lt;&gt;"",IF($C149&gt;TODAY(),"ADJUSTED","PAID"),IF($C149&lt;TODAY(),"PAST DUE",IF($C149&lt;=TODAY()+7,"DUE","Upcoming"))))</f>
        <v/>
      </c>
      <c r="L149" s="0" t="str">
        <f aca="false">IF($B149="","",$C149)</f>
        <v/>
      </c>
      <c r="M149" s="0" t="str">
        <f aca="false">IF($L149="","",COUNTIFS($L$141:$L$157,"&lt;"&amp;$L149)+COUNTIFS($L$141:$L149,$L149))</f>
        <v/>
      </c>
    </row>
    <row r="150" customFormat="false" ht="15" hidden="false" customHeight="false" outlineLevel="0" collapsed="false">
      <c r="B150" s="38" t="str">
        <f aca="false">IFERROR(INDEX(Schedule!$C$4:$C$483,MATCH(7010,Schedule!$K$4:$K$483,0)),"")</f>
        <v/>
      </c>
      <c r="C150" s="39" t="str">
        <f aca="false">IF($B150="","",INDEX(Schedule!$G$4:$G$483,MATCH(7010,Schedule!$K$4:$K$483,0)))</f>
        <v/>
      </c>
      <c r="D150" s="40" t="str">
        <f aca="false">IF($B150="","",INDEX(Schedule!$D$4:$D$483,MATCH(7010,Schedule!$K$4:$K$483,0)))</f>
        <v/>
      </c>
      <c r="E150" s="41" t="str">
        <f aca="false">IF($B150="","",INDEX(Schedule!$E$4:$E$483,MATCH(7010,Schedule!$K$4:$K$483,0)))</f>
        <v/>
      </c>
      <c r="F150" s="42"/>
      <c r="G150" s="43" t="str">
        <f aca="false">IF($B150="","",IF($D150="Income",IF($F150&lt;&gt;"",$F150,$E150),""))</f>
        <v/>
      </c>
      <c r="H150" s="44" t="str">
        <f aca="false">IF($B150="","",IF($D150="Income","",IF($F150&lt;&gt;"",$F150,$E150)))</f>
        <v/>
      </c>
      <c r="I150" s="45" t="str">
        <f aca="false">IF($B150="","",$I$139+SUMIFS($G$141:$G$157,$M$141:$M$157,"&lt;="&amp;$M150)-SUMIFS($H$141:$H$157,$M$141:$M$157,"&lt;="&amp;$M150))</f>
        <v/>
      </c>
      <c r="J150" s="46" t="str">
        <f aca="true">IF($B150="","",IF($F150&lt;&gt;"",IF($C150&gt;TODAY(),"ADJUSTED","PAID"),IF($C150&lt;TODAY(),"PAST DUE",IF($C150&lt;=TODAY()+7,"DUE","Upcoming"))))</f>
        <v/>
      </c>
      <c r="L150" s="0" t="str">
        <f aca="false">IF($B150="","",$C150)</f>
        <v/>
      </c>
      <c r="M150" s="0" t="str">
        <f aca="false">IF($L150="","",COUNTIFS($L$141:$L$157,"&lt;"&amp;$L150)+COUNTIFS($L$141:$L150,$L150))</f>
        <v/>
      </c>
    </row>
    <row r="151" customFormat="false" ht="15" hidden="false" customHeight="false" outlineLevel="0" collapsed="false">
      <c r="B151" s="48" t="s">
        <v>127</v>
      </c>
      <c r="C151" s="49"/>
      <c r="D151" s="49"/>
      <c r="E151" s="49"/>
      <c r="F151" s="49"/>
      <c r="G151" s="49"/>
      <c r="H151" s="49"/>
      <c r="I151" s="49"/>
      <c r="J151" s="49"/>
    </row>
    <row r="152" customFormat="false" ht="15" hidden="false" customHeight="false" outlineLevel="0" collapsed="false">
      <c r="B152" s="6"/>
      <c r="C152" s="50"/>
      <c r="D152" s="51" t="str">
        <f aca="false">IF($B152="","","Expense")</f>
        <v/>
      </c>
      <c r="E152" s="18"/>
      <c r="F152" s="10"/>
      <c r="G152" s="10"/>
      <c r="H152" s="52" t="str">
        <f aca="false">IF($B152="","",N($E152))</f>
        <v/>
      </c>
      <c r="I152" s="53" t="str">
        <f aca="false">IF($B152="","",$I$139+SUMIFS($G$141:$G$157,$M$141:$M$157,"&lt;="&amp;$M152)-SUMIFS($H$141:$H$157,$M$141:$M$157,"&lt;="&amp;$M152))</f>
        <v/>
      </c>
      <c r="J152" s="10"/>
      <c r="L152" s="0" t="str">
        <f aca="false">IF($B152="","",IF($C152="",$E$6+48,$C152))</f>
        <v/>
      </c>
      <c r="M152" s="0" t="str">
        <f aca="false">IF($L152="","",COUNTIFS($L$141:$L$157,"&lt;"&amp;$L152)+COUNTIFS($L$141:$L152,$L152))</f>
        <v/>
      </c>
    </row>
    <row r="153" customFormat="false" ht="15" hidden="false" customHeight="false" outlineLevel="0" collapsed="false">
      <c r="B153" s="6"/>
      <c r="C153" s="50"/>
      <c r="D153" s="51" t="str">
        <f aca="false">IF($B153="","","Expense")</f>
        <v/>
      </c>
      <c r="E153" s="18"/>
      <c r="F153" s="10"/>
      <c r="G153" s="10"/>
      <c r="H153" s="52" t="str">
        <f aca="false">IF($B153="","",N($E153))</f>
        <v/>
      </c>
      <c r="I153" s="53" t="str">
        <f aca="false">IF($B153="","",$I$139+SUMIFS($G$141:$G$157,$M$141:$M$157,"&lt;="&amp;$M153)-SUMIFS($H$141:$H$157,$M$141:$M$157,"&lt;="&amp;$M153))</f>
        <v/>
      </c>
      <c r="J153" s="10"/>
      <c r="L153" s="0" t="str">
        <f aca="false">IF($B153="","",IF($C153="",$E$6+48,$C153))</f>
        <v/>
      </c>
      <c r="M153" s="0" t="str">
        <f aca="false">IF($L153="","",COUNTIFS($L$141:$L$157,"&lt;"&amp;$L153)+COUNTIFS($L$141:$L153,$L153))</f>
        <v/>
      </c>
    </row>
    <row r="154" customFormat="false" ht="15" hidden="false" customHeight="false" outlineLevel="0" collapsed="false">
      <c r="B154" s="6"/>
      <c r="C154" s="50"/>
      <c r="D154" s="51" t="str">
        <f aca="false">IF($B154="","","Expense")</f>
        <v/>
      </c>
      <c r="E154" s="18"/>
      <c r="F154" s="10"/>
      <c r="G154" s="10"/>
      <c r="H154" s="52" t="str">
        <f aca="false">IF($B154="","",N($E154))</f>
        <v/>
      </c>
      <c r="I154" s="53" t="str">
        <f aca="false">IF($B154="","",$I$139+SUMIFS($G$141:$G$157,$M$141:$M$157,"&lt;="&amp;$M154)-SUMIFS($H$141:$H$157,$M$141:$M$157,"&lt;="&amp;$M154))</f>
        <v/>
      </c>
      <c r="J154" s="10"/>
      <c r="L154" s="0" t="str">
        <f aca="false">IF($B154="","",IF($C154="",$E$6+48,$C154))</f>
        <v/>
      </c>
      <c r="M154" s="0" t="str">
        <f aca="false">IF($L154="","",COUNTIFS($L$141:$L$157,"&lt;"&amp;$L154)+COUNTIFS($L$141:$L154,$L154))</f>
        <v/>
      </c>
    </row>
    <row r="155" customFormat="false" ht="15" hidden="false" customHeight="false" outlineLevel="0" collapsed="false">
      <c r="B155" s="6"/>
      <c r="C155" s="50"/>
      <c r="D155" s="51" t="str">
        <f aca="false">IF($B155="","","Expense")</f>
        <v/>
      </c>
      <c r="E155" s="18"/>
      <c r="F155" s="10"/>
      <c r="G155" s="10"/>
      <c r="H155" s="52" t="str">
        <f aca="false">IF($B155="","",N($E155))</f>
        <v/>
      </c>
      <c r="I155" s="53" t="str">
        <f aca="false">IF($B155="","",$I$139+SUMIFS($G$141:$G$157,$M$141:$M$157,"&lt;="&amp;$M155)-SUMIFS($H$141:$H$157,$M$141:$M$157,"&lt;="&amp;$M155))</f>
        <v/>
      </c>
      <c r="J155" s="10"/>
      <c r="L155" s="0" t="str">
        <f aca="false">IF($B155="","",IF($C155="",$E$6+48,$C155))</f>
        <v/>
      </c>
      <c r="M155" s="0" t="str">
        <f aca="false">IF($L155="","",COUNTIFS($L$141:$L$157,"&lt;"&amp;$L155)+COUNTIFS($L$141:$L155,$L155))</f>
        <v/>
      </c>
    </row>
    <row r="156" customFormat="false" ht="15" hidden="false" customHeight="false" outlineLevel="0" collapsed="false">
      <c r="B156" s="6"/>
      <c r="C156" s="50"/>
      <c r="D156" s="51" t="str">
        <f aca="false">IF($B156="","","Expense")</f>
        <v/>
      </c>
      <c r="E156" s="18"/>
      <c r="F156" s="10"/>
      <c r="G156" s="10"/>
      <c r="H156" s="52" t="str">
        <f aca="false">IF($B156="","",N($E156))</f>
        <v/>
      </c>
      <c r="I156" s="53" t="str">
        <f aca="false">IF($B156="","",$I$139+SUMIFS($G$141:$G$157,$M$141:$M$157,"&lt;="&amp;$M156)-SUMIFS($H$141:$H$157,$M$141:$M$157,"&lt;="&amp;$M156))</f>
        <v/>
      </c>
      <c r="J156" s="10"/>
      <c r="L156" s="0" t="str">
        <f aca="false">IF($B156="","",IF($C156="",$E$6+48,$C156))</f>
        <v/>
      </c>
      <c r="M156" s="0" t="str">
        <f aca="false">IF($L156="","",COUNTIFS($L$141:$L$157,"&lt;"&amp;$L156)+COUNTIFS($L$141:$L156,$L156))</f>
        <v/>
      </c>
    </row>
    <row r="157" customFormat="false" ht="15" hidden="false" customHeight="false" outlineLevel="0" collapsed="false">
      <c r="B157" s="6"/>
      <c r="C157" s="50"/>
      <c r="D157" s="51" t="str">
        <f aca="false">IF($B157="","","Expense")</f>
        <v/>
      </c>
      <c r="E157" s="18"/>
      <c r="F157" s="10"/>
      <c r="G157" s="10"/>
      <c r="H157" s="52" t="str">
        <f aca="false">IF($B157="","",N($E157))</f>
        <v/>
      </c>
      <c r="I157" s="53" t="str">
        <f aca="false">IF($B157="","",$I$139+SUMIFS($G$141:$G$157,$M$141:$M$157,"&lt;="&amp;$M157)-SUMIFS($H$141:$H$157,$M$141:$M$157,"&lt;="&amp;$M157))</f>
        <v/>
      </c>
      <c r="J157" s="10"/>
      <c r="L157" s="0" t="str">
        <f aca="false">IF($B157="","",IF($C157="",$E$6+48,$C157))</f>
        <v/>
      </c>
      <c r="M157" s="0" t="str">
        <f aca="false">IF($L157="","",COUNTIFS($L$141:$L$157,"&lt;"&amp;$L157)+COUNTIFS($L$141:$L157,$L157))</f>
        <v/>
      </c>
    </row>
    <row r="158" customFormat="false" ht="15" hidden="false" customHeight="false" outlineLevel="0" collapsed="false">
      <c r="B158" s="54" t="s">
        <v>140</v>
      </c>
      <c r="C158" s="55"/>
      <c r="D158" s="55"/>
      <c r="E158" s="55"/>
      <c r="F158" s="55"/>
      <c r="G158" s="56" t="n">
        <f aca="false">SUM($G$141:$G$157)</f>
        <v>880</v>
      </c>
      <c r="H158" s="56" t="n">
        <f aca="false">SUM($H$141:$H$157)</f>
        <v>16.99</v>
      </c>
      <c r="I158" s="57" t="n">
        <f aca="false">$I$139+$G$158-$H$158</f>
        <v>2748.48</v>
      </c>
      <c r="J158" s="58" t="str">
        <f aca="false">IF($I$158&lt;0,"SHORTFALL",IF($I$158&lt;$E$7,"TIGHT","OK"))</f>
        <v>OK</v>
      </c>
      <c r="K158" s="59" t="str">
        <f aca="false">IF(COUNT($I$141:$I$157)=0,"","Lowest point this week: "&amp;TEXT(MIN($I$141:$I$157),"$#,##0.00;-$#,##0.00")&amp;" on "&amp;TEXT(INDEX($C$141:$C$157,MATCH(MIN($I$141:$I$157),$I$141:$I$157,0)),"ddd mmm d")&amp;"     (in "&amp;TEXT($G$158,"$#,##0.00")&amp;", out "&amp;TEXT($H$158,"$#,##0.00")&amp;")")</f>
        <v>Lowest point this week: $2,658.48 on Fri Sep 18     (in $880.00, out $16.99)</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120</v>
      </c>
      <c r="H160" s="32"/>
      <c r="I160" s="34" t="n">
        <f aca="false">$I$158</f>
        <v>2748.48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121</v>
      </c>
      <c r="C161" s="35" t="s">
        <v>122</v>
      </c>
      <c r="D161" s="35" t="s">
        <v>72</v>
      </c>
      <c r="E161" s="35" t="s">
        <v>123</v>
      </c>
      <c r="F161" s="35" t="s">
        <v>124</v>
      </c>
      <c r="G161" s="36" t="s">
        <v>18</v>
      </c>
      <c r="H161" s="37" t="s">
        <v>20</v>
      </c>
      <c r="I161" s="35" t="s">
        <v>125</v>
      </c>
      <c r="J161" s="35" t="s">
        <v>126</v>
      </c>
    </row>
    <row r="162" customFormat="false" ht="15" hidden="false" customHeight="false" outlineLevel="0" collapsed="false">
      <c r="B162" s="38" t="str">
        <f aca="false">IFERROR(INDEX(Schedule!$C$4:$C$483,MATCH(8001,Schedule!$K$4:$K$483,0)),"")</f>
        <v>Compunnel Software (paycheck)</v>
      </c>
      <c r="C162" s="39" t="n">
        <f aca="false">IF($B162="","",INDEX(Schedule!$G$4:$G$483,MATCH(8001,Schedule!$K$4:$K$483,0)))</f>
        <v>46290</v>
      </c>
      <c r="D162" s="40" t="str">
        <f aca="false">IF($B162="","",INDEX(Schedule!$D$4:$D$483,MATCH(8001,Schedule!$K$4:$K$483,0)))</f>
        <v>Income</v>
      </c>
      <c r="E162" s="41" t="n">
        <f aca="false">IF($B162="","",INDEX(Schedule!$E$4:$E$483,MATCH(8001,Schedule!$K$4:$K$483,0)))</f>
        <v>790</v>
      </c>
      <c r="F162" s="42"/>
      <c r="G162" s="43" t="n">
        <f aca="false">IF($B162="","",IF($D162="Income",IF($F162&lt;&gt;"",$F162,$E162),""))</f>
        <v>790</v>
      </c>
      <c r="H162" s="44" t="str">
        <f aca="false">IF($B162="","",IF($D162="Income","",IF($F162&lt;&gt;"",$F162,$E162)))</f>
        <v/>
      </c>
      <c r="I162" s="45" t="n">
        <f aca="false">IF($B162="","",$I$160+SUMIFS($G$162:$G$178,$M$162:$M$178,"&lt;="&amp;$M162)-SUMIFS($H$162:$H$178,$M$162:$M$178,"&lt;="&amp;$M162))</f>
        <v>3538.48</v>
      </c>
      <c r="J162" s="46" t="str">
        <f aca="true">IF($B162="","",IF($F162&lt;&gt;"",IF($C162&gt;TODAY(),"ADJUSTED","PAID"),IF($C162&lt;TODAY(),"PAST DUE",IF($C162&lt;=TODAY()+7,"DUE","Upcoming"))))</f>
        <v>Upcoming</v>
      </c>
      <c r="L162" s="47" t="n">
        <f aca="false">IF($B162="","",$C162)</f>
        <v>46290</v>
      </c>
      <c r="M162" s="0" t="n">
        <f aca="false">IF($L162="","",COUNTIFS($L$162:$L$178,"&lt;"&amp;$L162)+COUNTIFS($L$162:$L162,$L162))</f>
        <v>1</v>
      </c>
    </row>
    <row r="163" customFormat="false" ht="15" hidden="false" customHeight="false" outlineLevel="0" collapsed="false">
      <c r="B163" s="38" t="str">
        <f aca="false">IFERROR(INDEX(Schedule!$C$4:$C$483,MATCH(8002,Schedule!$K$4:$K$483,0)),"")</f>
        <v>Microsoft</v>
      </c>
      <c r="C163" s="39" t="n">
        <f aca="false">IF($B163="","",INDEX(Schedule!$G$4:$G$483,MATCH(8002,Schedule!$K$4:$K$483,0)))</f>
        <v>46290</v>
      </c>
      <c r="D163" s="40" t="str">
        <f aca="false">IF($B163="","",INDEX(Schedule!$D$4:$D$483,MATCH(8002,Schedule!$K$4:$K$483,0)))</f>
        <v>Expense</v>
      </c>
      <c r="E163" s="41" t="n">
        <f aca="false">IF($B163="","",INDEX(Schedule!$E$4:$E$483,MATCH(8002,Schedule!$K$4:$K$483,0)))</f>
        <v>13.7</v>
      </c>
      <c r="F163" s="42"/>
      <c r="G163" s="43" t="str">
        <f aca="false">IF($B163="","",IF($D163="Income",IF($F163&lt;&gt;"",$F163,$E163),""))</f>
        <v/>
      </c>
      <c r="H163" s="44" t="n">
        <f aca="false">IF($B163="","",IF($D163="Income","",IF($F163&lt;&gt;"",$F163,$E163)))</f>
        <v>13.7</v>
      </c>
      <c r="I163" s="45" t="n">
        <f aca="false">IF($B163="","",$I$160+SUMIFS($G$162:$G$178,$M$162:$M$178,"&lt;="&amp;$M163)-SUMIFS($H$162:$H$178,$M$162:$M$178,"&lt;="&amp;$M163))</f>
        <v>3524.78</v>
      </c>
      <c r="J163" s="46" t="str">
        <f aca="true">IF($B163="","",IF($F163&lt;&gt;"",IF($C163&gt;TODAY(),"ADJUSTED","PAID"),IF($C163&lt;TODAY(),"PAST DUE",IF($C163&lt;=TODAY()+7,"DUE","Upcoming"))))</f>
        <v>Upcoming</v>
      </c>
      <c r="L163" s="47" t="n">
        <f aca="false">IF($B163="","",$C163)</f>
        <v>46290</v>
      </c>
      <c r="M163" s="0" t="n">
        <f aca="false">IF($L163="","",COUNTIFS($L$162:$L$178,"&lt;"&amp;$L163)+COUNTIFS($L$162:$L163,$L163))</f>
        <v>2</v>
      </c>
    </row>
    <row r="164" customFormat="false" ht="15" hidden="false" customHeight="false" outlineLevel="0" collapsed="false">
      <c r="B164" s="38" t="str">
        <f aca="false">IFERROR(INDEX(Schedule!$C$4:$C$483,MATCH(8003,Schedule!$K$4:$K$483,0)),"")</f>
        <v>Central Maine Power: Payment Plan</v>
      </c>
      <c r="C164" s="39" t="n">
        <f aca="false">IF($B164="","",INDEX(Schedule!$G$4:$G$483,MATCH(8003,Schedule!$K$4:$K$483,0)))</f>
        <v>46290</v>
      </c>
      <c r="D164" s="40" t="str">
        <f aca="false">IF($B164="","",INDEX(Schedule!$D$4:$D$483,MATCH(8003,Schedule!$K$4:$K$483,0)))</f>
        <v>Expense</v>
      </c>
      <c r="E164" s="41" t="n">
        <f aca="false">IF($B164="","",INDEX(Schedule!$E$4:$E$483,MATCH(8003,Schedule!$K$4:$K$483,0)))</f>
        <v>43.87</v>
      </c>
      <c r="F164" s="42"/>
      <c r="G164" s="43" t="str">
        <f aca="false">IF($B164="","",IF($D164="Income",IF($F164&lt;&gt;"",$F164,$E164),""))</f>
        <v/>
      </c>
      <c r="H164" s="44" t="n">
        <f aca="false">IF($B164="","",IF($D164="Income","",IF($F164&lt;&gt;"",$F164,$E164)))</f>
        <v>43.87</v>
      </c>
      <c r="I164" s="45" t="n">
        <f aca="false">IF($B164="","",$I$160+SUMIFS($G$162:$G$178,$M$162:$M$178,"&lt;="&amp;$M164)-SUMIFS($H$162:$H$178,$M$162:$M$178,"&lt;="&amp;$M164))</f>
        <v>3480.91</v>
      </c>
      <c r="J164" s="46" t="str">
        <f aca="true">IF($B164="","",IF($F164&lt;&gt;"",IF($C164&gt;TODAY(),"ADJUSTED","PAID"),IF($C164&lt;TODAY(),"PAST DUE",IF($C164&lt;=TODAY()+7,"DUE","Upcoming"))))</f>
        <v>Upcoming</v>
      </c>
      <c r="L164" s="47" t="n">
        <f aca="false">IF($B164="","",$C164)</f>
        <v>46290</v>
      </c>
      <c r="M164" s="0" t="n">
        <f aca="false">IF($L164="","",COUNTIFS($L$162:$L$178,"&lt;"&amp;$L164)+COUNTIFS($L$162:$L164,$L164))</f>
        <v>3</v>
      </c>
    </row>
    <row r="165" customFormat="false" ht="15" hidden="false" customHeight="false" outlineLevel="0" collapsed="false">
      <c r="B165" s="38" t="str">
        <f aca="false">IFERROR(INDEX(Schedule!$C$4:$C$483,MATCH(8004,Schedule!$K$4:$K$483,0)),"")</f>
        <v>Bruno's Restaurant (paycheck)</v>
      </c>
      <c r="C165" s="39" t="n">
        <f aca="false">IF($B165="","",INDEX(Schedule!$G$4:$G$483,MATCH(8004,Schedule!$K$4:$K$483,0)))</f>
        <v>46295</v>
      </c>
      <c r="D165" s="40" t="str">
        <f aca="false">IF($B165="","",INDEX(Schedule!$D$4:$D$483,MATCH(8004,Schedule!$K$4:$K$483,0)))</f>
        <v>Income</v>
      </c>
      <c r="E165" s="41" t="n">
        <f aca="false">IF($B165="","",INDEX(Schedule!$E$4:$E$483,MATCH(8004,Schedule!$K$4:$K$483,0)))</f>
        <v>90</v>
      </c>
      <c r="F165" s="42"/>
      <c r="G165" s="43" t="n">
        <f aca="false">IF($B165="","",IF($D165="Income",IF($F165&lt;&gt;"",$F165,$E165),""))</f>
        <v>90</v>
      </c>
      <c r="H165" s="44" t="str">
        <f aca="false">IF($B165="","",IF($D165="Income","",IF($F165&lt;&gt;"",$F165,$E165)))</f>
        <v/>
      </c>
      <c r="I165" s="45" t="n">
        <f aca="false">IF($B165="","",$I$160+SUMIFS($G$162:$G$178,$M$162:$M$178,"&lt;="&amp;$M165)-SUMIFS($H$162:$H$178,$M$162:$M$178,"&lt;="&amp;$M165))</f>
        <v>3570.91</v>
      </c>
      <c r="J165" s="46" t="str">
        <f aca="true">IF($B165="","",IF($F165&lt;&gt;"",IF($C165&gt;TODAY(),"ADJUSTED","PAID"),IF($C165&lt;TODAY(),"PAST DUE",IF($C165&lt;=TODAY()+7,"DUE","Upcoming"))))</f>
        <v>Upcoming</v>
      </c>
      <c r="L165" s="47" t="n">
        <f aca="false">IF($B165="","",$C165)</f>
        <v>46295</v>
      </c>
      <c r="M165" s="0" t="n">
        <f aca="false">IF($L165="","",COUNTIFS($L$162:$L$178,"&lt;"&amp;$L165)+COUNTIFS($L$162:$L165,$L165))</f>
        <v>4</v>
      </c>
    </row>
    <row r="166" customFormat="false" ht="15" hidden="false" customHeight="false" outlineLevel="0" collapsed="false">
      <c r="B166" s="38" t="str">
        <f aca="false">IFERROR(INDEX(Schedule!$C$4:$C$483,MATCH(8005,Schedule!$K$4:$K$483,0)),"")</f>
        <v>Patrick Rombalski (rent)</v>
      </c>
      <c r="C166" s="39" t="n">
        <f aca="false">IF($B166="","",INDEX(Schedule!$G$4:$G$483,MATCH(8005,Schedule!$K$4:$K$483,0)))</f>
        <v>46295</v>
      </c>
      <c r="D166" s="40" t="str">
        <f aca="false">IF($B166="","",INDEX(Schedule!$D$4:$D$483,MATCH(8005,Schedule!$K$4:$K$483,0)))</f>
        <v>Expense</v>
      </c>
      <c r="E166" s="41" t="n">
        <f aca="false">IF($B166="","",INDEX(Schedule!$E$4:$E$483,MATCH(8005,Schedule!$K$4:$K$483,0)))</f>
        <v>350</v>
      </c>
      <c r="F166" s="42"/>
      <c r="G166" s="43" t="str">
        <f aca="false">IF($B166="","",IF($D166="Income",IF($F166&lt;&gt;"",$F166,$E166),""))</f>
        <v/>
      </c>
      <c r="H166" s="44" t="n">
        <f aca="false">IF($B166="","",IF($D166="Income","",IF($F166&lt;&gt;"",$F166,$E166)))</f>
        <v>350</v>
      </c>
      <c r="I166" s="45" t="n">
        <f aca="false">IF($B166="","",$I$160+SUMIFS($G$162:$G$178,$M$162:$M$178,"&lt;="&amp;$M166)-SUMIFS($H$162:$H$178,$M$162:$M$178,"&lt;="&amp;$M166))</f>
        <v>3220.91</v>
      </c>
      <c r="J166" s="46" t="str">
        <f aca="true">IF($B166="","",IF($F166&lt;&gt;"",IF($C166&gt;TODAY(),"ADJUSTED","PAID"),IF($C166&lt;TODAY(),"PAST DUE",IF($C166&lt;=TODAY()+7,"DUE","Upcoming"))))</f>
        <v>Upcoming</v>
      </c>
      <c r="L166" s="47" t="n">
        <f aca="false">IF($B166="","",$C166)</f>
        <v>46295</v>
      </c>
      <c r="M166" s="0" t="n">
        <f aca="false">IF($L166="","",COUNTIFS($L$162:$L$178,"&lt;"&amp;$L166)+COUNTIFS($L$162:$L166,$L166))</f>
        <v>5</v>
      </c>
    </row>
    <row r="167" customFormat="false" ht="15" hidden="false" customHeight="false" outlineLevel="0" collapsed="false">
      <c r="B167" s="38" t="str">
        <f aca="false">IFERROR(INDEX(Schedule!$C$4:$C$483,MATCH(8006,Schedule!$K$4:$K$483,0)),"")</f>
        <v>Maine Revenue Services (2)</v>
      </c>
      <c r="C167" s="39" t="n">
        <f aca="false">IF($B167="","",INDEX(Schedule!$G$4:$G$483,MATCH(8006,Schedule!$K$4:$K$483,0)))</f>
        <v>46295</v>
      </c>
      <c r="D167" s="40" t="str">
        <f aca="false">IF($B167="","",INDEX(Schedule!$D$4:$D$483,MATCH(8006,Schedule!$K$4:$K$483,0)))</f>
        <v>Expense</v>
      </c>
      <c r="E167" s="41" t="n">
        <f aca="false">IF($B167="","",INDEX(Schedule!$E$4:$E$483,MATCH(8006,Schedule!$K$4:$K$483,0)))</f>
        <v>150</v>
      </c>
      <c r="F167" s="42"/>
      <c r="G167" s="43" t="str">
        <f aca="false">IF($B167="","",IF($D167="Income",IF($F167&lt;&gt;"",$F167,$E167),""))</f>
        <v/>
      </c>
      <c r="H167" s="44" t="n">
        <f aca="false">IF($B167="","",IF($D167="Income","",IF($F167&lt;&gt;"",$F167,$E167)))</f>
        <v>150</v>
      </c>
      <c r="I167" s="45" t="n">
        <f aca="false">IF($B167="","",$I$160+SUMIFS($G$162:$G$178,$M$162:$M$178,"&lt;="&amp;$M167)-SUMIFS($H$162:$H$178,$M$162:$M$178,"&lt;="&amp;$M167))</f>
        <v>3070.91</v>
      </c>
      <c r="J167" s="46" t="str">
        <f aca="true">IF($B167="","",IF($F167&lt;&gt;"",IF($C167&gt;TODAY(),"ADJUSTED","PAID"),IF($C167&lt;TODAY(),"PAST DUE",IF($C167&lt;=TODAY()+7,"DUE","Upcoming"))))</f>
        <v>Upcoming</v>
      </c>
      <c r="L167" s="47" t="n">
        <f aca="false">IF($B167="","",$C167)</f>
        <v>46295</v>
      </c>
      <c r="M167" s="0" t="n">
        <f aca="false">IF($L167="","",COUNTIFS($L$162:$L$178,"&lt;"&amp;$L167)+COUNTIFS($L$162:$L167,$L167))</f>
        <v>6</v>
      </c>
    </row>
    <row r="168" customFormat="false" ht="15" hidden="false" customHeight="false" outlineLevel="0" collapsed="false">
      <c r="B168" s="38" t="str">
        <f aca="false">IFERROR(INDEX(Schedule!$C$4:$C$483,MATCH(8007,Schedule!$K$4:$K$483,0)),"")</f>
        <v>Progressive Insurance</v>
      </c>
      <c r="C168" s="39" t="n">
        <f aca="false">IF($B168="","",INDEX(Schedule!$G$4:$G$483,MATCH(8007,Schedule!$K$4:$K$483,0)))</f>
        <v>46295</v>
      </c>
      <c r="D168" s="40" t="str">
        <f aca="false">IF($B168="","",INDEX(Schedule!$D$4:$D$483,MATCH(8007,Schedule!$K$4:$K$483,0)))</f>
        <v>Expense</v>
      </c>
      <c r="E168" s="41" t="n">
        <f aca="false">IF($B168="","",INDEX(Schedule!$E$4:$E$483,MATCH(8007,Schedule!$K$4:$K$483,0)))</f>
        <v>143.37</v>
      </c>
      <c r="F168" s="42"/>
      <c r="G168" s="43" t="str">
        <f aca="false">IF($B168="","",IF($D168="Income",IF($F168&lt;&gt;"",$F168,$E168),""))</f>
        <v/>
      </c>
      <c r="H168" s="44" t="n">
        <f aca="false">IF($B168="","",IF($D168="Income","",IF($F168&lt;&gt;"",$F168,$E168)))</f>
        <v>143.37</v>
      </c>
      <c r="I168" s="45" t="n">
        <f aca="false">IF($B168="","",$I$160+SUMIFS($G$162:$G$178,$M$162:$M$178,"&lt;="&amp;$M168)-SUMIFS($H$162:$H$178,$M$162:$M$178,"&lt;="&amp;$M168))</f>
        <v>2927.54</v>
      </c>
      <c r="J168" s="46" t="str">
        <f aca="true">IF($B168="","",IF($F168&lt;&gt;"",IF($C168&gt;TODAY(),"ADJUSTED","PAID"),IF($C168&lt;TODAY(),"PAST DUE",IF($C168&lt;=TODAY()+7,"DUE","Upcoming"))))</f>
        <v>Upcoming</v>
      </c>
      <c r="L168" s="47" t="n">
        <f aca="false">IF($B168="","",$C168)</f>
        <v>46295</v>
      </c>
      <c r="M168" s="0" t="n">
        <f aca="false">IF($L168="","",COUNTIFS($L$162:$L$178,"&lt;"&amp;$L168)+COUNTIFS($L$162:$L168,$L168))</f>
        <v>7</v>
      </c>
    </row>
    <row r="169" customFormat="false" ht="15" hidden="false" customHeight="false" outlineLevel="0" collapsed="false">
      <c r="B169" s="38" t="str">
        <f aca="false">IFERROR(INDEX(Schedule!$C$4:$C$483,MATCH(8008,Schedule!$K$4:$K$483,0)),"")</f>
        <v/>
      </c>
      <c r="C169" s="39" t="str">
        <f aca="false">IF($B169="","",INDEX(Schedule!$G$4:$G$483,MATCH(8008,Schedule!$K$4:$K$483,0)))</f>
        <v/>
      </c>
      <c r="D169" s="40" t="str">
        <f aca="false">IF($B169="","",INDEX(Schedule!$D$4:$D$483,MATCH(8008,Schedule!$K$4:$K$483,0)))</f>
        <v/>
      </c>
      <c r="E169" s="41" t="str">
        <f aca="false">IF($B169="","",INDEX(Schedule!$E$4:$E$483,MATCH(8008,Schedule!$K$4:$K$483,0)))</f>
        <v/>
      </c>
      <c r="F169" s="42"/>
      <c r="G169" s="43" t="str">
        <f aca="false">IF($B169="","",IF($D169="Income",IF($F169&lt;&gt;"",$F169,$E169),""))</f>
        <v/>
      </c>
      <c r="H169" s="44" t="str">
        <f aca="false">IF($B169="","",IF($D169="Income","",IF($F169&lt;&gt;"",$F169,$E169)))</f>
        <v/>
      </c>
      <c r="I169" s="45" t="str">
        <f aca="false">IF($B169="","",$I$160+SUMIFS($G$162:$G$178,$M$162:$M$178,"&lt;="&amp;$M169)-SUMIFS($H$162:$H$178,$M$162:$M$178,"&lt;="&amp;$M169))</f>
        <v/>
      </c>
      <c r="J169" s="46" t="str">
        <f aca="true">IF($B169="","",IF($F169&lt;&gt;"",IF($C169&gt;TODAY(),"ADJUSTED","PAID"),IF($C169&lt;TODAY(),"PAST DUE",IF($C169&lt;=TODAY()+7,"DUE","Upcoming"))))</f>
        <v/>
      </c>
      <c r="L169" s="0" t="str">
        <f aca="false">IF($B169="","",$C169)</f>
        <v/>
      </c>
      <c r="M169" s="0" t="str">
        <f aca="false">IF($L169="","",COUNTIFS($L$162:$L$178,"&lt;"&amp;$L169)+COUNTIFS($L$162:$L169,$L169))</f>
        <v/>
      </c>
    </row>
    <row r="170" customFormat="false" ht="15" hidden="false" customHeight="false" outlineLevel="0" collapsed="false">
      <c r="B170" s="38" t="str">
        <f aca="false">IFERROR(INDEX(Schedule!$C$4:$C$483,MATCH(8009,Schedule!$K$4:$K$483,0)),"")</f>
        <v/>
      </c>
      <c r="C170" s="39" t="str">
        <f aca="false">IF($B170="","",INDEX(Schedule!$G$4:$G$483,MATCH(8009,Schedule!$K$4:$K$483,0)))</f>
        <v/>
      </c>
      <c r="D170" s="40" t="str">
        <f aca="false">IF($B170="","",INDEX(Schedule!$D$4:$D$483,MATCH(8009,Schedule!$K$4:$K$483,0)))</f>
        <v/>
      </c>
      <c r="E170" s="41" t="str">
        <f aca="false">IF($B170="","",INDEX(Schedule!$E$4:$E$483,MATCH(8009,Schedule!$K$4:$K$483,0)))</f>
        <v/>
      </c>
      <c r="F170" s="42"/>
      <c r="G170" s="43" t="str">
        <f aca="false">IF($B170="","",IF($D170="Income",IF($F170&lt;&gt;"",$F170,$E170),""))</f>
        <v/>
      </c>
      <c r="H170" s="44" t="str">
        <f aca="false">IF($B170="","",IF($D170="Income","",IF($F170&lt;&gt;"",$F170,$E170)))</f>
        <v/>
      </c>
      <c r="I170" s="45" t="str">
        <f aca="false">IF($B170="","",$I$160+SUMIFS($G$162:$G$178,$M$162:$M$178,"&lt;="&amp;$M170)-SUMIFS($H$162:$H$178,$M$162:$M$178,"&lt;="&amp;$M170))</f>
        <v/>
      </c>
      <c r="J170" s="46" t="str">
        <f aca="true">IF($B170="","",IF($F170&lt;&gt;"",IF($C170&gt;TODAY(),"ADJUSTED","PAID"),IF($C170&lt;TODAY(),"PAST DUE",IF($C170&lt;=TODAY()+7,"DUE","Upcoming"))))</f>
        <v/>
      </c>
      <c r="L170" s="0" t="str">
        <f aca="false">IF($B170="","",$C170)</f>
        <v/>
      </c>
      <c r="M170" s="0" t="str">
        <f aca="false">IF($L170="","",COUNTIFS($L$162:$L$178,"&lt;"&amp;$L170)+COUNTIFS($L$162:$L170,$L170))</f>
        <v/>
      </c>
    </row>
    <row r="171" customFormat="false" ht="15" hidden="false" customHeight="false" outlineLevel="0" collapsed="false">
      <c r="B171" s="38" t="str">
        <f aca="false">IFERROR(INDEX(Schedule!$C$4:$C$483,MATCH(8010,Schedule!$K$4:$K$483,0)),"")</f>
        <v/>
      </c>
      <c r="C171" s="39" t="str">
        <f aca="false">IF($B171="","",INDEX(Schedule!$G$4:$G$483,MATCH(8010,Schedule!$K$4:$K$483,0)))</f>
        <v/>
      </c>
      <c r="D171" s="40" t="str">
        <f aca="false">IF($B171="","",INDEX(Schedule!$D$4:$D$483,MATCH(8010,Schedule!$K$4:$K$483,0)))</f>
        <v/>
      </c>
      <c r="E171" s="41" t="str">
        <f aca="false">IF($B171="","",INDEX(Schedule!$E$4:$E$483,MATCH(8010,Schedule!$K$4:$K$483,0)))</f>
        <v/>
      </c>
      <c r="F171" s="42"/>
      <c r="G171" s="43" t="str">
        <f aca="false">IF($B171="","",IF($D171="Income",IF($F171&lt;&gt;"",$F171,$E171),""))</f>
        <v/>
      </c>
      <c r="H171" s="44" t="str">
        <f aca="false">IF($B171="","",IF($D171="Income","",IF($F171&lt;&gt;"",$F171,$E171)))</f>
        <v/>
      </c>
      <c r="I171" s="45" t="str">
        <f aca="false">IF($B171="","",$I$160+SUMIFS($G$162:$G$178,$M$162:$M$178,"&lt;="&amp;$M171)-SUMIFS($H$162:$H$178,$M$162:$M$178,"&lt;="&amp;$M171))</f>
        <v/>
      </c>
      <c r="J171" s="46" t="str">
        <f aca="true">IF($B171="","",IF($F171&lt;&gt;"",IF($C171&gt;TODAY(),"ADJUSTED","PAID"),IF($C171&lt;TODAY(),"PAST DUE",IF($C171&lt;=TODAY()+7,"DUE","Upcoming"))))</f>
        <v/>
      </c>
      <c r="L171" s="0" t="str">
        <f aca="false">IF($B171="","",$C171)</f>
        <v/>
      </c>
      <c r="M171" s="0" t="str">
        <f aca="false">IF($L171="","",COUNTIFS($L$162:$L$178,"&lt;"&amp;$L171)+COUNTIFS($L$162:$L171,$L171))</f>
        <v/>
      </c>
    </row>
    <row r="172" customFormat="false" ht="15" hidden="false" customHeight="false" outlineLevel="0" collapsed="false">
      <c r="B172" s="48" t="s">
        <v>127</v>
      </c>
      <c r="C172" s="49"/>
      <c r="D172" s="49"/>
      <c r="E172" s="49"/>
      <c r="F172" s="49"/>
      <c r="G172" s="49"/>
      <c r="H172" s="49"/>
      <c r="I172" s="49"/>
      <c r="J172" s="49"/>
    </row>
    <row r="173" customFormat="false" ht="15" hidden="false" customHeight="false" outlineLevel="0" collapsed="false">
      <c r="B173" s="6"/>
      <c r="C173" s="50"/>
      <c r="D173" s="51" t="str">
        <f aca="false">IF($B173="","","Expense")</f>
        <v/>
      </c>
      <c r="E173" s="18"/>
      <c r="F173" s="10"/>
      <c r="G173" s="10"/>
      <c r="H173" s="52" t="str">
        <f aca="false">IF($B173="","",N($E173))</f>
        <v/>
      </c>
      <c r="I173" s="53" t="str">
        <f aca="false">IF($B173="","",$I$160+SUMIFS($G$162:$G$178,$M$162:$M$178,"&lt;="&amp;$M173)-SUMIFS($H$162:$H$178,$M$162:$M$178,"&lt;="&amp;$M173))</f>
        <v/>
      </c>
      <c r="J173" s="10"/>
      <c r="L173" s="0" t="str">
        <f aca="false">IF($B173="","",IF($C173="",$E$6+55,$C173))</f>
        <v/>
      </c>
      <c r="M173" s="0" t="str">
        <f aca="false">IF($L173="","",COUNTIFS($L$162:$L$178,"&lt;"&amp;$L173)+COUNTIFS($L$162:$L173,$L173))</f>
        <v/>
      </c>
    </row>
    <row r="174" customFormat="false" ht="15" hidden="false" customHeight="false" outlineLevel="0" collapsed="false">
      <c r="B174" s="6"/>
      <c r="C174" s="50"/>
      <c r="D174" s="51" t="str">
        <f aca="false">IF($B174="","","Expense")</f>
        <v/>
      </c>
      <c r="E174" s="18"/>
      <c r="F174" s="10"/>
      <c r="G174" s="10"/>
      <c r="H174" s="52" t="str">
        <f aca="false">IF($B174="","",N($E174))</f>
        <v/>
      </c>
      <c r="I174" s="53" t="str">
        <f aca="false">IF($B174="","",$I$160+SUMIFS($G$162:$G$178,$M$162:$M$178,"&lt;="&amp;$M174)-SUMIFS($H$162:$H$178,$M$162:$M$178,"&lt;="&amp;$M174))</f>
        <v/>
      </c>
      <c r="J174" s="10"/>
      <c r="L174" s="0" t="str">
        <f aca="false">IF($B174="","",IF($C174="",$E$6+55,$C174))</f>
        <v/>
      </c>
      <c r="M174" s="0" t="str">
        <f aca="false">IF($L174="","",COUNTIFS($L$162:$L$178,"&lt;"&amp;$L174)+COUNTIFS($L$162:$L174,$L174))</f>
        <v/>
      </c>
    </row>
    <row r="175" customFormat="false" ht="15" hidden="false" customHeight="false" outlineLevel="0" collapsed="false">
      <c r="B175" s="6"/>
      <c r="C175" s="50"/>
      <c r="D175" s="51" t="str">
        <f aca="false">IF($B175="","","Expense")</f>
        <v/>
      </c>
      <c r="E175" s="18"/>
      <c r="F175" s="10"/>
      <c r="G175" s="10"/>
      <c r="H175" s="52" t="str">
        <f aca="false">IF($B175="","",N($E175))</f>
        <v/>
      </c>
      <c r="I175" s="53" t="str">
        <f aca="false">IF($B175="","",$I$160+SUMIFS($G$162:$G$178,$M$162:$M$178,"&lt;="&amp;$M175)-SUMIFS($H$162:$H$178,$M$162:$M$178,"&lt;="&amp;$M175))</f>
        <v/>
      </c>
      <c r="J175" s="10"/>
      <c r="L175" s="0" t="str">
        <f aca="false">IF($B175="","",IF($C175="",$E$6+55,$C175))</f>
        <v/>
      </c>
      <c r="M175" s="0" t="str">
        <f aca="false">IF($L175="","",COUNTIFS($L$162:$L$178,"&lt;"&amp;$L175)+COUNTIFS($L$162:$L175,$L175))</f>
        <v/>
      </c>
    </row>
    <row r="176" customFormat="false" ht="15" hidden="false" customHeight="false" outlineLevel="0" collapsed="false">
      <c r="B176" s="6"/>
      <c r="C176" s="50"/>
      <c r="D176" s="51" t="str">
        <f aca="false">IF($B176="","","Expense")</f>
        <v/>
      </c>
      <c r="E176" s="18"/>
      <c r="F176" s="10"/>
      <c r="G176" s="10"/>
      <c r="H176" s="52" t="str">
        <f aca="false">IF($B176="","",N($E176))</f>
        <v/>
      </c>
      <c r="I176" s="53" t="str">
        <f aca="false">IF($B176="","",$I$160+SUMIFS($G$162:$G$178,$M$162:$M$178,"&lt;="&amp;$M176)-SUMIFS($H$162:$H$178,$M$162:$M$178,"&lt;="&amp;$M176))</f>
        <v/>
      </c>
      <c r="J176" s="10"/>
      <c r="L176" s="0" t="str">
        <f aca="false">IF($B176="","",IF($C176="",$E$6+55,$C176))</f>
        <v/>
      </c>
      <c r="M176" s="0" t="str">
        <f aca="false">IF($L176="","",COUNTIFS($L$162:$L$178,"&lt;"&amp;$L176)+COUNTIFS($L$162:$L176,$L176))</f>
        <v/>
      </c>
    </row>
    <row r="177" customFormat="false" ht="15" hidden="false" customHeight="false" outlineLevel="0" collapsed="false">
      <c r="B177" s="6"/>
      <c r="C177" s="50"/>
      <c r="D177" s="51" t="str">
        <f aca="false">IF($B177="","","Expense")</f>
        <v/>
      </c>
      <c r="E177" s="18"/>
      <c r="F177" s="10"/>
      <c r="G177" s="10"/>
      <c r="H177" s="52" t="str">
        <f aca="false">IF($B177="","",N($E177))</f>
        <v/>
      </c>
      <c r="I177" s="53" t="str">
        <f aca="false">IF($B177="","",$I$160+SUMIFS($G$162:$G$178,$M$162:$M$178,"&lt;="&amp;$M177)-SUMIFS($H$162:$H$178,$M$162:$M$178,"&lt;="&amp;$M177))</f>
        <v/>
      </c>
      <c r="J177" s="10"/>
      <c r="L177" s="0" t="str">
        <f aca="false">IF($B177="","",IF($C177="",$E$6+55,$C177))</f>
        <v/>
      </c>
      <c r="M177" s="0" t="str">
        <f aca="false">IF($L177="","",COUNTIFS($L$162:$L$178,"&lt;"&amp;$L177)+COUNTIFS($L$162:$L177,$L177))</f>
        <v/>
      </c>
    </row>
    <row r="178" customFormat="false" ht="15" hidden="false" customHeight="false" outlineLevel="0" collapsed="false">
      <c r="B178" s="6"/>
      <c r="C178" s="50"/>
      <c r="D178" s="51" t="str">
        <f aca="false">IF($B178="","","Expense")</f>
        <v/>
      </c>
      <c r="E178" s="18"/>
      <c r="F178" s="10"/>
      <c r="G178" s="10"/>
      <c r="H178" s="52" t="str">
        <f aca="false">IF($B178="","",N($E178))</f>
        <v/>
      </c>
      <c r="I178" s="53" t="str">
        <f aca="false">IF($B178="","",$I$160+SUMIFS($G$162:$G$178,$M$162:$M$178,"&lt;="&amp;$M178)-SUMIFS($H$162:$H$178,$M$162:$M$178,"&lt;="&amp;$M178))</f>
        <v/>
      </c>
      <c r="J178" s="10"/>
      <c r="L178" s="0" t="str">
        <f aca="false">IF($B178="","",IF($C178="",$E$6+55,$C178))</f>
        <v/>
      </c>
      <c r="M178" s="0" t="str">
        <f aca="false">IF($L178="","",COUNTIFS($L$162:$L$178,"&lt;"&amp;$L178)+COUNTIFS($L$162:$L178,$L178))</f>
        <v/>
      </c>
    </row>
    <row r="179" customFormat="false" ht="15" hidden="false" customHeight="false" outlineLevel="0" collapsed="false">
      <c r="B179" s="54" t="s">
        <v>141</v>
      </c>
      <c r="C179" s="55"/>
      <c r="D179" s="55"/>
      <c r="E179" s="55"/>
      <c r="F179" s="55"/>
      <c r="G179" s="56" t="n">
        <f aca="false">SUM($G$162:$G$178)</f>
        <v>880</v>
      </c>
      <c r="H179" s="56" t="n">
        <f aca="false">SUM($H$162:$H$178)</f>
        <v>700.94</v>
      </c>
      <c r="I179" s="57" t="n">
        <f aca="false">$I$160+$G$179-$H$179</f>
        <v>2927.54</v>
      </c>
      <c r="J179" s="58" t="str">
        <f aca="false">IF($I$179&lt;0,"SHORTFALL",IF($I$179&lt;$E$7,"TIGHT","OK"))</f>
        <v>OK</v>
      </c>
      <c r="K179" s="59" t="str">
        <f aca="false">IF(COUNT($I$162:$I$178)=0,"","Lowest point this week: "&amp;TEXT(MIN($I$162:$I$178),"$#,##0.00;-$#,##0.00")&amp;" on "&amp;TEXT(INDEX($C$162:$C$178,MATCH(MIN($I$162:$I$178),$I$162:$I$178,0)),"ddd mmm d")&amp;"     (in "&amp;TEXT($G$179,"$#,##0.00")&amp;", out "&amp;TEXT($H$179,"$#,##0.00")&amp;")")</f>
        <v>Lowest point this week: $2,927.54 on Wed Sep 30     (in $880.00, out $700.94)</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120</v>
      </c>
      <c r="H181" s="32"/>
      <c r="I181" s="34" t="n">
        <f aca="false">$I$179</f>
        <v>2927.54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121</v>
      </c>
      <c r="C182" s="35" t="s">
        <v>122</v>
      </c>
      <c r="D182" s="35" t="s">
        <v>72</v>
      </c>
      <c r="E182" s="35" t="s">
        <v>123</v>
      </c>
      <c r="F182" s="35" t="s">
        <v>124</v>
      </c>
      <c r="G182" s="36" t="s">
        <v>18</v>
      </c>
      <c r="H182" s="37" t="s">
        <v>20</v>
      </c>
      <c r="I182" s="35" t="s">
        <v>125</v>
      </c>
      <c r="J182" s="35" t="s">
        <v>126</v>
      </c>
    </row>
    <row r="183" customFormat="false" ht="15" hidden="false" customHeight="false" outlineLevel="0" collapsed="false">
      <c r="B183" s="38" t="str">
        <f aca="false">IFERROR(INDEX(Schedule!$C$4:$C$483,MATCH(9001,Schedule!$K$4:$K$483,0)),"")</f>
        <v>Compunnel Software (paycheck)</v>
      </c>
      <c r="C183" s="39" t="n">
        <f aca="false">IF($B183="","",INDEX(Schedule!$G$4:$G$483,MATCH(9001,Schedule!$K$4:$K$483,0)))</f>
        <v>46297</v>
      </c>
      <c r="D183" s="40" t="str">
        <f aca="false">IF($B183="","",INDEX(Schedule!$D$4:$D$483,MATCH(9001,Schedule!$K$4:$K$483,0)))</f>
        <v>Income</v>
      </c>
      <c r="E183" s="41" t="n">
        <f aca="false">IF($B183="","",INDEX(Schedule!$E$4:$E$483,MATCH(9001,Schedule!$K$4:$K$483,0)))</f>
        <v>790</v>
      </c>
      <c r="F183" s="42"/>
      <c r="G183" s="43" t="n">
        <f aca="false">IF($B183="","",IF($D183="Income",IF($F183&lt;&gt;"",$F183,$E183),""))</f>
        <v>790</v>
      </c>
      <c r="H183" s="44" t="str">
        <f aca="false">IF($B183="","",IF($D183="Income","",IF($F183&lt;&gt;"",$F183,$E183)))</f>
        <v/>
      </c>
      <c r="I183" s="45" t="n">
        <f aca="false">IF($B183="","",$I$181+SUMIFS($G$183:$G$199,$M$183:$M$199,"&lt;="&amp;$M183)-SUMIFS($H$183:$H$199,$M$183:$M$199,"&lt;="&amp;$M183))</f>
        <v>3717.54</v>
      </c>
      <c r="J183" s="46" t="str">
        <f aca="true">IF($B183="","",IF($F183&lt;&gt;"",IF($C183&gt;TODAY(),"ADJUSTED","PAID"),IF($C183&lt;TODAY(),"PAST DUE",IF($C183&lt;=TODAY()+7,"DUE","Upcoming"))))</f>
        <v>Upcoming</v>
      </c>
      <c r="L183" s="47" t="n">
        <f aca="false">IF($B183="","",$C183)</f>
        <v>46297</v>
      </c>
      <c r="M183" s="0" t="n">
        <f aca="false">IF($L183="","",COUNTIFS($L$183:$L$199,"&lt;"&amp;$L183)+COUNTIFS($L$183:$L183,$L183))</f>
        <v>1</v>
      </c>
    </row>
    <row r="184" customFormat="false" ht="15" hidden="false" customHeight="false" outlineLevel="0" collapsed="false">
      <c r="B184" s="38" t="str">
        <f aca="false">IFERROR(INDEX(Schedule!$C$4:$C$483,MATCH(9002,Schedule!$K$4:$K$483,0)),"")</f>
        <v>Apple: Claude</v>
      </c>
      <c r="C184" s="39" t="n">
        <f aca="false">IF($B184="","",INDEX(Schedule!$G$4:$G$483,MATCH(9002,Schedule!$K$4:$K$483,0)))</f>
        <v>46299</v>
      </c>
      <c r="D184" s="40" t="str">
        <f aca="false">IF($B184="","",INDEX(Schedule!$D$4:$D$483,MATCH(9002,Schedule!$K$4:$K$483,0)))</f>
        <v>Expense</v>
      </c>
      <c r="E184" s="41" t="n">
        <f aca="false">IF($B184="","",INDEX(Schedule!$E$4:$E$483,MATCH(9002,Schedule!$K$4:$K$483,0)))</f>
        <v>21.1</v>
      </c>
      <c r="F184" s="42"/>
      <c r="G184" s="43" t="str">
        <f aca="false">IF($B184="","",IF($D184="Income",IF($F184&lt;&gt;"",$F184,$E184),""))</f>
        <v/>
      </c>
      <c r="H184" s="44" t="n">
        <f aca="false">IF($B184="","",IF($D184="Income","",IF($F184&lt;&gt;"",$F184,$E184)))</f>
        <v>21.1</v>
      </c>
      <c r="I184" s="45" t="n">
        <f aca="false">IF($B184="","",$I$181+SUMIFS($G$183:$G$199,$M$183:$M$199,"&lt;="&amp;$M184)-SUMIFS($H$183:$H$199,$M$183:$M$199,"&lt;="&amp;$M184))</f>
        <v>3696.44</v>
      </c>
      <c r="J184" s="46" t="str">
        <f aca="true">IF($B184="","",IF($F184&lt;&gt;"",IF($C184&gt;TODAY(),"ADJUSTED","PAID"),IF($C184&lt;TODAY(),"PAST DUE",IF($C184&lt;=TODAY()+7,"DUE","Upcoming"))))</f>
        <v>Upcoming</v>
      </c>
      <c r="L184" s="47" t="n">
        <f aca="false">IF($B184="","",$C184)</f>
        <v>46299</v>
      </c>
      <c r="M184" s="0" t="n">
        <f aca="false">IF($L184="","",COUNTIFS($L$183:$L$199,"&lt;"&amp;$L184)+COUNTIFS($L$183:$L184,$L184))</f>
        <v>2</v>
      </c>
    </row>
    <row r="185" customFormat="false" ht="15" hidden="false" customHeight="false" outlineLevel="0" collapsed="false">
      <c r="B185" s="38" t="str">
        <f aca="false">IFERROR(INDEX(Schedule!$C$4:$C$483,MATCH(9003,Schedule!$K$4:$K$483,0)),"")</f>
        <v>OpenAI</v>
      </c>
      <c r="C185" s="39" t="n">
        <f aca="false">IF($B185="","",INDEX(Schedule!$G$4:$G$483,MATCH(9003,Schedule!$K$4:$K$483,0)))</f>
        <v>46300</v>
      </c>
      <c r="D185" s="40" t="str">
        <f aca="false">IF($B185="","",INDEX(Schedule!$D$4:$D$483,MATCH(9003,Schedule!$K$4:$K$483,0)))</f>
        <v>Expense</v>
      </c>
      <c r="E185" s="41" t="n">
        <f aca="false">IF($B185="","",INDEX(Schedule!$E$4:$E$483,MATCH(9003,Schedule!$K$4:$K$483,0)))</f>
        <v>20</v>
      </c>
      <c r="F185" s="42"/>
      <c r="G185" s="43" t="str">
        <f aca="false">IF($B185="","",IF($D185="Income",IF($F185&lt;&gt;"",$F185,$E185),""))</f>
        <v/>
      </c>
      <c r="H185" s="44" t="n">
        <f aca="false">IF($B185="","",IF($D185="Income","",IF($F185&lt;&gt;"",$F185,$E185)))</f>
        <v>20</v>
      </c>
      <c r="I185" s="45" t="n">
        <f aca="false">IF($B185="","",$I$181+SUMIFS($G$183:$G$199,$M$183:$M$199,"&lt;="&amp;$M185)-SUMIFS($H$183:$H$199,$M$183:$M$199,"&lt;="&amp;$M185))</f>
        <v>3676.44</v>
      </c>
      <c r="J185" s="46" t="str">
        <f aca="true">IF($B185="","",IF($F185&lt;&gt;"",IF($C185&gt;TODAY(),"ADJUSTED","PAID"),IF($C185&lt;TODAY(),"PAST DUE",IF($C185&lt;=TODAY()+7,"DUE","Upcoming"))))</f>
        <v>Upcoming</v>
      </c>
      <c r="L185" s="47" t="n">
        <f aca="false">IF($B185="","",$C185)</f>
        <v>46300</v>
      </c>
      <c r="M185" s="0" t="n">
        <f aca="false">IF($L185="","",COUNTIFS($L$183:$L$199,"&lt;"&amp;$L185)+COUNTIFS($L$183:$L185,$L185))</f>
        <v>3</v>
      </c>
    </row>
    <row r="186" customFormat="false" ht="15" hidden="false" customHeight="false" outlineLevel="0" collapsed="false">
      <c r="B186" s="38" t="str">
        <f aca="false">IFERROR(INDEX(Schedule!$C$4:$C$483,MATCH(9004,Schedule!$K$4:$K$483,0)),"")</f>
        <v>Obsidian</v>
      </c>
      <c r="C186" s="39" t="n">
        <f aca="false">IF($B186="","",INDEX(Schedule!$G$4:$G$483,MATCH(9004,Schedule!$K$4:$K$483,0)))</f>
        <v>46300</v>
      </c>
      <c r="D186" s="40" t="str">
        <f aca="false">IF($B186="","",INDEX(Schedule!$D$4:$D$483,MATCH(9004,Schedule!$K$4:$K$483,0)))</f>
        <v>Expense</v>
      </c>
      <c r="E186" s="41" t="n">
        <f aca="false">IF($B186="","",INDEX(Schedule!$E$4:$E$483,MATCH(9004,Schedule!$K$4:$K$483,0)))</f>
        <v>10</v>
      </c>
      <c r="F186" s="42"/>
      <c r="G186" s="43" t="str">
        <f aca="false">IF($B186="","",IF($D186="Income",IF($F186&lt;&gt;"",$F186,$E186),""))</f>
        <v/>
      </c>
      <c r="H186" s="44" t="n">
        <f aca="false">IF($B186="","",IF($D186="Income","",IF($F186&lt;&gt;"",$F186,$E186)))</f>
        <v>10</v>
      </c>
      <c r="I186" s="45" t="n">
        <f aca="false">IF($B186="","",$I$181+SUMIFS($G$183:$G$199,$M$183:$M$199,"&lt;="&amp;$M186)-SUMIFS($H$183:$H$199,$M$183:$M$199,"&lt;="&amp;$M186))</f>
        <v>3666.44</v>
      </c>
      <c r="J186" s="46" t="str">
        <f aca="true">IF($B186="","",IF($F186&lt;&gt;"",IF($C186&gt;TODAY(),"ADJUSTED","PAID"),IF($C186&lt;TODAY(),"PAST DUE",IF($C186&lt;=TODAY()+7,"DUE","Upcoming"))))</f>
        <v>Upcoming</v>
      </c>
      <c r="L186" s="47" t="n">
        <f aca="false">IF($B186="","",$C186)</f>
        <v>46300</v>
      </c>
      <c r="M186" s="0" t="n">
        <f aca="false">IF($L186="","",COUNTIFS($L$183:$L$199,"&lt;"&amp;$L186)+COUNTIFS($L$183:$L186,$L186))</f>
        <v>4</v>
      </c>
    </row>
    <row r="187" customFormat="false" ht="15" hidden="false" customHeight="false" outlineLevel="0" collapsed="false">
      <c r="B187" s="38" t="str">
        <f aca="false">IFERROR(INDEX(Schedule!$C$4:$C$483,MATCH(9005,Schedule!$K$4:$K$483,0)),"")</f>
        <v>Bruno's Restaurant (paycheck)</v>
      </c>
      <c r="C187" s="39" t="n">
        <f aca="false">IF($B187="","",INDEX(Schedule!$G$4:$G$483,MATCH(9005,Schedule!$K$4:$K$483,0)))</f>
        <v>46302</v>
      </c>
      <c r="D187" s="40" t="str">
        <f aca="false">IF($B187="","",INDEX(Schedule!$D$4:$D$483,MATCH(9005,Schedule!$K$4:$K$483,0)))</f>
        <v>Income</v>
      </c>
      <c r="E187" s="41" t="n">
        <f aca="false">IF($B187="","",INDEX(Schedule!$E$4:$E$483,MATCH(9005,Schedule!$K$4:$K$483,0)))</f>
        <v>90</v>
      </c>
      <c r="F187" s="42"/>
      <c r="G187" s="43" t="n">
        <f aca="false">IF($B187="","",IF($D187="Income",IF($F187&lt;&gt;"",$F187,$E187),""))</f>
        <v>90</v>
      </c>
      <c r="H187" s="44" t="str">
        <f aca="false">IF($B187="","",IF($D187="Income","",IF($F187&lt;&gt;"",$F187,$E187)))</f>
        <v/>
      </c>
      <c r="I187" s="45" t="n">
        <f aca="false">IF($B187="","",$I$181+SUMIFS($G$183:$G$199,$M$183:$M$199,"&lt;="&amp;$M187)-SUMIFS($H$183:$H$199,$M$183:$M$199,"&lt;="&amp;$M187))</f>
        <v>3756.44</v>
      </c>
      <c r="J187" s="46" t="str">
        <f aca="true">IF($B187="","",IF($F187&lt;&gt;"",IF($C187&gt;TODAY(),"ADJUSTED","PAID"),IF($C187&lt;TODAY(),"PAST DUE",IF($C187&lt;=TODAY()+7,"DUE","Upcoming"))))</f>
        <v>Upcoming</v>
      </c>
      <c r="L187" s="47" t="n">
        <f aca="false">IF($B187="","",$C187)</f>
        <v>46302</v>
      </c>
      <c r="M187" s="0" t="n">
        <f aca="false">IF($L187="","",COUNTIFS($L$183:$L$199,"&lt;"&amp;$L187)+COUNTIFS($L$183:$L187,$L187))</f>
        <v>5</v>
      </c>
    </row>
    <row r="188" customFormat="false" ht="15" hidden="false" customHeight="false" outlineLevel="0" collapsed="false">
      <c r="B188" s="38" t="str">
        <f aca="false">IFERROR(INDEX(Schedule!$C$4:$C$483,MATCH(9006,Schedule!$K$4:$K$483,0)),"")</f>
        <v>Google One</v>
      </c>
      <c r="C188" s="39" t="n">
        <f aca="false">IF($B188="","",INDEX(Schedule!$G$4:$G$483,MATCH(9006,Schedule!$K$4:$K$483,0)))</f>
        <v>46302</v>
      </c>
      <c r="D188" s="40" t="str">
        <f aca="false">IF($B188="","",INDEX(Schedule!$D$4:$D$483,MATCH(9006,Schedule!$K$4:$K$483,0)))</f>
        <v>Expense</v>
      </c>
      <c r="E188" s="41" t="n">
        <f aca="false">IF($B188="","",INDEX(Schedule!$E$4:$E$483,MATCH(9006,Schedule!$K$4:$K$483,0)))</f>
        <v>4.99</v>
      </c>
      <c r="F188" s="42"/>
      <c r="G188" s="43" t="str">
        <f aca="false">IF($B188="","",IF($D188="Income",IF($F188&lt;&gt;"",$F188,$E188),""))</f>
        <v/>
      </c>
      <c r="H188" s="44" t="n">
        <f aca="false">IF($B188="","",IF($D188="Income","",IF($F188&lt;&gt;"",$F188,$E188)))</f>
        <v>4.99</v>
      </c>
      <c r="I188" s="45" t="n">
        <f aca="false">IF($B188="","",$I$181+SUMIFS($G$183:$G$199,$M$183:$M$199,"&lt;="&amp;$M188)-SUMIFS($H$183:$H$199,$M$183:$M$199,"&lt;="&amp;$M188))</f>
        <v>3751.45</v>
      </c>
      <c r="J188" s="46" t="str">
        <f aca="true">IF($B188="","",IF($F188&lt;&gt;"",IF($C188&gt;TODAY(),"ADJUSTED","PAID"),IF($C188&lt;TODAY(),"PAST DUE",IF($C188&lt;=TODAY()+7,"DUE","Upcoming"))))</f>
        <v>Upcoming</v>
      </c>
      <c r="L188" s="47" t="n">
        <f aca="false">IF($B188="","",$C188)</f>
        <v>46302</v>
      </c>
      <c r="M188" s="0" t="n">
        <f aca="false">IF($L188="","",COUNTIFS($L$183:$L$199,"&lt;"&amp;$L188)+COUNTIFS($L$183:$L188,$L188))</f>
        <v>6</v>
      </c>
    </row>
    <row r="189" customFormat="false" ht="15" hidden="false" customHeight="false" outlineLevel="0" collapsed="false">
      <c r="B189" s="38" t="str">
        <f aca="false">IFERROR(INDEX(Schedule!$C$4:$C$483,MATCH(9007,Schedule!$K$4:$K$483,0)),"")</f>
        <v>Upstart (loan)</v>
      </c>
      <c r="C189" s="39" t="n">
        <f aca="false">IF($B189="","",INDEX(Schedule!$G$4:$G$483,MATCH(9007,Schedule!$K$4:$K$483,0)))</f>
        <v>46302</v>
      </c>
      <c r="D189" s="40" t="str">
        <f aca="false">IF($B189="","",INDEX(Schedule!$D$4:$D$483,MATCH(9007,Schedule!$K$4:$K$483,0)))</f>
        <v>Expense</v>
      </c>
      <c r="E189" s="41" t="n">
        <f aca="false">IF($B189="","",INDEX(Schedule!$E$4:$E$483,MATCH(9007,Schedule!$K$4:$K$483,0)))</f>
        <v>500</v>
      </c>
      <c r="F189" s="42"/>
      <c r="G189" s="43" t="str">
        <f aca="false">IF($B189="","",IF($D189="Income",IF($F189&lt;&gt;"",$F189,$E189),""))</f>
        <v/>
      </c>
      <c r="H189" s="44" t="n">
        <f aca="false">IF($B189="","",IF($D189="Income","",IF($F189&lt;&gt;"",$F189,$E189)))</f>
        <v>500</v>
      </c>
      <c r="I189" s="45" t="n">
        <f aca="false">IF($B189="","",$I$181+SUMIFS($G$183:$G$199,$M$183:$M$199,"&lt;="&amp;$M189)-SUMIFS($H$183:$H$199,$M$183:$M$199,"&lt;="&amp;$M189))</f>
        <v>3251.45</v>
      </c>
      <c r="J189" s="46" t="str">
        <f aca="true">IF($B189="","",IF($F189&lt;&gt;"",IF($C189&gt;TODAY(),"ADJUSTED","PAID"),IF($C189&lt;TODAY(),"PAST DUE",IF($C189&lt;=TODAY()+7,"DUE","Upcoming"))))</f>
        <v>Upcoming</v>
      </c>
      <c r="L189" s="47" t="n">
        <f aca="false">IF($B189="","",$C189)</f>
        <v>46302</v>
      </c>
      <c r="M189" s="0" t="n">
        <f aca="false">IF($L189="","",COUNTIFS($L$183:$L$199,"&lt;"&amp;$L189)+COUNTIFS($L$183:$L189,$L189))</f>
        <v>7</v>
      </c>
    </row>
    <row r="190" customFormat="false" ht="15" hidden="false" customHeight="false" outlineLevel="0" collapsed="false">
      <c r="B190" s="38" t="str">
        <f aca="false">IFERROR(INDEX(Schedule!$C$4:$C$483,MATCH(9008,Schedule!$K$4:$K$483,0)),"")</f>
        <v/>
      </c>
      <c r="C190" s="39" t="str">
        <f aca="false">IF($B190="","",INDEX(Schedule!$G$4:$G$483,MATCH(9008,Schedule!$K$4:$K$483,0)))</f>
        <v/>
      </c>
      <c r="D190" s="40" t="str">
        <f aca="false">IF($B190="","",INDEX(Schedule!$D$4:$D$483,MATCH(9008,Schedule!$K$4:$K$483,0)))</f>
        <v/>
      </c>
      <c r="E190" s="41" t="str">
        <f aca="false">IF($B190="","",INDEX(Schedule!$E$4:$E$483,MATCH(9008,Schedule!$K$4:$K$483,0)))</f>
        <v/>
      </c>
      <c r="F190" s="42"/>
      <c r="G190" s="43" t="str">
        <f aca="false">IF($B190="","",IF($D190="Income",IF($F190&lt;&gt;"",$F190,$E190),""))</f>
        <v/>
      </c>
      <c r="H190" s="44" t="str">
        <f aca="false">IF($B190="","",IF($D190="Income","",IF($F190&lt;&gt;"",$F190,$E190)))</f>
        <v/>
      </c>
      <c r="I190" s="45" t="str">
        <f aca="false">IF($B190="","",$I$181+SUMIFS($G$183:$G$199,$M$183:$M$199,"&lt;="&amp;$M190)-SUMIFS($H$183:$H$199,$M$183:$M$199,"&lt;="&amp;$M190))</f>
        <v/>
      </c>
      <c r="J190" s="46" t="str">
        <f aca="true">IF($B190="","",IF($F190&lt;&gt;"",IF($C190&gt;TODAY(),"ADJUSTED","PAID"),IF($C190&lt;TODAY(),"PAST DUE",IF($C190&lt;=TODAY()+7,"DUE","Upcoming"))))</f>
        <v/>
      </c>
      <c r="L190" s="0" t="str">
        <f aca="false">IF($B190="","",$C190)</f>
        <v/>
      </c>
      <c r="M190" s="0" t="str">
        <f aca="false">IF($L190="","",COUNTIFS($L$183:$L$199,"&lt;"&amp;$L190)+COUNTIFS($L$183:$L190,$L190))</f>
        <v/>
      </c>
    </row>
    <row r="191" customFormat="false" ht="15" hidden="false" customHeight="false" outlineLevel="0" collapsed="false">
      <c r="B191" s="38" t="str">
        <f aca="false">IFERROR(INDEX(Schedule!$C$4:$C$483,MATCH(9009,Schedule!$K$4:$K$483,0)),"")</f>
        <v/>
      </c>
      <c r="C191" s="39" t="str">
        <f aca="false">IF($B191="","",INDEX(Schedule!$G$4:$G$483,MATCH(9009,Schedule!$K$4:$K$483,0)))</f>
        <v/>
      </c>
      <c r="D191" s="40" t="str">
        <f aca="false">IF($B191="","",INDEX(Schedule!$D$4:$D$483,MATCH(9009,Schedule!$K$4:$K$483,0)))</f>
        <v/>
      </c>
      <c r="E191" s="41" t="str">
        <f aca="false">IF($B191="","",INDEX(Schedule!$E$4:$E$483,MATCH(9009,Schedule!$K$4:$K$483,0)))</f>
        <v/>
      </c>
      <c r="F191" s="42"/>
      <c r="G191" s="43" t="str">
        <f aca="false">IF($B191="","",IF($D191="Income",IF($F191&lt;&gt;"",$F191,$E191),""))</f>
        <v/>
      </c>
      <c r="H191" s="44" t="str">
        <f aca="false">IF($B191="","",IF($D191="Income","",IF($F191&lt;&gt;"",$F191,$E191)))</f>
        <v/>
      </c>
      <c r="I191" s="45" t="str">
        <f aca="false">IF($B191="","",$I$181+SUMIFS($G$183:$G$199,$M$183:$M$199,"&lt;="&amp;$M191)-SUMIFS($H$183:$H$199,$M$183:$M$199,"&lt;="&amp;$M191))</f>
        <v/>
      </c>
      <c r="J191" s="46" t="str">
        <f aca="true">IF($B191="","",IF($F191&lt;&gt;"",IF($C191&gt;TODAY(),"ADJUSTED","PAID"),IF($C191&lt;TODAY(),"PAST DUE",IF($C191&lt;=TODAY()+7,"DUE","Upcoming"))))</f>
        <v/>
      </c>
      <c r="L191" s="0" t="str">
        <f aca="false">IF($B191="","",$C191)</f>
        <v/>
      </c>
      <c r="M191" s="0" t="str">
        <f aca="false">IF($L191="","",COUNTIFS($L$183:$L$199,"&lt;"&amp;$L191)+COUNTIFS($L$183:$L191,$L191))</f>
        <v/>
      </c>
    </row>
    <row r="192" customFormat="false" ht="15" hidden="false" customHeight="false" outlineLevel="0" collapsed="false">
      <c r="B192" s="38" t="str">
        <f aca="false">IFERROR(INDEX(Schedule!$C$4:$C$483,MATCH(9010,Schedule!$K$4:$K$483,0)),"")</f>
        <v/>
      </c>
      <c r="C192" s="39" t="str">
        <f aca="false">IF($B192="","",INDEX(Schedule!$G$4:$G$483,MATCH(9010,Schedule!$K$4:$K$483,0)))</f>
        <v/>
      </c>
      <c r="D192" s="40" t="str">
        <f aca="false">IF($B192="","",INDEX(Schedule!$D$4:$D$483,MATCH(9010,Schedule!$K$4:$K$483,0)))</f>
        <v/>
      </c>
      <c r="E192" s="41" t="str">
        <f aca="false">IF($B192="","",INDEX(Schedule!$E$4:$E$483,MATCH(9010,Schedule!$K$4:$K$483,0)))</f>
        <v/>
      </c>
      <c r="F192" s="42"/>
      <c r="G192" s="43" t="str">
        <f aca="false">IF($B192="","",IF($D192="Income",IF($F192&lt;&gt;"",$F192,$E192),""))</f>
        <v/>
      </c>
      <c r="H192" s="44" t="str">
        <f aca="false">IF($B192="","",IF($D192="Income","",IF($F192&lt;&gt;"",$F192,$E192)))</f>
        <v/>
      </c>
      <c r="I192" s="45" t="str">
        <f aca="false">IF($B192="","",$I$181+SUMIFS($G$183:$G$199,$M$183:$M$199,"&lt;="&amp;$M192)-SUMIFS($H$183:$H$199,$M$183:$M$199,"&lt;="&amp;$M192))</f>
        <v/>
      </c>
      <c r="J192" s="46" t="str">
        <f aca="true">IF($B192="","",IF($F192&lt;&gt;"",IF($C192&gt;TODAY(),"ADJUSTED","PAID"),IF($C192&lt;TODAY(),"PAST DUE",IF($C192&lt;=TODAY()+7,"DUE","Upcoming"))))</f>
        <v/>
      </c>
      <c r="L192" s="0" t="str">
        <f aca="false">IF($B192="","",$C192)</f>
        <v/>
      </c>
      <c r="M192" s="0" t="str">
        <f aca="false">IF($L192="","",COUNTIFS($L$183:$L$199,"&lt;"&amp;$L192)+COUNTIFS($L$183:$L192,$L192))</f>
        <v/>
      </c>
    </row>
    <row r="193" customFormat="false" ht="15" hidden="false" customHeight="false" outlineLevel="0" collapsed="false">
      <c r="B193" s="48" t="s">
        <v>127</v>
      </c>
      <c r="C193" s="49"/>
      <c r="D193" s="49"/>
      <c r="E193" s="49"/>
      <c r="F193" s="49"/>
      <c r="G193" s="49"/>
      <c r="H193" s="49"/>
      <c r="I193" s="49"/>
      <c r="J193" s="49"/>
    </row>
    <row r="194" customFormat="false" ht="15" hidden="false" customHeight="false" outlineLevel="0" collapsed="false">
      <c r="B194" s="6"/>
      <c r="C194" s="50"/>
      <c r="D194" s="51" t="str">
        <f aca="false">IF($B194="","","Expense")</f>
        <v/>
      </c>
      <c r="E194" s="18"/>
      <c r="F194" s="10"/>
      <c r="G194" s="10"/>
      <c r="H194" s="52" t="str">
        <f aca="false">IF($B194="","",N($E194))</f>
        <v/>
      </c>
      <c r="I194" s="53" t="str">
        <f aca="false">IF($B194="","",$I$181+SUMIFS($G$183:$G$199,$M$183:$M$199,"&lt;="&amp;$M194)-SUMIFS($H$183:$H$199,$M$183:$M$199,"&lt;="&amp;$M194))</f>
        <v/>
      </c>
      <c r="J194" s="10"/>
      <c r="L194" s="0" t="str">
        <f aca="false">IF($B194="","",IF($C194="",$E$6+62,$C194))</f>
        <v/>
      </c>
      <c r="M194" s="0" t="str">
        <f aca="false">IF($L194="","",COUNTIFS($L$183:$L$199,"&lt;"&amp;$L194)+COUNTIFS($L$183:$L194,$L194))</f>
        <v/>
      </c>
    </row>
    <row r="195" customFormat="false" ht="15" hidden="false" customHeight="false" outlineLevel="0" collapsed="false">
      <c r="B195" s="6"/>
      <c r="C195" s="50"/>
      <c r="D195" s="51" t="str">
        <f aca="false">IF($B195="","","Expense")</f>
        <v/>
      </c>
      <c r="E195" s="18"/>
      <c r="F195" s="10"/>
      <c r="G195" s="10"/>
      <c r="H195" s="52" t="str">
        <f aca="false">IF($B195="","",N($E195))</f>
        <v/>
      </c>
      <c r="I195" s="53" t="str">
        <f aca="false">IF($B195="","",$I$181+SUMIFS($G$183:$G$199,$M$183:$M$199,"&lt;="&amp;$M195)-SUMIFS($H$183:$H$199,$M$183:$M$199,"&lt;="&amp;$M195))</f>
        <v/>
      </c>
      <c r="J195" s="10"/>
      <c r="L195" s="0" t="str">
        <f aca="false">IF($B195="","",IF($C195="",$E$6+62,$C195))</f>
        <v/>
      </c>
      <c r="M195" s="0" t="str">
        <f aca="false">IF($L195="","",COUNTIFS($L$183:$L$199,"&lt;"&amp;$L195)+COUNTIFS($L$183:$L195,$L195))</f>
        <v/>
      </c>
    </row>
    <row r="196" customFormat="false" ht="15" hidden="false" customHeight="false" outlineLevel="0" collapsed="false">
      <c r="B196" s="6"/>
      <c r="C196" s="50"/>
      <c r="D196" s="51" t="str">
        <f aca="false">IF($B196="","","Expense")</f>
        <v/>
      </c>
      <c r="E196" s="18"/>
      <c r="F196" s="10"/>
      <c r="G196" s="10"/>
      <c r="H196" s="52" t="str">
        <f aca="false">IF($B196="","",N($E196))</f>
        <v/>
      </c>
      <c r="I196" s="53" t="str">
        <f aca="false">IF($B196="","",$I$181+SUMIFS($G$183:$G$199,$M$183:$M$199,"&lt;="&amp;$M196)-SUMIFS($H$183:$H$199,$M$183:$M$199,"&lt;="&amp;$M196))</f>
        <v/>
      </c>
      <c r="J196" s="10"/>
      <c r="L196" s="0" t="str">
        <f aca="false">IF($B196="","",IF($C196="",$E$6+62,$C196))</f>
        <v/>
      </c>
      <c r="M196" s="0" t="str">
        <f aca="false">IF($L196="","",COUNTIFS($L$183:$L$199,"&lt;"&amp;$L196)+COUNTIFS($L$183:$L196,$L196))</f>
        <v/>
      </c>
    </row>
    <row r="197" customFormat="false" ht="15" hidden="false" customHeight="false" outlineLevel="0" collapsed="false">
      <c r="B197" s="6"/>
      <c r="C197" s="50"/>
      <c r="D197" s="51" t="str">
        <f aca="false">IF($B197="","","Expense")</f>
        <v/>
      </c>
      <c r="E197" s="18"/>
      <c r="F197" s="10"/>
      <c r="G197" s="10"/>
      <c r="H197" s="52" t="str">
        <f aca="false">IF($B197="","",N($E197))</f>
        <v/>
      </c>
      <c r="I197" s="53" t="str">
        <f aca="false">IF($B197="","",$I$181+SUMIFS($G$183:$G$199,$M$183:$M$199,"&lt;="&amp;$M197)-SUMIFS($H$183:$H$199,$M$183:$M$199,"&lt;="&amp;$M197))</f>
        <v/>
      </c>
      <c r="J197" s="10"/>
      <c r="L197" s="0" t="str">
        <f aca="false">IF($B197="","",IF($C197="",$E$6+62,$C197))</f>
        <v/>
      </c>
      <c r="M197" s="0" t="str">
        <f aca="false">IF($L197="","",COUNTIFS($L$183:$L$199,"&lt;"&amp;$L197)+COUNTIFS($L$183:$L197,$L197))</f>
        <v/>
      </c>
    </row>
    <row r="198" customFormat="false" ht="15" hidden="false" customHeight="false" outlineLevel="0" collapsed="false">
      <c r="B198" s="6"/>
      <c r="C198" s="50"/>
      <c r="D198" s="51" t="str">
        <f aca="false">IF($B198="","","Expense")</f>
        <v/>
      </c>
      <c r="E198" s="18"/>
      <c r="F198" s="10"/>
      <c r="G198" s="10"/>
      <c r="H198" s="52" t="str">
        <f aca="false">IF($B198="","",N($E198))</f>
        <v/>
      </c>
      <c r="I198" s="53" t="str">
        <f aca="false">IF($B198="","",$I$181+SUMIFS($G$183:$G$199,$M$183:$M$199,"&lt;="&amp;$M198)-SUMIFS($H$183:$H$199,$M$183:$M$199,"&lt;="&amp;$M198))</f>
        <v/>
      </c>
      <c r="J198" s="10"/>
      <c r="L198" s="0" t="str">
        <f aca="false">IF($B198="","",IF($C198="",$E$6+62,$C198))</f>
        <v/>
      </c>
      <c r="M198" s="0" t="str">
        <f aca="false">IF($L198="","",COUNTIFS($L$183:$L$199,"&lt;"&amp;$L198)+COUNTIFS($L$183:$L198,$L198))</f>
        <v/>
      </c>
    </row>
    <row r="199" customFormat="false" ht="15" hidden="false" customHeight="false" outlineLevel="0" collapsed="false">
      <c r="B199" s="6"/>
      <c r="C199" s="50"/>
      <c r="D199" s="51" t="str">
        <f aca="false">IF($B199="","","Expense")</f>
        <v/>
      </c>
      <c r="E199" s="18"/>
      <c r="F199" s="10"/>
      <c r="G199" s="10"/>
      <c r="H199" s="52" t="str">
        <f aca="false">IF($B199="","",N($E199))</f>
        <v/>
      </c>
      <c r="I199" s="53" t="str">
        <f aca="false">IF($B199="","",$I$181+SUMIFS($G$183:$G$199,$M$183:$M$199,"&lt;="&amp;$M199)-SUMIFS($H$183:$H$199,$M$183:$M$199,"&lt;="&amp;$M199))</f>
        <v/>
      </c>
      <c r="J199" s="10"/>
      <c r="L199" s="0" t="str">
        <f aca="false">IF($B199="","",IF($C199="",$E$6+62,$C199))</f>
        <v/>
      </c>
      <c r="M199" s="0" t="str">
        <f aca="false">IF($L199="","",COUNTIFS($L$183:$L$199,"&lt;"&amp;$L199)+COUNTIFS($L$183:$L199,$L199))</f>
        <v/>
      </c>
    </row>
    <row r="200" customFormat="false" ht="15" hidden="false" customHeight="false" outlineLevel="0" collapsed="false">
      <c r="B200" s="54" t="s">
        <v>142</v>
      </c>
      <c r="C200" s="55"/>
      <c r="D200" s="55"/>
      <c r="E200" s="55"/>
      <c r="F200" s="55"/>
      <c r="G200" s="56" t="n">
        <f aca="false">SUM($G$183:$G$199)</f>
        <v>880</v>
      </c>
      <c r="H200" s="56" t="n">
        <f aca="false">SUM($H$183:$H$199)</f>
        <v>556.09</v>
      </c>
      <c r="I200" s="57" t="n">
        <f aca="false">$I$181+$G$200-$H$200</f>
        <v>3251.45</v>
      </c>
      <c r="J200" s="58" t="str">
        <f aca="false">IF($I$200&lt;0,"SHORTFALL",IF($I$200&lt;$E$7,"TIGHT","OK"))</f>
        <v>OK</v>
      </c>
      <c r="K200" s="59" t="str">
        <f aca="false">IF(COUNT($I$183:$I$199)=0,"","Lowest point this week: "&amp;TEXT(MIN($I$183:$I$199),"$#,##0.00;-$#,##0.00")&amp;" on "&amp;TEXT(INDEX($C$183:$C$199,MATCH(MIN($I$183:$I$199),$I$183:$I$199,0)),"ddd mmm d")&amp;"     (in "&amp;TEXT($G$200,"$#,##0.00")&amp;", out "&amp;TEXT($H$200,"$#,##0.00")&amp;")")</f>
        <v>Lowest point this week: $3,251.45 on Wed Oct 7     (in $880.00, out $556.09)</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120</v>
      </c>
      <c r="H202" s="32"/>
      <c r="I202" s="34" t="n">
        <f aca="false">$I$200</f>
        <v>3251.45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121</v>
      </c>
      <c r="C203" s="35" t="s">
        <v>122</v>
      </c>
      <c r="D203" s="35" t="s">
        <v>72</v>
      </c>
      <c r="E203" s="35" t="s">
        <v>123</v>
      </c>
      <c r="F203" s="35" t="s">
        <v>124</v>
      </c>
      <c r="G203" s="36" t="s">
        <v>18</v>
      </c>
      <c r="H203" s="37" t="s">
        <v>20</v>
      </c>
      <c r="I203" s="35" t="s">
        <v>125</v>
      </c>
      <c r="J203" s="35" t="s">
        <v>126</v>
      </c>
    </row>
    <row r="204" customFormat="false" ht="15" hidden="false" customHeight="false" outlineLevel="0" collapsed="false">
      <c r="B204" s="38" t="str">
        <f aca="false">IFERROR(INDEX(Schedule!$C$4:$C$483,MATCH(10001,Schedule!$K$4:$K$483,0)),"")</f>
        <v>Compunnel Software (paycheck)</v>
      </c>
      <c r="C204" s="39" t="n">
        <f aca="false">IF($B204="","",INDEX(Schedule!$G$4:$G$483,MATCH(10001,Schedule!$K$4:$K$483,0)))</f>
        <v>46304</v>
      </c>
      <c r="D204" s="40" t="str">
        <f aca="false">IF($B204="","",INDEX(Schedule!$D$4:$D$483,MATCH(10001,Schedule!$K$4:$K$483,0)))</f>
        <v>Income</v>
      </c>
      <c r="E204" s="41" t="n">
        <f aca="false">IF($B204="","",INDEX(Schedule!$E$4:$E$483,MATCH(10001,Schedule!$K$4:$K$483,0)))</f>
        <v>790</v>
      </c>
      <c r="F204" s="42"/>
      <c r="G204" s="43" t="n">
        <f aca="false">IF($B204="","",IF($D204="Income",IF($F204&lt;&gt;"",$F204,$E204),""))</f>
        <v>790</v>
      </c>
      <c r="H204" s="44" t="str">
        <f aca="false">IF($B204="","",IF($D204="Income","",IF($F204&lt;&gt;"",$F204,$E204)))</f>
        <v/>
      </c>
      <c r="I204" s="45" t="n">
        <f aca="false">IF($B204="","",$I$202+SUMIFS($G$204:$G$220,$M$204:$M$220,"&lt;="&amp;$M204)-SUMIFS($H$204:$H$220,$M$204:$M$220,"&lt;="&amp;$M204))</f>
        <v>4041.45</v>
      </c>
      <c r="J204" s="46" t="str">
        <f aca="true">IF($B204="","",IF($F204&lt;&gt;"",IF($C204&gt;TODAY(),"ADJUSTED","PAID"),IF($C204&lt;TODAY(),"PAST DUE",IF($C204&lt;=TODAY()+7,"DUE","Upcoming"))))</f>
        <v>Upcoming</v>
      </c>
      <c r="L204" s="47" t="n">
        <f aca="false">IF($B204="","",$C204)</f>
        <v>46304</v>
      </c>
      <c r="M204" s="0" t="n">
        <f aca="false">IF($L204="","",COUNTIFS($L$204:$L$220,"&lt;"&amp;$L204)+COUNTIFS($L$204:$L204,$L204))</f>
        <v>1</v>
      </c>
    </row>
    <row r="205" customFormat="false" ht="15" hidden="false" customHeight="false" outlineLevel="0" collapsed="false">
      <c r="B205" s="38" t="str">
        <f aca="false">IFERROR(INDEX(Schedule!$C$4:$C$483,MATCH(10002,Schedule!$K$4:$K$483,0)),"")</f>
        <v>Central Maine Power Co.</v>
      </c>
      <c r="C205" s="39" t="n">
        <f aca="false">IF($B205="","",INDEX(Schedule!$G$4:$G$483,MATCH(10002,Schedule!$K$4:$K$483,0)))</f>
        <v>46305</v>
      </c>
      <c r="D205" s="40" t="str">
        <f aca="false">IF($B205="","",INDEX(Schedule!$D$4:$D$483,MATCH(10002,Schedule!$K$4:$K$483,0)))</f>
        <v>Expense</v>
      </c>
      <c r="E205" s="41" t="n">
        <f aca="false">IF($B205="","",INDEX(Schedule!$E$4:$E$483,MATCH(10002,Schedule!$K$4:$K$483,0)))</f>
        <v>163.5</v>
      </c>
      <c r="F205" s="42"/>
      <c r="G205" s="43" t="str">
        <f aca="false">IF($B205="","",IF($D205="Income",IF($F205&lt;&gt;"",$F205,$E205),""))</f>
        <v/>
      </c>
      <c r="H205" s="44" t="n">
        <f aca="false">IF($B205="","",IF($D205="Income","",IF($F205&lt;&gt;"",$F205,$E205)))</f>
        <v>163.5</v>
      </c>
      <c r="I205" s="45" t="n">
        <f aca="false">IF($B205="","",$I$202+SUMIFS($G$204:$G$220,$M$204:$M$220,"&lt;="&amp;$M205)-SUMIFS($H$204:$H$220,$M$204:$M$220,"&lt;="&amp;$M205))</f>
        <v>3877.95</v>
      </c>
      <c r="J205" s="46" t="str">
        <f aca="true">IF($B205="","",IF($F205&lt;&gt;"",IF($C205&gt;TODAY(),"ADJUSTED","PAID"),IF($C205&lt;TODAY(),"PAST DUE",IF($C205&lt;=TODAY()+7,"DUE","Upcoming"))))</f>
        <v>Upcoming</v>
      </c>
      <c r="L205" s="47" t="n">
        <f aca="false">IF($B205="","",$C205)</f>
        <v>46305</v>
      </c>
      <c r="M205" s="0" t="n">
        <f aca="false">IF($L205="","",COUNTIFS($L$204:$L$220,"&lt;"&amp;$L205)+COUNTIFS($L$204:$L205,$L205))</f>
        <v>2</v>
      </c>
    </row>
    <row r="206" customFormat="false" ht="15" hidden="false" customHeight="false" outlineLevel="0" collapsed="false">
      <c r="B206" s="38" t="str">
        <f aca="false">IFERROR(INDEX(Schedule!$C$4:$C$483,MATCH(10003,Schedule!$K$4:$K$483,0)),"")</f>
        <v>Apple: iCloud</v>
      </c>
      <c r="C206" s="39" t="n">
        <f aca="false">IF($B206="","",INDEX(Schedule!$G$4:$G$483,MATCH(10003,Schedule!$K$4:$K$483,0)))</f>
        <v>46308</v>
      </c>
      <c r="D206" s="40" t="str">
        <f aca="false">IF($B206="","",INDEX(Schedule!$D$4:$D$483,MATCH(10003,Schedule!$K$4:$K$483,0)))</f>
        <v>Expense</v>
      </c>
      <c r="E206" s="41" t="n">
        <f aca="false">IF($B206="","",INDEX(Schedule!$E$4:$E$483,MATCH(10003,Schedule!$K$4:$K$483,0)))</f>
        <v>2.99</v>
      </c>
      <c r="F206" s="42"/>
      <c r="G206" s="43" t="str">
        <f aca="false">IF($B206="","",IF($D206="Income",IF($F206&lt;&gt;"",$F206,$E206),""))</f>
        <v/>
      </c>
      <c r="H206" s="44" t="n">
        <f aca="false">IF($B206="","",IF($D206="Income","",IF($F206&lt;&gt;"",$F206,$E206)))</f>
        <v>2.99</v>
      </c>
      <c r="I206" s="45" t="n">
        <f aca="false">IF($B206="","",$I$202+SUMIFS($G$204:$G$220,$M$204:$M$220,"&lt;="&amp;$M206)-SUMIFS($H$204:$H$220,$M$204:$M$220,"&lt;="&amp;$M206))</f>
        <v>3874.96</v>
      </c>
      <c r="J206" s="46" t="str">
        <f aca="true">IF($B206="","",IF($F206&lt;&gt;"",IF($C206&gt;TODAY(),"ADJUSTED","PAID"),IF($C206&lt;TODAY(),"PAST DUE",IF($C206&lt;=TODAY()+7,"DUE","Upcoming"))))</f>
        <v>Upcoming</v>
      </c>
      <c r="L206" s="47" t="n">
        <f aca="false">IF($B206="","",$C206)</f>
        <v>46308</v>
      </c>
      <c r="M206" s="0" t="n">
        <f aca="false">IF($L206="","",COUNTIFS($L$204:$L$220,"&lt;"&amp;$L206)+COUNTIFS($L$204:$L206,$L206))</f>
        <v>3</v>
      </c>
    </row>
    <row r="207" customFormat="false" ht="15" hidden="false" customHeight="false" outlineLevel="0" collapsed="false">
      <c r="B207" s="38" t="str">
        <f aca="false">IFERROR(INDEX(Schedule!$C$4:$C$483,MATCH(10004,Schedule!$K$4:$K$483,0)),"")</f>
        <v>Bruno's Restaurant (paycheck)</v>
      </c>
      <c r="C207" s="39" t="n">
        <f aca="false">IF($B207="","",INDEX(Schedule!$G$4:$G$483,MATCH(10004,Schedule!$K$4:$K$483,0)))</f>
        <v>46309</v>
      </c>
      <c r="D207" s="40" t="str">
        <f aca="false">IF($B207="","",INDEX(Schedule!$D$4:$D$483,MATCH(10004,Schedule!$K$4:$K$483,0)))</f>
        <v>Income</v>
      </c>
      <c r="E207" s="41" t="n">
        <f aca="false">IF($B207="","",INDEX(Schedule!$E$4:$E$483,MATCH(10004,Schedule!$K$4:$K$483,0)))</f>
        <v>90</v>
      </c>
      <c r="F207" s="42"/>
      <c r="G207" s="43" t="n">
        <f aca="false">IF($B207="","",IF($D207="Income",IF($F207&lt;&gt;"",$F207,$E207),""))</f>
        <v>90</v>
      </c>
      <c r="H207" s="44" t="str">
        <f aca="false">IF($B207="","",IF($D207="Income","",IF($F207&lt;&gt;"",$F207,$E207)))</f>
        <v/>
      </c>
      <c r="I207" s="45" t="n">
        <f aca="false">IF($B207="","",$I$202+SUMIFS($G$204:$G$220,$M$204:$M$220,"&lt;="&amp;$M207)-SUMIFS($H$204:$H$220,$M$204:$M$220,"&lt;="&amp;$M207))</f>
        <v>3964.96</v>
      </c>
      <c r="J207" s="46" t="str">
        <f aca="true">IF($B207="","",IF($F207&lt;&gt;"",IF($C207&gt;TODAY(),"ADJUSTED","PAID"),IF($C207&lt;TODAY(),"PAST DUE",IF($C207&lt;=TODAY()+7,"DUE","Upcoming"))))</f>
        <v>Upcoming</v>
      </c>
      <c r="L207" s="47" t="n">
        <f aca="false">IF($B207="","",$C207)</f>
        <v>46309</v>
      </c>
      <c r="M207" s="0" t="n">
        <f aca="false">IF($L207="","",COUNTIFS($L$204:$L$220,"&lt;"&amp;$L207)+COUNTIFS($L$204:$L207,$L207))</f>
        <v>4</v>
      </c>
    </row>
    <row r="208" customFormat="false" ht="15" hidden="false" customHeight="false" outlineLevel="0" collapsed="false">
      <c r="B208" s="38" t="str">
        <f aca="false">IFERROR(INDEX(Schedule!$C$4:$C$483,MATCH(10005,Schedule!$K$4:$K$483,0)),"")</f>
        <v>Patrick Rombalski (rent)</v>
      </c>
      <c r="C208" s="39" t="n">
        <f aca="false">IF($B208="","",INDEX(Schedule!$G$4:$G$483,MATCH(10005,Schedule!$K$4:$K$483,0)))</f>
        <v>46310</v>
      </c>
      <c r="D208" s="40" t="str">
        <f aca="false">IF($B208="","",INDEX(Schedule!$D$4:$D$483,MATCH(10005,Schedule!$K$4:$K$483,0)))</f>
        <v>Expense</v>
      </c>
      <c r="E208" s="41" t="n">
        <f aca="false">IF($B208="","",INDEX(Schedule!$E$4:$E$483,MATCH(10005,Schedule!$K$4:$K$483,0)))</f>
        <v>350</v>
      </c>
      <c r="F208" s="42"/>
      <c r="G208" s="43" t="str">
        <f aca="false">IF($B208="","",IF($D208="Income",IF($F208&lt;&gt;"",$F208,$E208),""))</f>
        <v/>
      </c>
      <c r="H208" s="44" t="n">
        <f aca="false">IF($B208="","",IF($D208="Income","",IF($F208&lt;&gt;"",$F208,$E208)))</f>
        <v>350</v>
      </c>
      <c r="I208" s="45" t="n">
        <f aca="false">IF($B208="","",$I$202+SUMIFS($G$204:$G$220,$M$204:$M$220,"&lt;="&amp;$M208)-SUMIFS($H$204:$H$220,$M$204:$M$220,"&lt;="&amp;$M208))</f>
        <v>3614.96</v>
      </c>
      <c r="J208" s="46" t="str">
        <f aca="true">IF($B208="","",IF($F208&lt;&gt;"",IF($C208&gt;TODAY(),"ADJUSTED","PAID"),IF($C208&lt;TODAY(),"PAST DUE",IF($C208&lt;=TODAY()+7,"DUE","Upcoming"))))</f>
        <v>Upcoming</v>
      </c>
      <c r="L208" s="47" t="n">
        <f aca="false">IF($B208="","",$C208)</f>
        <v>46310</v>
      </c>
      <c r="M208" s="0" t="n">
        <f aca="false">IF($L208="","",COUNTIFS($L$204:$L$220,"&lt;"&amp;$L208)+COUNTIFS($L$204:$L208,$L208))</f>
        <v>5</v>
      </c>
    </row>
    <row r="209" customFormat="false" ht="15" hidden="false" customHeight="false" outlineLevel="0" collapsed="false">
      <c r="B209" s="38" t="str">
        <f aca="false">IFERROR(INDEX(Schedule!$C$4:$C$483,MATCH(10006,Schedule!$K$4:$K$483,0)),"")</f>
        <v/>
      </c>
      <c r="C209" s="39" t="str">
        <f aca="false">IF($B209="","",INDEX(Schedule!$G$4:$G$483,MATCH(10006,Schedule!$K$4:$K$483,0)))</f>
        <v/>
      </c>
      <c r="D209" s="40" t="str">
        <f aca="false">IF($B209="","",INDEX(Schedule!$D$4:$D$483,MATCH(10006,Schedule!$K$4:$K$483,0)))</f>
        <v/>
      </c>
      <c r="E209" s="41" t="str">
        <f aca="false">IF($B209="","",INDEX(Schedule!$E$4:$E$483,MATCH(10006,Schedule!$K$4:$K$483,0)))</f>
        <v/>
      </c>
      <c r="F209" s="42"/>
      <c r="G209" s="43" t="str">
        <f aca="false">IF($B209="","",IF($D209="Income",IF($F209&lt;&gt;"",$F209,$E209),""))</f>
        <v/>
      </c>
      <c r="H209" s="44" t="str">
        <f aca="false">IF($B209="","",IF($D209="Income","",IF($F209&lt;&gt;"",$F209,$E209)))</f>
        <v/>
      </c>
      <c r="I209" s="45" t="str">
        <f aca="false">IF($B209="","",$I$202+SUMIFS($G$204:$G$220,$M$204:$M$220,"&lt;="&amp;$M209)-SUMIFS($H$204:$H$220,$M$204:$M$220,"&lt;="&amp;$M209))</f>
        <v/>
      </c>
      <c r="J209" s="46" t="str">
        <f aca="true">IF($B209="","",IF($F209&lt;&gt;"",IF($C209&gt;TODAY(),"ADJUSTED","PAID"),IF($C209&lt;TODAY(),"PAST DUE",IF($C209&lt;=TODAY()+7,"DUE","Upcoming"))))</f>
        <v/>
      </c>
      <c r="L209" s="0" t="str">
        <f aca="false">IF($B209="","",$C209)</f>
        <v/>
      </c>
      <c r="M209" s="0" t="str">
        <f aca="false">IF($L209="","",COUNTIFS($L$204:$L$220,"&lt;"&amp;$L209)+COUNTIFS($L$204:$L209,$L209))</f>
        <v/>
      </c>
    </row>
    <row r="210" customFormat="false" ht="15" hidden="false" customHeight="false" outlineLevel="0" collapsed="false">
      <c r="B210" s="38" t="str">
        <f aca="false">IFERROR(INDEX(Schedule!$C$4:$C$483,MATCH(10007,Schedule!$K$4:$K$483,0)),"")</f>
        <v/>
      </c>
      <c r="C210" s="39" t="str">
        <f aca="false">IF($B210="","",INDEX(Schedule!$G$4:$G$483,MATCH(10007,Schedule!$K$4:$K$483,0)))</f>
        <v/>
      </c>
      <c r="D210" s="40" t="str">
        <f aca="false">IF($B210="","",INDEX(Schedule!$D$4:$D$483,MATCH(10007,Schedule!$K$4:$K$483,0)))</f>
        <v/>
      </c>
      <c r="E210" s="41" t="str">
        <f aca="false">IF($B210="","",INDEX(Schedule!$E$4:$E$483,MATCH(10007,Schedule!$K$4:$K$483,0)))</f>
        <v/>
      </c>
      <c r="F210" s="42"/>
      <c r="G210" s="43" t="str">
        <f aca="false">IF($B210="","",IF($D210="Income",IF($F210&lt;&gt;"",$F210,$E210),""))</f>
        <v/>
      </c>
      <c r="H210" s="44" t="str">
        <f aca="false">IF($B210="","",IF($D210="Income","",IF($F210&lt;&gt;"",$F210,$E210)))</f>
        <v/>
      </c>
      <c r="I210" s="45" t="str">
        <f aca="false">IF($B210="","",$I$202+SUMIFS($G$204:$G$220,$M$204:$M$220,"&lt;="&amp;$M210)-SUMIFS($H$204:$H$220,$M$204:$M$220,"&lt;="&amp;$M210))</f>
        <v/>
      </c>
      <c r="J210" s="46" t="str">
        <f aca="true">IF($B210="","",IF($F210&lt;&gt;"",IF($C210&gt;TODAY(),"ADJUSTED","PAID"),IF($C210&lt;TODAY(),"PAST DUE",IF($C210&lt;=TODAY()+7,"DUE","Upcoming"))))</f>
        <v/>
      </c>
      <c r="L210" s="0" t="str">
        <f aca="false">IF($B210="","",$C210)</f>
        <v/>
      </c>
      <c r="M210" s="0" t="str">
        <f aca="false">IF($L210="","",COUNTIFS($L$204:$L$220,"&lt;"&amp;$L210)+COUNTIFS($L$204:$L210,$L210))</f>
        <v/>
      </c>
    </row>
    <row r="211" customFormat="false" ht="15" hidden="false" customHeight="false" outlineLevel="0" collapsed="false">
      <c r="B211" s="38" t="str">
        <f aca="false">IFERROR(INDEX(Schedule!$C$4:$C$483,MATCH(10008,Schedule!$K$4:$K$483,0)),"")</f>
        <v/>
      </c>
      <c r="C211" s="39" t="str">
        <f aca="false">IF($B211="","",INDEX(Schedule!$G$4:$G$483,MATCH(10008,Schedule!$K$4:$K$483,0)))</f>
        <v/>
      </c>
      <c r="D211" s="40" t="str">
        <f aca="false">IF($B211="","",INDEX(Schedule!$D$4:$D$483,MATCH(10008,Schedule!$K$4:$K$483,0)))</f>
        <v/>
      </c>
      <c r="E211" s="41" t="str">
        <f aca="false">IF($B211="","",INDEX(Schedule!$E$4:$E$483,MATCH(10008,Schedule!$K$4:$K$483,0)))</f>
        <v/>
      </c>
      <c r="F211" s="42"/>
      <c r="G211" s="43" t="str">
        <f aca="false">IF($B211="","",IF($D211="Income",IF($F211&lt;&gt;"",$F211,$E211),""))</f>
        <v/>
      </c>
      <c r="H211" s="44" t="str">
        <f aca="false">IF($B211="","",IF($D211="Income","",IF($F211&lt;&gt;"",$F211,$E211)))</f>
        <v/>
      </c>
      <c r="I211" s="45" t="str">
        <f aca="false">IF($B211="","",$I$202+SUMIFS($G$204:$G$220,$M$204:$M$220,"&lt;="&amp;$M211)-SUMIFS($H$204:$H$220,$M$204:$M$220,"&lt;="&amp;$M211))</f>
        <v/>
      </c>
      <c r="J211" s="46" t="str">
        <f aca="true">IF($B211="","",IF($F211&lt;&gt;"",IF($C211&gt;TODAY(),"ADJUSTED","PAID"),IF($C211&lt;TODAY(),"PAST DUE",IF($C211&lt;=TODAY()+7,"DUE","Upcoming"))))</f>
        <v/>
      </c>
      <c r="L211" s="0" t="str">
        <f aca="false">IF($B211="","",$C211)</f>
        <v/>
      </c>
      <c r="M211" s="0" t="str">
        <f aca="false">IF($L211="","",COUNTIFS($L$204:$L$220,"&lt;"&amp;$L211)+COUNTIFS($L$204:$L211,$L211))</f>
        <v/>
      </c>
    </row>
    <row r="212" customFormat="false" ht="15" hidden="false" customHeight="false" outlineLevel="0" collapsed="false">
      <c r="B212" s="38" t="str">
        <f aca="false">IFERROR(INDEX(Schedule!$C$4:$C$483,MATCH(10009,Schedule!$K$4:$K$483,0)),"")</f>
        <v/>
      </c>
      <c r="C212" s="39" t="str">
        <f aca="false">IF($B212="","",INDEX(Schedule!$G$4:$G$483,MATCH(10009,Schedule!$K$4:$K$483,0)))</f>
        <v/>
      </c>
      <c r="D212" s="40" t="str">
        <f aca="false">IF($B212="","",INDEX(Schedule!$D$4:$D$483,MATCH(10009,Schedule!$K$4:$K$483,0)))</f>
        <v/>
      </c>
      <c r="E212" s="41" t="str">
        <f aca="false">IF($B212="","",INDEX(Schedule!$E$4:$E$483,MATCH(10009,Schedule!$K$4:$K$483,0)))</f>
        <v/>
      </c>
      <c r="F212" s="42"/>
      <c r="G212" s="43" t="str">
        <f aca="false">IF($B212="","",IF($D212="Income",IF($F212&lt;&gt;"",$F212,$E212),""))</f>
        <v/>
      </c>
      <c r="H212" s="44" t="str">
        <f aca="false">IF($B212="","",IF($D212="Income","",IF($F212&lt;&gt;"",$F212,$E212)))</f>
        <v/>
      </c>
      <c r="I212" s="45" t="str">
        <f aca="false">IF($B212="","",$I$202+SUMIFS($G$204:$G$220,$M$204:$M$220,"&lt;="&amp;$M212)-SUMIFS($H$204:$H$220,$M$204:$M$220,"&lt;="&amp;$M212))</f>
        <v/>
      </c>
      <c r="J212" s="46" t="str">
        <f aca="true">IF($B212="","",IF($F212&lt;&gt;"",IF($C212&gt;TODAY(),"ADJUSTED","PAID"),IF($C212&lt;TODAY(),"PAST DUE",IF($C212&lt;=TODAY()+7,"DUE","Upcoming"))))</f>
        <v/>
      </c>
      <c r="L212" s="0" t="str">
        <f aca="false">IF($B212="","",$C212)</f>
        <v/>
      </c>
      <c r="M212" s="0" t="str">
        <f aca="false">IF($L212="","",COUNTIFS($L$204:$L$220,"&lt;"&amp;$L212)+COUNTIFS($L$204:$L212,$L212))</f>
        <v/>
      </c>
    </row>
    <row r="213" customFormat="false" ht="15" hidden="false" customHeight="false" outlineLevel="0" collapsed="false">
      <c r="B213" s="38" t="str">
        <f aca="false">IFERROR(INDEX(Schedule!$C$4:$C$483,MATCH(10010,Schedule!$K$4:$K$483,0)),"")</f>
        <v/>
      </c>
      <c r="C213" s="39" t="str">
        <f aca="false">IF($B213="","",INDEX(Schedule!$G$4:$G$483,MATCH(10010,Schedule!$K$4:$K$483,0)))</f>
        <v/>
      </c>
      <c r="D213" s="40" t="str">
        <f aca="false">IF($B213="","",INDEX(Schedule!$D$4:$D$483,MATCH(10010,Schedule!$K$4:$K$483,0)))</f>
        <v/>
      </c>
      <c r="E213" s="41" t="str">
        <f aca="false">IF($B213="","",INDEX(Schedule!$E$4:$E$483,MATCH(10010,Schedule!$K$4:$K$483,0)))</f>
        <v/>
      </c>
      <c r="F213" s="42"/>
      <c r="G213" s="43" t="str">
        <f aca="false">IF($B213="","",IF($D213="Income",IF($F213&lt;&gt;"",$F213,$E213),""))</f>
        <v/>
      </c>
      <c r="H213" s="44" t="str">
        <f aca="false">IF($B213="","",IF($D213="Income","",IF($F213&lt;&gt;"",$F213,$E213)))</f>
        <v/>
      </c>
      <c r="I213" s="45" t="str">
        <f aca="false">IF($B213="","",$I$202+SUMIFS($G$204:$G$220,$M$204:$M$220,"&lt;="&amp;$M213)-SUMIFS($H$204:$H$220,$M$204:$M$220,"&lt;="&amp;$M213))</f>
        <v/>
      </c>
      <c r="J213" s="46" t="str">
        <f aca="true">IF($B213="","",IF($F213&lt;&gt;"",IF($C213&gt;TODAY(),"ADJUSTED","PAID"),IF($C213&lt;TODAY(),"PAST DUE",IF($C213&lt;=TODAY()+7,"DUE","Upcoming"))))</f>
        <v/>
      </c>
      <c r="L213" s="0" t="str">
        <f aca="false">IF($B213="","",$C213)</f>
        <v/>
      </c>
      <c r="M213" s="0" t="str">
        <f aca="false">IF($L213="","",COUNTIFS($L$204:$L$220,"&lt;"&amp;$L213)+COUNTIFS($L$204:$L213,$L213))</f>
        <v/>
      </c>
    </row>
    <row r="214" customFormat="false" ht="15" hidden="false" customHeight="false" outlineLevel="0" collapsed="false">
      <c r="B214" s="48" t="s">
        <v>127</v>
      </c>
      <c r="C214" s="49"/>
      <c r="D214" s="49"/>
      <c r="E214" s="49"/>
      <c r="F214" s="49"/>
      <c r="G214" s="49"/>
      <c r="H214" s="49"/>
      <c r="I214" s="49"/>
      <c r="J214" s="49"/>
    </row>
    <row r="215" customFormat="false" ht="15" hidden="false" customHeight="false" outlineLevel="0" collapsed="false">
      <c r="B215" s="6"/>
      <c r="C215" s="50"/>
      <c r="D215" s="51" t="str">
        <f aca="false">IF($B215="","","Expense")</f>
        <v/>
      </c>
      <c r="E215" s="18"/>
      <c r="F215" s="10"/>
      <c r="G215" s="10"/>
      <c r="H215" s="52" t="str">
        <f aca="false">IF($B215="","",N($E215))</f>
        <v/>
      </c>
      <c r="I215" s="53" t="str">
        <f aca="false">IF($B215="","",$I$202+SUMIFS($G$204:$G$220,$M$204:$M$220,"&lt;="&amp;$M215)-SUMIFS($H$204:$H$220,$M$204:$M$220,"&lt;="&amp;$M215))</f>
        <v/>
      </c>
      <c r="J215" s="10"/>
      <c r="L215" s="0" t="str">
        <f aca="false">IF($B215="","",IF($C215="",$E$6+69,$C215))</f>
        <v/>
      </c>
      <c r="M215" s="0" t="str">
        <f aca="false">IF($L215="","",COUNTIFS($L$204:$L$220,"&lt;"&amp;$L215)+COUNTIFS($L$204:$L215,$L215))</f>
        <v/>
      </c>
    </row>
    <row r="216" customFormat="false" ht="15" hidden="false" customHeight="false" outlineLevel="0" collapsed="false">
      <c r="B216" s="6"/>
      <c r="C216" s="50"/>
      <c r="D216" s="51" t="str">
        <f aca="false">IF($B216="","","Expense")</f>
        <v/>
      </c>
      <c r="E216" s="18"/>
      <c r="F216" s="10"/>
      <c r="G216" s="10"/>
      <c r="H216" s="52" t="str">
        <f aca="false">IF($B216="","",N($E216))</f>
        <v/>
      </c>
      <c r="I216" s="53" t="str">
        <f aca="false">IF($B216="","",$I$202+SUMIFS($G$204:$G$220,$M$204:$M$220,"&lt;="&amp;$M216)-SUMIFS($H$204:$H$220,$M$204:$M$220,"&lt;="&amp;$M216))</f>
        <v/>
      </c>
      <c r="J216" s="10"/>
      <c r="L216" s="0" t="str">
        <f aca="false">IF($B216="","",IF($C216="",$E$6+69,$C216))</f>
        <v/>
      </c>
      <c r="M216" s="0" t="str">
        <f aca="false">IF($L216="","",COUNTIFS($L$204:$L$220,"&lt;"&amp;$L216)+COUNTIFS($L$204:$L216,$L216))</f>
        <v/>
      </c>
    </row>
    <row r="217" customFormat="false" ht="15" hidden="false" customHeight="false" outlineLevel="0" collapsed="false">
      <c r="B217" s="6"/>
      <c r="C217" s="50"/>
      <c r="D217" s="51" t="str">
        <f aca="false">IF($B217="","","Expense")</f>
        <v/>
      </c>
      <c r="E217" s="18"/>
      <c r="F217" s="10"/>
      <c r="G217" s="10"/>
      <c r="H217" s="52" t="str">
        <f aca="false">IF($B217="","",N($E217))</f>
        <v/>
      </c>
      <c r="I217" s="53" t="str">
        <f aca="false">IF($B217="","",$I$202+SUMIFS($G$204:$G$220,$M$204:$M$220,"&lt;="&amp;$M217)-SUMIFS($H$204:$H$220,$M$204:$M$220,"&lt;="&amp;$M217))</f>
        <v/>
      </c>
      <c r="J217" s="10"/>
      <c r="L217" s="0" t="str">
        <f aca="false">IF($B217="","",IF($C217="",$E$6+69,$C217))</f>
        <v/>
      </c>
      <c r="M217" s="0" t="str">
        <f aca="false">IF($L217="","",COUNTIFS($L$204:$L$220,"&lt;"&amp;$L217)+COUNTIFS($L$204:$L217,$L217))</f>
        <v/>
      </c>
    </row>
    <row r="218" customFormat="false" ht="15" hidden="false" customHeight="false" outlineLevel="0" collapsed="false">
      <c r="B218" s="6"/>
      <c r="C218" s="50"/>
      <c r="D218" s="51" t="str">
        <f aca="false">IF($B218="","","Expense")</f>
        <v/>
      </c>
      <c r="E218" s="18"/>
      <c r="F218" s="10"/>
      <c r="G218" s="10"/>
      <c r="H218" s="52" t="str">
        <f aca="false">IF($B218="","",N($E218))</f>
        <v/>
      </c>
      <c r="I218" s="53" t="str">
        <f aca="false">IF($B218="","",$I$202+SUMIFS($G$204:$G$220,$M$204:$M$220,"&lt;="&amp;$M218)-SUMIFS($H$204:$H$220,$M$204:$M$220,"&lt;="&amp;$M218))</f>
        <v/>
      </c>
      <c r="J218" s="10"/>
      <c r="L218" s="0" t="str">
        <f aca="false">IF($B218="","",IF($C218="",$E$6+69,$C218))</f>
        <v/>
      </c>
      <c r="M218" s="0" t="str">
        <f aca="false">IF($L218="","",COUNTIFS($L$204:$L$220,"&lt;"&amp;$L218)+COUNTIFS($L$204:$L218,$L218))</f>
        <v/>
      </c>
    </row>
    <row r="219" customFormat="false" ht="15" hidden="false" customHeight="false" outlineLevel="0" collapsed="false">
      <c r="B219" s="6"/>
      <c r="C219" s="50"/>
      <c r="D219" s="51" t="str">
        <f aca="false">IF($B219="","","Expense")</f>
        <v/>
      </c>
      <c r="E219" s="18"/>
      <c r="F219" s="10"/>
      <c r="G219" s="10"/>
      <c r="H219" s="52" t="str">
        <f aca="false">IF($B219="","",N($E219))</f>
        <v/>
      </c>
      <c r="I219" s="53" t="str">
        <f aca="false">IF($B219="","",$I$202+SUMIFS($G$204:$G$220,$M$204:$M$220,"&lt;="&amp;$M219)-SUMIFS($H$204:$H$220,$M$204:$M$220,"&lt;="&amp;$M219))</f>
        <v/>
      </c>
      <c r="J219" s="10"/>
      <c r="L219" s="0" t="str">
        <f aca="false">IF($B219="","",IF($C219="",$E$6+69,$C219))</f>
        <v/>
      </c>
      <c r="M219" s="0" t="str">
        <f aca="false">IF($L219="","",COUNTIFS($L$204:$L$220,"&lt;"&amp;$L219)+COUNTIFS($L$204:$L219,$L219))</f>
        <v/>
      </c>
    </row>
    <row r="220" customFormat="false" ht="15" hidden="false" customHeight="false" outlineLevel="0" collapsed="false">
      <c r="B220" s="6"/>
      <c r="C220" s="50"/>
      <c r="D220" s="51" t="str">
        <f aca="false">IF($B220="","","Expense")</f>
        <v/>
      </c>
      <c r="E220" s="18"/>
      <c r="F220" s="10"/>
      <c r="G220" s="10"/>
      <c r="H220" s="52" t="str">
        <f aca="false">IF($B220="","",N($E220))</f>
        <v/>
      </c>
      <c r="I220" s="53" t="str">
        <f aca="false">IF($B220="","",$I$202+SUMIFS($G$204:$G$220,$M$204:$M$220,"&lt;="&amp;$M220)-SUMIFS($H$204:$H$220,$M$204:$M$220,"&lt;="&amp;$M220))</f>
        <v/>
      </c>
      <c r="J220" s="10"/>
      <c r="L220" s="0" t="str">
        <f aca="false">IF($B220="","",IF($C220="",$E$6+69,$C220))</f>
        <v/>
      </c>
      <c r="M220" s="0" t="str">
        <f aca="false">IF($L220="","",COUNTIFS($L$204:$L$220,"&lt;"&amp;$L220)+COUNTIFS($L$204:$L220,$L220))</f>
        <v/>
      </c>
    </row>
    <row r="221" customFormat="false" ht="15" hidden="false" customHeight="false" outlineLevel="0" collapsed="false">
      <c r="B221" s="54" t="s">
        <v>143</v>
      </c>
      <c r="C221" s="55"/>
      <c r="D221" s="55"/>
      <c r="E221" s="55"/>
      <c r="F221" s="55"/>
      <c r="G221" s="56" t="n">
        <f aca="false">SUM($G$204:$G$220)</f>
        <v>880</v>
      </c>
      <c r="H221" s="56" t="n">
        <f aca="false">SUM($H$204:$H$220)</f>
        <v>516.49</v>
      </c>
      <c r="I221" s="57" t="n">
        <f aca="false">$I$202+$G$221-$H$221</f>
        <v>3614.96</v>
      </c>
      <c r="J221" s="58" t="str">
        <f aca="false">IF($I$221&lt;0,"SHORTFALL",IF($I$221&lt;$E$7,"TIGHT","OK"))</f>
        <v>OK</v>
      </c>
      <c r="K221" s="59" t="str">
        <f aca="false">IF(COUNT($I$204:$I$220)=0,"","Lowest point this week: "&amp;TEXT(MIN($I$204:$I$220),"$#,##0.00;-$#,##0.00")&amp;" on "&amp;TEXT(INDEX($C$204:$C$220,MATCH(MIN($I$204:$I$220),$I$204:$I$220,0)),"ddd mmm d")&amp;"     (in "&amp;TEXT($G$221,"$#,##0.00")&amp;", out "&amp;TEXT($H$221,"$#,##0.00")&amp;")")</f>
        <v>Lowest point this week: $3,614.96 on Thu Oct 15     (in $880.00, out $516.49)</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120</v>
      </c>
      <c r="H223" s="32"/>
      <c r="I223" s="34" t="n">
        <f aca="false">$I$221</f>
        <v>3614.96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121</v>
      </c>
      <c r="C224" s="35" t="s">
        <v>122</v>
      </c>
      <c r="D224" s="35" t="s">
        <v>72</v>
      </c>
      <c r="E224" s="35" t="s">
        <v>123</v>
      </c>
      <c r="F224" s="35" t="s">
        <v>124</v>
      </c>
      <c r="G224" s="36" t="s">
        <v>18</v>
      </c>
      <c r="H224" s="37" t="s">
        <v>20</v>
      </c>
      <c r="I224" s="35" t="s">
        <v>125</v>
      </c>
      <c r="J224" s="35" t="s">
        <v>126</v>
      </c>
    </row>
    <row r="225" customFormat="false" ht="15" hidden="false" customHeight="false" outlineLevel="0" collapsed="false">
      <c r="B225" s="38" t="str">
        <f aca="false">IFERROR(INDEX(Schedule!$C$4:$C$483,MATCH(11001,Schedule!$K$4:$K$483,0)),"")</f>
        <v>Compunnel Software (paycheck)</v>
      </c>
      <c r="C225" s="39" t="n">
        <f aca="false">IF($B225="","",INDEX(Schedule!$G$4:$G$483,MATCH(11001,Schedule!$K$4:$K$483,0)))</f>
        <v>46311</v>
      </c>
      <c r="D225" s="40" t="str">
        <f aca="false">IF($B225="","",INDEX(Schedule!$D$4:$D$483,MATCH(11001,Schedule!$K$4:$K$483,0)))</f>
        <v>Income</v>
      </c>
      <c r="E225" s="41" t="n">
        <f aca="false">IF($B225="","",INDEX(Schedule!$E$4:$E$483,MATCH(11001,Schedule!$K$4:$K$483,0)))</f>
        <v>790</v>
      </c>
      <c r="F225" s="42"/>
      <c r="G225" s="43" t="n">
        <f aca="false">IF($B225="","",IF($D225="Income",IF($F225&lt;&gt;"",$F225,$E225),""))</f>
        <v>790</v>
      </c>
      <c r="H225" s="44" t="str">
        <f aca="false">IF($B225="","",IF($D225="Income","",IF($F225&lt;&gt;"",$F225,$E225)))</f>
        <v/>
      </c>
      <c r="I225" s="45" t="n">
        <f aca="false">IF($B225="","",$I$223+SUMIFS($G$225:$G$241,$M$225:$M$241,"&lt;="&amp;$M225)-SUMIFS($H$225:$H$241,$M$225:$M$241,"&lt;="&amp;$M225))</f>
        <v>4404.96</v>
      </c>
      <c r="J225" s="46" t="str">
        <f aca="true">IF($B225="","",IF($F225&lt;&gt;"",IF($C225&gt;TODAY(),"ADJUSTED","PAID"),IF($C225&lt;TODAY(),"PAST DUE",IF($C225&lt;=TODAY()+7,"DUE","Upcoming"))))</f>
        <v>Upcoming</v>
      </c>
      <c r="L225" s="47" t="n">
        <f aca="false">IF($B225="","",$C225)</f>
        <v>46311</v>
      </c>
      <c r="M225" s="0" t="n">
        <f aca="false">IF($L225="","",COUNTIFS($L$225:$L$241,"&lt;"&amp;$L225)+COUNTIFS($L$225:$L225,$L225))</f>
        <v>1</v>
      </c>
    </row>
    <row r="226" customFormat="false" ht="15" hidden="false" customHeight="false" outlineLevel="0" collapsed="false">
      <c r="B226" s="38" t="str">
        <f aca="false">IFERROR(INDEX(Schedule!$C$4:$C$483,MATCH(11002,Schedule!$K$4:$K$483,0)),"")</f>
        <v>Spectrum</v>
      </c>
      <c r="C226" s="39" t="n">
        <f aca="false">IF($B226="","",INDEX(Schedule!$G$4:$G$483,MATCH(11002,Schedule!$K$4:$K$483,0)))</f>
        <v>46311</v>
      </c>
      <c r="D226" s="40" t="str">
        <f aca="false">IF($B226="","",INDEX(Schedule!$D$4:$D$483,MATCH(11002,Schedule!$K$4:$K$483,0)))</f>
        <v>Expense</v>
      </c>
      <c r="E226" s="41" t="n">
        <f aca="false">IF($B226="","",INDEX(Schedule!$E$4:$E$483,MATCH(11002,Schedule!$K$4:$K$483,0)))</f>
        <v>171.1</v>
      </c>
      <c r="F226" s="42"/>
      <c r="G226" s="43" t="str">
        <f aca="false">IF($B226="","",IF($D226="Income",IF($F226&lt;&gt;"",$F226,$E226),""))</f>
        <v/>
      </c>
      <c r="H226" s="44" t="n">
        <f aca="false">IF($B226="","",IF($D226="Income","",IF($F226&lt;&gt;"",$F226,$E226)))</f>
        <v>171.1</v>
      </c>
      <c r="I226" s="45" t="n">
        <f aca="false">IF($B226="","",$I$223+SUMIFS($G$225:$G$241,$M$225:$M$241,"&lt;="&amp;$M226)-SUMIFS($H$225:$H$241,$M$225:$M$241,"&lt;="&amp;$M226))</f>
        <v>4233.86</v>
      </c>
      <c r="J226" s="46" t="str">
        <f aca="true">IF($B226="","",IF($F226&lt;&gt;"",IF($C226&gt;TODAY(),"ADJUSTED","PAID"),IF($C226&lt;TODAY(),"PAST DUE",IF($C226&lt;=TODAY()+7,"DUE","Upcoming"))))</f>
        <v>Upcoming</v>
      </c>
      <c r="L226" s="47" t="n">
        <f aca="false">IF($B226="","",$C226)</f>
        <v>46311</v>
      </c>
      <c r="M226" s="0" t="n">
        <f aca="false">IF($L226="","",COUNTIFS($L$225:$L$241,"&lt;"&amp;$L226)+COUNTIFS($L$225:$L226,$L226))</f>
        <v>2</v>
      </c>
    </row>
    <row r="227" customFormat="false" ht="15" hidden="false" customHeight="false" outlineLevel="0" collapsed="false">
      <c r="B227" s="38" t="str">
        <f aca="false">IFERROR(INDEX(Schedule!$C$4:$C$483,MATCH(11003,Schedule!$K$4:$K$483,0)),"")</f>
        <v>Maine Revenue Services</v>
      </c>
      <c r="C227" s="39" t="n">
        <f aca="false">IF($B227="","",INDEX(Schedule!$G$4:$G$483,MATCH(11003,Schedule!$K$4:$K$483,0)))</f>
        <v>46311</v>
      </c>
      <c r="D227" s="40" t="str">
        <f aca="false">IF($B227="","",INDEX(Schedule!$D$4:$D$483,MATCH(11003,Schedule!$K$4:$K$483,0)))</f>
        <v>Expense</v>
      </c>
      <c r="E227" s="41" t="n">
        <f aca="false">IF($B227="","",INDEX(Schedule!$E$4:$E$483,MATCH(11003,Schedule!$K$4:$K$483,0)))</f>
        <v>45</v>
      </c>
      <c r="F227" s="42"/>
      <c r="G227" s="43" t="str">
        <f aca="false">IF($B227="","",IF($D227="Income",IF($F227&lt;&gt;"",$F227,$E227),""))</f>
        <v/>
      </c>
      <c r="H227" s="44" t="n">
        <f aca="false">IF($B227="","",IF($D227="Income","",IF($F227&lt;&gt;"",$F227,$E227)))</f>
        <v>45</v>
      </c>
      <c r="I227" s="45" t="n">
        <f aca="false">IF($B227="","",$I$223+SUMIFS($G$225:$G$241,$M$225:$M$241,"&lt;="&amp;$M227)-SUMIFS($H$225:$H$241,$M$225:$M$241,"&lt;="&amp;$M227))</f>
        <v>4188.86</v>
      </c>
      <c r="J227" s="46" t="str">
        <f aca="true">IF($B227="","",IF($F227&lt;&gt;"",IF($C227&gt;TODAY(),"ADJUSTED","PAID"),IF($C227&lt;TODAY(),"PAST DUE",IF($C227&lt;=TODAY()+7,"DUE","Upcoming"))))</f>
        <v>Upcoming</v>
      </c>
      <c r="L227" s="47" t="n">
        <f aca="false">IF($B227="","",$C227)</f>
        <v>46311</v>
      </c>
      <c r="M227" s="0" t="n">
        <f aca="false">IF($L227="","",COUNTIFS($L$225:$L$241,"&lt;"&amp;$L227)+COUNTIFS($L$225:$L227,$L227))</f>
        <v>3</v>
      </c>
    </row>
    <row r="228" customFormat="false" ht="15" hidden="false" customHeight="false" outlineLevel="0" collapsed="false">
      <c r="B228" s="38" t="str">
        <f aca="false">IFERROR(INDEX(Schedule!$C$4:$C$483,MATCH(11004,Schedule!$K$4:$K$483,0)),"")</f>
        <v>Metal Copy</v>
      </c>
      <c r="C228" s="39" t="n">
        <f aca="false">IF($B228="","",INDEX(Schedule!$G$4:$G$483,MATCH(11004,Schedule!$K$4:$K$483,0)))</f>
        <v>46313</v>
      </c>
      <c r="D228" s="40" t="str">
        <f aca="false">IF($B228="","",INDEX(Schedule!$D$4:$D$483,MATCH(11004,Schedule!$K$4:$K$483,0)))</f>
        <v>Expense</v>
      </c>
      <c r="E228" s="41" t="n">
        <f aca="false">IF($B228="","",INDEX(Schedule!$E$4:$E$483,MATCH(11004,Schedule!$K$4:$K$483,0)))</f>
        <v>16.99</v>
      </c>
      <c r="F228" s="42"/>
      <c r="G228" s="43" t="str">
        <f aca="false">IF($B228="","",IF($D228="Income",IF($F228&lt;&gt;"",$F228,$E228),""))</f>
        <v/>
      </c>
      <c r="H228" s="44" t="n">
        <f aca="false">IF($B228="","",IF($D228="Income","",IF($F228&lt;&gt;"",$F228,$E228)))</f>
        <v>16.99</v>
      </c>
      <c r="I228" s="45" t="n">
        <f aca="false">IF($B228="","",$I$223+SUMIFS($G$225:$G$241,$M$225:$M$241,"&lt;="&amp;$M228)-SUMIFS($H$225:$H$241,$M$225:$M$241,"&lt;="&amp;$M228))</f>
        <v>4171.87</v>
      </c>
      <c r="J228" s="46" t="str">
        <f aca="true">IF($B228="","",IF($F228&lt;&gt;"",IF($C228&gt;TODAY(),"ADJUSTED","PAID"),IF($C228&lt;TODAY(),"PAST DUE",IF($C228&lt;=TODAY()+7,"DUE","Upcoming"))))</f>
        <v>Upcoming</v>
      </c>
      <c r="L228" s="47" t="n">
        <f aca="false">IF($B228="","",$C228)</f>
        <v>46313</v>
      </c>
      <c r="M228" s="0" t="n">
        <f aca="false">IF($L228="","",COUNTIFS($L$225:$L$241,"&lt;"&amp;$L228)+COUNTIFS($L$225:$L228,$L228))</f>
        <v>4</v>
      </c>
    </row>
    <row r="229" customFormat="false" ht="15" hidden="false" customHeight="false" outlineLevel="0" collapsed="false">
      <c r="B229" s="38" t="str">
        <f aca="false">IFERROR(INDEX(Schedule!$C$4:$C$483,MATCH(11005,Schedule!$K$4:$K$483,0)),"")</f>
        <v>Bruno's Restaurant (paycheck)</v>
      </c>
      <c r="C229" s="39" t="n">
        <f aca="false">IF($B229="","",INDEX(Schedule!$G$4:$G$483,MATCH(11005,Schedule!$K$4:$K$483,0)))</f>
        <v>46316</v>
      </c>
      <c r="D229" s="40" t="str">
        <f aca="false">IF($B229="","",INDEX(Schedule!$D$4:$D$483,MATCH(11005,Schedule!$K$4:$K$483,0)))</f>
        <v>Income</v>
      </c>
      <c r="E229" s="41" t="n">
        <f aca="false">IF($B229="","",INDEX(Schedule!$E$4:$E$483,MATCH(11005,Schedule!$K$4:$K$483,0)))</f>
        <v>90</v>
      </c>
      <c r="F229" s="42"/>
      <c r="G229" s="43" t="n">
        <f aca="false">IF($B229="","",IF($D229="Income",IF($F229&lt;&gt;"",$F229,$E229),""))</f>
        <v>90</v>
      </c>
      <c r="H229" s="44" t="str">
        <f aca="false">IF($B229="","",IF($D229="Income","",IF($F229&lt;&gt;"",$F229,$E229)))</f>
        <v/>
      </c>
      <c r="I229" s="45" t="n">
        <f aca="false">IF($B229="","",$I$223+SUMIFS($G$225:$G$241,$M$225:$M$241,"&lt;="&amp;$M229)-SUMIFS($H$225:$H$241,$M$225:$M$241,"&lt;="&amp;$M229))</f>
        <v>4261.87</v>
      </c>
      <c r="J229" s="46" t="str">
        <f aca="true">IF($B229="","",IF($F229&lt;&gt;"",IF($C229&gt;TODAY(),"ADJUSTED","PAID"),IF($C229&lt;TODAY(),"PAST DUE",IF($C229&lt;=TODAY()+7,"DUE","Upcoming"))))</f>
        <v>Upcoming</v>
      </c>
      <c r="L229" s="47" t="n">
        <f aca="false">IF($B229="","",$C229)</f>
        <v>46316</v>
      </c>
      <c r="M229" s="0" t="n">
        <f aca="false">IF($L229="","",COUNTIFS($L$225:$L$241,"&lt;"&amp;$L229)+COUNTIFS($L$225:$L229,$L229))</f>
        <v>5</v>
      </c>
    </row>
    <row r="230" customFormat="false" ht="15" hidden="false" customHeight="false" outlineLevel="0" collapsed="false">
      <c r="B230" s="38" t="str">
        <f aca="false">IFERROR(INDEX(Schedule!$C$4:$C$483,MATCH(11006,Schedule!$K$4:$K$483,0)),"")</f>
        <v/>
      </c>
      <c r="C230" s="39" t="str">
        <f aca="false">IF($B230="","",INDEX(Schedule!$G$4:$G$483,MATCH(11006,Schedule!$K$4:$K$483,0)))</f>
        <v/>
      </c>
      <c r="D230" s="40" t="str">
        <f aca="false">IF($B230="","",INDEX(Schedule!$D$4:$D$483,MATCH(11006,Schedule!$K$4:$K$483,0)))</f>
        <v/>
      </c>
      <c r="E230" s="41" t="str">
        <f aca="false">IF($B230="","",INDEX(Schedule!$E$4:$E$483,MATCH(11006,Schedule!$K$4:$K$483,0)))</f>
        <v/>
      </c>
      <c r="F230" s="42"/>
      <c r="G230" s="43" t="str">
        <f aca="false">IF($B230="","",IF($D230="Income",IF($F230&lt;&gt;"",$F230,$E230),""))</f>
        <v/>
      </c>
      <c r="H230" s="44" t="str">
        <f aca="false">IF($B230="","",IF($D230="Income","",IF($F230&lt;&gt;"",$F230,$E230)))</f>
        <v/>
      </c>
      <c r="I230" s="45" t="str">
        <f aca="false">IF($B230="","",$I$223+SUMIFS($G$225:$G$241,$M$225:$M$241,"&lt;="&amp;$M230)-SUMIFS($H$225:$H$241,$M$225:$M$241,"&lt;="&amp;$M230))</f>
        <v/>
      </c>
      <c r="J230" s="46" t="str">
        <f aca="true">IF($B230="","",IF($F230&lt;&gt;"",IF($C230&gt;TODAY(),"ADJUSTED","PAID"),IF($C230&lt;TODAY(),"PAST DUE",IF($C230&lt;=TODAY()+7,"DUE","Upcoming"))))</f>
        <v/>
      </c>
      <c r="L230" s="0" t="str">
        <f aca="false">IF($B230="","",$C230)</f>
        <v/>
      </c>
      <c r="M230" s="0" t="str">
        <f aca="false">IF($L230="","",COUNTIFS($L$225:$L$241,"&lt;"&amp;$L230)+COUNTIFS($L$225:$L230,$L230))</f>
        <v/>
      </c>
    </row>
    <row r="231" customFormat="false" ht="15" hidden="false" customHeight="false" outlineLevel="0" collapsed="false">
      <c r="B231" s="38" t="str">
        <f aca="false">IFERROR(INDEX(Schedule!$C$4:$C$483,MATCH(11007,Schedule!$K$4:$K$483,0)),"")</f>
        <v/>
      </c>
      <c r="C231" s="39" t="str">
        <f aca="false">IF($B231="","",INDEX(Schedule!$G$4:$G$483,MATCH(11007,Schedule!$K$4:$K$483,0)))</f>
        <v/>
      </c>
      <c r="D231" s="40" t="str">
        <f aca="false">IF($B231="","",INDEX(Schedule!$D$4:$D$483,MATCH(11007,Schedule!$K$4:$K$483,0)))</f>
        <v/>
      </c>
      <c r="E231" s="41" t="str">
        <f aca="false">IF($B231="","",INDEX(Schedule!$E$4:$E$483,MATCH(11007,Schedule!$K$4:$K$483,0)))</f>
        <v/>
      </c>
      <c r="F231" s="42"/>
      <c r="G231" s="43" t="str">
        <f aca="false">IF($B231="","",IF($D231="Income",IF($F231&lt;&gt;"",$F231,$E231),""))</f>
        <v/>
      </c>
      <c r="H231" s="44" t="str">
        <f aca="false">IF($B231="","",IF($D231="Income","",IF($F231&lt;&gt;"",$F231,$E231)))</f>
        <v/>
      </c>
      <c r="I231" s="45" t="str">
        <f aca="false">IF($B231="","",$I$223+SUMIFS($G$225:$G$241,$M$225:$M$241,"&lt;="&amp;$M231)-SUMIFS($H$225:$H$241,$M$225:$M$241,"&lt;="&amp;$M231))</f>
        <v/>
      </c>
      <c r="J231" s="46" t="str">
        <f aca="true">IF($B231="","",IF($F231&lt;&gt;"",IF($C231&gt;TODAY(),"ADJUSTED","PAID"),IF($C231&lt;TODAY(),"PAST DUE",IF($C231&lt;=TODAY()+7,"DUE","Upcoming"))))</f>
        <v/>
      </c>
      <c r="L231" s="0" t="str">
        <f aca="false">IF($B231="","",$C231)</f>
        <v/>
      </c>
      <c r="M231" s="0" t="str">
        <f aca="false">IF($L231="","",COUNTIFS($L$225:$L$241,"&lt;"&amp;$L231)+COUNTIFS($L$225:$L231,$L231))</f>
        <v/>
      </c>
    </row>
    <row r="232" customFormat="false" ht="15" hidden="false" customHeight="false" outlineLevel="0" collapsed="false">
      <c r="B232" s="38" t="str">
        <f aca="false">IFERROR(INDEX(Schedule!$C$4:$C$483,MATCH(11008,Schedule!$K$4:$K$483,0)),"")</f>
        <v/>
      </c>
      <c r="C232" s="39" t="str">
        <f aca="false">IF($B232="","",INDEX(Schedule!$G$4:$G$483,MATCH(11008,Schedule!$K$4:$K$483,0)))</f>
        <v/>
      </c>
      <c r="D232" s="40" t="str">
        <f aca="false">IF($B232="","",INDEX(Schedule!$D$4:$D$483,MATCH(11008,Schedule!$K$4:$K$483,0)))</f>
        <v/>
      </c>
      <c r="E232" s="41" t="str">
        <f aca="false">IF($B232="","",INDEX(Schedule!$E$4:$E$483,MATCH(11008,Schedule!$K$4:$K$483,0)))</f>
        <v/>
      </c>
      <c r="F232" s="42"/>
      <c r="G232" s="43" t="str">
        <f aca="false">IF($B232="","",IF($D232="Income",IF($F232&lt;&gt;"",$F232,$E232),""))</f>
        <v/>
      </c>
      <c r="H232" s="44" t="str">
        <f aca="false">IF($B232="","",IF($D232="Income","",IF($F232&lt;&gt;"",$F232,$E232)))</f>
        <v/>
      </c>
      <c r="I232" s="45" t="str">
        <f aca="false">IF($B232="","",$I$223+SUMIFS($G$225:$G$241,$M$225:$M$241,"&lt;="&amp;$M232)-SUMIFS($H$225:$H$241,$M$225:$M$241,"&lt;="&amp;$M232))</f>
        <v/>
      </c>
      <c r="J232" s="46" t="str">
        <f aca="true">IF($B232="","",IF($F232&lt;&gt;"",IF($C232&gt;TODAY(),"ADJUSTED","PAID"),IF($C232&lt;TODAY(),"PAST DUE",IF($C232&lt;=TODAY()+7,"DUE","Upcoming"))))</f>
        <v/>
      </c>
      <c r="L232" s="0" t="str">
        <f aca="false">IF($B232="","",$C232)</f>
        <v/>
      </c>
      <c r="M232" s="0" t="str">
        <f aca="false">IF($L232="","",COUNTIFS($L$225:$L$241,"&lt;"&amp;$L232)+COUNTIFS($L$225:$L232,$L232))</f>
        <v/>
      </c>
    </row>
    <row r="233" customFormat="false" ht="15" hidden="false" customHeight="false" outlineLevel="0" collapsed="false">
      <c r="B233" s="38" t="str">
        <f aca="false">IFERROR(INDEX(Schedule!$C$4:$C$483,MATCH(11009,Schedule!$K$4:$K$483,0)),"")</f>
        <v/>
      </c>
      <c r="C233" s="39" t="str">
        <f aca="false">IF($B233="","",INDEX(Schedule!$G$4:$G$483,MATCH(11009,Schedule!$K$4:$K$483,0)))</f>
        <v/>
      </c>
      <c r="D233" s="40" t="str">
        <f aca="false">IF($B233="","",INDEX(Schedule!$D$4:$D$483,MATCH(11009,Schedule!$K$4:$K$483,0)))</f>
        <v/>
      </c>
      <c r="E233" s="41" t="str">
        <f aca="false">IF($B233="","",INDEX(Schedule!$E$4:$E$483,MATCH(11009,Schedule!$K$4:$K$483,0)))</f>
        <v/>
      </c>
      <c r="F233" s="42"/>
      <c r="G233" s="43" t="str">
        <f aca="false">IF($B233="","",IF($D233="Income",IF($F233&lt;&gt;"",$F233,$E233),""))</f>
        <v/>
      </c>
      <c r="H233" s="44" t="str">
        <f aca="false">IF($B233="","",IF($D233="Income","",IF($F233&lt;&gt;"",$F233,$E233)))</f>
        <v/>
      </c>
      <c r="I233" s="45" t="str">
        <f aca="false">IF($B233="","",$I$223+SUMIFS($G$225:$G$241,$M$225:$M$241,"&lt;="&amp;$M233)-SUMIFS($H$225:$H$241,$M$225:$M$241,"&lt;="&amp;$M233))</f>
        <v/>
      </c>
      <c r="J233" s="46" t="str">
        <f aca="true">IF($B233="","",IF($F233&lt;&gt;"",IF($C233&gt;TODAY(),"ADJUSTED","PAID"),IF($C233&lt;TODAY(),"PAST DUE",IF($C233&lt;=TODAY()+7,"DUE","Upcoming"))))</f>
        <v/>
      </c>
      <c r="L233" s="0" t="str">
        <f aca="false">IF($B233="","",$C233)</f>
        <v/>
      </c>
      <c r="M233" s="0" t="str">
        <f aca="false">IF($L233="","",COUNTIFS($L$225:$L$241,"&lt;"&amp;$L233)+COUNTIFS($L$225:$L233,$L233))</f>
        <v/>
      </c>
    </row>
    <row r="234" customFormat="false" ht="15" hidden="false" customHeight="false" outlineLevel="0" collapsed="false">
      <c r="B234" s="38" t="str">
        <f aca="false">IFERROR(INDEX(Schedule!$C$4:$C$483,MATCH(11010,Schedule!$K$4:$K$483,0)),"")</f>
        <v/>
      </c>
      <c r="C234" s="39" t="str">
        <f aca="false">IF($B234="","",INDEX(Schedule!$G$4:$G$483,MATCH(11010,Schedule!$K$4:$K$483,0)))</f>
        <v/>
      </c>
      <c r="D234" s="40" t="str">
        <f aca="false">IF($B234="","",INDEX(Schedule!$D$4:$D$483,MATCH(11010,Schedule!$K$4:$K$483,0)))</f>
        <v/>
      </c>
      <c r="E234" s="41" t="str">
        <f aca="false">IF($B234="","",INDEX(Schedule!$E$4:$E$483,MATCH(11010,Schedule!$K$4:$K$483,0)))</f>
        <v/>
      </c>
      <c r="F234" s="42"/>
      <c r="G234" s="43" t="str">
        <f aca="false">IF($B234="","",IF($D234="Income",IF($F234&lt;&gt;"",$F234,$E234),""))</f>
        <v/>
      </c>
      <c r="H234" s="44" t="str">
        <f aca="false">IF($B234="","",IF($D234="Income","",IF($F234&lt;&gt;"",$F234,$E234)))</f>
        <v/>
      </c>
      <c r="I234" s="45" t="str">
        <f aca="false">IF($B234="","",$I$223+SUMIFS($G$225:$G$241,$M$225:$M$241,"&lt;="&amp;$M234)-SUMIFS($H$225:$H$241,$M$225:$M$241,"&lt;="&amp;$M234))</f>
        <v/>
      </c>
      <c r="J234" s="46" t="str">
        <f aca="true">IF($B234="","",IF($F234&lt;&gt;"",IF($C234&gt;TODAY(),"ADJUSTED","PAID"),IF($C234&lt;TODAY(),"PAST DUE",IF($C234&lt;=TODAY()+7,"DUE","Upcoming"))))</f>
        <v/>
      </c>
      <c r="L234" s="0" t="str">
        <f aca="false">IF($B234="","",$C234)</f>
        <v/>
      </c>
      <c r="M234" s="0" t="str">
        <f aca="false">IF($L234="","",COUNTIFS($L$225:$L$241,"&lt;"&amp;$L234)+COUNTIFS($L$225:$L234,$L234))</f>
        <v/>
      </c>
    </row>
    <row r="235" customFormat="false" ht="15" hidden="false" customHeight="false" outlineLevel="0" collapsed="false">
      <c r="B235" s="48" t="s">
        <v>127</v>
      </c>
      <c r="C235" s="49"/>
      <c r="D235" s="49"/>
      <c r="E235" s="49"/>
      <c r="F235" s="49"/>
      <c r="G235" s="49"/>
      <c r="H235" s="49"/>
      <c r="I235" s="49"/>
      <c r="J235" s="49"/>
    </row>
    <row r="236" customFormat="false" ht="15" hidden="false" customHeight="false" outlineLevel="0" collapsed="false">
      <c r="B236" s="6"/>
      <c r="C236" s="50"/>
      <c r="D236" s="51" t="str">
        <f aca="false">IF($B236="","","Expense")</f>
        <v/>
      </c>
      <c r="E236" s="18"/>
      <c r="F236" s="10"/>
      <c r="G236" s="10"/>
      <c r="H236" s="52" t="str">
        <f aca="false">IF($B236="","",N($E236))</f>
        <v/>
      </c>
      <c r="I236" s="53" t="str">
        <f aca="false">IF($B236="","",$I$223+SUMIFS($G$225:$G$241,$M$225:$M$241,"&lt;="&amp;$M236)-SUMIFS($H$225:$H$241,$M$225:$M$241,"&lt;="&amp;$M236))</f>
        <v/>
      </c>
      <c r="J236" s="10"/>
      <c r="L236" s="0" t="str">
        <f aca="false">IF($B236="","",IF($C236="",$E$6+76,$C236))</f>
        <v/>
      </c>
      <c r="M236" s="0" t="str">
        <f aca="false">IF($L236="","",COUNTIFS($L$225:$L$241,"&lt;"&amp;$L236)+COUNTIFS($L$225:$L236,$L236))</f>
        <v/>
      </c>
    </row>
    <row r="237" customFormat="false" ht="15" hidden="false" customHeight="false" outlineLevel="0" collapsed="false">
      <c r="B237" s="6"/>
      <c r="C237" s="50"/>
      <c r="D237" s="51" t="str">
        <f aca="false">IF($B237="","","Expense")</f>
        <v/>
      </c>
      <c r="E237" s="18"/>
      <c r="F237" s="10"/>
      <c r="G237" s="10"/>
      <c r="H237" s="52" t="str">
        <f aca="false">IF($B237="","",N($E237))</f>
        <v/>
      </c>
      <c r="I237" s="53" t="str">
        <f aca="false">IF($B237="","",$I$223+SUMIFS($G$225:$G$241,$M$225:$M$241,"&lt;="&amp;$M237)-SUMIFS($H$225:$H$241,$M$225:$M$241,"&lt;="&amp;$M237))</f>
        <v/>
      </c>
      <c r="J237" s="10"/>
      <c r="L237" s="0" t="str">
        <f aca="false">IF($B237="","",IF($C237="",$E$6+76,$C237))</f>
        <v/>
      </c>
      <c r="M237" s="0" t="str">
        <f aca="false">IF($L237="","",COUNTIFS($L$225:$L$241,"&lt;"&amp;$L237)+COUNTIFS($L$225:$L237,$L237))</f>
        <v/>
      </c>
    </row>
    <row r="238" customFormat="false" ht="15" hidden="false" customHeight="false" outlineLevel="0" collapsed="false">
      <c r="B238" s="6"/>
      <c r="C238" s="50"/>
      <c r="D238" s="51" t="str">
        <f aca="false">IF($B238="","","Expense")</f>
        <v/>
      </c>
      <c r="E238" s="18"/>
      <c r="F238" s="10"/>
      <c r="G238" s="10"/>
      <c r="H238" s="52" t="str">
        <f aca="false">IF($B238="","",N($E238))</f>
        <v/>
      </c>
      <c r="I238" s="53" t="str">
        <f aca="false">IF($B238="","",$I$223+SUMIFS($G$225:$G$241,$M$225:$M$241,"&lt;="&amp;$M238)-SUMIFS($H$225:$H$241,$M$225:$M$241,"&lt;="&amp;$M238))</f>
        <v/>
      </c>
      <c r="J238" s="10"/>
      <c r="L238" s="0" t="str">
        <f aca="false">IF($B238="","",IF($C238="",$E$6+76,$C238))</f>
        <v/>
      </c>
      <c r="M238" s="0" t="str">
        <f aca="false">IF($L238="","",COUNTIFS($L$225:$L$241,"&lt;"&amp;$L238)+COUNTIFS($L$225:$L238,$L238))</f>
        <v/>
      </c>
    </row>
    <row r="239" customFormat="false" ht="15" hidden="false" customHeight="false" outlineLevel="0" collapsed="false">
      <c r="B239" s="6"/>
      <c r="C239" s="50"/>
      <c r="D239" s="51" t="str">
        <f aca="false">IF($B239="","","Expense")</f>
        <v/>
      </c>
      <c r="E239" s="18"/>
      <c r="F239" s="10"/>
      <c r="G239" s="10"/>
      <c r="H239" s="52" t="str">
        <f aca="false">IF($B239="","",N($E239))</f>
        <v/>
      </c>
      <c r="I239" s="53" t="str">
        <f aca="false">IF($B239="","",$I$223+SUMIFS($G$225:$G$241,$M$225:$M$241,"&lt;="&amp;$M239)-SUMIFS($H$225:$H$241,$M$225:$M$241,"&lt;="&amp;$M239))</f>
        <v/>
      </c>
      <c r="J239" s="10"/>
      <c r="L239" s="0" t="str">
        <f aca="false">IF($B239="","",IF($C239="",$E$6+76,$C239))</f>
        <v/>
      </c>
      <c r="M239" s="0" t="str">
        <f aca="false">IF($L239="","",COUNTIFS($L$225:$L$241,"&lt;"&amp;$L239)+COUNTIFS($L$225:$L239,$L239))</f>
        <v/>
      </c>
    </row>
    <row r="240" customFormat="false" ht="15" hidden="false" customHeight="false" outlineLevel="0" collapsed="false">
      <c r="B240" s="6"/>
      <c r="C240" s="50"/>
      <c r="D240" s="51" t="str">
        <f aca="false">IF($B240="","","Expense")</f>
        <v/>
      </c>
      <c r="E240" s="18"/>
      <c r="F240" s="10"/>
      <c r="G240" s="10"/>
      <c r="H240" s="52" t="str">
        <f aca="false">IF($B240="","",N($E240))</f>
        <v/>
      </c>
      <c r="I240" s="53" t="str">
        <f aca="false">IF($B240="","",$I$223+SUMIFS($G$225:$G$241,$M$225:$M$241,"&lt;="&amp;$M240)-SUMIFS($H$225:$H$241,$M$225:$M$241,"&lt;="&amp;$M240))</f>
        <v/>
      </c>
      <c r="J240" s="10"/>
      <c r="L240" s="0" t="str">
        <f aca="false">IF($B240="","",IF($C240="",$E$6+76,$C240))</f>
        <v/>
      </c>
      <c r="M240" s="0" t="str">
        <f aca="false">IF($L240="","",COUNTIFS($L$225:$L$241,"&lt;"&amp;$L240)+COUNTIFS($L$225:$L240,$L240))</f>
        <v/>
      </c>
    </row>
    <row r="241" customFormat="false" ht="15" hidden="false" customHeight="false" outlineLevel="0" collapsed="false">
      <c r="B241" s="6"/>
      <c r="C241" s="50"/>
      <c r="D241" s="51" t="str">
        <f aca="false">IF($B241="","","Expense")</f>
        <v/>
      </c>
      <c r="E241" s="18"/>
      <c r="F241" s="10"/>
      <c r="G241" s="10"/>
      <c r="H241" s="52" t="str">
        <f aca="false">IF($B241="","",N($E241))</f>
        <v/>
      </c>
      <c r="I241" s="53" t="str">
        <f aca="false">IF($B241="","",$I$223+SUMIFS($G$225:$G$241,$M$225:$M$241,"&lt;="&amp;$M241)-SUMIFS($H$225:$H$241,$M$225:$M$241,"&lt;="&amp;$M241))</f>
        <v/>
      </c>
      <c r="J241" s="10"/>
      <c r="L241" s="0" t="str">
        <f aca="false">IF($B241="","",IF($C241="",$E$6+76,$C241))</f>
        <v/>
      </c>
      <c r="M241" s="0" t="str">
        <f aca="false">IF($L241="","",COUNTIFS($L$225:$L$241,"&lt;"&amp;$L241)+COUNTIFS($L$225:$L241,$L241))</f>
        <v/>
      </c>
    </row>
    <row r="242" customFormat="false" ht="15" hidden="false" customHeight="false" outlineLevel="0" collapsed="false">
      <c r="B242" s="54" t="s">
        <v>144</v>
      </c>
      <c r="C242" s="55"/>
      <c r="D242" s="55"/>
      <c r="E242" s="55"/>
      <c r="F242" s="55"/>
      <c r="G242" s="56" t="n">
        <f aca="false">SUM($G$225:$G$241)</f>
        <v>880</v>
      </c>
      <c r="H242" s="56" t="n">
        <f aca="false">SUM($H$225:$H$241)</f>
        <v>233.09</v>
      </c>
      <c r="I242" s="57" t="n">
        <f aca="false">$I$223+$G$242-$H$242</f>
        <v>4261.87</v>
      </c>
      <c r="J242" s="58" t="str">
        <f aca="false">IF($I$242&lt;0,"SHORTFALL",IF($I$242&lt;$E$7,"TIGHT","OK"))</f>
        <v>OK</v>
      </c>
      <c r="K242" s="59" t="str">
        <f aca="false">IF(COUNT($I$225:$I$241)=0,"","Lowest point this week: "&amp;TEXT(MIN($I$225:$I$241),"$#,##0.00;-$#,##0.00")&amp;" on "&amp;TEXT(INDEX($C$225:$C$241,MATCH(MIN($I$225:$I$241),$I$225:$I$241,0)),"ddd mmm d")&amp;"     (in "&amp;TEXT($G$242,"$#,##0.00")&amp;", out "&amp;TEXT($H$242,"$#,##0.00")&amp;")")</f>
        <v>Lowest point this week: $4,171.87 on Sun Oct 18     (in $880.00, out $233.09)</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120</v>
      </c>
      <c r="H244" s="32"/>
      <c r="I244" s="34" t="n">
        <f aca="false">$I$242</f>
        <v>4261.87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121</v>
      </c>
      <c r="C245" s="35" t="s">
        <v>122</v>
      </c>
      <c r="D245" s="35" t="s">
        <v>72</v>
      </c>
      <c r="E245" s="35" t="s">
        <v>123</v>
      </c>
      <c r="F245" s="35" t="s">
        <v>124</v>
      </c>
      <c r="G245" s="36" t="s">
        <v>18</v>
      </c>
      <c r="H245" s="37" t="s">
        <v>20</v>
      </c>
      <c r="I245" s="35" t="s">
        <v>125</v>
      </c>
      <c r="J245" s="35" t="s">
        <v>126</v>
      </c>
    </row>
    <row r="246" customFormat="false" ht="15" hidden="false" customHeight="false" outlineLevel="0" collapsed="false">
      <c r="B246" s="38" t="str">
        <f aca="false">IFERROR(INDEX(Schedule!$C$4:$C$483,MATCH(12001,Schedule!$K$4:$K$483,0)),"")</f>
        <v>Compunnel Software (paycheck)</v>
      </c>
      <c r="C246" s="39" t="n">
        <f aca="false">IF($B246="","",INDEX(Schedule!$G$4:$G$483,MATCH(12001,Schedule!$K$4:$K$483,0)))</f>
        <v>46318</v>
      </c>
      <c r="D246" s="40" t="str">
        <f aca="false">IF($B246="","",INDEX(Schedule!$D$4:$D$483,MATCH(12001,Schedule!$K$4:$K$483,0)))</f>
        <v>Income</v>
      </c>
      <c r="E246" s="41" t="n">
        <f aca="false">IF($B246="","",INDEX(Schedule!$E$4:$E$483,MATCH(12001,Schedule!$K$4:$K$483,0)))</f>
        <v>790</v>
      </c>
      <c r="F246" s="42"/>
      <c r="G246" s="43" t="n">
        <f aca="false">IF($B246="","",IF($D246="Income",IF($F246&lt;&gt;"",$F246,$E246),""))</f>
        <v>790</v>
      </c>
      <c r="H246" s="44" t="str">
        <f aca="false">IF($B246="","",IF($D246="Income","",IF($F246&lt;&gt;"",$F246,$E246)))</f>
        <v/>
      </c>
      <c r="I246" s="45" t="n">
        <f aca="false">IF($B246="","",$I$244+SUMIFS($G$246:$G$262,$M$246:$M$262,"&lt;="&amp;$M246)-SUMIFS($H$246:$H$262,$M$246:$M$262,"&lt;="&amp;$M246))</f>
        <v>5051.87</v>
      </c>
      <c r="J246" s="46" t="str">
        <f aca="true">IF($B246="","",IF($F246&lt;&gt;"",IF($C246&gt;TODAY(),"ADJUSTED","PAID"),IF($C246&lt;TODAY(),"PAST DUE",IF($C246&lt;=TODAY()+7,"DUE","Upcoming"))))</f>
        <v>Upcoming</v>
      </c>
      <c r="L246" s="47" t="n">
        <f aca="false">IF($B246="","",$C246)</f>
        <v>46318</v>
      </c>
      <c r="M246" s="0" t="n">
        <f aca="false">IF($L246="","",COUNTIFS($L$246:$L$262,"&lt;"&amp;$L246)+COUNTIFS($L$246:$L246,$L246))</f>
        <v>1</v>
      </c>
    </row>
    <row r="247" customFormat="false" ht="15" hidden="false" customHeight="false" outlineLevel="0" collapsed="false">
      <c r="B247" s="38" t="str">
        <f aca="false">IFERROR(INDEX(Schedule!$C$4:$C$483,MATCH(12002,Schedule!$K$4:$K$483,0)),"")</f>
        <v>Microsoft</v>
      </c>
      <c r="C247" s="39" t="n">
        <f aca="false">IF($B247="","",INDEX(Schedule!$G$4:$G$483,MATCH(12002,Schedule!$K$4:$K$483,0)))</f>
        <v>46320</v>
      </c>
      <c r="D247" s="40" t="str">
        <f aca="false">IF($B247="","",INDEX(Schedule!$D$4:$D$483,MATCH(12002,Schedule!$K$4:$K$483,0)))</f>
        <v>Expense</v>
      </c>
      <c r="E247" s="41" t="n">
        <f aca="false">IF($B247="","",INDEX(Schedule!$E$4:$E$483,MATCH(12002,Schedule!$K$4:$K$483,0)))</f>
        <v>13.7</v>
      </c>
      <c r="F247" s="42"/>
      <c r="G247" s="43" t="str">
        <f aca="false">IF($B247="","",IF($D247="Income",IF($F247&lt;&gt;"",$F247,$E247),""))</f>
        <v/>
      </c>
      <c r="H247" s="44" t="n">
        <f aca="false">IF($B247="","",IF($D247="Income","",IF($F247&lt;&gt;"",$F247,$E247)))</f>
        <v>13.7</v>
      </c>
      <c r="I247" s="45" t="n">
        <f aca="false">IF($B247="","",$I$244+SUMIFS($G$246:$G$262,$M$246:$M$262,"&lt;="&amp;$M247)-SUMIFS($H$246:$H$262,$M$246:$M$262,"&lt;="&amp;$M247))</f>
        <v>5038.17</v>
      </c>
      <c r="J247" s="46" t="str">
        <f aca="true">IF($B247="","",IF($F247&lt;&gt;"",IF($C247&gt;TODAY(),"ADJUSTED","PAID"),IF($C247&lt;TODAY(),"PAST DUE",IF($C247&lt;=TODAY()+7,"DUE","Upcoming"))))</f>
        <v>Upcoming</v>
      </c>
      <c r="L247" s="47" t="n">
        <f aca="false">IF($B247="","",$C247)</f>
        <v>46320</v>
      </c>
      <c r="M247" s="0" t="n">
        <f aca="false">IF($L247="","",COUNTIFS($L$246:$L$262,"&lt;"&amp;$L247)+COUNTIFS($L$246:$L247,$L247))</f>
        <v>2</v>
      </c>
    </row>
    <row r="248" customFormat="false" ht="15" hidden="false" customHeight="false" outlineLevel="0" collapsed="false">
      <c r="B248" s="38" t="str">
        <f aca="false">IFERROR(INDEX(Schedule!$C$4:$C$483,MATCH(12003,Schedule!$K$4:$K$483,0)),"")</f>
        <v>Central Maine Power: Payment Plan</v>
      </c>
      <c r="C248" s="39" t="n">
        <f aca="false">IF($B248="","",INDEX(Schedule!$G$4:$G$483,MATCH(12003,Schedule!$K$4:$K$483,0)))</f>
        <v>46320</v>
      </c>
      <c r="D248" s="40" t="str">
        <f aca="false">IF($B248="","",INDEX(Schedule!$D$4:$D$483,MATCH(12003,Schedule!$K$4:$K$483,0)))</f>
        <v>Expense</v>
      </c>
      <c r="E248" s="41" t="n">
        <f aca="false">IF($B248="","",INDEX(Schedule!$E$4:$E$483,MATCH(12003,Schedule!$K$4:$K$483,0)))</f>
        <v>43.87</v>
      </c>
      <c r="F248" s="42"/>
      <c r="G248" s="43" t="str">
        <f aca="false">IF($B248="","",IF($D248="Income",IF($F248&lt;&gt;"",$F248,$E248),""))</f>
        <v/>
      </c>
      <c r="H248" s="44" t="n">
        <f aca="false">IF($B248="","",IF($D248="Income","",IF($F248&lt;&gt;"",$F248,$E248)))</f>
        <v>43.87</v>
      </c>
      <c r="I248" s="45" t="n">
        <f aca="false">IF($B248="","",$I$244+SUMIFS($G$246:$G$262,$M$246:$M$262,"&lt;="&amp;$M248)-SUMIFS($H$246:$H$262,$M$246:$M$262,"&lt;="&amp;$M248))</f>
        <v>4994.3</v>
      </c>
      <c r="J248" s="46" t="str">
        <f aca="true">IF($B248="","",IF($F248&lt;&gt;"",IF($C248&gt;TODAY(),"ADJUSTED","PAID"),IF($C248&lt;TODAY(),"PAST DUE",IF($C248&lt;=TODAY()+7,"DUE","Upcoming"))))</f>
        <v>Upcoming</v>
      </c>
      <c r="L248" s="47" t="n">
        <f aca="false">IF($B248="","",$C248)</f>
        <v>46320</v>
      </c>
      <c r="M248" s="0" t="n">
        <f aca="false">IF($L248="","",COUNTIFS($L$246:$L$262,"&lt;"&amp;$L248)+COUNTIFS($L$246:$L248,$L248))</f>
        <v>3</v>
      </c>
    </row>
    <row r="249" customFormat="false" ht="15" hidden="false" customHeight="false" outlineLevel="0" collapsed="false">
      <c r="B249" s="38" t="str">
        <f aca="false">IFERROR(INDEX(Schedule!$C$4:$C$483,MATCH(12004,Schedule!$K$4:$K$483,0)),"")</f>
        <v>Bruno's Restaurant (paycheck)</v>
      </c>
      <c r="C249" s="39" t="n">
        <f aca="false">IF($B249="","",INDEX(Schedule!$G$4:$G$483,MATCH(12004,Schedule!$K$4:$K$483,0)))</f>
        <v>46323</v>
      </c>
      <c r="D249" s="40" t="str">
        <f aca="false">IF($B249="","",INDEX(Schedule!$D$4:$D$483,MATCH(12004,Schedule!$K$4:$K$483,0)))</f>
        <v>Income</v>
      </c>
      <c r="E249" s="41" t="n">
        <f aca="false">IF($B249="","",INDEX(Schedule!$E$4:$E$483,MATCH(12004,Schedule!$K$4:$K$483,0)))</f>
        <v>90</v>
      </c>
      <c r="F249" s="42"/>
      <c r="G249" s="43" t="n">
        <f aca="false">IF($B249="","",IF($D249="Income",IF($F249&lt;&gt;"",$F249,$E249),""))</f>
        <v>90</v>
      </c>
      <c r="H249" s="44" t="str">
        <f aca="false">IF($B249="","",IF($D249="Income","",IF($F249&lt;&gt;"",$F249,$E249)))</f>
        <v/>
      </c>
      <c r="I249" s="45" t="n">
        <f aca="false">IF($B249="","",$I$244+SUMIFS($G$246:$G$262,$M$246:$M$262,"&lt;="&amp;$M249)-SUMIFS($H$246:$H$262,$M$246:$M$262,"&lt;="&amp;$M249))</f>
        <v>5084.3</v>
      </c>
      <c r="J249" s="46" t="str">
        <f aca="true">IF($B249="","",IF($F249&lt;&gt;"",IF($C249&gt;TODAY(),"ADJUSTED","PAID"),IF($C249&lt;TODAY(),"PAST DUE",IF($C249&lt;=TODAY()+7,"DUE","Upcoming"))))</f>
        <v>Upcoming</v>
      </c>
      <c r="L249" s="47" t="n">
        <f aca="false">IF($B249="","",$C249)</f>
        <v>46323</v>
      </c>
      <c r="M249" s="0" t="n">
        <f aca="false">IF($L249="","",COUNTIFS($L$246:$L$262,"&lt;"&amp;$L249)+COUNTIFS($L$246:$L249,$L249))</f>
        <v>4</v>
      </c>
    </row>
    <row r="250" customFormat="false" ht="15" hidden="false" customHeight="false" outlineLevel="0" collapsed="false">
      <c r="B250" s="38" t="str">
        <f aca="false">IFERROR(INDEX(Schedule!$C$4:$C$483,MATCH(12005,Schedule!$K$4:$K$483,0)),"")</f>
        <v/>
      </c>
      <c r="C250" s="39" t="str">
        <f aca="false">IF($B250="","",INDEX(Schedule!$G$4:$G$483,MATCH(12005,Schedule!$K$4:$K$483,0)))</f>
        <v/>
      </c>
      <c r="D250" s="40" t="str">
        <f aca="false">IF($B250="","",INDEX(Schedule!$D$4:$D$483,MATCH(12005,Schedule!$K$4:$K$483,0)))</f>
        <v/>
      </c>
      <c r="E250" s="41" t="str">
        <f aca="false">IF($B250="","",INDEX(Schedule!$E$4:$E$483,MATCH(12005,Schedule!$K$4:$K$483,0)))</f>
        <v/>
      </c>
      <c r="F250" s="42"/>
      <c r="G250" s="43" t="str">
        <f aca="false">IF($B250="","",IF($D250="Income",IF($F250&lt;&gt;"",$F250,$E250),""))</f>
        <v/>
      </c>
      <c r="H250" s="44" t="str">
        <f aca="false">IF($B250="","",IF($D250="Income","",IF($F250&lt;&gt;"",$F250,$E250)))</f>
        <v/>
      </c>
      <c r="I250" s="45" t="str">
        <f aca="false">IF($B250="","",$I$244+SUMIFS($G$246:$G$262,$M$246:$M$262,"&lt;="&amp;$M250)-SUMIFS($H$246:$H$262,$M$246:$M$262,"&lt;="&amp;$M250))</f>
        <v/>
      </c>
      <c r="J250" s="46" t="str">
        <f aca="true">IF($B250="","",IF($F250&lt;&gt;"",IF($C250&gt;TODAY(),"ADJUSTED","PAID"),IF($C250&lt;TODAY(),"PAST DUE",IF($C250&lt;=TODAY()+7,"DUE","Upcoming"))))</f>
        <v/>
      </c>
      <c r="L250" s="0" t="str">
        <f aca="false">IF($B250="","",$C250)</f>
        <v/>
      </c>
      <c r="M250" s="0" t="str">
        <f aca="false">IF($L250="","",COUNTIFS($L$246:$L$262,"&lt;"&amp;$L250)+COUNTIFS($L$246:$L250,$L250))</f>
        <v/>
      </c>
    </row>
    <row r="251" customFormat="false" ht="15" hidden="false" customHeight="false" outlineLevel="0" collapsed="false">
      <c r="B251" s="38" t="str">
        <f aca="false">IFERROR(INDEX(Schedule!$C$4:$C$483,MATCH(12006,Schedule!$K$4:$K$483,0)),"")</f>
        <v/>
      </c>
      <c r="C251" s="39" t="str">
        <f aca="false">IF($B251="","",INDEX(Schedule!$G$4:$G$483,MATCH(12006,Schedule!$K$4:$K$483,0)))</f>
        <v/>
      </c>
      <c r="D251" s="40" t="str">
        <f aca="false">IF($B251="","",INDEX(Schedule!$D$4:$D$483,MATCH(12006,Schedule!$K$4:$K$483,0)))</f>
        <v/>
      </c>
      <c r="E251" s="41" t="str">
        <f aca="false">IF($B251="","",INDEX(Schedule!$E$4:$E$483,MATCH(12006,Schedule!$K$4:$K$483,0)))</f>
        <v/>
      </c>
      <c r="F251" s="42"/>
      <c r="G251" s="43" t="str">
        <f aca="false">IF($B251="","",IF($D251="Income",IF($F251&lt;&gt;"",$F251,$E251),""))</f>
        <v/>
      </c>
      <c r="H251" s="44" t="str">
        <f aca="false">IF($B251="","",IF($D251="Income","",IF($F251&lt;&gt;"",$F251,$E251)))</f>
        <v/>
      </c>
      <c r="I251" s="45" t="str">
        <f aca="false">IF($B251="","",$I$244+SUMIFS($G$246:$G$262,$M$246:$M$262,"&lt;="&amp;$M251)-SUMIFS($H$246:$H$262,$M$246:$M$262,"&lt;="&amp;$M251))</f>
        <v/>
      </c>
      <c r="J251" s="46" t="str">
        <f aca="true">IF($B251="","",IF($F251&lt;&gt;"",IF($C251&gt;TODAY(),"ADJUSTED","PAID"),IF($C251&lt;TODAY(),"PAST DUE",IF($C251&lt;=TODAY()+7,"DUE","Upcoming"))))</f>
        <v/>
      </c>
      <c r="L251" s="0" t="str">
        <f aca="false">IF($B251="","",$C251)</f>
        <v/>
      </c>
      <c r="M251" s="0" t="str">
        <f aca="false">IF($L251="","",COUNTIFS($L$246:$L$262,"&lt;"&amp;$L251)+COUNTIFS($L$246:$L251,$L251))</f>
        <v/>
      </c>
    </row>
    <row r="252" customFormat="false" ht="15" hidden="false" customHeight="false" outlineLevel="0" collapsed="false">
      <c r="B252" s="38" t="str">
        <f aca="false">IFERROR(INDEX(Schedule!$C$4:$C$483,MATCH(12007,Schedule!$K$4:$K$483,0)),"")</f>
        <v/>
      </c>
      <c r="C252" s="39" t="str">
        <f aca="false">IF($B252="","",INDEX(Schedule!$G$4:$G$483,MATCH(12007,Schedule!$K$4:$K$483,0)))</f>
        <v/>
      </c>
      <c r="D252" s="40" t="str">
        <f aca="false">IF($B252="","",INDEX(Schedule!$D$4:$D$483,MATCH(12007,Schedule!$K$4:$K$483,0)))</f>
        <v/>
      </c>
      <c r="E252" s="41" t="str">
        <f aca="false">IF($B252="","",INDEX(Schedule!$E$4:$E$483,MATCH(12007,Schedule!$K$4:$K$483,0)))</f>
        <v/>
      </c>
      <c r="F252" s="42"/>
      <c r="G252" s="43" t="str">
        <f aca="false">IF($B252="","",IF($D252="Income",IF($F252&lt;&gt;"",$F252,$E252),""))</f>
        <v/>
      </c>
      <c r="H252" s="44" t="str">
        <f aca="false">IF($B252="","",IF($D252="Income","",IF($F252&lt;&gt;"",$F252,$E252)))</f>
        <v/>
      </c>
      <c r="I252" s="45" t="str">
        <f aca="false">IF($B252="","",$I$244+SUMIFS($G$246:$G$262,$M$246:$M$262,"&lt;="&amp;$M252)-SUMIFS($H$246:$H$262,$M$246:$M$262,"&lt;="&amp;$M252))</f>
        <v/>
      </c>
      <c r="J252" s="46" t="str">
        <f aca="true">IF($B252="","",IF($F252&lt;&gt;"",IF($C252&gt;TODAY(),"ADJUSTED","PAID"),IF($C252&lt;TODAY(),"PAST DUE",IF($C252&lt;=TODAY()+7,"DUE","Upcoming"))))</f>
        <v/>
      </c>
      <c r="L252" s="0" t="str">
        <f aca="false">IF($B252="","",$C252)</f>
        <v/>
      </c>
      <c r="M252" s="0" t="str">
        <f aca="false">IF($L252="","",COUNTIFS($L$246:$L$262,"&lt;"&amp;$L252)+COUNTIFS($L$246:$L252,$L252))</f>
        <v/>
      </c>
    </row>
    <row r="253" customFormat="false" ht="15" hidden="false" customHeight="false" outlineLevel="0" collapsed="false">
      <c r="B253" s="38" t="str">
        <f aca="false">IFERROR(INDEX(Schedule!$C$4:$C$483,MATCH(12008,Schedule!$K$4:$K$483,0)),"")</f>
        <v/>
      </c>
      <c r="C253" s="39" t="str">
        <f aca="false">IF($B253="","",INDEX(Schedule!$G$4:$G$483,MATCH(12008,Schedule!$K$4:$K$483,0)))</f>
        <v/>
      </c>
      <c r="D253" s="40" t="str">
        <f aca="false">IF($B253="","",INDEX(Schedule!$D$4:$D$483,MATCH(12008,Schedule!$K$4:$K$483,0)))</f>
        <v/>
      </c>
      <c r="E253" s="41" t="str">
        <f aca="false">IF($B253="","",INDEX(Schedule!$E$4:$E$483,MATCH(12008,Schedule!$K$4:$K$483,0)))</f>
        <v/>
      </c>
      <c r="F253" s="42"/>
      <c r="G253" s="43" t="str">
        <f aca="false">IF($B253="","",IF($D253="Income",IF($F253&lt;&gt;"",$F253,$E253),""))</f>
        <v/>
      </c>
      <c r="H253" s="44" t="str">
        <f aca="false">IF($B253="","",IF($D253="Income","",IF($F253&lt;&gt;"",$F253,$E253)))</f>
        <v/>
      </c>
      <c r="I253" s="45" t="str">
        <f aca="false">IF($B253="","",$I$244+SUMIFS($G$246:$G$262,$M$246:$M$262,"&lt;="&amp;$M253)-SUMIFS($H$246:$H$262,$M$246:$M$262,"&lt;="&amp;$M253))</f>
        <v/>
      </c>
      <c r="J253" s="46" t="str">
        <f aca="true">IF($B253="","",IF($F253&lt;&gt;"",IF($C253&gt;TODAY(),"ADJUSTED","PAID"),IF($C253&lt;TODAY(),"PAST DUE",IF($C253&lt;=TODAY()+7,"DUE","Upcoming"))))</f>
        <v/>
      </c>
      <c r="L253" s="0" t="str">
        <f aca="false">IF($B253="","",$C253)</f>
        <v/>
      </c>
      <c r="M253" s="0" t="str">
        <f aca="false">IF($L253="","",COUNTIFS($L$246:$L$262,"&lt;"&amp;$L253)+COUNTIFS($L$246:$L253,$L253))</f>
        <v/>
      </c>
    </row>
    <row r="254" customFormat="false" ht="15" hidden="false" customHeight="false" outlineLevel="0" collapsed="false">
      <c r="B254" s="38" t="str">
        <f aca="false">IFERROR(INDEX(Schedule!$C$4:$C$483,MATCH(12009,Schedule!$K$4:$K$483,0)),"")</f>
        <v/>
      </c>
      <c r="C254" s="39" t="str">
        <f aca="false">IF($B254="","",INDEX(Schedule!$G$4:$G$483,MATCH(12009,Schedule!$K$4:$K$483,0)))</f>
        <v/>
      </c>
      <c r="D254" s="40" t="str">
        <f aca="false">IF($B254="","",INDEX(Schedule!$D$4:$D$483,MATCH(12009,Schedule!$K$4:$K$483,0)))</f>
        <v/>
      </c>
      <c r="E254" s="41" t="str">
        <f aca="false">IF($B254="","",INDEX(Schedule!$E$4:$E$483,MATCH(12009,Schedule!$K$4:$K$483,0)))</f>
        <v/>
      </c>
      <c r="F254" s="42"/>
      <c r="G254" s="43" t="str">
        <f aca="false">IF($B254="","",IF($D254="Income",IF($F254&lt;&gt;"",$F254,$E254),""))</f>
        <v/>
      </c>
      <c r="H254" s="44" t="str">
        <f aca="false">IF($B254="","",IF($D254="Income","",IF($F254&lt;&gt;"",$F254,$E254)))</f>
        <v/>
      </c>
      <c r="I254" s="45" t="str">
        <f aca="false">IF($B254="","",$I$244+SUMIFS($G$246:$G$262,$M$246:$M$262,"&lt;="&amp;$M254)-SUMIFS($H$246:$H$262,$M$246:$M$262,"&lt;="&amp;$M254))</f>
        <v/>
      </c>
      <c r="J254" s="46" t="str">
        <f aca="true">IF($B254="","",IF($F254&lt;&gt;"",IF($C254&gt;TODAY(),"ADJUSTED","PAID"),IF($C254&lt;TODAY(),"PAST DUE",IF($C254&lt;=TODAY()+7,"DUE","Upcoming"))))</f>
        <v/>
      </c>
      <c r="L254" s="0" t="str">
        <f aca="false">IF($B254="","",$C254)</f>
        <v/>
      </c>
      <c r="M254" s="0" t="str">
        <f aca="false">IF($L254="","",COUNTIFS($L$246:$L$262,"&lt;"&amp;$L254)+COUNTIFS($L$246:$L254,$L254))</f>
        <v/>
      </c>
    </row>
    <row r="255" customFormat="false" ht="15" hidden="false" customHeight="false" outlineLevel="0" collapsed="false">
      <c r="B255" s="38" t="str">
        <f aca="false">IFERROR(INDEX(Schedule!$C$4:$C$483,MATCH(12010,Schedule!$K$4:$K$483,0)),"")</f>
        <v/>
      </c>
      <c r="C255" s="39" t="str">
        <f aca="false">IF($B255="","",INDEX(Schedule!$G$4:$G$483,MATCH(12010,Schedule!$K$4:$K$483,0)))</f>
        <v/>
      </c>
      <c r="D255" s="40" t="str">
        <f aca="false">IF($B255="","",INDEX(Schedule!$D$4:$D$483,MATCH(12010,Schedule!$K$4:$K$483,0)))</f>
        <v/>
      </c>
      <c r="E255" s="41" t="str">
        <f aca="false">IF($B255="","",INDEX(Schedule!$E$4:$E$483,MATCH(12010,Schedule!$K$4:$K$483,0)))</f>
        <v/>
      </c>
      <c r="F255" s="42"/>
      <c r="G255" s="43" t="str">
        <f aca="false">IF($B255="","",IF($D255="Income",IF($F255&lt;&gt;"",$F255,$E255),""))</f>
        <v/>
      </c>
      <c r="H255" s="44" t="str">
        <f aca="false">IF($B255="","",IF($D255="Income","",IF($F255&lt;&gt;"",$F255,$E255)))</f>
        <v/>
      </c>
      <c r="I255" s="45" t="str">
        <f aca="false">IF($B255="","",$I$244+SUMIFS($G$246:$G$262,$M$246:$M$262,"&lt;="&amp;$M255)-SUMIFS($H$246:$H$262,$M$246:$M$262,"&lt;="&amp;$M255))</f>
        <v/>
      </c>
      <c r="J255" s="46" t="str">
        <f aca="true">IF($B255="","",IF($F255&lt;&gt;"",IF($C255&gt;TODAY(),"ADJUSTED","PAID"),IF($C255&lt;TODAY(),"PAST DUE",IF($C255&lt;=TODAY()+7,"DUE","Upcoming"))))</f>
        <v/>
      </c>
      <c r="L255" s="0" t="str">
        <f aca="false">IF($B255="","",$C255)</f>
        <v/>
      </c>
      <c r="M255" s="0" t="str">
        <f aca="false">IF($L255="","",COUNTIFS($L$246:$L$262,"&lt;"&amp;$L255)+COUNTIFS($L$246:$L255,$L255))</f>
        <v/>
      </c>
    </row>
    <row r="256" customFormat="false" ht="15" hidden="false" customHeight="false" outlineLevel="0" collapsed="false">
      <c r="B256" s="48" t="s">
        <v>127</v>
      </c>
      <c r="C256" s="49"/>
      <c r="D256" s="49"/>
      <c r="E256" s="49"/>
      <c r="F256" s="49"/>
      <c r="G256" s="49"/>
      <c r="H256" s="49"/>
      <c r="I256" s="49"/>
      <c r="J256" s="49"/>
    </row>
    <row r="257" customFormat="false" ht="15" hidden="false" customHeight="false" outlineLevel="0" collapsed="false">
      <c r="B257" s="6"/>
      <c r="C257" s="50"/>
      <c r="D257" s="51" t="str">
        <f aca="false">IF($B257="","","Expense")</f>
        <v/>
      </c>
      <c r="E257" s="18"/>
      <c r="F257" s="10"/>
      <c r="G257" s="10"/>
      <c r="H257" s="52" t="str">
        <f aca="false">IF($B257="","",N($E257))</f>
        <v/>
      </c>
      <c r="I257" s="53" t="str">
        <f aca="false">IF($B257="","",$I$244+SUMIFS($G$246:$G$262,$M$246:$M$262,"&lt;="&amp;$M257)-SUMIFS($H$246:$H$262,$M$246:$M$262,"&lt;="&amp;$M257))</f>
        <v/>
      </c>
      <c r="J257" s="10"/>
      <c r="L257" s="0" t="str">
        <f aca="false">IF($B257="","",IF($C257="",$E$6+83,$C257))</f>
        <v/>
      </c>
      <c r="M257" s="0" t="str">
        <f aca="false">IF($L257="","",COUNTIFS($L$246:$L$262,"&lt;"&amp;$L257)+COUNTIFS($L$246:$L257,$L257))</f>
        <v/>
      </c>
    </row>
    <row r="258" customFormat="false" ht="15" hidden="false" customHeight="false" outlineLevel="0" collapsed="false">
      <c r="B258" s="6"/>
      <c r="C258" s="50"/>
      <c r="D258" s="51" t="str">
        <f aca="false">IF($B258="","","Expense")</f>
        <v/>
      </c>
      <c r="E258" s="18"/>
      <c r="F258" s="10"/>
      <c r="G258" s="10"/>
      <c r="H258" s="52" t="str">
        <f aca="false">IF($B258="","",N($E258))</f>
        <v/>
      </c>
      <c r="I258" s="53" t="str">
        <f aca="false">IF($B258="","",$I$244+SUMIFS($G$246:$G$262,$M$246:$M$262,"&lt;="&amp;$M258)-SUMIFS($H$246:$H$262,$M$246:$M$262,"&lt;="&amp;$M258))</f>
        <v/>
      </c>
      <c r="J258" s="10"/>
      <c r="L258" s="0" t="str">
        <f aca="false">IF($B258="","",IF($C258="",$E$6+83,$C258))</f>
        <v/>
      </c>
      <c r="M258" s="0" t="str">
        <f aca="false">IF($L258="","",COUNTIFS($L$246:$L$262,"&lt;"&amp;$L258)+COUNTIFS($L$246:$L258,$L258))</f>
        <v/>
      </c>
    </row>
    <row r="259" customFormat="false" ht="15" hidden="false" customHeight="false" outlineLevel="0" collapsed="false">
      <c r="B259" s="6"/>
      <c r="C259" s="50"/>
      <c r="D259" s="51" t="str">
        <f aca="false">IF($B259="","","Expense")</f>
        <v/>
      </c>
      <c r="E259" s="18"/>
      <c r="F259" s="10"/>
      <c r="G259" s="10"/>
      <c r="H259" s="52" t="str">
        <f aca="false">IF($B259="","",N($E259))</f>
        <v/>
      </c>
      <c r="I259" s="53" t="str">
        <f aca="false">IF($B259="","",$I$244+SUMIFS($G$246:$G$262,$M$246:$M$262,"&lt;="&amp;$M259)-SUMIFS($H$246:$H$262,$M$246:$M$262,"&lt;="&amp;$M259))</f>
        <v/>
      </c>
      <c r="J259" s="10"/>
      <c r="L259" s="0" t="str">
        <f aca="false">IF($B259="","",IF($C259="",$E$6+83,$C259))</f>
        <v/>
      </c>
      <c r="M259" s="0" t="str">
        <f aca="false">IF($L259="","",COUNTIFS($L$246:$L$262,"&lt;"&amp;$L259)+COUNTIFS($L$246:$L259,$L259))</f>
        <v/>
      </c>
    </row>
    <row r="260" customFormat="false" ht="15" hidden="false" customHeight="false" outlineLevel="0" collapsed="false">
      <c r="B260" s="6"/>
      <c r="C260" s="50"/>
      <c r="D260" s="51" t="str">
        <f aca="false">IF($B260="","","Expense")</f>
        <v/>
      </c>
      <c r="E260" s="18"/>
      <c r="F260" s="10"/>
      <c r="G260" s="10"/>
      <c r="H260" s="52" t="str">
        <f aca="false">IF($B260="","",N($E260))</f>
        <v/>
      </c>
      <c r="I260" s="53" t="str">
        <f aca="false">IF($B260="","",$I$244+SUMIFS($G$246:$G$262,$M$246:$M$262,"&lt;="&amp;$M260)-SUMIFS($H$246:$H$262,$M$246:$M$262,"&lt;="&amp;$M260))</f>
        <v/>
      </c>
      <c r="J260" s="10"/>
      <c r="L260" s="0" t="str">
        <f aca="false">IF($B260="","",IF($C260="",$E$6+83,$C260))</f>
        <v/>
      </c>
      <c r="M260" s="0" t="str">
        <f aca="false">IF($L260="","",COUNTIFS($L$246:$L$262,"&lt;"&amp;$L260)+COUNTIFS($L$246:$L260,$L260))</f>
        <v/>
      </c>
    </row>
    <row r="261" customFormat="false" ht="15" hidden="false" customHeight="false" outlineLevel="0" collapsed="false">
      <c r="B261" s="6"/>
      <c r="C261" s="50"/>
      <c r="D261" s="51" t="str">
        <f aca="false">IF($B261="","","Expense")</f>
        <v/>
      </c>
      <c r="E261" s="18"/>
      <c r="F261" s="10"/>
      <c r="G261" s="10"/>
      <c r="H261" s="52" t="str">
        <f aca="false">IF($B261="","",N($E261))</f>
        <v/>
      </c>
      <c r="I261" s="53" t="str">
        <f aca="false">IF($B261="","",$I$244+SUMIFS($G$246:$G$262,$M$246:$M$262,"&lt;="&amp;$M261)-SUMIFS($H$246:$H$262,$M$246:$M$262,"&lt;="&amp;$M261))</f>
        <v/>
      </c>
      <c r="J261" s="10"/>
      <c r="L261" s="0" t="str">
        <f aca="false">IF($B261="","",IF($C261="",$E$6+83,$C261))</f>
        <v/>
      </c>
      <c r="M261" s="0" t="str">
        <f aca="false">IF($L261="","",COUNTIFS($L$246:$L$262,"&lt;"&amp;$L261)+COUNTIFS($L$246:$L261,$L261))</f>
        <v/>
      </c>
    </row>
    <row r="262" customFormat="false" ht="15" hidden="false" customHeight="false" outlineLevel="0" collapsed="false">
      <c r="B262" s="6"/>
      <c r="C262" s="50"/>
      <c r="D262" s="51" t="str">
        <f aca="false">IF($B262="","","Expense")</f>
        <v/>
      </c>
      <c r="E262" s="18"/>
      <c r="F262" s="10"/>
      <c r="G262" s="10"/>
      <c r="H262" s="52" t="str">
        <f aca="false">IF($B262="","",N($E262))</f>
        <v/>
      </c>
      <c r="I262" s="53" t="str">
        <f aca="false">IF($B262="","",$I$244+SUMIFS($G$246:$G$262,$M$246:$M$262,"&lt;="&amp;$M262)-SUMIFS($H$246:$H$262,$M$246:$M$262,"&lt;="&amp;$M262))</f>
        <v/>
      </c>
      <c r="J262" s="10"/>
      <c r="L262" s="0" t="str">
        <f aca="false">IF($B262="","",IF($C262="",$E$6+83,$C262))</f>
        <v/>
      </c>
      <c r="M262" s="0" t="str">
        <f aca="false">IF($L262="","",COUNTIFS($L$246:$L$262,"&lt;"&amp;$L262)+COUNTIFS($L$246:$L262,$L262))</f>
        <v/>
      </c>
    </row>
    <row r="263" customFormat="false" ht="15" hidden="false" customHeight="false" outlineLevel="0" collapsed="false">
      <c r="B263" s="54" t="s">
        <v>145</v>
      </c>
      <c r="C263" s="55"/>
      <c r="D263" s="55"/>
      <c r="E263" s="55"/>
      <c r="F263" s="55"/>
      <c r="G263" s="56" t="n">
        <f aca="false">SUM($G$246:$G$262)</f>
        <v>880</v>
      </c>
      <c r="H263" s="56" t="n">
        <f aca="false">SUM($H$246:$H$262)</f>
        <v>57.57</v>
      </c>
      <c r="I263" s="57" t="n">
        <f aca="false">$I$244+$G$263-$H$263</f>
        <v>5084.3</v>
      </c>
      <c r="J263" s="58" t="str">
        <f aca="false">IF($I$263&lt;0,"SHORTFALL",IF($I$263&lt;$E$7,"TIGHT","OK"))</f>
        <v>OK</v>
      </c>
      <c r="K263" s="59" t="str">
        <f aca="false">IF(COUNT($I$246:$I$262)=0,"","Lowest point this week: "&amp;TEXT(MIN($I$246:$I$262),"$#,##0.00;-$#,##0.00")&amp;" on "&amp;TEXT(INDEX($C$246:$C$262,MATCH(MIN($I$246:$I$262),$I$246:$I$262,0)),"ddd mmm d")&amp;"     (in "&amp;TEXT($G$263,"$#,##0.00")&amp;", out "&amp;TEXT($H$263,"$#,##0.00")&amp;")")</f>
        <v>Lowest point this week: $4,994.30 on Sun Oct 25     (in $880.00, out $57.57)</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120</v>
      </c>
      <c r="H265" s="32"/>
      <c r="I265" s="34" t="n">
        <f aca="false">$I$263</f>
        <v>5084.3</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121</v>
      </c>
      <c r="C266" s="35" t="s">
        <v>122</v>
      </c>
      <c r="D266" s="35" t="s">
        <v>72</v>
      </c>
      <c r="E266" s="35" t="s">
        <v>123</v>
      </c>
      <c r="F266" s="35" t="s">
        <v>124</v>
      </c>
      <c r="G266" s="36" t="s">
        <v>18</v>
      </c>
      <c r="H266" s="37" t="s">
        <v>20</v>
      </c>
      <c r="I266" s="35" t="s">
        <v>125</v>
      </c>
      <c r="J266" s="35" t="s">
        <v>126</v>
      </c>
    </row>
    <row r="267" customFormat="false" ht="15" hidden="false" customHeight="false" outlineLevel="0" collapsed="false">
      <c r="B267" s="38" t="str">
        <f aca="false">IFERROR(INDEX(Schedule!$C$4:$C$483,MATCH(13001,Schedule!$K$4:$K$483,0)),"")</f>
        <v>Compunnel Software (paycheck)</v>
      </c>
      <c r="C267" s="39" t="n">
        <f aca="false">IF($B267="","",INDEX(Schedule!$G$4:$G$483,MATCH(13001,Schedule!$K$4:$K$483,0)))</f>
        <v>46325</v>
      </c>
      <c r="D267" s="40" t="str">
        <f aca="false">IF($B267="","",INDEX(Schedule!$D$4:$D$483,MATCH(13001,Schedule!$K$4:$K$483,0)))</f>
        <v>Income</v>
      </c>
      <c r="E267" s="41" t="n">
        <f aca="false">IF($B267="","",INDEX(Schedule!$E$4:$E$483,MATCH(13001,Schedule!$K$4:$K$483,0)))</f>
        <v>790</v>
      </c>
      <c r="F267" s="42"/>
      <c r="G267" s="43" t="n">
        <f aca="false">IF($B267="","",IF($D267="Income",IF($F267&lt;&gt;"",$F267,$E267),""))</f>
        <v>790</v>
      </c>
      <c r="H267" s="44" t="str">
        <f aca="false">IF($B267="","",IF($D267="Income","",IF($F267&lt;&gt;"",$F267,$E267)))</f>
        <v/>
      </c>
      <c r="I267" s="45" t="n">
        <f aca="false">IF($B267="","",$I$265+SUMIFS($G$267:$G$283,$M$267:$M$283,"&lt;="&amp;$M267)-SUMIFS($H$267:$H$283,$M$267:$M$283,"&lt;="&amp;$M267))</f>
        <v>5874.3</v>
      </c>
      <c r="J267" s="46" t="str">
        <f aca="true">IF($B267="","",IF($F267&lt;&gt;"",IF($C267&gt;TODAY(),"ADJUSTED","PAID"),IF($C267&lt;TODAY(),"PAST DUE",IF($C267&lt;=TODAY()+7,"DUE","Upcoming"))))</f>
        <v>Upcoming</v>
      </c>
      <c r="L267" s="47" t="n">
        <f aca="false">IF($B267="","",$C267)</f>
        <v>46325</v>
      </c>
      <c r="M267" s="0" t="n">
        <f aca="false">IF($L267="","",COUNTIFS($L$267:$L$283,"&lt;"&amp;$L267)+COUNTIFS($L$267:$L267,$L267))</f>
        <v>1</v>
      </c>
    </row>
    <row r="268" customFormat="false" ht="15" hidden="false" customHeight="false" outlineLevel="0" collapsed="false">
      <c r="B268" s="38" t="str">
        <f aca="false">IFERROR(INDEX(Schedule!$C$4:$C$483,MATCH(13002,Schedule!$K$4:$K$483,0)),"")</f>
        <v>Patrick Rombalski (rent)</v>
      </c>
      <c r="C268" s="39" t="n">
        <f aca="false">IF($B268="","",INDEX(Schedule!$G$4:$G$483,MATCH(13002,Schedule!$K$4:$K$483,0)))</f>
        <v>46325</v>
      </c>
      <c r="D268" s="40" t="str">
        <f aca="false">IF($B268="","",INDEX(Schedule!$D$4:$D$483,MATCH(13002,Schedule!$K$4:$K$483,0)))</f>
        <v>Expense</v>
      </c>
      <c r="E268" s="41" t="n">
        <f aca="false">IF($B268="","",INDEX(Schedule!$E$4:$E$483,MATCH(13002,Schedule!$K$4:$K$483,0)))</f>
        <v>350</v>
      </c>
      <c r="F268" s="42"/>
      <c r="G268" s="43" t="str">
        <f aca="false">IF($B268="","",IF($D268="Income",IF($F268&lt;&gt;"",$F268,$E268),""))</f>
        <v/>
      </c>
      <c r="H268" s="44" t="n">
        <f aca="false">IF($B268="","",IF($D268="Income","",IF($F268&lt;&gt;"",$F268,$E268)))</f>
        <v>350</v>
      </c>
      <c r="I268" s="45" t="n">
        <f aca="false">IF($B268="","",$I$265+SUMIFS($G$267:$G$283,$M$267:$M$283,"&lt;="&amp;$M268)-SUMIFS($H$267:$H$283,$M$267:$M$283,"&lt;="&amp;$M268))</f>
        <v>5524.3</v>
      </c>
      <c r="J268" s="46" t="str">
        <f aca="true">IF($B268="","",IF($F268&lt;&gt;"",IF($C268&gt;TODAY(),"ADJUSTED","PAID"),IF($C268&lt;TODAY(),"PAST DUE",IF($C268&lt;=TODAY()+7,"DUE","Upcoming"))))</f>
        <v>Upcoming</v>
      </c>
      <c r="L268" s="47" t="n">
        <f aca="false">IF($B268="","",$C268)</f>
        <v>46325</v>
      </c>
      <c r="M268" s="0" t="n">
        <f aca="false">IF($L268="","",COUNTIFS($L$267:$L$283,"&lt;"&amp;$L268)+COUNTIFS($L$267:$L268,$L268))</f>
        <v>2</v>
      </c>
    </row>
    <row r="269" customFormat="false" ht="15" hidden="false" customHeight="false" outlineLevel="0" collapsed="false">
      <c r="B269" s="38" t="str">
        <f aca="false">IFERROR(INDEX(Schedule!$C$4:$C$483,MATCH(13003,Schedule!$K$4:$K$483,0)),"")</f>
        <v>Maine Revenue Services (2)</v>
      </c>
      <c r="C269" s="39" t="n">
        <f aca="false">IF($B269="","",INDEX(Schedule!$G$4:$G$483,MATCH(13003,Schedule!$K$4:$K$483,0)))</f>
        <v>46325</v>
      </c>
      <c r="D269" s="40" t="str">
        <f aca="false">IF($B269="","",INDEX(Schedule!$D$4:$D$483,MATCH(13003,Schedule!$K$4:$K$483,0)))</f>
        <v>Expense</v>
      </c>
      <c r="E269" s="41" t="n">
        <f aca="false">IF($B269="","",INDEX(Schedule!$E$4:$E$483,MATCH(13003,Schedule!$K$4:$K$483,0)))</f>
        <v>150</v>
      </c>
      <c r="F269" s="42"/>
      <c r="G269" s="43" t="str">
        <f aca="false">IF($B269="","",IF($D269="Income",IF($F269&lt;&gt;"",$F269,$E269),""))</f>
        <v/>
      </c>
      <c r="H269" s="44" t="n">
        <f aca="false">IF($B269="","",IF($D269="Income","",IF($F269&lt;&gt;"",$F269,$E269)))</f>
        <v>150</v>
      </c>
      <c r="I269" s="45" t="n">
        <f aca="false">IF($B269="","",$I$265+SUMIFS($G$267:$G$283,$M$267:$M$283,"&lt;="&amp;$M269)-SUMIFS($H$267:$H$283,$M$267:$M$283,"&lt;="&amp;$M269))</f>
        <v>5374.3</v>
      </c>
      <c r="J269" s="46" t="str">
        <f aca="true">IF($B269="","",IF($F269&lt;&gt;"",IF($C269&gt;TODAY(),"ADJUSTED","PAID"),IF($C269&lt;TODAY(),"PAST DUE",IF($C269&lt;=TODAY()+7,"DUE","Upcoming"))))</f>
        <v>Upcoming</v>
      </c>
      <c r="L269" s="47" t="n">
        <f aca="false">IF($B269="","",$C269)</f>
        <v>46325</v>
      </c>
      <c r="M269" s="0" t="n">
        <f aca="false">IF($L269="","",COUNTIFS($L$267:$L$283,"&lt;"&amp;$L269)+COUNTIFS($L$267:$L269,$L269))</f>
        <v>3</v>
      </c>
    </row>
    <row r="270" customFormat="false" ht="15" hidden="false" customHeight="false" outlineLevel="0" collapsed="false">
      <c r="B270" s="38" t="str">
        <f aca="false">IFERROR(INDEX(Schedule!$C$4:$C$483,MATCH(13004,Schedule!$K$4:$K$483,0)),"")</f>
        <v>Progressive Insurance</v>
      </c>
      <c r="C270" s="39" t="n">
        <f aca="false">IF($B270="","",INDEX(Schedule!$G$4:$G$483,MATCH(13004,Schedule!$K$4:$K$483,0)))</f>
        <v>46326</v>
      </c>
      <c r="D270" s="40" t="str">
        <f aca="false">IF($B270="","",INDEX(Schedule!$D$4:$D$483,MATCH(13004,Schedule!$K$4:$K$483,0)))</f>
        <v>Expense</v>
      </c>
      <c r="E270" s="41" t="n">
        <f aca="false">IF($B270="","",INDEX(Schedule!$E$4:$E$483,MATCH(13004,Schedule!$K$4:$K$483,0)))</f>
        <v>143.37</v>
      </c>
      <c r="F270" s="42"/>
      <c r="G270" s="43" t="str">
        <f aca="false">IF($B270="","",IF($D270="Income",IF($F270&lt;&gt;"",$F270,$E270),""))</f>
        <v/>
      </c>
      <c r="H270" s="44" t="n">
        <f aca="false">IF($B270="","",IF($D270="Income","",IF($F270&lt;&gt;"",$F270,$E270)))</f>
        <v>143.37</v>
      </c>
      <c r="I270" s="45" t="n">
        <f aca="false">IF($B270="","",$I$265+SUMIFS($G$267:$G$283,$M$267:$M$283,"&lt;="&amp;$M270)-SUMIFS($H$267:$H$283,$M$267:$M$283,"&lt;="&amp;$M270))</f>
        <v>5230.93</v>
      </c>
      <c r="J270" s="46" t="str">
        <f aca="true">IF($B270="","",IF($F270&lt;&gt;"",IF($C270&gt;TODAY(),"ADJUSTED","PAID"),IF($C270&lt;TODAY(),"PAST DUE",IF($C270&lt;=TODAY()+7,"DUE","Upcoming"))))</f>
        <v>Upcoming</v>
      </c>
      <c r="L270" s="47" t="n">
        <f aca="false">IF($B270="","",$C270)</f>
        <v>46326</v>
      </c>
      <c r="M270" s="0" t="n">
        <f aca="false">IF($L270="","",COUNTIFS($L$267:$L$283,"&lt;"&amp;$L270)+COUNTIFS($L$267:$L270,$L270))</f>
        <v>4</v>
      </c>
    </row>
    <row r="271" customFormat="false" ht="15" hidden="false" customHeight="false" outlineLevel="0" collapsed="false">
      <c r="B271" s="38" t="str">
        <f aca="false">IFERROR(INDEX(Schedule!$C$4:$C$483,MATCH(13005,Schedule!$K$4:$K$483,0)),"")</f>
        <v>Bruno's Restaurant (paycheck)</v>
      </c>
      <c r="C271" s="39" t="n">
        <f aca="false">IF($B271="","",INDEX(Schedule!$G$4:$G$483,MATCH(13005,Schedule!$K$4:$K$483,0)))</f>
        <v>46330</v>
      </c>
      <c r="D271" s="40" t="str">
        <f aca="false">IF($B271="","",INDEX(Schedule!$D$4:$D$483,MATCH(13005,Schedule!$K$4:$K$483,0)))</f>
        <v>Income</v>
      </c>
      <c r="E271" s="41" t="n">
        <f aca="false">IF($B271="","",INDEX(Schedule!$E$4:$E$483,MATCH(13005,Schedule!$K$4:$K$483,0)))</f>
        <v>90</v>
      </c>
      <c r="F271" s="42"/>
      <c r="G271" s="43" t="n">
        <f aca="false">IF($B271="","",IF($D271="Income",IF($F271&lt;&gt;"",$F271,$E271),""))</f>
        <v>90</v>
      </c>
      <c r="H271" s="44" t="str">
        <f aca="false">IF($B271="","",IF($D271="Income","",IF($F271&lt;&gt;"",$F271,$E271)))</f>
        <v/>
      </c>
      <c r="I271" s="45" t="n">
        <f aca="false">IF($B271="","",$I$265+SUMIFS($G$267:$G$283,$M$267:$M$283,"&lt;="&amp;$M271)-SUMIFS($H$267:$H$283,$M$267:$M$283,"&lt;="&amp;$M271))</f>
        <v>5320.93</v>
      </c>
      <c r="J271" s="46" t="str">
        <f aca="true">IF($B271="","",IF($F271&lt;&gt;"",IF($C271&gt;TODAY(),"ADJUSTED","PAID"),IF($C271&lt;TODAY(),"PAST DUE",IF($C271&lt;=TODAY()+7,"DUE","Upcoming"))))</f>
        <v>Upcoming</v>
      </c>
      <c r="L271" s="47" t="n">
        <f aca="false">IF($B271="","",$C271)</f>
        <v>46330</v>
      </c>
      <c r="M271" s="0" t="n">
        <f aca="false">IF($L271="","",COUNTIFS($L$267:$L$283,"&lt;"&amp;$L271)+COUNTIFS($L$267:$L271,$L271))</f>
        <v>5</v>
      </c>
    </row>
    <row r="272" customFormat="false" ht="15" hidden="false" customHeight="false" outlineLevel="0" collapsed="false">
      <c r="B272" s="38" t="str">
        <f aca="false">IFERROR(INDEX(Schedule!$C$4:$C$483,MATCH(13006,Schedule!$K$4:$K$483,0)),"")</f>
        <v>Apple: Claude</v>
      </c>
      <c r="C272" s="39" t="n">
        <f aca="false">IF($B272="","",INDEX(Schedule!$G$4:$G$483,MATCH(13006,Schedule!$K$4:$K$483,0)))</f>
        <v>46330</v>
      </c>
      <c r="D272" s="40" t="str">
        <f aca="false">IF($B272="","",INDEX(Schedule!$D$4:$D$483,MATCH(13006,Schedule!$K$4:$K$483,0)))</f>
        <v>Expense</v>
      </c>
      <c r="E272" s="41" t="n">
        <f aca="false">IF($B272="","",INDEX(Schedule!$E$4:$E$483,MATCH(13006,Schedule!$K$4:$K$483,0)))</f>
        <v>21.1</v>
      </c>
      <c r="F272" s="42"/>
      <c r="G272" s="43" t="str">
        <f aca="false">IF($B272="","",IF($D272="Income",IF($F272&lt;&gt;"",$F272,$E272),""))</f>
        <v/>
      </c>
      <c r="H272" s="44" t="n">
        <f aca="false">IF($B272="","",IF($D272="Income","",IF($F272&lt;&gt;"",$F272,$E272)))</f>
        <v>21.1</v>
      </c>
      <c r="I272" s="45" t="n">
        <f aca="false">IF($B272="","",$I$265+SUMIFS($G$267:$G$283,$M$267:$M$283,"&lt;="&amp;$M272)-SUMIFS($H$267:$H$283,$M$267:$M$283,"&lt;="&amp;$M272))</f>
        <v>5299.83</v>
      </c>
      <c r="J272" s="46" t="str">
        <f aca="true">IF($B272="","",IF($F272&lt;&gt;"",IF($C272&gt;TODAY(),"ADJUSTED","PAID"),IF($C272&lt;TODAY(),"PAST DUE",IF($C272&lt;=TODAY()+7,"DUE","Upcoming"))))</f>
        <v>Upcoming</v>
      </c>
      <c r="L272" s="47" t="n">
        <f aca="false">IF($B272="","",$C272)</f>
        <v>46330</v>
      </c>
      <c r="M272" s="0" t="n">
        <f aca="false">IF($L272="","",COUNTIFS($L$267:$L$283,"&lt;"&amp;$L272)+COUNTIFS($L$267:$L272,$L272))</f>
        <v>6</v>
      </c>
    </row>
    <row r="273" customFormat="false" ht="15" hidden="false" customHeight="false" outlineLevel="0" collapsed="false">
      <c r="B273" s="38" t="str">
        <f aca="false">IFERROR(INDEX(Schedule!$C$4:$C$483,MATCH(13007,Schedule!$K$4:$K$483,0)),"")</f>
        <v>OpenAI</v>
      </c>
      <c r="C273" s="39" t="n">
        <f aca="false">IF($B273="","",INDEX(Schedule!$G$4:$G$483,MATCH(13007,Schedule!$K$4:$K$483,0)))</f>
        <v>46331</v>
      </c>
      <c r="D273" s="40" t="str">
        <f aca="false">IF($B273="","",INDEX(Schedule!$D$4:$D$483,MATCH(13007,Schedule!$K$4:$K$483,0)))</f>
        <v>Expense</v>
      </c>
      <c r="E273" s="41" t="n">
        <f aca="false">IF($B273="","",INDEX(Schedule!$E$4:$E$483,MATCH(13007,Schedule!$K$4:$K$483,0)))</f>
        <v>20</v>
      </c>
      <c r="F273" s="42"/>
      <c r="G273" s="43" t="str">
        <f aca="false">IF($B273="","",IF($D273="Income",IF($F273&lt;&gt;"",$F273,$E273),""))</f>
        <v/>
      </c>
      <c r="H273" s="44" t="n">
        <f aca="false">IF($B273="","",IF($D273="Income","",IF($F273&lt;&gt;"",$F273,$E273)))</f>
        <v>20</v>
      </c>
      <c r="I273" s="45" t="n">
        <f aca="false">IF($B273="","",$I$265+SUMIFS($G$267:$G$283,$M$267:$M$283,"&lt;="&amp;$M273)-SUMIFS($H$267:$H$283,$M$267:$M$283,"&lt;="&amp;$M273))</f>
        <v>5279.83</v>
      </c>
      <c r="J273" s="46" t="str">
        <f aca="true">IF($B273="","",IF($F273&lt;&gt;"",IF($C273&gt;TODAY(),"ADJUSTED","PAID"),IF($C273&lt;TODAY(),"PAST DUE",IF($C273&lt;=TODAY()+7,"DUE","Upcoming"))))</f>
        <v>Upcoming</v>
      </c>
      <c r="L273" s="47" t="n">
        <f aca="false">IF($B273="","",$C273)</f>
        <v>46331</v>
      </c>
      <c r="M273" s="0" t="n">
        <f aca="false">IF($L273="","",COUNTIFS($L$267:$L$283,"&lt;"&amp;$L273)+COUNTIFS($L$267:$L273,$L273))</f>
        <v>7</v>
      </c>
    </row>
    <row r="274" customFormat="false" ht="15" hidden="false" customHeight="false" outlineLevel="0" collapsed="false">
      <c r="B274" s="38" t="str">
        <f aca="false">IFERROR(INDEX(Schedule!$C$4:$C$483,MATCH(13008,Schedule!$K$4:$K$483,0)),"")</f>
        <v>Obsidian</v>
      </c>
      <c r="C274" s="39" t="n">
        <f aca="false">IF($B274="","",INDEX(Schedule!$G$4:$G$483,MATCH(13008,Schedule!$K$4:$K$483,0)))</f>
        <v>46331</v>
      </c>
      <c r="D274" s="40" t="str">
        <f aca="false">IF($B274="","",INDEX(Schedule!$D$4:$D$483,MATCH(13008,Schedule!$K$4:$K$483,0)))</f>
        <v>Expense</v>
      </c>
      <c r="E274" s="41" t="n">
        <f aca="false">IF($B274="","",INDEX(Schedule!$E$4:$E$483,MATCH(13008,Schedule!$K$4:$K$483,0)))</f>
        <v>10</v>
      </c>
      <c r="F274" s="42"/>
      <c r="G274" s="43" t="str">
        <f aca="false">IF($B274="","",IF($D274="Income",IF($F274&lt;&gt;"",$F274,$E274),""))</f>
        <v/>
      </c>
      <c r="H274" s="44" t="n">
        <f aca="false">IF($B274="","",IF($D274="Income","",IF($F274&lt;&gt;"",$F274,$E274)))</f>
        <v>10</v>
      </c>
      <c r="I274" s="45" t="n">
        <f aca="false">IF($B274="","",$I$265+SUMIFS($G$267:$G$283,$M$267:$M$283,"&lt;="&amp;$M274)-SUMIFS($H$267:$H$283,$M$267:$M$283,"&lt;="&amp;$M274))</f>
        <v>5269.83</v>
      </c>
      <c r="J274" s="46" t="str">
        <f aca="true">IF($B274="","",IF($F274&lt;&gt;"",IF($C274&gt;TODAY(),"ADJUSTED","PAID"),IF($C274&lt;TODAY(),"PAST DUE",IF($C274&lt;=TODAY()+7,"DUE","Upcoming"))))</f>
        <v>Upcoming</v>
      </c>
      <c r="L274" s="47" t="n">
        <f aca="false">IF($B274="","",$C274)</f>
        <v>46331</v>
      </c>
      <c r="M274" s="0" t="n">
        <f aca="false">IF($L274="","",COUNTIFS($L$267:$L$283,"&lt;"&amp;$L274)+COUNTIFS($L$267:$L274,$L274))</f>
        <v>8</v>
      </c>
    </row>
    <row r="275" customFormat="false" ht="15" hidden="false" customHeight="false" outlineLevel="0" collapsed="false">
      <c r="B275" s="38" t="str">
        <f aca="false">IFERROR(INDEX(Schedule!$C$4:$C$483,MATCH(13009,Schedule!$K$4:$K$483,0)),"")</f>
        <v/>
      </c>
      <c r="C275" s="39" t="str">
        <f aca="false">IF($B275="","",INDEX(Schedule!$G$4:$G$483,MATCH(13009,Schedule!$K$4:$K$483,0)))</f>
        <v/>
      </c>
      <c r="D275" s="40" t="str">
        <f aca="false">IF($B275="","",INDEX(Schedule!$D$4:$D$483,MATCH(13009,Schedule!$K$4:$K$483,0)))</f>
        <v/>
      </c>
      <c r="E275" s="41" t="str">
        <f aca="false">IF($B275="","",INDEX(Schedule!$E$4:$E$483,MATCH(13009,Schedule!$K$4:$K$483,0)))</f>
        <v/>
      </c>
      <c r="F275" s="42"/>
      <c r="G275" s="43" t="str">
        <f aca="false">IF($B275="","",IF($D275="Income",IF($F275&lt;&gt;"",$F275,$E275),""))</f>
        <v/>
      </c>
      <c r="H275" s="44" t="str">
        <f aca="false">IF($B275="","",IF($D275="Income","",IF($F275&lt;&gt;"",$F275,$E275)))</f>
        <v/>
      </c>
      <c r="I275" s="45" t="str">
        <f aca="false">IF($B275="","",$I$265+SUMIFS($G$267:$G$283,$M$267:$M$283,"&lt;="&amp;$M275)-SUMIFS($H$267:$H$283,$M$267:$M$283,"&lt;="&amp;$M275))</f>
        <v/>
      </c>
      <c r="J275" s="46" t="str">
        <f aca="true">IF($B275="","",IF($F275&lt;&gt;"",IF($C275&gt;TODAY(),"ADJUSTED","PAID"),IF($C275&lt;TODAY(),"PAST DUE",IF($C275&lt;=TODAY()+7,"DUE","Upcoming"))))</f>
        <v/>
      </c>
      <c r="L275" s="0" t="str">
        <f aca="false">IF($B275="","",$C275)</f>
        <v/>
      </c>
      <c r="M275" s="0" t="str">
        <f aca="false">IF($L275="","",COUNTIFS($L$267:$L$283,"&lt;"&amp;$L275)+COUNTIFS($L$267:$L275,$L275))</f>
        <v/>
      </c>
    </row>
    <row r="276" customFormat="false" ht="15" hidden="false" customHeight="false" outlineLevel="0" collapsed="false">
      <c r="B276" s="38" t="str">
        <f aca="false">IFERROR(INDEX(Schedule!$C$4:$C$483,MATCH(13010,Schedule!$K$4:$K$483,0)),"")</f>
        <v/>
      </c>
      <c r="C276" s="39" t="str">
        <f aca="false">IF($B276="","",INDEX(Schedule!$G$4:$G$483,MATCH(13010,Schedule!$K$4:$K$483,0)))</f>
        <v/>
      </c>
      <c r="D276" s="40" t="str">
        <f aca="false">IF($B276="","",INDEX(Schedule!$D$4:$D$483,MATCH(13010,Schedule!$K$4:$K$483,0)))</f>
        <v/>
      </c>
      <c r="E276" s="41" t="str">
        <f aca="false">IF($B276="","",INDEX(Schedule!$E$4:$E$483,MATCH(13010,Schedule!$K$4:$K$483,0)))</f>
        <v/>
      </c>
      <c r="F276" s="42"/>
      <c r="G276" s="43" t="str">
        <f aca="false">IF($B276="","",IF($D276="Income",IF($F276&lt;&gt;"",$F276,$E276),""))</f>
        <v/>
      </c>
      <c r="H276" s="44" t="str">
        <f aca="false">IF($B276="","",IF($D276="Income","",IF($F276&lt;&gt;"",$F276,$E276)))</f>
        <v/>
      </c>
      <c r="I276" s="45" t="str">
        <f aca="false">IF($B276="","",$I$265+SUMIFS($G$267:$G$283,$M$267:$M$283,"&lt;="&amp;$M276)-SUMIFS($H$267:$H$283,$M$267:$M$283,"&lt;="&amp;$M276))</f>
        <v/>
      </c>
      <c r="J276" s="46" t="str">
        <f aca="true">IF($B276="","",IF($F276&lt;&gt;"",IF($C276&gt;TODAY(),"ADJUSTED","PAID"),IF($C276&lt;TODAY(),"PAST DUE",IF($C276&lt;=TODAY()+7,"DUE","Upcoming"))))</f>
        <v/>
      </c>
      <c r="L276" s="0" t="str">
        <f aca="false">IF($B276="","",$C276)</f>
        <v/>
      </c>
      <c r="M276" s="0" t="str">
        <f aca="false">IF($L276="","",COUNTIFS($L$267:$L$283,"&lt;"&amp;$L276)+COUNTIFS($L$267:$L276,$L276))</f>
        <v/>
      </c>
    </row>
    <row r="277" customFormat="false" ht="15" hidden="false" customHeight="false" outlineLevel="0" collapsed="false">
      <c r="B277" s="48" t="s">
        <v>127</v>
      </c>
      <c r="C277" s="49"/>
      <c r="D277" s="49"/>
      <c r="E277" s="49"/>
      <c r="F277" s="49"/>
      <c r="G277" s="49"/>
      <c r="H277" s="49"/>
      <c r="I277" s="49"/>
      <c r="J277" s="49"/>
    </row>
    <row r="278" customFormat="false" ht="15" hidden="false" customHeight="false" outlineLevel="0" collapsed="false">
      <c r="B278" s="6"/>
      <c r="C278" s="50"/>
      <c r="D278" s="51" t="str">
        <f aca="false">IF($B278="","","Expense")</f>
        <v/>
      </c>
      <c r="E278" s="18"/>
      <c r="F278" s="10"/>
      <c r="G278" s="10"/>
      <c r="H278" s="52" t="str">
        <f aca="false">IF($B278="","",N($E278))</f>
        <v/>
      </c>
      <c r="I278" s="53" t="str">
        <f aca="false">IF($B278="","",$I$265+SUMIFS($G$267:$G$283,$M$267:$M$283,"&lt;="&amp;$M278)-SUMIFS($H$267:$H$283,$M$267:$M$283,"&lt;="&amp;$M278))</f>
        <v/>
      </c>
      <c r="J278" s="10"/>
      <c r="L278" s="0" t="str">
        <f aca="false">IF($B278="","",IF($C278="",$E$6+90,$C278))</f>
        <v/>
      </c>
      <c r="M278" s="0" t="str">
        <f aca="false">IF($L278="","",COUNTIFS($L$267:$L$283,"&lt;"&amp;$L278)+COUNTIFS($L$267:$L278,$L278))</f>
        <v/>
      </c>
    </row>
    <row r="279" customFormat="false" ht="15" hidden="false" customHeight="false" outlineLevel="0" collapsed="false">
      <c r="B279" s="6"/>
      <c r="C279" s="50"/>
      <c r="D279" s="51" t="str">
        <f aca="false">IF($B279="","","Expense")</f>
        <v/>
      </c>
      <c r="E279" s="18"/>
      <c r="F279" s="10"/>
      <c r="G279" s="10"/>
      <c r="H279" s="52" t="str">
        <f aca="false">IF($B279="","",N($E279))</f>
        <v/>
      </c>
      <c r="I279" s="53" t="str">
        <f aca="false">IF($B279="","",$I$265+SUMIFS($G$267:$G$283,$M$267:$M$283,"&lt;="&amp;$M279)-SUMIFS($H$267:$H$283,$M$267:$M$283,"&lt;="&amp;$M279))</f>
        <v/>
      </c>
      <c r="J279" s="10"/>
      <c r="L279" s="0" t="str">
        <f aca="false">IF($B279="","",IF($C279="",$E$6+90,$C279))</f>
        <v/>
      </c>
      <c r="M279" s="0" t="str">
        <f aca="false">IF($L279="","",COUNTIFS($L$267:$L$283,"&lt;"&amp;$L279)+COUNTIFS($L$267:$L279,$L279))</f>
        <v/>
      </c>
    </row>
    <row r="280" customFormat="false" ht="15" hidden="false" customHeight="false" outlineLevel="0" collapsed="false">
      <c r="B280" s="6"/>
      <c r="C280" s="50"/>
      <c r="D280" s="51" t="str">
        <f aca="false">IF($B280="","","Expense")</f>
        <v/>
      </c>
      <c r="E280" s="18"/>
      <c r="F280" s="10"/>
      <c r="G280" s="10"/>
      <c r="H280" s="52" t="str">
        <f aca="false">IF($B280="","",N($E280))</f>
        <v/>
      </c>
      <c r="I280" s="53" t="str">
        <f aca="false">IF($B280="","",$I$265+SUMIFS($G$267:$G$283,$M$267:$M$283,"&lt;="&amp;$M280)-SUMIFS($H$267:$H$283,$M$267:$M$283,"&lt;="&amp;$M280))</f>
        <v/>
      </c>
      <c r="J280" s="10"/>
      <c r="L280" s="0" t="str">
        <f aca="false">IF($B280="","",IF($C280="",$E$6+90,$C280))</f>
        <v/>
      </c>
      <c r="M280" s="0" t="str">
        <f aca="false">IF($L280="","",COUNTIFS($L$267:$L$283,"&lt;"&amp;$L280)+COUNTIFS($L$267:$L280,$L280))</f>
        <v/>
      </c>
    </row>
    <row r="281" customFormat="false" ht="15" hidden="false" customHeight="false" outlineLevel="0" collapsed="false">
      <c r="B281" s="6"/>
      <c r="C281" s="50"/>
      <c r="D281" s="51" t="str">
        <f aca="false">IF($B281="","","Expense")</f>
        <v/>
      </c>
      <c r="E281" s="18"/>
      <c r="F281" s="10"/>
      <c r="G281" s="10"/>
      <c r="H281" s="52" t="str">
        <f aca="false">IF($B281="","",N($E281))</f>
        <v/>
      </c>
      <c r="I281" s="53" t="str">
        <f aca="false">IF($B281="","",$I$265+SUMIFS($G$267:$G$283,$M$267:$M$283,"&lt;="&amp;$M281)-SUMIFS($H$267:$H$283,$M$267:$M$283,"&lt;="&amp;$M281))</f>
        <v/>
      </c>
      <c r="J281" s="10"/>
      <c r="L281" s="0" t="str">
        <f aca="false">IF($B281="","",IF($C281="",$E$6+90,$C281))</f>
        <v/>
      </c>
      <c r="M281" s="0" t="str">
        <f aca="false">IF($L281="","",COUNTIFS($L$267:$L$283,"&lt;"&amp;$L281)+COUNTIFS($L$267:$L281,$L281))</f>
        <v/>
      </c>
    </row>
    <row r="282" customFormat="false" ht="15" hidden="false" customHeight="false" outlineLevel="0" collapsed="false">
      <c r="B282" s="6"/>
      <c r="C282" s="50"/>
      <c r="D282" s="51" t="str">
        <f aca="false">IF($B282="","","Expense")</f>
        <v/>
      </c>
      <c r="E282" s="18"/>
      <c r="F282" s="10"/>
      <c r="G282" s="10"/>
      <c r="H282" s="52" t="str">
        <f aca="false">IF($B282="","",N($E282))</f>
        <v/>
      </c>
      <c r="I282" s="53" t="str">
        <f aca="false">IF($B282="","",$I$265+SUMIFS($G$267:$G$283,$M$267:$M$283,"&lt;="&amp;$M282)-SUMIFS($H$267:$H$283,$M$267:$M$283,"&lt;="&amp;$M282))</f>
        <v/>
      </c>
      <c r="J282" s="10"/>
      <c r="L282" s="0" t="str">
        <f aca="false">IF($B282="","",IF($C282="",$E$6+90,$C282))</f>
        <v/>
      </c>
      <c r="M282" s="0" t="str">
        <f aca="false">IF($L282="","",COUNTIFS($L$267:$L$283,"&lt;"&amp;$L282)+COUNTIFS($L$267:$L282,$L282))</f>
        <v/>
      </c>
    </row>
    <row r="283" customFormat="false" ht="15" hidden="false" customHeight="false" outlineLevel="0" collapsed="false">
      <c r="B283" s="6"/>
      <c r="C283" s="50"/>
      <c r="D283" s="51" t="str">
        <f aca="false">IF($B283="","","Expense")</f>
        <v/>
      </c>
      <c r="E283" s="18"/>
      <c r="F283" s="10"/>
      <c r="G283" s="10"/>
      <c r="H283" s="52" t="str">
        <f aca="false">IF($B283="","",N($E283))</f>
        <v/>
      </c>
      <c r="I283" s="53" t="str">
        <f aca="false">IF($B283="","",$I$265+SUMIFS($G$267:$G$283,$M$267:$M$283,"&lt;="&amp;$M283)-SUMIFS($H$267:$H$283,$M$267:$M$283,"&lt;="&amp;$M283))</f>
        <v/>
      </c>
      <c r="J283" s="10"/>
      <c r="L283" s="0" t="str">
        <f aca="false">IF($B283="","",IF($C283="",$E$6+90,$C283))</f>
        <v/>
      </c>
      <c r="M283" s="0" t="str">
        <f aca="false">IF($L283="","",COUNTIFS($L$267:$L$283,"&lt;"&amp;$L283)+COUNTIFS($L$267:$L283,$L283))</f>
        <v/>
      </c>
    </row>
    <row r="284" customFormat="false" ht="15" hidden="false" customHeight="false" outlineLevel="0" collapsed="false">
      <c r="B284" s="54" t="s">
        <v>146</v>
      </c>
      <c r="C284" s="55"/>
      <c r="D284" s="55"/>
      <c r="E284" s="55"/>
      <c r="F284" s="55"/>
      <c r="G284" s="56" t="n">
        <f aca="false">SUM($G$267:$G$283)</f>
        <v>880</v>
      </c>
      <c r="H284" s="56" t="n">
        <f aca="false">SUM($H$267:$H$283)</f>
        <v>694.47</v>
      </c>
      <c r="I284" s="57" t="n">
        <f aca="false">$I$265+$G$284-$H$284</f>
        <v>5269.83</v>
      </c>
      <c r="J284" s="58" t="str">
        <f aca="false">IF($I$284&lt;0,"SHORTFALL",IF($I$284&lt;$E$7,"TIGHT","OK"))</f>
        <v>OK</v>
      </c>
      <c r="K284" s="59" t="str">
        <f aca="false">IF(COUNT($I$267:$I$283)=0,"","Lowest point this week: "&amp;TEXT(MIN($I$267:$I$283),"$#,##0.00;-$#,##0.00")&amp;" on "&amp;TEXT(INDEX($C$267:$C$283,MATCH(MIN($I$267:$I$283),$I$267:$I$283,0)),"ddd mmm d")&amp;"     (in "&amp;TEXT($G$284,"$#,##0.00")&amp;", out "&amp;TEXT($H$284,"$#,##0.00")&amp;")")</f>
        <v>Lowest point this week: $5,230.93 on Sat Oct 31     (in $880.00, out $694.47)</v>
      </c>
    </row>
  </sheetData>
  <conditionalFormatting sqref="B15:J24 B36:J45 B57:J66 B78:J87 B99:J108 B120:J129 B141:J150 B162:J171 B183:J192 B204:J213 B225:J234 B246:J255 B267:J276">
    <cfRule type="expression" priority="2" aboveAverage="0" equalAverage="0" bottom="0" percent="0" rank="0" text="" dxfId="2">
      <formula>$B15&lt;&gt;""</formula>
    </cfRule>
  </conditionalFormatting>
  <conditionalFormatting sqref="F15:F24 F36:F45 F57:F66 F78:F87 F99:F108 F120:F129 F141:F150 F162:F171 F183:F192 F204:F213 F225:F234 F246:F255 F267:F276">
    <cfRule type="expression" priority="3" aboveAverage="0" equalAverage="0" bottom="0" percent="0" rank="0" text="" dxfId="3">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2 I36:I53 I57:I74 I78:I95 I99:I116 I120:I137 I141:I158 I162:I179 I183:I200 I204:I221 I225:I242 I246:I263 I267:I284">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9.01"/>
    <col collapsed="false" customWidth="true" hidden="false" outlineLevel="0" max="3" min="3" style="0" width="20.04"/>
    <col collapsed="false" customWidth="true" hidden="false" outlineLevel="0" max="4" min="4" style="0" width="14.93"/>
    <col collapsed="false" customWidth="true" hidden="false" outlineLevel="0" max="5" min="5" style="0" width="13.99"/>
    <col collapsed="false" customWidth="true" hidden="false" outlineLevel="0" max="7" min="6" style="0" width="16.01"/>
    <col collapsed="false" customWidth="true" hidden="false" outlineLevel="0" max="8" min="8" style="0" width="13.05"/>
    <col collapsed="false" customWidth="true" hidden="false" outlineLevel="0" max="9" min="9" style="0" width="16.01"/>
    <col collapsed="false" customWidth="true" hidden="false" outlineLevel="0" max="10" min="10" style="0" width="11.97"/>
    <col collapsed="false" customWidth="true" hidden="true" outlineLevel="0" max="11" min="11" style="0" width="11.03"/>
  </cols>
  <sheetData>
    <row r="1" customFormat="false" ht="20.25" hidden="false" customHeight="true" outlineLevel="0" collapsed="false">
      <c r="B1" s="1" t="s">
        <v>147</v>
      </c>
    </row>
    <row r="2" customFormat="false" ht="15" hidden="false" customHeight="false" outlineLevel="0" collapsed="false">
      <c r="B2" s="2" t="s">
        <v>148</v>
      </c>
    </row>
    <row r="4" customFormat="false" ht="15" hidden="false" customHeight="false" outlineLevel="0" collapsed="false">
      <c r="B4" s="60" t="s">
        <v>149</v>
      </c>
      <c r="C4" s="60"/>
      <c r="D4" s="60"/>
      <c r="E4" s="61" t="n">
        <f aca="false">MIN($I$13:$I$25)</f>
        <v>58.18</v>
      </c>
    </row>
    <row r="5" customFormat="false" ht="15" hidden="false" customHeight="false" outlineLevel="0" collapsed="false">
      <c r="B5" s="60" t="s">
        <v>150</v>
      </c>
      <c r="C5" s="60"/>
      <c r="D5" s="60"/>
      <c r="E5" s="62" t="str">
        <f aca="false">"Week "&amp;INDEX($B$13:$B$25,MATCH(MIN($I$13:$I$25),$I$13:$I$25,0))&amp;", beginning "&amp;TEXT(INDEX($C$13:$C$25,MATCH(MIN($I$13:$I$25),$I$13:$I$25,0)),"mmm d, yyyy")</f>
        <v>Week 1, beginning Aug 7, 2026</v>
      </c>
      <c r="F5" s="62"/>
      <c r="G5" s="62"/>
      <c r="H5" s="62"/>
      <c r="I5" s="62"/>
    </row>
    <row r="6" customFormat="false" ht="15" hidden="false" customHeight="false" outlineLevel="0" collapsed="false">
      <c r="B6" s="60" t="s">
        <v>151</v>
      </c>
      <c r="C6" s="60"/>
      <c r="D6" s="60"/>
      <c r="E6" s="62" t="str">
        <f aca="false">IF(MIN($K$13:$K$25)=999,"None — you stay above zero all 13 weeks","Week "&amp;MIN($K$13:$K$25)&amp;"  ("&amp;TEXT(INDEX($C$13:$C$25,MATCH(MIN($K$13:$K$25),$B$13:$B$25,0)),"mmm d, yyyy")&amp;")")</f>
        <v>None — you stay above zero all 13 weeks</v>
      </c>
      <c r="F6" s="62"/>
      <c r="G6" s="62"/>
      <c r="H6" s="62"/>
      <c r="I6" s="62"/>
    </row>
    <row r="7" customFormat="false" ht="15" hidden="false" customHeight="false" outlineLevel="0" collapsed="false">
      <c r="B7" s="60" t="s">
        <v>152</v>
      </c>
      <c r="C7" s="60"/>
      <c r="D7" s="60"/>
      <c r="E7" s="63" t="n">
        <f aca="false">SUM($E$13:$E$25)</f>
        <v>10792.63</v>
      </c>
    </row>
    <row r="8" customFormat="false" ht="15" hidden="false" customHeight="false" outlineLevel="0" collapsed="false">
      <c r="B8" s="60" t="s">
        <v>153</v>
      </c>
      <c r="C8" s="60"/>
      <c r="D8" s="60"/>
      <c r="E8" s="63" t="n">
        <f aca="false">SUM($F$13:$F$25)+SUM($G$13:$G$25)</f>
        <v>5574.19</v>
      </c>
    </row>
    <row r="9" customFormat="false" ht="15" hidden="false" customHeight="false" outlineLevel="0" collapsed="false">
      <c r="B9" s="60" t="s">
        <v>154</v>
      </c>
      <c r="C9" s="60"/>
      <c r="D9" s="60"/>
      <c r="E9" s="61" t="n">
        <f aca="false">SUM($H$13:$H$25)</f>
        <v>5218.44</v>
      </c>
    </row>
    <row r="10" customFormat="false" ht="15" hidden="false" customHeight="false" outlineLevel="0" collapsed="false">
      <c r="B10" s="60" t="s">
        <v>155</v>
      </c>
      <c r="C10" s="60"/>
      <c r="D10" s="60"/>
      <c r="E10" s="61" t="n">
        <f aca="false">$I$25</f>
        <v>5269.83</v>
      </c>
    </row>
    <row r="12" customFormat="false" ht="30" hidden="false" customHeight="true" outlineLevel="0" collapsed="false">
      <c r="B12" s="15" t="s">
        <v>156</v>
      </c>
      <c r="C12" s="15" t="s">
        <v>157</v>
      </c>
      <c r="D12" s="15" t="s">
        <v>158</v>
      </c>
      <c r="E12" s="15" t="s">
        <v>81</v>
      </c>
      <c r="F12" s="15" t="s">
        <v>159</v>
      </c>
      <c r="G12" s="15" t="s">
        <v>160</v>
      </c>
      <c r="H12" s="15" t="s">
        <v>161</v>
      </c>
      <c r="I12" s="15" t="s">
        <v>162</v>
      </c>
      <c r="J12" s="15" t="s">
        <v>126</v>
      </c>
      <c r="K12" s="15" t="s">
        <v>163</v>
      </c>
    </row>
    <row r="13" customFormat="false" ht="15" hidden="false" customHeight="false" outlineLevel="0" collapsed="false">
      <c r="B13" s="16" t="n">
        <v>1</v>
      </c>
      <c r="C13" s="64" t="n">
        <f aca="false">'Cash Flow'!$E$6+0</f>
        <v>46241</v>
      </c>
      <c r="D13" s="65" t="n">
        <f aca="false">'Cash Flow'!$I$13</f>
        <v>51.39</v>
      </c>
      <c r="E13" s="66" t="n">
        <f aca="false">SUM('Cash Flow'!$G$15:$G$31)</f>
        <v>232.63</v>
      </c>
      <c r="F13" s="66" t="n">
        <f aca="false">SUM('Cash Flow'!$H$15:$H$24)</f>
        <v>54.09</v>
      </c>
      <c r="G13" s="66" t="n">
        <f aca="false">SUM('Cash Flow'!$H$26:$H$31)</f>
        <v>171.75</v>
      </c>
      <c r="H13" s="67" t="n">
        <f aca="false">$E13-$F13-$G13</f>
        <v>6.78999999999999</v>
      </c>
      <c r="I13" s="67" t="n">
        <f aca="false">'Cash Flow'!$I$32</f>
        <v>58.18</v>
      </c>
      <c r="J13" s="68" t="str">
        <f aca="false">IF($I13&lt;0,"SHORTFALL",IF($I13&lt;'Cash Flow'!$E$7,"TIGHT","OK"))</f>
        <v>TIGHT</v>
      </c>
      <c r="K13" s="29" t="n">
        <f aca="false">IF($I13&lt;0,$B13,999)</f>
        <v>999</v>
      </c>
    </row>
    <row r="14" customFormat="false" ht="15" hidden="false" customHeight="false" outlineLevel="0" collapsed="false">
      <c r="B14" s="20" t="n">
        <v>2</v>
      </c>
      <c r="C14" s="69" t="n">
        <f aca="false">'Cash Flow'!$E$6+7</f>
        <v>46248</v>
      </c>
      <c r="D14" s="70" t="n">
        <f aca="false">'Cash Flow'!$I$34</f>
        <v>58.18</v>
      </c>
      <c r="E14" s="71" t="n">
        <f aca="false">SUM('Cash Flow'!$G$36:$G$52)</f>
        <v>880</v>
      </c>
      <c r="F14" s="71" t="n">
        <f aca="false">SUM('Cash Flow'!$H$36:$H$45)</f>
        <v>583.09</v>
      </c>
      <c r="G14" s="71" t="n">
        <f aca="false">SUM('Cash Flow'!$H$47:$H$52)</f>
        <v>0</v>
      </c>
      <c r="H14" s="72" t="n">
        <f aca="false">$E14-$F14-$G14</f>
        <v>296.91</v>
      </c>
      <c r="I14" s="72" t="n">
        <f aca="false">'Cash Flow'!$I$53</f>
        <v>355.09</v>
      </c>
      <c r="J14" s="73" t="str">
        <f aca="false">IF($I14&lt;0,"SHORTFALL",IF($I14&lt;'Cash Flow'!$E$7,"TIGHT","OK"))</f>
        <v>OK</v>
      </c>
      <c r="K14" s="29" t="n">
        <f aca="false">IF($I14&lt;0,$B14,999)</f>
        <v>999</v>
      </c>
    </row>
    <row r="15" customFormat="false" ht="15" hidden="false" customHeight="false" outlineLevel="0" collapsed="false">
      <c r="B15" s="16" t="n">
        <v>3</v>
      </c>
      <c r="C15" s="64" t="n">
        <f aca="false">'Cash Flow'!$E$6+14</f>
        <v>46255</v>
      </c>
      <c r="D15" s="65" t="n">
        <f aca="false">'Cash Flow'!$I$55</f>
        <v>355.09</v>
      </c>
      <c r="E15" s="66" t="n">
        <f aca="false">SUM('Cash Flow'!$G$57:$G$73)</f>
        <v>880</v>
      </c>
      <c r="F15" s="66" t="n">
        <f aca="false">SUM('Cash Flow'!$H$57:$H$66)</f>
        <v>57.57</v>
      </c>
      <c r="G15" s="66" t="n">
        <f aca="false">SUM('Cash Flow'!$H$68:$H$73)</f>
        <v>0</v>
      </c>
      <c r="H15" s="67" t="n">
        <f aca="false">$E15-$F15-$G15</f>
        <v>822.43</v>
      </c>
      <c r="I15" s="67" t="n">
        <f aca="false">'Cash Flow'!$I$74</f>
        <v>1177.52</v>
      </c>
      <c r="J15" s="68" t="str">
        <f aca="false">IF($I15&lt;0,"SHORTFALL",IF($I15&lt;'Cash Flow'!$E$7,"TIGHT","OK"))</f>
        <v>OK</v>
      </c>
      <c r="K15" s="29" t="n">
        <f aca="false">IF($I15&lt;0,$B15,999)</f>
        <v>999</v>
      </c>
    </row>
    <row r="16" customFormat="false" ht="15" hidden="false" customHeight="false" outlineLevel="0" collapsed="false">
      <c r="B16" s="20" t="n">
        <v>4</v>
      </c>
      <c r="C16" s="69" t="n">
        <f aca="false">'Cash Flow'!$E$6+21</f>
        <v>46262</v>
      </c>
      <c r="D16" s="70" t="n">
        <f aca="false">'Cash Flow'!$I$76</f>
        <v>1177.52</v>
      </c>
      <c r="E16" s="71" t="n">
        <f aca="false">SUM('Cash Flow'!$G$78:$G$94)</f>
        <v>880</v>
      </c>
      <c r="F16" s="71" t="n">
        <f aca="false">SUM('Cash Flow'!$H$78:$H$87)</f>
        <v>643.37</v>
      </c>
      <c r="G16" s="71" t="n">
        <f aca="false">SUM('Cash Flow'!$H$89:$H$94)</f>
        <v>0</v>
      </c>
      <c r="H16" s="72" t="n">
        <f aca="false">$E16-$F16-$G16</f>
        <v>236.63</v>
      </c>
      <c r="I16" s="72" t="n">
        <f aca="false">'Cash Flow'!$I$95</f>
        <v>1414.15</v>
      </c>
      <c r="J16" s="73" t="str">
        <f aca="false">IF($I16&lt;0,"SHORTFALL",IF($I16&lt;'Cash Flow'!$E$7,"TIGHT","OK"))</f>
        <v>OK</v>
      </c>
      <c r="K16" s="29" t="n">
        <f aca="false">IF($I16&lt;0,$B16,999)</f>
        <v>999</v>
      </c>
    </row>
    <row r="17" customFormat="false" ht="15" hidden="false" customHeight="false" outlineLevel="0" collapsed="false">
      <c r="B17" s="16" t="n">
        <v>5</v>
      </c>
      <c r="C17" s="64" t="n">
        <f aca="false">'Cash Flow'!$E$6+28</f>
        <v>46269</v>
      </c>
      <c r="D17" s="65" t="n">
        <f aca="false">'Cash Flow'!$I$97</f>
        <v>1414.15</v>
      </c>
      <c r="E17" s="66" t="n">
        <f aca="false">SUM('Cash Flow'!$G$99:$G$115)</f>
        <v>880</v>
      </c>
      <c r="F17" s="66" t="n">
        <f aca="false">SUM('Cash Flow'!$H$99:$H$108)</f>
        <v>719.59</v>
      </c>
      <c r="G17" s="66" t="n">
        <f aca="false">SUM('Cash Flow'!$H$110:$H$115)</f>
        <v>0</v>
      </c>
      <c r="H17" s="67" t="n">
        <f aca="false">$E17-$F17-$G17</f>
        <v>160.41</v>
      </c>
      <c r="I17" s="67" t="n">
        <f aca="false">'Cash Flow'!$I$116</f>
        <v>1574.56</v>
      </c>
      <c r="J17" s="68" t="str">
        <f aca="false">IF($I17&lt;0,"SHORTFALL",IF($I17&lt;'Cash Flow'!$E$7,"TIGHT","OK"))</f>
        <v>OK</v>
      </c>
      <c r="K17" s="29" t="n">
        <f aca="false">IF($I17&lt;0,$B17,999)</f>
        <v>999</v>
      </c>
    </row>
    <row r="18" customFormat="false" ht="15" hidden="false" customHeight="false" outlineLevel="0" collapsed="false">
      <c r="B18" s="20" t="n">
        <v>6</v>
      </c>
      <c r="C18" s="69" t="n">
        <f aca="false">'Cash Flow'!$E$6+35</f>
        <v>46276</v>
      </c>
      <c r="D18" s="70" t="n">
        <f aca="false">'Cash Flow'!$I$118</f>
        <v>1574.56</v>
      </c>
      <c r="E18" s="71" t="n">
        <f aca="false">SUM('Cash Flow'!$G$120:$G$136)</f>
        <v>880</v>
      </c>
      <c r="F18" s="71" t="n">
        <f aca="false">SUM('Cash Flow'!$H$120:$H$129)</f>
        <v>569.09</v>
      </c>
      <c r="G18" s="71" t="n">
        <f aca="false">SUM('Cash Flow'!$H$131:$H$136)</f>
        <v>0</v>
      </c>
      <c r="H18" s="72" t="n">
        <f aca="false">$E18-$F18-$G18</f>
        <v>310.91</v>
      </c>
      <c r="I18" s="72" t="n">
        <f aca="false">'Cash Flow'!$I$137</f>
        <v>1885.47</v>
      </c>
      <c r="J18" s="73" t="str">
        <f aca="false">IF($I18&lt;0,"SHORTFALL",IF($I18&lt;'Cash Flow'!$E$7,"TIGHT","OK"))</f>
        <v>OK</v>
      </c>
      <c r="K18" s="29" t="n">
        <f aca="false">IF($I18&lt;0,$B18,999)</f>
        <v>999</v>
      </c>
    </row>
    <row r="19" customFormat="false" ht="15" hidden="false" customHeight="false" outlineLevel="0" collapsed="false">
      <c r="B19" s="16" t="n">
        <v>7</v>
      </c>
      <c r="C19" s="64" t="n">
        <f aca="false">'Cash Flow'!$E$6+42</f>
        <v>46283</v>
      </c>
      <c r="D19" s="65" t="n">
        <f aca="false">'Cash Flow'!$I$139</f>
        <v>1885.47</v>
      </c>
      <c r="E19" s="66" t="n">
        <f aca="false">SUM('Cash Flow'!$G$141:$G$157)</f>
        <v>880</v>
      </c>
      <c r="F19" s="66" t="n">
        <f aca="false">SUM('Cash Flow'!$H$141:$H$150)</f>
        <v>16.99</v>
      </c>
      <c r="G19" s="66" t="n">
        <f aca="false">SUM('Cash Flow'!$H$152:$H$157)</f>
        <v>0</v>
      </c>
      <c r="H19" s="67" t="n">
        <f aca="false">$E19-$F19-$G19</f>
        <v>863.01</v>
      </c>
      <c r="I19" s="67" t="n">
        <f aca="false">'Cash Flow'!$I$158</f>
        <v>2748.48</v>
      </c>
      <c r="J19" s="68" t="str">
        <f aca="false">IF($I19&lt;0,"SHORTFALL",IF($I19&lt;'Cash Flow'!$E$7,"TIGHT","OK"))</f>
        <v>OK</v>
      </c>
      <c r="K19" s="29" t="n">
        <f aca="false">IF($I19&lt;0,$B19,999)</f>
        <v>999</v>
      </c>
    </row>
    <row r="20" customFormat="false" ht="15" hidden="false" customHeight="false" outlineLevel="0" collapsed="false">
      <c r="B20" s="20" t="n">
        <v>8</v>
      </c>
      <c r="C20" s="69" t="n">
        <f aca="false">'Cash Flow'!$E$6+49</f>
        <v>46290</v>
      </c>
      <c r="D20" s="70" t="n">
        <f aca="false">'Cash Flow'!$I$160</f>
        <v>2748.48</v>
      </c>
      <c r="E20" s="71" t="n">
        <f aca="false">SUM('Cash Flow'!$G$162:$G$178)</f>
        <v>880</v>
      </c>
      <c r="F20" s="71" t="n">
        <f aca="false">SUM('Cash Flow'!$H$162:$H$171)</f>
        <v>700.94</v>
      </c>
      <c r="G20" s="71" t="n">
        <f aca="false">SUM('Cash Flow'!$H$173:$H$178)</f>
        <v>0</v>
      </c>
      <c r="H20" s="72" t="n">
        <f aca="false">$E20-$F20-$G20</f>
        <v>179.06</v>
      </c>
      <c r="I20" s="72" t="n">
        <f aca="false">'Cash Flow'!$I$179</f>
        <v>2927.54</v>
      </c>
      <c r="J20" s="73" t="str">
        <f aca="false">IF($I20&lt;0,"SHORTFALL",IF($I20&lt;'Cash Flow'!$E$7,"TIGHT","OK"))</f>
        <v>OK</v>
      </c>
      <c r="K20" s="29" t="n">
        <f aca="false">IF($I20&lt;0,$B20,999)</f>
        <v>999</v>
      </c>
    </row>
    <row r="21" customFormat="false" ht="15" hidden="false" customHeight="false" outlineLevel="0" collapsed="false">
      <c r="B21" s="16" t="n">
        <v>9</v>
      </c>
      <c r="C21" s="64" t="n">
        <f aca="false">'Cash Flow'!$E$6+56</f>
        <v>46297</v>
      </c>
      <c r="D21" s="65" t="n">
        <f aca="false">'Cash Flow'!$I$181</f>
        <v>2927.54</v>
      </c>
      <c r="E21" s="66" t="n">
        <f aca="false">SUM('Cash Flow'!$G$183:$G$199)</f>
        <v>880</v>
      </c>
      <c r="F21" s="66" t="n">
        <f aca="false">SUM('Cash Flow'!$H$183:$H$192)</f>
        <v>556.09</v>
      </c>
      <c r="G21" s="66" t="n">
        <f aca="false">SUM('Cash Flow'!$H$194:$H$199)</f>
        <v>0</v>
      </c>
      <c r="H21" s="67" t="n">
        <f aca="false">$E21-$F21-$G21</f>
        <v>323.91</v>
      </c>
      <c r="I21" s="67" t="n">
        <f aca="false">'Cash Flow'!$I$200</f>
        <v>3251.45</v>
      </c>
      <c r="J21" s="68" t="str">
        <f aca="false">IF($I21&lt;0,"SHORTFALL",IF($I21&lt;'Cash Flow'!$E$7,"TIGHT","OK"))</f>
        <v>OK</v>
      </c>
      <c r="K21" s="29" t="n">
        <f aca="false">IF($I21&lt;0,$B21,999)</f>
        <v>999</v>
      </c>
    </row>
    <row r="22" customFormat="false" ht="15" hidden="false" customHeight="false" outlineLevel="0" collapsed="false">
      <c r="B22" s="20" t="n">
        <v>10</v>
      </c>
      <c r="C22" s="69" t="n">
        <f aca="false">'Cash Flow'!$E$6+63</f>
        <v>46304</v>
      </c>
      <c r="D22" s="70" t="n">
        <f aca="false">'Cash Flow'!$I$202</f>
        <v>3251.45</v>
      </c>
      <c r="E22" s="71" t="n">
        <f aca="false">SUM('Cash Flow'!$G$204:$G$220)</f>
        <v>880</v>
      </c>
      <c r="F22" s="71" t="n">
        <f aca="false">SUM('Cash Flow'!$H$204:$H$213)</f>
        <v>516.49</v>
      </c>
      <c r="G22" s="71" t="n">
        <f aca="false">SUM('Cash Flow'!$H$215:$H$220)</f>
        <v>0</v>
      </c>
      <c r="H22" s="72" t="n">
        <f aca="false">$E22-$F22-$G22</f>
        <v>363.51</v>
      </c>
      <c r="I22" s="72" t="n">
        <f aca="false">'Cash Flow'!$I$221</f>
        <v>3614.96</v>
      </c>
      <c r="J22" s="73" t="str">
        <f aca="false">IF($I22&lt;0,"SHORTFALL",IF($I22&lt;'Cash Flow'!$E$7,"TIGHT","OK"))</f>
        <v>OK</v>
      </c>
      <c r="K22" s="29" t="n">
        <f aca="false">IF($I22&lt;0,$B22,999)</f>
        <v>999</v>
      </c>
    </row>
    <row r="23" customFormat="false" ht="15" hidden="false" customHeight="false" outlineLevel="0" collapsed="false">
      <c r="B23" s="16" t="n">
        <v>11</v>
      </c>
      <c r="C23" s="64" t="n">
        <f aca="false">'Cash Flow'!$E$6+70</f>
        <v>46311</v>
      </c>
      <c r="D23" s="65" t="n">
        <f aca="false">'Cash Flow'!$I$223</f>
        <v>3614.96</v>
      </c>
      <c r="E23" s="66" t="n">
        <f aca="false">SUM('Cash Flow'!$G$225:$G$241)</f>
        <v>880</v>
      </c>
      <c r="F23" s="66" t="n">
        <f aca="false">SUM('Cash Flow'!$H$225:$H$234)</f>
        <v>233.09</v>
      </c>
      <c r="G23" s="66" t="n">
        <f aca="false">SUM('Cash Flow'!$H$236:$H$241)</f>
        <v>0</v>
      </c>
      <c r="H23" s="67" t="n">
        <f aca="false">$E23-$F23-$G23</f>
        <v>646.91</v>
      </c>
      <c r="I23" s="67" t="n">
        <f aca="false">'Cash Flow'!$I$242</f>
        <v>4261.87</v>
      </c>
      <c r="J23" s="68" t="str">
        <f aca="false">IF($I23&lt;0,"SHORTFALL",IF($I23&lt;'Cash Flow'!$E$7,"TIGHT","OK"))</f>
        <v>OK</v>
      </c>
      <c r="K23" s="29" t="n">
        <f aca="false">IF($I23&lt;0,$B23,999)</f>
        <v>999</v>
      </c>
    </row>
    <row r="24" customFormat="false" ht="15" hidden="false" customHeight="false" outlineLevel="0" collapsed="false">
      <c r="B24" s="20" t="n">
        <v>12</v>
      </c>
      <c r="C24" s="69" t="n">
        <f aca="false">'Cash Flow'!$E$6+77</f>
        <v>46318</v>
      </c>
      <c r="D24" s="70" t="n">
        <f aca="false">'Cash Flow'!$I$244</f>
        <v>4261.87</v>
      </c>
      <c r="E24" s="71" t="n">
        <f aca="false">SUM('Cash Flow'!$G$246:$G$262)</f>
        <v>880</v>
      </c>
      <c r="F24" s="71" t="n">
        <f aca="false">SUM('Cash Flow'!$H$246:$H$255)</f>
        <v>57.57</v>
      </c>
      <c r="G24" s="71" t="n">
        <f aca="false">SUM('Cash Flow'!$H$257:$H$262)</f>
        <v>0</v>
      </c>
      <c r="H24" s="72" t="n">
        <f aca="false">$E24-$F24-$G24</f>
        <v>822.43</v>
      </c>
      <c r="I24" s="72" t="n">
        <f aca="false">'Cash Flow'!$I$263</f>
        <v>5084.3</v>
      </c>
      <c r="J24" s="73" t="str">
        <f aca="false">IF($I24&lt;0,"SHORTFALL",IF($I24&lt;'Cash Flow'!$E$7,"TIGHT","OK"))</f>
        <v>OK</v>
      </c>
      <c r="K24" s="29" t="n">
        <f aca="false">IF($I24&lt;0,$B24,999)</f>
        <v>999</v>
      </c>
    </row>
    <row r="25" customFormat="false" ht="15" hidden="false" customHeight="false" outlineLevel="0" collapsed="false">
      <c r="B25" s="16" t="n">
        <v>13</v>
      </c>
      <c r="C25" s="64" t="n">
        <f aca="false">'Cash Flow'!$E$6+84</f>
        <v>46325</v>
      </c>
      <c r="D25" s="65" t="n">
        <f aca="false">'Cash Flow'!$I$265</f>
        <v>5084.3</v>
      </c>
      <c r="E25" s="66" t="n">
        <f aca="false">SUM('Cash Flow'!$G$267:$G$283)</f>
        <v>880</v>
      </c>
      <c r="F25" s="66" t="n">
        <f aca="false">SUM('Cash Flow'!$H$267:$H$276)</f>
        <v>694.47</v>
      </c>
      <c r="G25" s="66" t="n">
        <f aca="false">SUM('Cash Flow'!$H$278:$H$283)</f>
        <v>0</v>
      </c>
      <c r="H25" s="67" t="n">
        <f aca="false">$E25-$F25-$G25</f>
        <v>185.53</v>
      </c>
      <c r="I25" s="67" t="n">
        <f aca="false">'Cash Flow'!$I$284</f>
        <v>5269.83</v>
      </c>
      <c r="J25" s="68" t="str">
        <f aca="false">IF($I25&lt;0,"SHORTFALL",IF($I25&lt;'Cash Flow'!$E$7,"TIGHT","OK"))</f>
        <v>OK</v>
      </c>
      <c r="K25" s="29" t="n">
        <f aca="false">IF($I25&lt;0,$B25,999)</f>
        <v>999</v>
      </c>
    </row>
    <row r="26" customFormat="false" ht="15" hidden="false" customHeight="false" outlineLevel="0" collapsed="false">
      <c r="B26" s="58" t="s">
        <v>164</v>
      </c>
      <c r="C26" s="74" t="s">
        <v>165</v>
      </c>
      <c r="D26" s="75" t="n">
        <f aca="false">$D$13</f>
        <v>51.39</v>
      </c>
      <c r="E26" s="56" t="n">
        <f aca="false">SUM($E$13:$E$25)</f>
        <v>10792.63</v>
      </c>
      <c r="F26" s="56" t="n">
        <f aca="false">SUM($F$13:$F$25)</f>
        <v>5402.44</v>
      </c>
      <c r="G26" s="56" t="n">
        <f aca="false">SUM($G$13:$G$25)</f>
        <v>171.75</v>
      </c>
      <c r="H26" s="75" t="n">
        <f aca="false">SUM($H$13:$H$25)</f>
        <v>5218.44</v>
      </c>
      <c r="I26" s="75" t="n">
        <f aca="false">$I$25</f>
        <v>5269.83</v>
      </c>
      <c r="J26" s="55"/>
    </row>
    <row r="28" customFormat="false" ht="30" hidden="false" customHeight="true" outlineLevel="0" collapsed="false">
      <c r="B28" s="76" t="s">
        <v>166</v>
      </c>
      <c r="C28" s="76"/>
      <c r="D28" s="76"/>
      <c r="E28" s="76"/>
      <c r="F28" s="76"/>
      <c r="G28" s="76"/>
      <c r="H28" s="76"/>
      <c r="I28" s="76"/>
      <c r="J28" s="76"/>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2" min="1" style="0" width="6.99"/>
    <col collapsed="false" customWidth="true" hidden="false" outlineLevel="0" max="3" min="3" style="0" width="29.99"/>
    <col collapsed="false" customWidth="true" hidden="false" outlineLevel="0" max="4" min="4" style="0" width="11.03"/>
    <col collapsed="false" customWidth="true" hidden="false" outlineLevel="0" max="5" min="5" style="0" width="11.97"/>
    <col collapsed="false" customWidth="true" hidden="false" outlineLevel="0" max="7" min="6" style="0" width="13.99"/>
    <col collapsed="false" customWidth="true" hidden="false" outlineLevel="0" max="8" min="8" style="0" width="9.01"/>
    <col collapsed="false" customWidth="true" hidden="false" outlineLevel="0" max="9" min="9" style="0" width="7.94"/>
    <col collapsed="false" customWidth="true" hidden="false" outlineLevel="0" max="10" min="10" style="0" width="16.01"/>
    <col collapsed="false" customWidth="true" hidden="false" outlineLevel="0" max="11" min="11" style="0" width="11.97"/>
  </cols>
  <sheetData>
    <row r="1" customFormat="false" ht="18" hidden="false" customHeight="true" outlineLevel="0" collapsed="false">
      <c r="A1" s="77" t="s">
        <v>167</v>
      </c>
    </row>
    <row r="2" customFormat="false" ht="15" hidden="false" customHeight="false" outlineLevel="0" collapsed="false">
      <c r="A2" s="2" t="s">
        <v>168</v>
      </c>
    </row>
    <row r="3" customFormat="false" ht="15" hidden="false" customHeight="false" outlineLevel="0" collapsed="false">
      <c r="A3" s="78" t="s">
        <v>169</v>
      </c>
      <c r="B3" s="78" t="s">
        <v>170</v>
      </c>
      <c r="C3" s="78" t="s">
        <v>71</v>
      </c>
      <c r="D3" s="78" t="s">
        <v>72</v>
      </c>
      <c r="E3" s="78" t="s">
        <v>73</v>
      </c>
      <c r="F3" s="78" t="s">
        <v>171</v>
      </c>
      <c r="G3" s="78" t="s">
        <v>172</v>
      </c>
      <c r="H3" s="78" t="s">
        <v>173</v>
      </c>
      <c r="I3" s="78" t="s">
        <v>174</v>
      </c>
      <c r="J3" s="78" t="s">
        <v>175</v>
      </c>
      <c r="K3" s="78" t="s">
        <v>176</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79" t="n">
        <f aca="false">IF($C4="","",Recurring!$D$5)</f>
        <v>90</v>
      </c>
      <c r="F4" s="80"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80" t="n">
        <f aca="false">IF($F4="","",IF(Recurring!$G$5="Move Before",IF(WEEKDAY($F4,2)=6,$F4-1,IF(WEEKDAY($F4,2)=7,$F4-2,$F4)),IF(Recurring!$G$5="Move After",IF(WEEKDAY($F4,2)=6,$F4+2,IF(WEEKDAY($F4,2)=7,$F4+1,$F4)),$F4)))</f>
        <v>46246</v>
      </c>
      <c r="H4" s="81" t="n">
        <f aca="false">IF($G4="",0,IF(AND($G4&gt;='Cash Flow'!$E$6-90,$G4&lt;'Cash Flow'!$E$6+91),1,0))</f>
        <v>1</v>
      </c>
      <c r="I4" s="81" t="n">
        <f aca="false">IF($H4=1,MAX(1,INT(($G4-'Cash Flow'!$E$6)/7)+1),"")</f>
        <v>1</v>
      </c>
      <c r="J4" s="38" t="n">
        <f aca="false">IF($H4=1,$G4*10000+ROW(),"")</f>
        <v>462460004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79" t="n">
        <f aca="false">IF($C5="","",Recurring!$D$5)</f>
        <v>90</v>
      </c>
      <c r="F5" s="80"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80" t="n">
        <f aca="false">IF($F5="","",IF(Recurring!$G$5="Move Before",IF(WEEKDAY($F5,2)=6,$F5-1,IF(WEEKDAY($F5,2)=7,$F5-2,$F5)),IF(Recurring!$G$5="Move After",IF(WEEKDAY($F5,2)=6,$F5+2,IF(WEEKDAY($F5,2)=7,$F5+1,$F5)),$F5)))</f>
        <v>46253</v>
      </c>
      <c r="H5" s="81" t="n">
        <f aca="false">IF($G5="",0,IF(AND($G5&gt;='Cash Flow'!$E$6,$G5&lt;'Cash Flow'!$E$6+91),1,0))</f>
        <v>1</v>
      </c>
      <c r="I5" s="81" t="n">
        <f aca="false">IF($H5=1,MAX(1,INT(($G5-'Cash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79" t="n">
        <f aca="false">IF($C6="","",Recurring!$D$5)</f>
        <v>90</v>
      </c>
      <c r="F6" s="80"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80" t="n">
        <f aca="false">IF($F6="","",IF(Recurring!$G$5="Move Before",IF(WEEKDAY($F6,2)=6,$F6-1,IF(WEEKDAY($F6,2)=7,$F6-2,$F6)),IF(Recurring!$G$5="Move After",IF(WEEKDAY($F6,2)=6,$F6+2,IF(WEEKDAY($F6,2)=7,$F6+1,$F6)),$F6)))</f>
        <v>46260</v>
      </c>
      <c r="H6" s="81" t="n">
        <f aca="false">IF($G6="",0,IF(AND($G6&gt;='Cash Flow'!$E$6,$G6&lt;'Cash Flow'!$E$6+91),1,0))</f>
        <v>1</v>
      </c>
      <c r="I6" s="81" t="n">
        <f aca="false">IF($H6=1,MAX(1,INT(($G6-'Cash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79" t="n">
        <f aca="false">IF($C7="","",Recurring!$D$5)</f>
        <v>90</v>
      </c>
      <c r="F7" s="80"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80" t="n">
        <f aca="false">IF($F7="","",IF(Recurring!$G$5="Move Before",IF(WEEKDAY($F7,2)=6,$F7-1,IF(WEEKDAY($F7,2)=7,$F7-2,$F7)),IF(Recurring!$G$5="Move After",IF(WEEKDAY($F7,2)=6,$F7+2,IF(WEEKDAY($F7,2)=7,$F7+1,$F7)),$F7)))</f>
        <v>46267</v>
      </c>
      <c r="H7" s="81" t="n">
        <f aca="false">IF($G7="",0,IF(AND($G7&gt;='Cash Flow'!$E$6,$G7&lt;'Cash Flow'!$E$6+91),1,0))</f>
        <v>1</v>
      </c>
      <c r="I7" s="81" t="n">
        <f aca="false">IF($H7=1,MAX(1,INT(($G7-'Cash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79" t="n">
        <f aca="false">IF($C8="","",Recurring!$D$5)</f>
        <v>90</v>
      </c>
      <c r="F8" s="80"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80" t="n">
        <f aca="false">IF($F8="","",IF(Recurring!$G$5="Move Before",IF(WEEKDAY($F8,2)=6,$F8-1,IF(WEEKDAY($F8,2)=7,$F8-2,$F8)),IF(Recurring!$G$5="Move After",IF(WEEKDAY($F8,2)=6,$F8+2,IF(WEEKDAY($F8,2)=7,$F8+1,$F8)),$F8)))</f>
        <v>46274</v>
      </c>
      <c r="H8" s="81" t="n">
        <f aca="false">IF($G8="",0,IF(AND($G8&gt;='Cash Flow'!$E$6,$G8&lt;'Cash Flow'!$E$6+91),1,0))</f>
        <v>1</v>
      </c>
      <c r="I8" s="81" t="n">
        <f aca="false">IF($H8=1,MAX(1,INT(($G8-'Cash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79" t="n">
        <f aca="false">IF($C9="","",Recurring!$D$5)</f>
        <v>90</v>
      </c>
      <c r="F9" s="80"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80" t="n">
        <f aca="false">IF($F9="","",IF(Recurring!$G$5="Move Before",IF(WEEKDAY($F9,2)=6,$F9-1,IF(WEEKDAY($F9,2)=7,$F9-2,$F9)),IF(Recurring!$G$5="Move After",IF(WEEKDAY($F9,2)=6,$F9+2,IF(WEEKDAY($F9,2)=7,$F9+1,$F9)),$F9)))</f>
        <v>46281</v>
      </c>
      <c r="H9" s="81" t="n">
        <f aca="false">IF($G9="",0,IF(AND($G9&gt;='Cash Flow'!$E$6,$G9&lt;'Cash Flow'!$E$6+91),1,0))</f>
        <v>1</v>
      </c>
      <c r="I9" s="81" t="n">
        <f aca="false">IF($H9=1,MAX(1,INT(($G9-'Cash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79" t="n">
        <f aca="false">IF($C10="","",Recurring!$D$5)</f>
        <v>90</v>
      </c>
      <c r="F10" s="80"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80" t="n">
        <f aca="false">IF($F10="","",IF(Recurring!$G$5="Move Before",IF(WEEKDAY($F10,2)=6,$F10-1,IF(WEEKDAY($F10,2)=7,$F10-2,$F10)),IF(Recurring!$G$5="Move After",IF(WEEKDAY($F10,2)=6,$F10+2,IF(WEEKDAY($F10,2)=7,$F10+1,$F10)),$F10)))</f>
        <v>46288</v>
      </c>
      <c r="H10" s="81" t="n">
        <f aca="false">IF($G10="",0,IF(AND($G10&gt;='Cash Flow'!$E$6,$G10&lt;'Cash Flow'!$E$6+91),1,0))</f>
        <v>1</v>
      </c>
      <c r="I10" s="81" t="n">
        <f aca="false">IF($H10=1,MAX(1,INT(($G10-'Cash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79" t="n">
        <f aca="false">IF($C11="","",Recurring!$D$5)</f>
        <v>90</v>
      </c>
      <c r="F11" s="80"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80" t="n">
        <f aca="false">IF($F11="","",IF(Recurring!$G$5="Move Before",IF(WEEKDAY($F11,2)=6,$F11-1,IF(WEEKDAY($F11,2)=7,$F11-2,$F11)),IF(Recurring!$G$5="Move After",IF(WEEKDAY($F11,2)=6,$F11+2,IF(WEEKDAY($F11,2)=7,$F11+1,$F11)),$F11)))</f>
        <v>46295</v>
      </c>
      <c r="H11" s="81" t="n">
        <f aca="false">IF($G11="",0,IF(AND($G11&gt;='Cash Flow'!$E$6,$G11&lt;'Cash Flow'!$E$6+91),1,0))</f>
        <v>1</v>
      </c>
      <c r="I11" s="81" t="n">
        <f aca="false">IF($H11=1,MAX(1,INT(($G11-'Cash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79" t="n">
        <f aca="false">IF($C12="","",Recurring!$D$5)</f>
        <v>90</v>
      </c>
      <c r="F12" s="80"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80" t="n">
        <f aca="false">IF($F12="","",IF(Recurring!$G$5="Move Before",IF(WEEKDAY($F12,2)=6,$F12-1,IF(WEEKDAY($F12,2)=7,$F12-2,$F12)),IF(Recurring!$G$5="Move After",IF(WEEKDAY($F12,2)=6,$F12+2,IF(WEEKDAY($F12,2)=7,$F12+1,$F12)),$F12)))</f>
        <v>46302</v>
      </c>
      <c r="H12" s="81" t="n">
        <f aca="false">IF($G12="",0,IF(AND($G12&gt;='Cash Flow'!$E$6,$G12&lt;'Cash Flow'!$E$6+91),1,0))</f>
        <v>1</v>
      </c>
      <c r="I12" s="81" t="n">
        <f aca="false">IF($H12=1,MAX(1,INT(($G12-'Cash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79" t="n">
        <f aca="false">IF($C13="","",Recurring!$D$5)</f>
        <v>90</v>
      </c>
      <c r="F13" s="80"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80" t="n">
        <f aca="false">IF($F13="","",IF(Recurring!$G$5="Move Before",IF(WEEKDAY($F13,2)=6,$F13-1,IF(WEEKDAY($F13,2)=7,$F13-2,$F13)),IF(Recurring!$G$5="Move After",IF(WEEKDAY($F13,2)=6,$F13+2,IF(WEEKDAY($F13,2)=7,$F13+1,$F13)),$F13)))</f>
        <v>46309</v>
      </c>
      <c r="H13" s="81" t="n">
        <f aca="false">IF($G13="",0,IF(AND($G13&gt;='Cash Flow'!$E$6,$G13&lt;'Cash Flow'!$E$6+91),1,0))</f>
        <v>1</v>
      </c>
      <c r="I13" s="81" t="n">
        <f aca="false">IF($H13=1,MAX(1,INT(($G13-'Cash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79" t="n">
        <f aca="false">IF($C14="","",Recurring!$D$5)</f>
        <v>90</v>
      </c>
      <c r="F14" s="80"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80" t="n">
        <f aca="false">IF($F14="","",IF(Recurring!$G$5="Move Before",IF(WEEKDAY($F14,2)=6,$F14-1,IF(WEEKDAY($F14,2)=7,$F14-2,$F14)),IF(Recurring!$G$5="Move After",IF(WEEKDAY($F14,2)=6,$F14+2,IF(WEEKDAY($F14,2)=7,$F14+1,$F14)),$F14)))</f>
        <v>46316</v>
      </c>
      <c r="H14" s="81" t="n">
        <f aca="false">IF($G14="",0,IF(AND($G14&gt;='Cash Flow'!$E$6,$G14&lt;'Cash Flow'!$E$6+91),1,0))</f>
        <v>1</v>
      </c>
      <c r="I14" s="81" t="n">
        <f aca="false">IF($H14=1,MAX(1,INT(($G14-'Cash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79" t="n">
        <f aca="false">IF($C15="","",Recurring!$D$5)</f>
        <v>90</v>
      </c>
      <c r="F15" s="80"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80" t="n">
        <f aca="false">IF($F15="","",IF(Recurring!$G$5="Move Before",IF(WEEKDAY($F15,2)=6,$F15-1,IF(WEEKDAY($F15,2)=7,$F15-2,$F15)),IF(Recurring!$G$5="Move After",IF(WEEKDAY($F15,2)=6,$F15+2,IF(WEEKDAY($F15,2)=7,$F15+1,$F15)),$F15)))</f>
        <v>46323</v>
      </c>
      <c r="H15" s="81" t="n">
        <f aca="false">IF($G15="",0,IF(AND($G15&gt;='Cash Flow'!$E$6,$G15&lt;'Cash Flow'!$E$6+91),1,0))</f>
        <v>1</v>
      </c>
      <c r="I15" s="81" t="n">
        <f aca="false">IF($H15=1,MAX(1,INT(($G15-'Cash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79" t="n">
        <f aca="false">IF($C16="","",Recurring!$D$5)</f>
        <v>90</v>
      </c>
      <c r="F16" s="80"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80" t="n">
        <f aca="false">IF($F16="","",IF(Recurring!$G$5="Move Before",IF(WEEKDAY($F16,2)=6,$F16-1,IF(WEEKDAY($F16,2)=7,$F16-2,$F16)),IF(Recurring!$G$5="Move After",IF(WEEKDAY($F16,2)=6,$F16+2,IF(WEEKDAY($F16,2)=7,$F16+1,$F16)),$F16)))</f>
        <v>46330</v>
      </c>
      <c r="H16" s="81" t="n">
        <f aca="false">IF($G16="",0,IF(AND($G16&gt;='Cash Flow'!$E$6,$G16&lt;'Cash Flow'!$E$6+91),1,0))</f>
        <v>1</v>
      </c>
      <c r="I16" s="81" t="n">
        <f aca="false">IF($H16=1,MAX(1,INT(($G16-'Cash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79" t="n">
        <f aca="false">IF($C17="","",Recurring!$D$5)</f>
        <v>90</v>
      </c>
      <c r="F17" s="80"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80" t="n">
        <f aca="false">IF($F17="","",IF(Recurring!$G$5="Move Before",IF(WEEKDAY($F17,2)=6,$F17-1,IF(WEEKDAY($F17,2)=7,$F17-2,$F17)),IF(Recurring!$G$5="Move After",IF(WEEKDAY($F17,2)=6,$F17+2,IF(WEEKDAY($F17,2)=7,$F17+1,$F17)),$F17)))</f>
        <v>46337</v>
      </c>
      <c r="H17" s="81" t="n">
        <f aca="false">IF($G17="",0,IF(AND($G17&gt;='Cash Flow'!$E$6,$G17&lt;'Cash Flow'!$E$6+91),1,0))</f>
        <v>0</v>
      </c>
      <c r="I17" s="81"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79" t="n">
        <f aca="false">IF($C18="","",Recurring!$D$5)</f>
        <v>90</v>
      </c>
      <c r="F18" s="80"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80" t="n">
        <f aca="false">IF($F18="","",IF(Recurring!$G$5="Move Before",IF(WEEKDAY($F18,2)=6,$F18-1,IF(WEEKDAY($F18,2)=7,$F18-2,$F18)),IF(Recurring!$G$5="Move After",IF(WEEKDAY($F18,2)=6,$F18+2,IF(WEEKDAY($F18,2)=7,$F18+1,$F18)),$F18)))</f>
        <v>46344</v>
      </c>
      <c r="H18" s="81" t="n">
        <f aca="false">IF($G18="",0,IF(AND($G18&gt;='Cash Flow'!$E$6,$G18&lt;'Cash Flow'!$E$6+91),1,0))</f>
        <v>0</v>
      </c>
      <c r="I18" s="81"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79" t="n">
        <f aca="false">IF($C19="","",Recurring!$D$5)</f>
        <v>90</v>
      </c>
      <c r="F19" s="80"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80" t="n">
        <f aca="false">IF($F19="","",IF(Recurring!$G$5="Move Before",IF(WEEKDAY($F19,2)=6,$F19-1,IF(WEEKDAY($F19,2)=7,$F19-2,$F19)),IF(Recurring!$G$5="Move After",IF(WEEKDAY($F19,2)=6,$F19+2,IF(WEEKDAY($F19,2)=7,$F19+1,$F19)),$F19)))</f>
        <v>46351</v>
      </c>
      <c r="H19" s="81" t="n">
        <f aca="false">IF($G19="",0,IF(AND($G19&gt;='Cash Flow'!$E$6,$G19&lt;'Cash Flow'!$E$6+91),1,0))</f>
        <v>0</v>
      </c>
      <c r="I19" s="81"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79" t="n">
        <f aca="false">IF($C20="","",Recurring!$D$6)</f>
        <v>790</v>
      </c>
      <c r="F20" s="80"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80" t="n">
        <f aca="false">IF($F20="","",IF(Recurring!$G$6="Move Before",IF(WEEKDAY($F20,2)=6,$F20-1,IF(WEEKDAY($F20,2)=7,$F20-2,$F20)),IF(Recurring!$G$6="Move After",IF(WEEKDAY($F20,2)=6,$F20+2,IF(WEEKDAY($F20,2)=7,$F20+1,$F20)),$F20)))</f>
        <v>46248</v>
      </c>
      <c r="H20" s="81" t="n">
        <f aca="false">IF($G20="",0,IF(AND($G20&gt;='Cash Flow'!$E$6-90,$G20&lt;'Cash Flow'!$E$6+91),1,0))</f>
        <v>1</v>
      </c>
      <c r="I20" s="81" t="n">
        <f aca="false">IF($H20=1,MAX(1,INT(($G20-'Cash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79" t="n">
        <f aca="false">IF($C21="","",Recurring!$D$6)</f>
        <v>790</v>
      </c>
      <c r="F21" s="80"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80" t="n">
        <f aca="false">IF($F21="","",IF(Recurring!$G$6="Move Before",IF(WEEKDAY($F21,2)=6,$F21-1,IF(WEEKDAY($F21,2)=7,$F21-2,$F21)),IF(Recurring!$G$6="Move After",IF(WEEKDAY($F21,2)=6,$F21+2,IF(WEEKDAY($F21,2)=7,$F21+1,$F21)),$F21)))</f>
        <v>46255</v>
      </c>
      <c r="H21" s="81" t="n">
        <f aca="false">IF($G21="",0,IF(AND($G21&gt;='Cash Flow'!$E$6,$G21&lt;'Cash Flow'!$E$6+91),1,0))</f>
        <v>1</v>
      </c>
      <c r="I21" s="81" t="n">
        <f aca="false">IF($H21=1,MAX(1,INT(($G21-'Cash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79" t="n">
        <f aca="false">IF($C22="","",Recurring!$D$6)</f>
        <v>790</v>
      </c>
      <c r="F22" s="80"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80" t="n">
        <f aca="false">IF($F22="","",IF(Recurring!$G$6="Move Before",IF(WEEKDAY($F22,2)=6,$F22-1,IF(WEEKDAY($F22,2)=7,$F22-2,$F22)),IF(Recurring!$G$6="Move After",IF(WEEKDAY($F22,2)=6,$F22+2,IF(WEEKDAY($F22,2)=7,$F22+1,$F22)),$F22)))</f>
        <v>46262</v>
      </c>
      <c r="H22" s="81" t="n">
        <f aca="false">IF($G22="",0,IF(AND($G22&gt;='Cash Flow'!$E$6,$G22&lt;'Cash Flow'!$E$6+91),1,0))</f>
        <v>1</v>
      </c>
      <c r="I22" s="81" t="n">
        <f aca="false">IF($H22=1,MAX(1,INT(($G22-'Cash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79" t="n">
        <f aca="false">IF($C23="","",Recurring!$D$6)</f>
        <v>790</v>
      </c>
      <c r="F23" s="80"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80" t="n">
        <f aca="false">IF($F23="","",IF(Recurring!$G$6="Move Before",IF(WEEKDAY($F23,2)=6,$F23-1,IF(WEEKDAY($F23,2)=7,$F23-2,$F23)),IF(Recurring!$G$6="Move After",IF(WEEKDAY($F23,2)=6,$F23+2,IF(WEEKDAY($F23,2)=7,$F23+1,$F23)),$F23)))</f>
        <v>46269</v>
      </c>
      <c r="H23" s="81" t="n">
        <f aca="false">IF($G23="",0,IF(AND($G23&gt;='Cash Flow'!$E$6,$G23&lt;'Cash Flow'!$E$6+91),1,0))</f>
        <v>1</v>
      </c>
      <c r="I23" s="81" t="n">
        <f aca="false">IF($H23=1,MAX(1,INT(($G23-'Cash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79" t="n">
        <f aca="false">IF($C24="","",Recurring!$D$6)</f>
        <v>790</v>
      </c>
      <c r="F24" s="80"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80" t="n">
        <f aca="false">IF($F24="","",IF(Recurring!$G$6="Move Before",IF(WEEKDAY($F24,2)=6,$F24-1,IF(WEEKDAY($F24,2)=7,$F24-2,$F24)),IF(Recurring!$G$6="Move After",IF(WEEKDAY($F24,2)=6,$F24+2,IF(WEEKDAY($F24,2)=7,$F24+1,$F24)),$F24)))</f>
        <v>46276</v>
      </c>
      <c r="H24" s="81" t="n">
        <f aca="false">IF($G24="",0,IF(AND($G24&gt;='Cash Flow'!$E$6,$G24&lt;'Cash Flow'!$E$6+91),1,0))</f>
        <v>1</v>
      </c>
      <c r="I24" s="81" t="n">
        <f aca="false">IF($H24=1,MAX(1,INT(($G24-'Cash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79" t="n">
        <f aca="false">IF($C25="","",Recurring!$D$6)</f>
        <v>790</v>
      </c>
      <c r="F25" s="80"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80" t="n">
        <f aca="false">IF($F25="","",IF(Recurring!$G$6="Move Before",IF(WEEKDAY($F25,2)=6,$F25-1,IF(WEEKDAY($F25,2)=7,$F25-2,$F25)),IF(Recurring!$G$6="Move After",IF(WEEKDAY($F25,2)=6,$F25+2,IF(WEEKDAY($F25,2)=7,$F25+1,$F25)),$F25)))</f>
        <v>46283</v>
      </c>
      <c r="H25" s="81" t="n">
        <f aca="false">IF($G25="",0,IF(AND($G25&gt;='Cash Flow'!$E$6,$G25&lt;'Cash Flow'!$E$6+91),1,0))</f>
        <v>1</v>
      </c>
      <c r="I25" s="81" t="n">
        <f aca="false">IF($H25=1,MAX(1,INT(($G25-'Cash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79" t="n">
        <f aca="false">IF($C26="","",Recurring!$D$6)</f>
        <v>790</v>
      </c>
      <c r="F26" s="80"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80" t="n">
        <f aca="false">IF($F26="","",IF(Recurring!$G$6="Move Before",IF(WEEKDAY($F26,2)=6,$F26-1,IF(WEEKDAY($F26,2)=7,$F26-2,$F26)),IF(Recurring!$G$6="Move After",IF(WEEKDAY($F26,2)=6,$F26+2,IF(WEEKDAY($F26,2)=7,$F26+1,$F26)),$F26)))</f>
        <v>46290</v>
      </c>
      <c r="H26" s="81" t="n">
        <f aca="false">IF($G26="",0,IF(AND($G26&gt;='Cash Flow'!$E$6,$G26&lt;'Cash Flow'!$E$6+91),1,0))</f>
        <v>1</v>
      </c>
      <c r="I26" s="81" t="n">
        <f aca="false">IF($H26=1,MAX(1,INT(($G26-'Cash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79" t="n">
        <f aca="false">IF($C27="","",Recurring!$D$6)</f>
        <v>790</v>
      </c>
      <c r="F27" s="80"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80" t="n">
        <f aca="false">IF($F27="","",IF(Recurring!$G$6="Move Before",IF(WEEKDAY($F27,2)=6,$F27-1,IF(WEEKDAY($F27,2)=7,$F27-2,$F27)),IF(Recurring!$G$6="Move After",IF(WEEKDAY($F27,2)=6,$F27+2,IF(WEEKDAY($F27,2)=7,$F27+1,$F27)),$F27)))</f>
        <v>46297</v>
      </c>
      <c r="H27" s="81" t="n">
        <f aca="false">IF($G27="",0,IF(AND($G27&gt;='Cash Flow'!$E$6,$G27&lt;'Cash Flow'!$E$6+91),1,0))</f>
        <v>1</v>
      </c>
      <c r="I27" s="81" t="n">
        <f aca="false">IF($H27=1,MAX(1,INT(($G27-'Cash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79" t="n">
        <f aca="false">IF($C28="","",Recurring!$D$6)</f>
        <v>790</v>
      </c>
      <c r="F28" s="80"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80" t="n">
        <f aca="false">IF($F28="","",IF(Recurring!$G$6="Move Before",IF(WEEKDAY($F28,2)=6,$F28-1,IF(WEEKDAY($F28,2)=7,$F28-2,$F28)),IF(Recurring!$G$6="Move After",IF(WEEKDAY($F28,2)=6,$F28+2,IF(WEEKDAY($F28,2)=7,$F28+1,$F28)),$F28)))</f>
        <v>46304</v>
      </c>
      <c r="H28" s="81" t="n">
        <f aca="false">IF($G28="",0,IF(AND($G28&gt;='Cash Flow'!$E$6,$G28&lt;'Cash Flow'!$E$6+91),1,0))</f>
        <v>1</v>
      </c>
      <c r="I28" s="81" t="n">
        <f aca="false">IF($H28=1,MAX(1,INT(($G28-'Cash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79" t="n">
        <f aca="false">IF($C29="","",Recurring!$D$6)</f>
        <v>790</v>
      </c>
      <c r="F29" s="80"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80" t="n">
        <f aca="false">IF($F29="","",IF(Recurring!$G$6="Move Before",IF(WEEKDAY($F29,2)=6,$F29-1,IF(WEEKDAY($F29,2)=7,$F29-2,$F29)),IF(Recurring!$G$6="Move After",IF(WEEKDAY($F29,2)=6,$F29+2,IF(WEEKDAY($F29,2)=7,$F29+1,$F29)),$F29)))</f>
        <v>46311</v>
      </c>
      <c r="H29" s="81" t="n">
        <f aca="false">IF($G29="",0,IF(AND($G29&gt;='Cash Flow'!$E$6,$G29&lt;'Cash Flow'!$E$6+91),1,0))</f>
        <v>1</v>
      </c>
      <c r="I29" s="81" t="n">
        <f aca="false">IF($H29=1,MAX(1,INT(($G29-'Cash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79" t="n">
        <f aca="false">IF($C30="","",Recurring!$D$6)</f>
        <v>790</v>
      </c>
      <c r="F30" s="80"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80" t="n">
        <f aca="false">IF($F30="","",IF(Recurring!$G$6="Move Before",IF(WEEKDAY($F30,2)=6,$F30-1,IF(WEEKDAY($F30,2)=7,$F30-2,$F30)),IF(Recurring!$G$6="Move After",IF(WEEKDAY($F30,2)=6,$F30+2,IF(WEEKDAY($F30,2)=7,$F30+1,$F30)),$F30)))</f>
        <v>46318</v>
      </c>
      <c r="H30" s="81" t="n">
        <f aca="false">IF($G30="",0,IF(AND($G30&gt;='Cash Flow'!$E$6,$G30&lt;'Cash Flow'!$E$6+91),1,0))</f>
        <v>1</v>
      </c>
      <c r="I30" s="81" t="n">
        <f aca="false">IF($H30=1,MAX(1,INT(($G30-'Cash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79" t="n">
        <f aca="false">IF($C31="","",Recurring!$D$6)</f>
        <v>790</v>
      </c>
      <c r="F31" s="80"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80" t="n">
        <f aca="false">IF($F31="","",IF(Recurring!$G$6="Move Before",IF(WEEKDAY($F31,2)=6,$F31-1,IF(WEEKDAY($F31,2)=7,$F31-2,$F31)),IF(Recurring!$G$6="Move After",IF(WEEKDAY($F31,2)=6,$F31+2,IF(WEEKDAY($F31,2)=7,$F31+1,$F31)),$F31)))</f>
        <v>46325</v>
      </c>
      <c r="H31" s="81" t="n">
        <f aca="false">IF($G31="",0,IF(AND($G31&gt;='Cash Flow'!$E$6,$G31&lt;'Cash Flow'!$E$6+91),1,0))</f>
        <v>1</v>
      </c>
      <c r="I31" s="81" t="n">
        <f aca="false">IF($H31=1,MAX(1,INT(($G31-'Cash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79" t="n">
        <f aca="false">IF($C32="","",Recurring!$D$6)</f>
        <v>790</v>
      </c>
      <c r="F32" s="80"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80" t="n">
        <f aca="false">IF($F32="","",IF(Recurring!$G$6="Move Before",IF(WEEKDAY($F32,2)=6,$F32-1,IF(WEEKDAY($F32,2)=7,$F32-2,$F32)),IF(Recurring!$G$6="Move After",IF(WEEKDAY($F32,2)=6,$F32+2,IF(WEEKDAY($F32,2)=7,$F32+1,$F32)),$F32)))</f>
        <v>46332</v>
      </c>
      <c r="H32" s="81" t="n">
        <f aca="false">IF($G32="",0,IF(AND($G32&gt;='Cash Flow'!$E$6,$G32&lt;'Cash Flow'!$E$6+91),1,0))</f>
        <v>0</v>
      </c>
      <c r="I32" s="81" t="str">
        <f aca="false">IF($H32=1,MAX(1,INT(($G32-'Cash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79" t="n">
        <f aca="false">IF($C33="","",Recurring!$D$6)</f>
        <v>790</v>
      </c>
      <c r="F33" s="80"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80" t="n">
        <f aca="false">IF($F33="","",IF(Recurring!$G$6="Move Before",IF(WEEKDAY($F33,2)=6,$F33-1,IF(WEEKDAY($F33,2)=7,$F33-2,$F33)),IF(Recurring!$G$6="Move After",IF(WEEKDAY($F33,2)=6,$F33+2,IF(WEEKDAY($F33,2)=7,$F33+1,$F33)),$F33)))</f>
        <v>46339</v>
      </c>
      <c r="H33" s="81" t="n">
        <f aca="false">IF($G33="",0,IF(AND($G33&gt;='Cash Flow'!$E$6,$G33&lt;'Cash Flow'!$E$6+91),1,0))</f>
        <v>0</v>
      </c>
      <c r="I33" s="81"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79" t="n">
        <f aca="false">IF($C34="","",Recurring!$D$6)</f>
        <v>790</v>
      </c>
      <c r="F34" s="80"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80" t="n">
        <f aca="false">IF($F34="","",IF(Recurring!$G$6="Move Before",IF(WEEKDAY($F34,2)=6,$F34-1,IF(WEEKDAY($F34,2)=7,$F34-2,$F34)),IF(Recurring!$G$6="Move After",IF(WEEKDAY($F34,2)=6,$F34+2,IF(WEEKDAY($F34,2)=7,$F34+1,$F34)),$F34)))</f>
        <v>46346</v>
      </c>
      <c r="H34" s="81" t="n">
        <f aca="false">IF($G34="",0,IF(AND($G34&gt;='Cash Flow'!$E$6,$G34&lt;'Cash Flow'!$E$6+91),1,0))</f>
        <v>0</v>
      </c>
      <c r="I34" s="81"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79" t="n">
        <f aca="false">IF($C35="","",Recurring!$D$6)</f>
        <v>790</v>
      </c>
      <c r="F35" s="80"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80" t="n">
        <f aca="false">IF($F35="","",IF(Recurring!$G$6="Move Before",IF(WEEKDAY($F35,2)=6,$F35-1,IF(WEEKDAY($F35,2)=7,$F35-2,$F35)),IF(Recurring!$G$6="Move After",IF(WEEKDAY($F35,2)=6,$F35+2,IF(WEEKDAY($F35,2)=7,$F35+1,$F35)),$F35)))</f>
        <v>46353</v>
      </c>
      <c r="H35" s="81" t="n">
        <f aca="false">IF($G35="",0,IF(AND($G35&gt;='Cash Flow'!$E$6,$G35&lt;'Cash Flow'!$E$6+91),1,0))</f>
        <v>0</v>
      </c>
      <c r="I35" s="81"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79" t="n">
        <f aca="false">IF($C36="","",Recurring!$D$7)</f>
        <v>21.1</v>
      </c>
      <c r="F36" s="80"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80" t="n">
        <f aca="false">IF($F36="","",IF(Recurring!$G$7="Move Before",IF(WEEKDAY($F36,2)=6,$F36-1,IF(WEEKDAY($F36,2)=7,$F36-2,$F36)),IF(Recurring!$G$7="Move After",IF(WEEKDAY($F36,2)=6,$F36+2,IF(WEEKDAY($F36,2)=7,$F36+1,$F36)),$F36)))</f>
        <v>46238</v>
      </c>
      <c r="H36" s="81" t="n">
        <f aca="false">IF($G36="",0,IF(AND($G36&gt;='Cash Flow'!$E$6-90,$G36&lt;'Cash Flow'!$E$6+91),1,0))</f>
        <v>1</v>
      </c>
      <c r="I36" s="81" t="n">
        <f aca="false">IF($H36=1,MAX(1,INT(($G36-'Cash Flow'!$E$6)/7)+1),"")</f>
        <v>1</v>
      </c>
      <c r="J36" s="38" t="n">
        <f aca="false">IF($H36=1,$G36*10000+ROW(),"")</f>
        <v>462380036</v>
      </c>
      <c r="K36" s="38" t="n">
        <f aca="false">IF($H36=1,$I36*1000+COUNTIFS($I$4:$I$483,$I36,$J$4:$J$483,"&lt;"&amp;$J36)+1,"")</f>
        <v>1001</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79" t="n">
        <f aca="false">IF($C37="","",Recurring!$D$7)</f>
        <v>21.1</v>
      </c>
      <c r="F37" s="80"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80" t="n">
        <f aca="false">IF($F37="","",IF(Recurring!$G$7="Move Before",IF(WEEKDAY($F37,2)=6,$F37-1,IF(WEEKDAY($F37,2)=7,$F37-2,$F37)),IF(Recurring!$G$7="Move After",IF(WEEKDAY($F37,2)=6,$F37+2,IF(WEEKDAY($F37,2)=7,$F37+1,$F37)),$F37)))</f>
        <v>46269</v>
      </c>
      <c r="H37" s="81" t="n">
        <f aca="false">IF($G37="",0,IF(AND($G37&gt;='Cash Flow'!$E$6,$G37&lt;'Cash Flow'!$E$6+91),1,0))</f>
        <v>1</v>
      </c>
      <c r="I37" s="81" t="n">
        <f aca="false">IF($H37=1,MAX(1,INT(($G37-'Cash Flow'!$E$6)/7)+1),"")</f>
        <v>5</v>
      </c>
      <c r="J37" s="38" t="n">
        <f aca="false">IF($H37=1,$G37*10000+ROW(),"")</f>
        <v>462690037</v>
      </c>
      <c r="K37" s="38" t="n">
        <f aca="false">IF($H37=1,$I37*1000+COUNTIFS($I$4:$I$483,$I37,$J$4:$J$483,"&lt;"&amp;$J37)+1,"")</f>
        <v>5002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79" t="n">
        <f aca="false">IF($C38="","",Recurring!$D$7)</f>
        <v>21.1</v>
      </c>
      <c r="F38" s="80"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80" t="n">
        <f aca="false">IF($F38="","",IF(Recurring!$G$7="Move Before",IF(WEEKDAY($F38,2)=6,$F38-1,IF(WEEKDAY($F38,2)=7,$F38-2,$F38)),IF(Recurring!$G$7="Move After",IF(WEEKDAY($F38,2)=6,$F38+2,IF(WEEKDAY($F38,2)=7,$F38+1,$F38)),$F38)))</f>
        <v>46299</v>
      </c>
      <c r="H38" s="81" t="n">
        <f aca="false">IF($G38="",0,IF(AND($G38&gt;='Cash Flow'!$E$6,$G38&lt;'Cash Flow'!$E$6+91),1,0))</f>
        <v>1</v>
      </c>
      <c r="I38" s="81" t="n">
        <f aca="false">IF($H38=1,MAX(1,INT(($G38-'Cash Flow'!$E$6)/7)+1),"")</f>
        <v>9</v>
      </c>
      <c r="J38" s="38" t="n">
        <f aca="false">IF($H38=1,$G38*10000+ROW(),"")</f>
        <v>462990038</v>
      </c>
      <c r="K38" s="38" t="n">
        <f aca="false">IF($H38=1,$I38*1000+COUNTIFS($I$4:$I$483,$I38,$J$4:$J$483,"&lt;"&amp;$J38)+1,"")</f>
        <v>9002</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79" t="n">
        <f aca="false">IF($C39="","",Recurring!$D$7)</f>
        <v>21.1</v>
      </c>
      <c r="F39" s="80"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80" t="n">
        <f aca="false">IF($F39="","",IF(Recurring!$G$7="Move Before",IF(WEEKDAY($F39,2)=6,$F39-1,IF(WEEKDAY($F39,2)=7,$F39-2,$F39)),IF(Recurring!$G$7="Move After",IF(WEEKDAY($F39,2)=6,$F39+2,IF(WEEKDAY($F39,2)=7,$F39+1,$F39)),$F39)))</f>
        <v>46330</v>
      </c>
      <c r="H39" s="81" t="n">
        <f aca="false">IF($G39="",0,IF(AND($G39&gt;='Cash Flow'!$E$6,$G39&lt;'Cash Flow'!$E$6+91),1,0))</f>
        <v>1</v>
      </c>
      <c r="I39" s="81" t="n">
        <f aca="false">IF($H39=1,MAX(1,INT(($G39-'Cash Flow'!$E$6)/7)+1),"")</f>
        <v>13</v>
      </c>
      <c r="J39" s="38" t="n">
        <f aca="false">IF($H39=1,$G39*10000+ROW(),"")</f>
        <v>463300039</v>
      </c>
      <c r="K39" s="38" t="n">
        <f aca="false">IF($H39=1,$I39*1000+COUNTIFS($I$4:$I$483,$I39,$J$4:$J$483,"&lt;"&amp;$J39)+1,"")</f>
        <v>13006</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79" t="n">
        <f aca="false">IF($C40="","",Recurring!$D$7)</f>
        <v>21.1</v>
      </c>
      <c r="F40" s="80"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80" t="n">
        <f aca="false">IF($F40="","",IF(Recurring!$G$7="Move Before",IF(WEEKDAY($F40,2)=6,$F40-1,IF(WEEKDAY($F40,2)=7,$F40-2,$F40)),IF(Recurring!$G$7="Move After",IF(WEEKDAY($F40,2)=6,$F40+2,IF(WEEKDAY($F40,2)=7,$F40+1,$F40)),$F40)))</f>
        <v>46360</v>
      </c>
      <c r="H40" s="81" t="n">
        <f aca="false">IF($G40="",0,IF(AND($G40&gt;='Cash Flow'!$E$6,$G40&lt;'Cash Flow'!$E$6+91),1,0))</f>
        <v>0</v>
      </c>
      <c r="I40" s="81"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79" t="n">
        <f aca="false">IF($C41="","",Recurring!$D$7)</f>
        <v>21.1</v>
      </c>
      <c r="F41" s="80"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80" t="n">
        <f aca="false">IF($F41="","",IF(Recurring!$G$7="Move Before",IF(WEEKDAY($F41,2)=6,$F41-1,IF(WEEKDAY($F41,2)=7,$F41-2,$F41)),IF(Recurring!$G$7="Move After",IF(WEEKDAY($F41,2)=6,$F41+2,IF(WEEKDAY($F41,2)=7,$F41+1,$F41)),$F41)))</f>
        <v>46391</v>
      </c>
      <c r="H41" s="81" t="n">
        <f aca="false">IF($G41="",0,IF(AND($G41&gt;='Cash Flow'!$E$6,$G41&lt;'Cash Flow'!$E$6+91),1,0))</f>
        <v>0</v>
      </c>
      <c r="I41" s="81"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79" t="n">
        <f aca="false">IF($C42="","",Recurring!$D$7)</f>
        <v>21.1</v>
      </c>
      <c r="F42" s="80"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80" t="n">
        <f aca="false">IF($F42="","",IF(Recurring!$G$7="Move Before",IF(WEEKDAY($F42,2)=6,$F42-1,IF(WEEKDAY($F42,2)=7,$F42-2,$F42)),IF(Recurring!$G$7="Move After",IF(WEEKDAY($F42,2)=6,$F42+2,IF(WEEKDAY($F42,2)=7,$F42+1,$F42)),$F42)))</f>
        <v>46422</v>
      </c>
      <c r="H42" s="81" t="n">
        <f aca="false">IF($G42="",0,IF(AND($G42&gt;='Cash Flow'!$E$6,$G42&lt;'Cash Flow'!$E$6+91),1,0))</f>
        <v>0</v>
      </c>
      <c r="I42" s="81"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79" t="n">
        <f aca="false">IF($C43="","",Recurring!$D$7)</f>
        <v>21.1</v>
      </c>
      <c r="F43" s="80"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80" t="n">
        <f aca="false">IF($F43="","",IF(Recurring!$G$7="Move Before",IF(WEEKDAY($F43,2)=6,$F43-1,IF(WEEKDAY($F43,2)=7,$F43-2,$F43)),IF(Recurring!$G$7="Move After",IF(WEEKDAY($F43,2)=6,$F43+2,IF(WEEKDAY($F43,2)=7,$F43+1,$F43)),$F43)))</f>
        <v>46450</v>
      </c>
      <c r="H43" s="81" t="n">
        <f aca="false">IF($G43="",0,IF(AND($G43&gt;='Cash Flow'!$E$6,$G43&lt;'Cash Flow'!$E$6+91),1,0))</f>
        <v>0</v>
      </c>
      <c r="I43" s="81"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79" t="n">
        <f aca="false">IF($C44="","",Recurring!$D$7)</f>
        <v>21.1</v>
      </c>
      <c r="F44" s="80"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80" t="n">
        <f aca="false">IF($F44="","",IF(Recurring!$G$7="Move Before",IF(WEEKDAY($F44,2)=6,$F44-1,IF(WEEKDAY($F44,2)=7,$F44-2,$F44)),IF(Recurring!$G$7="Move After",IF(WEEKDAY($F44,2)=6,$F44+2,IF(WEEKDAY($F44,2)=7,$F44+1,$F44)),$F44)))</f>
        <v>46481</v>
      </c>
      <c r="H44" s="81" t="n">
        <f aca="false">IF($G44="",0,IF(AND($G44&gt;='Cash Flow'!$E$6,$G44&lt;'Cash Flow'!$E$6+91),1,0))</f>
        <v>0</v>
      </c>
      <c r="I44" s="81"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79" t="n">
        <f aca="false">IF($C45="","",Recurring!$D$7)</f>
        <v>21.1</v>
      </c>
      <c r="F45" s="80"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80" t="n">
        <f aca="false">IF($F45="","",IF(Recurring!$G$7="Move Before",IF(WEEKDAY($F45,2)=6,$F45-1,IF(WEEKDAY($F45,2)=7,$F45-2,$F45)),IF(Recurring!$G$7="Move After",IF(WEEKDAY($F45,2)=6,$F45+2,IF(WEEKDAY($F45,2)=7,$F45+1,$F45)),$F45)))</f>
        <v>46511</v>
      </c>
      <c r="H45" s="81" t="n">
        <f aca="false">IF($G45="",0,IF(AND($G45&gt;='Cash Flow'!$E$6,$G45&lt;'Cash Flow'!$E$6+91),1,0))</f>
        <v>0</v>
      </c>
      <c r="I45" s="81"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79" t="n">
        <f aca="false">IF($C46="","",Recurring!$D$7)</f>
        <v>21.1</v>
      </c>
      <c r="F46" s="80"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80" t="n">
        <f aca="false">IF($F46="","",IF(Recurring!$G$7="Move Before",IF(WEEKDAY($F46,2)=6,$F46-1,IF(WEEKDAY($F46,2)=7,$F46-2,$F46)),IF(Recurring!$G$7="Move After",IF(WEEKDAY($F46,2)=6,$F46+2,IF(WEEKDAY($F46,2)=7,$F46+1,$F46)),$F46)))</f>
        <v>46542</v>
      </c>
      <c r="H46" s="81" t="n">
        <f aca="false">IF($G46="",0,IF(AND($G46&gt;='Cash Flow'!$E$6,$G46&lt;'Cash Flow'!$E$6+91),1,0))</f>
        <v>0</v>
      </c>
      <c r="I46" s="81"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79" t="n">
        <f aca="false">IF($C47="","",Recurring!$D$7)</f>
        <v>21.1</v>
      </c>
      <c r="F47" s="80"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80" t="n">
        <f aca="false">IF($F47="","",IF(Recurring!$G$7="Move Before",IF(WEEKDAY($F47,2)=6,$F47-1,IF(WEEKDAY($F47,2)=7,$F47-2,$F47)),IF(Recurring!$G$7="Move After",IF(WEEKDAY($F47,2)=6,$F47+2,IF(WEEKDAY($F47,2)=7,$F47+1,$F47)),$F47)))</f>
        <v>46572</v>
      </c>
      <c r="H47" s="81" t="n">
        <f aca="false">IF($G47="",0,IF(AND($G47&gt;='Cash Flow'!$E$6,$G47&lt;'Cash Flow'!$E$6+91),1,0))</f>
        <v>0</v>
      </c>
      <c r="I47" s="81"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79" t="n">
        <f aca="false">IF($C48="","",Recurring!$D$7)</f>
        <v>21.1</v>
      </c>
      <c r="F48" s="80"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80" t="n">
        <f aca="false">IF($F48="","",IF(Recurring!$G$7="Move Before",IF(WEEKDAY($F48,2)=6,$F48-1,IF(WEEKDAY($F48,2)=7,$F48-2,$F48)),IF(Recurring!$G$7="Move After",IF(WEEKDAY($F48,2)=6,$F48+2,IF(WEEKDAY($F48,2)=7,$F48+1,$F48)),$F48)))</f>
        <v>46603</v>
      </c>
      <c r="H48" s="81" t="n">
        <f aca="false">IF($G48="",0,IF(AND($G48&gt;='Cash Flow'!$E$6,$G48&lt;'Cash Flow'!$E$6+91),1,0))</f>
        <v>0</v>
      </c>
      <c r="I48" s="81"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79" t="n">
        <f aca="false">IF($C49="","",Recurring!$D$7)</f>
        <v>21.1</v>
      </c>
      <c r="F49" s="80"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80" t="n">
        <f aca="false">IF($F49="","",IF(Recurring!$G$7="Move Before",IF(WEEKDAY($F49,2)=6,$F49-1,IF(WEEKDAY($F49,2)=7,$F49-2,$F49)),IF(Recurring!$G$7="Move After",IF(WEEKDAY($F49,2)=6,$F49+2,IF(WEEKDAY($F49,2)=7,$F49+1,$F49)),$F49)))</f>
        <v>46634</v>
      </c>
      <c r="H49" s="81" t="n">
        <f aca="false">IF($G49="",0,IF(AND($G49&gt;='Cash Flow'!$E$6,$G49&lt;'Cash Flow'!$E$6+91),1,0))</f>
        <v>0</v>
      </c>
      <c r="I49" s="81"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79" t="n">
        <f aca="false">IF($C50="","",Recurring!$D$7)</f>
        <v>21.1</v>
      </c>
      <c r="F50" s="80"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80" t="n">
        <f aca="false">IF($F50="","",IF(Recurring!$G$7="Move Before",IF(WEEKDAY($F50,2)=6,$F50-1,IF(WEEKDAY($F50,2)=7,$F50-2,$F50)),IF(Recurring!$G$7="Move After",IF(WEEKDAY($F50,2)=6,$F50+2,IF(WEEKDAY($F50,2)=7,$F50+1,$F50)),$F50)))</f>
        <v>46664</v>
      </c>
      <c r="H50" s="81" t="n">
        <f aca="false">IF($G50="",0,IF(AND($G50&gt;='Cash Flow'!$E$6,$G50&lt;'Cash Flow'!$E$6+91),1,0))</f>
        <v>0</v>
      </c>
      <c r="I50" s="81"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79" t="n">
        <f aca="false">IF($C51="","",Recurring!$D$7)</f>
        <v>21.1</v>
      </c>
      <c r="F51" s="80"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80" t="n">
        <f aca="false">IF($F51="","",IF(Recurring!$G$7="Move Before",IF(WEEKDAY($F51,2)=6,$F51-1,IF(WEEKDAY($F51,2)=7,$F51-2,$F51)),IF(Recurring!$G$7="Move After",IF(WEEKDAY($F51,2)=6,$F51+2,IF(WEEKDAY($F51,2)=7,$F51+1,$F51)),$F51)))</f>
        <v>46695</v>
      </c>
      <c r="H51" s="81" t="n">
        <f aca="false">IF($G51="",0,IF(AND($G51&gt;='Cash Flow'!$E$6,$G51&lt;'Cash Flow'!$E$6+91),1,0))</f>
        <v>0</v>
      </c>
      <c r="I51" s="81"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79" t="n">
        <f aca="false">IF($C52="","",Recurring!$D$8)</f>
        <v>20</v>
      </c>
      <c r="F52" s="80"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80" t="n">
        <f aca="false">IF($F52="","",IF(Recurring!$G$8="Move Before",IF(WEEKDAY($F52,2)=6,$F52-1,IF(WEEKDAY($F52,2)=7,$F52-2,$F52)),IF(Recurring!$G$8="Move After",IF(WEEKDAY($F52,2)=6,$F52+2,IF(WEEKDAY($F52,2)=7,$F52+1,$F52)),$F52)))</f>
        <v>46239</v>
      </c>
      <c r="H52" s="81" t="n">
        <f aca="false">IF($G52="",0,IF(AND($G52&gt;='Cash Flow'!$E$6-90,$G52&lt;'Cash Flow'!$E$6+91),1,0))</f>
        <v>1</v>
      </c>
      <c r="I52" s="81" t="n">
        <f aca="false">IF($H52=1,MAX(1,INT(($G52-'Cash Flow'!$E$6)/7)+1),"")</f>
        <v>1</v>
      </c>
      <c r="J52" s="38" t="n">
        <f aca="false">IF($H52=1,$G52*10000+ROW(),"")</f>
        <v>462390052</v>
      </c>
      <c r="K52" s="38" t="n">
        <f aca="false">IF($H52=1,$I52*1000+COUNTIFS($I$4:$I$483,$I52,$J$4:$J$483,"&lt;"&amp;$J52)+1,"")</f>
        <v>1002</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79" t="n">
        <f aca="false">IF($C53="","",Recurring!$D$8)</f>
        <v>20</v>
      </c>
      <c r="F53" s="80"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80" t="n">
        <f aca="false">IF($F53="","",IF(Recurring!$G$8="Move Before",IF(WEEKDAY($F53,2)=6,$F53-1,IF(WEEKDAY($F53,2)=7,$F53-2,$F53)),IF(Recurring!$G$8="Move After",IF(WEEKDAY($F53,2)=6,$F53+2,IF(WEEKDAY($F53,2)=7,$F53+1,$F53)),$F53)))</f>
        <v>46270</v>
      </c>
      <c r="H53" s="81" t="n">
        <f aca="false">IF($G53="",0,IF(AND($G53&gt;='Cash Flow'!$E$6,$G53&lt;'Cash Flow'!$E$6+91),1,0))</f>
        <v>1</v>
      </c>
      <c r="I53" s="81" t="n">
        <f aca="false">IF($H53=1,MAX(1,INT(($G53-'Cash Flow'!$E$6)/7)+1),"")</f>
        <v>5</v>
      </c>
      <c r="J53" s="38" t="n">
        <f aca="false">IF($H53=1,$G53*10000+ROW(),"")</f>
        <v>462700053</v>
      </c>
      <c r="K53" s="38" t="n">
        <f aca="false">IF($H53=1,$I53*1000+COUNTIFS($I$4:$I$483,$I53,$J$4:$J$483,"&lt;"&amp;$J53)+1,"")</f>
        <v>5003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79" t="n">
        <f aca="false">IF($C54="","",Recurring!$D$8)</f>
        <v>20</v>
      </c>
      <c r="F54" s="80"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80" t="n">
        <f aca="false">IF($F54="","",IF(Recurring!$G$8="Move Before",IF(WEEKDAY($F54,2)=6,$F54-1,IF(WEEKDAY($F54,2)=7,$F54-2,$F54)),IF(Recurring!$G$8="Move After",IF(WEEKDAY($F54,2)=6,$F54+2,IF(WEEKDAY($F54,2)=7,$F54+1,$F54)),$F54)))</f>
        <v>46300</v>
      </c>
      <c r="H54" s="81" t="n">
        <f aca="false">IF($G54="",0,IF(AND($G54&gt;='Cash Flow'!$E$6,$G54&lt;'Cash Flow'!$E$6+91),1,0))</f>
        <v>1</v>
      </c>
      <c r="I54" s="81" t="n">
        <f aca="false">IF($H54=1,MAX(1,INT(($G54-'Cash Flow'!$E$6)/7)+1),"")</f>
        <v>9</v>
      </c>
      <c r="J54" s="38" t="n">
        <f aca="false">IF($H54=1,$G54*10000+ROW(),"")</f>
        <v>463000054</v>
      </c>
      <c r="K54" s="38" t="n">
        <f aca="false">IF($H54=1,$I54*1000+COUNTIFS($I$4:$I$483,$I54,$J$4:$J$483,"&lt;"&amp;$J54)+1,"")</f>
        <v>9003</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79" t="n">
        <f aca="false">IF($C55="","",Recurring!$D$8)</f>
        <v>20</v>
      </c>
      <c r="F55" s="80"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80" t="n">
        <f aca="false">IF($F55="","",IF(Recurring!$G$8="Move Before",IF(WEEKDAY($F55,2)=6,$F55-1,IF(WEEKDAY($F55,2)=7,$F55-2,$F55)),IF(Recurring!$G$8="Move After",IF(WEEKDAY($F55,2)=6,$F55+2,IF(WEEKDAY($F55,2)=7,$F55+1,$F55)),$F55)))</f>
        <v>46331</v>
      </c>
      <c r="H55" s="81" t="n">
        <f aca="false">IF($G55="",0,IF(AND($G55&gt;='Cash Flow'!$E$6,$G55&lt;'Cash Flow'!$E$6+91),1,0))</f>
        <v>1</v>
      </c>
      <c r="I55" s="81" t="n">
        <f aca="false">IF($H55=1,MAX(1,INT(($G55-'Cash Flow'!$E$6)/7)+1),"")</f>
        <v>13</v>
      </c>
      <c r="J55" s="38" t="n">
        <f aca="false">IF($H55=1,$G55*10000+ROW(),"")</f>
        <v>463310055</v>
      </c>
      <c r="K55" s="38" t="n">
        <f aca="false">IF($H55=1,$I55*1000+COUNTIFS($I$4:$I$483,$I55,$J$4:$J$483,"&lt;"&amp;$J55)+1,"")</f>
        <v>13007</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79" t="n">
        <f aca="false">IF($C56="","",Recurring!$D$8)</f>
        <v>20</v>
      </c>
      <c r="F56" s="80"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80" t="n">
        <f aca="false">IF($F56="","",IF(Recurring!$G$8="Move Before",IF(WEEKDAY($F56,2)=6,$F56-1,IF(WEEKDAY($F56,2)=7,$F56-2,$F56)),IF(Recurring!$G$8="Move After",IF(WEEKDAY($F56,2)=6,$F56+2,IF(WEEKDAY($F56,2)=7,$F56+1,$F56)),$F56)))</f>
        <v>46361</v>
      </c>
      <c r="H56" s="81" t="n">
        <f aca="false">IF($G56="",0,IF(AND($G56&gt;='Cash Flow'!$E$6,$G56&lt;'Cash Flow'!$E$6+91),1,0))</f>
        <v>0</v>
      </c>
      <c r="I56" s="81"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79" t="n">
        <f aca="false">IF($C57="","",Recurring!$D$8)</f>
        <v>20</v>
      </c>
      <c r="F57" s="80"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80" t="n">
        <f aca="false">IF($F57="","",IF(Recurring!$G$8="Move Before",IF(WEEKDAY($F57,2)=6,$F57-1,IF(WEEKDAY($F57,2)=7,$F57-2,$F57)),IF(Recurring!$G$8="Move After",IF(WEEKDAY($F57,2)=6,$F57+2,IF(WEEKDAY($F57,2)=7,$F57+1,$F57)),$F57)))</f>
        <v>46392</v>
      </c>
      <c r="H57" s="81" t="n">
        <f aca="false">IF($G57="",0,IF(AND($G57&gt;='Cash Flow'!$E$6,$G57&lt;'Cash Flow'!$E$6+91),1,0))</f>
        <v>0</v>
      </c>
      <c r="I57" s="81"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79" t="n">
        <f aca="false">IF($C58="","",Recurring!$D$8)</f>
        <v>20</v>
      </c>
      <c r="F58" s="80"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80" t="n">
        <f aca="false">IF($F58="","",IF(Recurring!$G$8="Move Before",IF(WEEKDAY($F58,2)=6,$F58-1,IF(WEEKDAY($F58,2)=7,$F58-2,$F58)),IF(Recurring!$G$8="Move After",IF(WEEKDAY($F58,2)=6,$F58+2,IF(WEEKDAY($F58,2)=7,$F58+1,$F58)),$F58)))</f>
        <v>46423</v>
      </c>
      <c r="H58" s="81" t="n">
        <f aca="false">IF($G58="",0,IF(AND($G58&gt;='Cash Flow'!$E$6,$G58&lt;'Cash Flow'!$E$6+91),1,0))</f>
        <v>0</v>
      </c>
      <c r="I58" s="81"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79" t="n">
        <f aca="false">IF($C59="","",Recurring!$D$8)</f>
        <v>20</v>
      </c>
      <c r="F59" s="80"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80" t="n">
        <f aca="false">IF($F59="","",IF(Recurring!$G$8="Move Before",IF(WEEKDAY($F59,2)=6,$F59-1,IF(WEEKDAY($F59,2)=7,$F59-2,$F59)),IF(Recurring!$G$8="Move After",IF(WEEKDAY($F59,2)=6,$F59+2,IF(WEEKDAY($F59,2)=7,$F59+1,$F59)),$F59)))</f>
        <v>46451</v>
      </c>
      <c r="H59" s="81" t="n">
        <f aca="false">IF($G59="",0,IF(AND($G59&gt;='Cash Flow'!$E$6,$G59&lt;'Cash Flow'!$E$6+91),1,0))</f>
        <v>0</v>
      </c>
      <c r="I59" s="81"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79" t="n">
        <f aca="false">IF($C60="","",Recurring!$D$8)</f>
        <v>20</v>
      </c>
      <c r="F60" s="80"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80" t="n">
        <f aca="false">IF($F60="","",IF(Recurring!$G$8="Move Before",IF(WEEKDAY($F60,2)=6,$F60-1,IF(WEEKDAY($F60,2)=7,$F60-2,$F60)),IF(Recurring!$G$8="Move After",IF(WEEKDAY($F60,2)=6,$F60+2,IF(WEEKDAY($F60,2)=7,$F60+1,$F60)),$F60)))</f>
        <v>46482</v>
      </c>
      <c r="H60" s="81" t="n">
        <f aca="false">IF($G60="",0,IF(AND($G60&gt;='Cash Flow'!$E$6,$G60&lt;'Cash Flow'!$E$6+91),1,0))</f>
        <v>0</v>
      </c>
      <c r="I60" s="81"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79" t="n">
        <f aca="false">IF($C61="","",Recurring!$D$8)</f>
        <v>20</v>
      </c>
      <c r="F61" s="80"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80" t="n">
        <f aca="false">IF($F61="","",IF(Recurring!$G$8="Move Before",IF(WEEKDAY($F61,2)=6,$F61-1,IF(WEEKDAY($F61,2)=7,$F61-2,$F61)),IF(Recurring!$G$8="Move After",IF(WEEKDAY($F61,2)=6,$F61+2,IF(WEEKDAY($F61,2)=7,$F61+1,$F61)),$F61)))</f>
        <v>46512</v>
      </c>
      <c r="H61" s="81" t="n">
        <f aca="false">IF($G61="",0,IF(AND($G61&gt;='Cash Flow'!$E$6,$G61&lt;'Cash Flow'!$E$6+91),1,0))</f>
        <v>0</v>
      </c>
      <c r="I61" s="81"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79" t="n">
        <f aca="false">IF($C62="","",Recurring!$D$8)</f>
        <v>20</v>
      </c>
      <c r="F62" s="80"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80" t="n">
        <f aca="false">IF($F62="","",IF(Recurring!$G$8="Move Before",IF(WEEKDAY($F62,2)=6,$F62-1,IF(WEEKDAY($F62,2)=7,$F62-2,$F62)),IF(Recurring!$G$8="Move After",IF(WEEKDAY($F62,2)=6,$F62+2,IF(WEEKDAY($F62,2)=7,$F62+1,$F62)),$F62)))</f>
        <v>46543</v>
      </c>
      <c r="H62" s="81" t="n">
        <f aca="false">IF($G62="",0,IF(AND($G62&gt;='Cash Flow'!$E$6,$G62&lt;'Cash Flow'!$E$6+91),1,0))</f>
        <v>0</v>
      </c>
      <c r="I62" s="81"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79" t="n">
        <f aca="false">IF($C63="","",Recurring!$D$8)</f>
        <v>20</v>
      </c>
      <c r="F63" s="80"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80" t="n">
        <f aca="false">IF($F63="","",IF(Recurring!$G$8="Move Before",IF(WEEKDAY($F63,2)=6,$F63-1,IF(WEEKDAY($F63,2)=7,$F63-2,$F63)),IF(Recurring!$G$8="Move After",IF(WEEKDAY($F63,2)=6,$F63+2,IF(WEEKDAY($F63,2)=7,$F63+1,$F63)),$F63)))</f>
        <v>46573</v>
      </c>
      <c r="H63" s="81" t="n">
        <f aca="false">IF($G63="",0,IF(AND($G63&gt;='Cash Flow'!$E$6,$G63&lt;'Cash Flow'!$E$6+91),1,0))</f>
        <v>0</v>
      </c>
      <c r="I63" s="81"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79" t="n">
        <f aca="false">IF($C64="","",Recurring!$D$8)</f>
        <v>20</v>
      </c>
      <c r="F64" s="80"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80" t="n">
        <f aca="false">IF($F64="","",IF(Recurring!$G$8="Move Before",IF(WEEKDAY($F64,2)=6,$F64-1,IF(WEEKDAY($F64,2)=7,$F64-2,$F64)),IF(Recurring!$G$8="Move After",IF(WEEKDAY($F64,2)=6,$F64+2,IF(WEEKDAY($F64,2)=7,$F64+1,$F64)),$F64)))</f>
        <v>46604</v>
      </c>
      <c r="H64" s="81" t="n">
        <f aca="false">IF($G64="",0,IF(AND($G64&gt;='Cash Flow'!$E$6,$G64&lt;'Cash Flow'!$E$6+91),1,0))</f>
        <v>0</v>
      </c>
      <c r="I64" s="81"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79" t="n">
        <f aca="false">IF($C65="","",Recurring!$D$8)</f>
        <v>20</v>
      </c>
      <c r="F65" s="80"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80" t="n">
        <f aca="false">IF($F65="","",IF(Recurring!$G$8="Move Before",IF(WEEKDAY($F65,2)=6,$F65-1,IF(WEEKDAY($F65,2)=7,$F65-2,$F65)),IF(Recurring!$G$8="Move After",IF(WEEKDAY($F65,2)=6,$F65+2,IF(WEEKDAY($F65,2)=7,$F65+1,$F65)),$F65)))</f>
        <v>46635</v>
      </c>
      <c r="H65" s="81" t="n">
        <f aca="false">IF($G65="",0,IF(AND($G65&gt;='Cash Flow'!$E$6,$G65&lt;'Cash Flow'!$E$6+91),1,0))</f>
        <v>0</v>
      </c>
      <c r="I65" s="81"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79" t="n">
        <f aca="false">IF($C66="","",Recurring!$D$8)</f>
        <v>20</v>
      </c>
      <c r="F66" s="80"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80" t="n">
        <f aca="false">IF($F66="","",IF(Recurring!$G$8="Move Before",IF(WEEKDAY($F66,2)=6,$F66-1,IF(WEEKDAY($F66,2)=7,$F66-2,$F66)),IF(Recurring!$G$8="Move After",IF(WEEKDAY($F66,2)=6,$F66+2,IF(WEEKDAY($F66,2)=7,$F66+1,$F66)),$F66)))</f>
        <v>46665</v>
      </c>
      <c r="H66" s="81" t="n">
        <f aca="false">IF($G66="",0,IF(AND($G66&gt;='Cash Flow'!$E$6,$G66&lt;'Cash Flow'!$E$6+91),1,0))</f>
        <v>0</v>
      </c>
      <c r="I66" s="81"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79" t="n">
        <f aca="false">IF($C67="","",Recurring!$D$8)</f>
        <v>20</v>
      </c>
      <c r="F67" s="80"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80" t="n">
        <f aca="false">IF($F67="","",IF(Recurring!$G$8="Move Before",IF(WEEKDAY($F67,2)=6,$F67-1,IF(WEEKDAY($F67,2)=7,$F67-2,$F67)),IF(Recurring!$G$8="Move After",IF(WEEKDAY($F67,2)=6,$F67+2,IF(WEEKDAY($F67,2)=7,$F67+1,$F67)),$F67)))</f>
        <v>46696</v>
      </c>
      <c r="H67" s="81" t="n">
        <f aca="false">IF($G67="",0,IF(AND($G67&gt;='Cash Flow'!$E$6,$G67&lt;'Cash Flow'!$E$6+91),1,0))</f>
        <v>0</v>
      </c>
      <c r="I67" s="81"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79" t="n">
        <f aca="false">IF($C68="","",Recurring!$D$9)</f>
        <v>10</v>
      </c>
      <c r="F68" s="80"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80" t="n">
        <f aca="false">IF($F68="","",IF(Recurring!$G$9="Move Before",IF(WEEKDAY($F68,2)=6,$F68-1,IF(WEEKDAY($F68,2)=7,$F68-2,$F68)),IF(Recurring!$G$9="Move After",IF(WEEKDAY($F68,2)=6,$F68+2,IF(WEEKDAY($F68,2)=7,$F68+1,$F68)),$F68)))</f>
        <v>46239</v>
      </c>
      <c r="H68" s="81" t="n">
        <f aca="false">IF($G68="",0,IF(AND($G68&gt;='Cash Flow'!$E$6-90,$G68&lt;'Cash Flow'!$E$6+91),1,0))</f>
        <v>1</v>
      </c>
      <c r="I68" s="81" t="n">
        <f aca="false">IF($H68=1,MAX(1,INT(($G68-'Cash Flow'!$E$6)/7)+1),"")</f>
        <v>1</v>
      </c>
      <c r="J68" s="38" t="n">
        <f aca="false">IF($H68=1,$G68*10000+ROW(),"")</f>
        <v>462390068</v>
      </c>
      <c r="K68" s="38" t="n">
        <f aca="false">IF($H68=1,$I68*1000+COUNTIFS($I$4:$I$483,$I68,$J$4:$J$483,"&lt;"&amp;$J68)+1,"")</f>
        <v>1003</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79" t="n">
        <f aca="false">IF($C69="","",Recurring!$D$9)</f>
        <v>10</v>
      </c>
      <c r="F69" s="80"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80" t="n">
        <f aca="false">IF($F69="","",IF(Recurring!$G$9="Move Before",IF(WEEKDAY($F69,2)=6,$F69-1,IF(WEEKDAY($F69,2)=7,$F69-2,$F69)),IF(Recurring!$G$9="Move After",IF(WEEKDAY($F69,2)=6,$F69+2,IF(WEEKDAY($F69,2)=7,$F69+1,$F69)),$F69)))</f>
        <v>46270</v>
      </c>
      <c r="H69" s="81" t="n">
        <f aca="false">IF($G69="",0,IF(AND($G69&gt;='Cash Flow'!$E$6,$G69&lt;'Cash Flow'!$E$6+91),1,0))</f>
        <v>1</v>
      </c>
      <c r="I69" s="81" t="n">
        <f aca="false">IF($H69=1,MAX(1,INT(($G69-'Cash Flow'!$E$6)/7)+1),"")</f>
        <v>5</v>
      </c>
      <c r="J69" s="38" t="n">
        <f aca="false">IF($H69=1,$G69*10000+ROW(),"")</f>
        <v>462700069</v>
      </c>
      <c r="K69" s="38" t="n">
        <f aca="false">IF($H69=1,$I69*1000+COUNTIFS($I$4:$I$483,$I69,$J$4:$J$483,"&lt;"&amp;$J69)+1,"")</f>
        <v>5004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79" t="n">
        <f aca="false">IF($C70="","",Recurring!$D$9)</f>
        <v>10</v>
      </c>
      <c r="F70" s="80"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80" t="n">
        <f aca="false">IF($F70="","",IF(Recurring!$G$9="Move Before",IF(WEEKDAY($F70,2)=6,$F70-1,IF(WEEKDAY($F70,2)=7,$F70-2,$F70)),IF(Recurring!$G$9="Move After",IF(WEEKDAY($F70,2)=6,$F70+2,IF(WEEKDAY($F70,2)=7,$F70+1,$F70)),$F70)))</f>
        <v>46300</v>
      </c>
      <c r="H70" s="81" t="n">
        <f aca="false">IF($G70="",0,IF(AND($G70&gt;='Cash Flow'!$E$6,$G70&lt;'Cash Flow'!$E$6+91),1,0))</f>
        <v>1</v>
      </c>
      <c r="I70" s="81" t="n">
        <f aca="false">IF($H70=1,MAX(1,INT(($G70-'Cash Flow'!$E$6)/7)+1),"")</f>
        <v>9</v>
      </c>
      <c r="J70" s="38" t="n">
        <f aca="false">IF($H70=1,$G70*10000+ROW(),"")</f>
        <v>463000070</v>
      </c>
      <c r="K70" s="38" t="n">
        <f aca="false">IF($H70=1,$I70*1000+COUNTIFS($I$4:$I$483,$I70,$J$4:$J$483,"&lt;"&amp;$J70)+1,"")</f>
        <v>9004</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79" t="n">
        <f aca="false">IF($C71="","",Recurring!$D$9)</f>
        <v>10</v>
      </c>
      <c r="F71" s="80"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80" t="n">
        <f aca="false">IF($F71="","",IF(Recurring!$G$9="Move Before",IF(WEEKDAY($F71,2)=6,$F71-1,IF(WEEKDAY($F71,2)=7,$F71-2,$F71)),IF(Recurring!$G$9="Move After",IF(WEEKDAY($F71,2)=6,$F71+2,IF(WEEKDAY($F71,2)=7,$F71+1,$F71)),$F71)))</f>
        <v>46331</v>
      </c>
      <c r="H71" s="81" t="n">
        <f aca="false">IF($G71="",0,IF(AND($G71&gt;='Cash Flow'!$E$6,$G71&lt;'Cash Flow'!$E$6+91),1,0))</f>
        <v>1</v>
      </c>
      <c r="I71" s="81" t="n">
        <f aca="false">IF($H71=1,MAX(1,INT(($G71-'Cash Flow'!$E$6)/7)+1),"")</f>
        <v>13</v>
      </c>
      <c r="J71" s="38" t="n">
        <f aca="false">IF($H71=1,$G71*10000+ROW(),"")</f>
        <v>463310071</v>
      </c>
      <c r="K71" s="38" t="n">
        <f aca="false">IF($H71=1,$I71*1000+COUNTIFS($I$4:$I$483,$I71,$J$4:$J$483,"&lt;"&amp;$J71)+1,"")</f>
        <v>13008</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79" t="n">
        <f aca="false">IF($C72="","",Recurring!$D$9)</f>
        <v>10</v>
      </c>
      <c r="F72" s="80"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80" t="n">
        <f aca="false">IF($F72="","",IF(Recurring!$G$9="Move Before",IF(WEEKDAY($F72,2)=6,$F72-1,IF(WEEKDAY($F72,2)=7,$F72-2,$F72)),IF(Recurring!$G$9="Move After",IF(WEEKDAY($F72,2)=6,$F72+2,IF(WEEKDAY($F72,2)=7,$F72+1,$F72)),$F72)))</f>
        <v>46361</v>
      </c>
      <c r="H72" s="81" t="n">
        <f aca="false">IF($G72="",0,IF(AND($G72&gt;='Cash Flow'!$E$6,$G72&lt;'Cash Flow'!$E$6+91),1,0))</f>
        <v>0</v>
      </c>
      <c r="I72" s="81"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79" t="n">
        <f aca="false">IF($C73="","",Recurring!$D$9)</f>
        <v>10</v>
      </c>
      <c r="F73" s="80"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80" t="n">
        <f aca="false">IF($F73="","",IF(Recurring!$G$9="Move Before",IF(WEEKDAY($F73,2)=6,$F73-1,IF(WEEKDAY($F73,2)=7,$F73-2,$F73)),IF(Recurring!$G$9="Move After",IF(WEEKDAY($F73,2)=6,$F73+2,IF(WEEKDAY($F73,2)=7,$F73+1,$F73)),$F73)))</f>
        <v>46392</v>
      </c>
      <c r="H73" s="81" t="n">
        <f aca="false">IF($G73="",0,IF(AND($G73&gt;='Cash Flow'!$E$6,$G73&lt;'Cash Flow'!$E$6+91),1,0))</f>
        <v>0</v>
      </c>
      <c r="I73" s="81"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79" t="n">
        <f aca="false">IF($C74="","",Recurring!$D$9)</f>
        <v>10</v>
      </c>
      <c r="F74" s="80"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80" t="n">
        <f aca="false">IF($F74="","",IF(Recurring!$G$9="Move Before",IF(WEEKDAY($F74,2)=6,$F74-1,IF(WEEKDAY($F74,2)=7,$F74-2,$F74)),IF(Recurring!$G$9="Move After",IF(WEEKDAY($F74,2)=6,$F74+2,IF(WEEKDAY($F74,2)=7,$F74+1,$F74)),$F74)))</f>
        <v>46423</v>
      </c>
      <c r="H74" s="81" t="n">
        <f aca="false">IF($G74="",0,IF(AND($G74&gt;='Cash Flow'!$E$6,$G74&lt;'Cash Flow'!$E$6+91),1,0))</f>
        <v>0</v>
      </c>
      <c r="I74" s="81"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79" t="n">
        <f aca="false">IF($C75="","",Recurring!$D$9)</f>
        <v>10</v>
      </c>
      <c r="F75" s="80"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80" t="n">
        <f aca="false">IF($F75="","",IF(Recurring!$G$9="Move Before",IF(WEEKDAY($F75,2)=6,$F75-1,IF(WEEKDAY($F75,2)=7,$F75-2,$F75)),IF(Recurring!$G$9="Move After",IF(WEEKDAY($F75,2)=6,$F75+2,IF(WEEKDAY($F75,2)=7,$F75+1,$F75)),$F75)))</f>
        <v>46451</v>
      </c>
      <c r="H75" s="81" t="n">
        <f aca="false">IF($G75="",0,IF(AND($G75&gt;='Cash Flow'!$E$6,$G75&lt;'Cash Flow'!$E$6+91),1,0))</f>
        <v>0</v>
      </c>
      <c r="I75" s="81"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79" t="n">
        <f aca="false">IF($C76="","",Recurring!$D$9)</f>
        <v>10</v>
      </c>
      <c r="F76" s="80"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80" t="n">
        <f aca="false">IF($F76="","",IF(Recurring!$G$9="Move Before",IF(WEEKDAY($F76,2)=6,$F76-1,IF(WEEKDAY($F76,2)=7,$F76-2,$F76)),IF(Recurring!$G$9="Move After",IF(WEEKDAY($F76,2)=6,$F76+2,IF(WEEKDAY($F76,2)=7,$F76+1,$F76)),$F76)))</f>
        <v>46482</v>
      </c>
      <c r="H76" s="81" t="n">
        <f aca="false">IF($G76="",0,IF(AND($G76&gt;='Cash Flow'!$E$6,$G76&lt;'Cash Flow'!$E$6+91),1,0))</f>
        <v>0</v>
      </c>
      <c r="I76" s="81"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79" t="n">
        <f aca="false">IF($C77="","",Recurring!$D$9)</f>
        <v>10</v>
      </c>
      <c r="F77" s="80"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80" t="n">
        <f aca="false">IF($F77="","",IF(Recurring!$G$9="Move Before",IF(WEEKDAY($F77,2)=6,$F77-1,IF(WEEKDAY($F77,2)=7,$F77-2,$F77)),IF(Recurring!$G$9="Move After",IF(WEEKDAY($F77,2)=6,$F77+2,IF(WEEKDAY($F77,2)=7,$F77+1,$F77)),$F77)))</f>
        <v>46512</v>
      </c>
      <c r="H77" s="81" t="n">
        <f aca="false">IF($G77="",0,IF(AND($G77&gt;='Cash Flow'!$E$6,$G77&lt;'Cash Flow'!$E$6+91),1,0))</f>
        <v>0</v>
      </c>
      <c r="I77" s="81"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79" t="n">
        <f aca="false">IF($C78="","",Recurring!$D$9)</f>
        <v>10</v>
      </c>
      <c r="F78" s="80"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80" t="n">
        <f aca="false">IF($F78="","",IF(Recurring!$G$9="Move Before",IF(WEEKDAY($F78,2)=6,$F78-1,IF(WEEKDAY($F78,2)=7,$F78-2,$F78)),IF(Recurring!$G$9="Move After",IF(WEEKDAY($F78,2)=6,$F78+2,IF(WEEKDAY($F78,2)=7,$F78+1,$F78)),$F78)))</f>
        <v>46543</v>
      </c>
      <c r="H78" s="81" t="n">
        <f aca="false">IF($G78="",0,IF(AND($G78&gt;='Cash Flow'!$E$6,$G78&lt;'Cash Flow'!$E$6+91),1,0))</f>
        <v>0</v>
      </c>
      <c r="I78" s="81"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79" t="n">
        <f aca="false">IF($C79="","",Recurring!$D$9)</f>
        <v>10</v>
      </c>
      <c r="F79" s="80"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80" t="n">
        <f aca="false">IF($F79="","",IF(Recurring!$G$9="Move Before",IF(WEEKDAY($F79,2)=6,$F79-1,IF(WEEKDAY($F79,2)=7,$F79-2,$F79)),IF(Recurring!$G$9="Move After",IF(WEEKDAY($F79,2)=6,$F79+2,IF(WEEKDAY($F79,2)=7,$F79+1,$F79)),$F79)))</f>
        <v>46573</v>
      </c>
      <c r="H79" s="81" t="n">
        <f aca="false">IF($G79="",0,IF(AND($G79&gt;='Cash Flow'!$E$6,$G79&lt;'Cash Flow'!$E$6+91),1,0))</f>
        <v>0</v>
      </c>
      <c r="I79" s="81"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79" t="n">
        <f aca="false">IF($C80="","",Recurring!$D$9)</f>
        <v>10</v>
      </c>
      <c r="F80" s="80"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80" t="n">
        <f aca="false">IF($F80="","",IF(Recurring!$G$9="Move Before",IF(WEEKDAY($F80,2)=6,$F80-1,IF(WEEKDAY($F80,2)=7,$F80-2,$F80)),IF(Recurring!$G$9="Move After",IF(WEEKDAY($F80,2)=6,$F80+2,IF(WEEKDAY($F80,2)=7,$F80+1,$F80)),$F80)))</f>
        <v>46604</v>
      </c>
      <c r="H80" s="81" t="n">
        <f aca="false">IF($G80="",0,IF(AND($G80&gt;='Cash Flow'!$E$6,$G80&lt;'Cash Flow'!$E$6+91),1,0))</f>
        <v>0</v>
      </c>
      <c r="I80" s="81"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79" t="n">
        <f aca="false">IF($C81="","",Recurring!$D$9)</f>
        <v>10</v>
      </c>
      <c r="F81" s="80"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80" t="n">
        <f aca="false">IF($F81="","",IF(Recurring!$G$9="Move Before",IF(WEEKDAY($F81,2)=6,$F81-1,IF(WEEKDAY($F81,2)=7,$F81-2,$F81)),IF(Recurring!$G$9="Move After",IF(WEEKDAY($F81,2)=6,$F81+2,IF(WEEKDAY($F81,2)=7,$F81+1,$F81)),$F81)))</f>
        <v>46635</v>
      </c>
      <c r="H81" s="81" t="n">
        <f aca="false">IF($G81="",0,IF(AND($G81&gt;='Cash Flow'!$E$6,$G81&lt;'Cash Flow'!$E$6+91),1,0))</f>
        <v>0</v>
      </c>
      <c r="I81" s="81"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79" t="n">
        <f aca="false">IF($C82="","",Recurring!$D$9)</f>
        <v>10</v>
      </c>
      <c r="F82" s="80"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80" t="n">
        <f aca="false">IF($F82="","",IF(Recurring!$G$9="Move Before",IF(WEEKDAY($F82,2)=6,$F82-1,IF(WEEKDAY($F82,2)=7,$F82-2,$F82)),IF(Recurring!$G$9="Move After",IF(WEEKDAY($F82,2)=6,$F82+2,IF(WEEKDAY($F82,2)=7,$F82+1,$F82)),$F82)))</f>
        <v>46665</v>
      </c>
      <c r="H82" s="81" t="n">
        <f aca="false">IF($G82="",0,IF(AND($G82&gt;='Cash Flow'!$E$6,$G82&lt;'Cash Flow'!$E$6+91),1,0))</f>
        <v>0</v>
      </c>
      <c r="I82" s="81"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79" t="n">
        <f aca="false">IF($C83="","",Recurring!$D$9)</f>
        <v>10</v>
      </c>
      <c r="F83" s="80"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80" t="n">
        <f aca="false">IF($F83="","",IF(Recurring!$G$9="Move Before",IF(WEEKDAY($F83,2)=6,$F83-1,IF(WEEKDAY($F83,2)=7,$F83-2,$F83)),IF(Recurring!$G$9="Move After",IF(WEEKDAY($F83,2)=6,$F83+2,IF(WEEKDAY($F83,2)=7,$F83+1,$F83)),$F83)))</f>
        <v>46696</v>
      </c>
      <c r="H83" s="81" t="n">
        <f aca="false">IF($G83="",0,IF(AND($G83&gt;='Cash Flow'!$E$6,$G83&lt;'Cash Flow'!$E$6+91),1,0))</f>
        <v>0</v>
      </c>
      <c r="I83" s="81"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79" t="n">
        <f aca="false">IF($C84="","",Recurring!$D$10)</f>
        <v>4.99</v>
      </c>
      <c r="F84" s="80"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0" t="n">
        <f aca="false">IF($F84="","",IF(Recurring!$G$10="Move Before",IF(WEEKDAY($F84,2)=6,$F84-1,IF(WEEKDAY($F84,2)=7,$F84-2,$F84)),IF(Recurring!$G$10="Move After",IF(WEEKDAY($F84,2)=6,$F84+2,IF(WEEKDAY($F84,2)=7,$F84+1,$F84)),$F84)))</f>
        <v>46272</v>
      </c>
      <c r="H84" s="81" t="n">
        <f aca="false">IF($G84="",0,IF(AND($G84&gt;='Cash Flow'!$E$6-90,$G84&lt;'Cash Flow'!$E$6+91),1,0))</f>
        <v>1</v>
      </c>
      <c r="I84" s="81" t="n">
        <f aca="false">IF($H84=1,MAX(1,INT(($G84-'Cash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79" t="n">
        <f aca="false">IF($C85="","",Recurring!$D$10)</f>
        <v>4.99</v>
      </c>
      <c r="F85" s="80"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0" t="n">
        <f aca="false">IF($F85="","",IF(Recurring!$G$10="Move Before",IF(WEEKDAY($F85,2)=6,$F85-1,IF(WEEKDAY($F85,2)=7,$F85-2,$F85)),IF(Recurring!$G$10="Move After",IF(WEEKDAY($F85,2)=6,$F85+2,IF(WEEKDAY($F85,2)=7,$F85+1,$F85)),$F85)))</f>
        <v>46302</v>
      </c>
      <c r="H85" s="81" t="n">
        <f aca="false">IF($G85="",0,IF(AND($G85&gt;='Cash Flow'!$E$6,$G85&lt;'Cash Flow'!$E$6+91),1,0))</f>
        <v>1</v>
      </c>
      <c r="I85" s="81" t="n">
        <f aca="false">IF($H85=1,MAX(1,INT(($G85-'Cash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79" t="n">
        <f aca="false">IF($C86="","",Recurring!$D$10)</f>
        <v>4.99</v>
      </c>
      <c r="F86" s="80"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0" t="n">
        <f aca="false">IF($F86="","",IF(Recurring!$G$10="Move Before",IF(WEEKDAY($F86,2)=6,$F86-1,IF(WEEKDAY($F86,2)=7,$F86-2,$F86)),IF(Recurring!$G$10="Move After",IF(WEEKDAY($F86,2)=6,$F86+2,IF(WEEKDAY($F86,2)=7,$F86+1,$F86)),$F86)))</f>
        <v>46333</v>
      </c>
      <c r="H86" s="81" t="n">
        <f aca="false">IF($G86="",0,IF(AND($G86&gt;='Cash Flow'!$E$6,$G86&lt;'Cash Flow'!$E$6+91),1,0))</f>
        <v>0</v>
      </c>
      <c r="I86" s="81" t="str">
        <f aca="false">IF($H86=1,MAX(1,INT(($G86-'Cash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79" t="n">
        <f aca="false">IF($C87="","",Recurring!$D$10)</f>
        <v>4.99</v>
      </c>
      <c r="F87" s="80"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0" t="n">
        <f aca="false">IF($F87="","",IF(Recurring!$G$10="Move Before",IF(WEEKDAY($F87,2)=6,$F87-1,IF(WEEKDAY($F87,2)=7,$F87-2,$F87)),IF(Recurring!$G$10="Move After",IF(WEEKDAY($F87,2)=6,$F87+2,IF(WEEKDAY($F87,2)=7,$F87+1,$F87)),$F87)))</f>
        <v>46363</v>
      </c>
      <c r="H87" s="81" t="n">
        <f aca="false">IF($G87="",0,IF(AND($G87&gt;='Cash Flow'!$E$6,$G87&lt;'Cash Flow'!$E$6+91),1,0))</f>
        <v>0</v>
      </c>
      <c r="I87" s="81"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79" t="n">
        <f aca="false">IF($C88="","",Recurring!$D$10)</f>
        <v>4.99</v>
      </c>
      <c r="F88" s="80"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0" t="n">
        <f aca="false">IF($F88="","",IF(Recurring!$G$10="Move Before",IF(WEEKDAY($F88,2)=6,$F88-1,IF(WEEKDAY($F88,2)=7,$F88-2,$F88)),IF(Recurring!$G$10="Move After",IF(WEEKDAY($F88,2)=6,$F88+2,IF(WEEKDAY($F88,2)=7,$F88+1,$F88)),$F88)))</f>
        <v>46394</v>
      </c>
      <c r="H88" s="81" t="n">
        <f aca="false">IF($G88="",0,IF(AND($G88&gt;='Cash Flow'!$E$6,$G88&lt;'Cash Flow'!$E$6+91),1,0))</f>
        <v>0</v>
      </c>
      <c r="I88" s="81"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79" t="n">
        <f aca="false">IF($C89="","",Recurring!$D$10)</f>
        <v>4.99</v>
      </c>
      <c r="F89" s="80"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0" t="n">
        <f aca="false">IF($F89="","",IF(Recurring!$G$10="Move Before",IF(WEEKDAY($F89,2)=6,$F89-1,IF(WEEKDAY($F89,2)=7,$F89-2,$F89)),IF(Recurring!$G$10="Move After",IF(WEEKDAY($F89,2)=6,$F89+2,IF(WEEKDAY($F89,2)=7,$F89+1,$F89)),$F89)))</f>
        <v>46425</v>
      </c>
      <c r="H89" s="81" t="n">
        <f aca="false">IF($G89="",0,IF(AND($G89&gt;='Cash Flow'!$E$6,$G89&lt;'Cash Flow'!$E$6+91),1,0))</f>
        <v>0</v>
      </c>
      <c r="I89" s="81"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79" t="n">
        <f aca="false">IF($C90="","",Recurring!$D$10)</f>
        <v>4.99</v>
      </c>
      <c r="F90" s="80"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0" t="n">
        <f aca="false">IF($F90="","",IF(Recurring!$G$10="Move Before",IF(WEEKDAY($F90,2)=6,$F90-1,IF(WEEKDAY($F90,2)=7,$F90-2,$F90)),IF(Recurring!$G$10="Move After",IF(WEEKDAY($F90,2)=6,$F90+2,IF(WEEKDAY($F90,2)=7,$F90+1,$F90)),$F90)))</f>
        <v>46453</v>
      </c>
      <c r="H90" s="81" t="n">
        <f aca="false">IF($G90="",0,IF(AND($G90&gt;='Cash Flow'!$E$6,$G90&lt;'Cash Flow'!$E$6+91),1,0))</f>
        <v>0</v>
      </c>
      <c r="I90" s="81"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79" t="n">
        <f aca="false">IF($C91="","",Recurring!$D$10)</f>
        <v>4.99</v>
      </c>
      <c r="F91" s="80"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0" t="n">
        <f aca="false">IF($F91="","",IF(Recurring!$G$10="Move Before",IF(WEEKDAY($F91,2)=6,$F91-1,IF(WEEKDAY($F91,2)=7,$F91-2,$F91)),IF(Recurring!$G$10="Move After",IF(WEEKDAY($F91,2)=6,$F91+2,IF(WEEKDAY($F91,2)=7,$F91+1,$F91)),$F91)))</f>
        <v>46484</v>
      </c>
      <c r="H91" s="81" t="n">
        <f aca="false">IF($G91="",0,IF(AND($G91&gt;='Cash Flow'!$E$6,$G91&lt;'Cash Flow'!$E$6+91),1,0))</f>
        <v>0</v>
      </c>
      <c r="I91" s="81"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79" t="n">
        <f aca="false">IF($C92="","",Recurring!$D$10)</f>
        <v>4.99</v>
      </c>
      <c r="F92" s="80"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0" t="n">
        <f aca="false">IF($F92="","",IF(Recurring!$G$10="Move Before",IF(WEEKDAY($F92,2)=6,$F92-1,IF(WEEKDAY($F92,2)=7,$F92-2,$F92)),IF(Recurring!$G$10="Move After",IF(WEEKDAY($F92,2)=6,$F92+2,IF(WEEKDAY($F92,2)=7,$F92+1,$F92)),$F92)))</f>
        <v>46514</v>
      </c>
      <c r="H92" s="81" t="n">
        <f aca="false">IF($G92="",0,IF(AND($G92&gt;='Cash Flow'!$E$6,$G92&lt;'Cash Flow'!$E$6+91),1,0))</f>
        <v>0</v>
      </c>
      <c r="I92" s="81"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79" t="n">
        <f aca="false">IF($C93="","",Recurring!$D$10)</f>
        <v>4.99</v>
      </c>
      <c r="F93" s="80"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0" t="n">
        <f aca="false">IF($F93="","",IF(Recurring!$G$10="Move Before",IF(WEEKDAY($F93,2)=6,$F93-1,IF(WEEKDAY($F93,2)=7,$F93-2,$F93)),IF(Recurring!$G$10="Move After",IF(WEEKDAY($F93,2)=6,$F93+2,IF(WEEKDAY($F93,2)=7,$F93+1,$F93)),$F93)))</f>
        <v>46545</v>
      </c>
      <c r="H93" s="81" t="n">
        <f aca="false">IF($G93="",0,IF(AND($G93&gt;='Cash Flow'!$E$6,$G93&lt;'Cash Flow'!$E$6+91),1,0))</f>
        <v>0</v>
      </c>
      <c r="I93" s="81"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79" t="n">
        <f aca="false">IF($C94="","",Recurring!$D$10)</f>
        <v>4.99</v>
      </c>
      <c r="F94" s="80"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0" t="n">
        <f aca="false">IF($F94="","",IF(Recurring!$G$10="Move Before",IF(WEEKDAY($F94,2)=6,$F94-1,IF(WEEKDAY($F94,2)=7,$F94-2,$F94)),IF(Recurring!$G$10="Move After",IF(WEEKDAY($F94,2)=6,$F94+2,IF(WEEKDAY($F94,2)=7,$F94+1,$F94)),$F94)))</f>
        <v>46575</v>
      </c>
      <c r="H94" s="81" t="n">
        <f aca="false">IF($G94="",0,IF(AND($G94&gt;='Cash Flow'!$E$6,$G94&lt;'Cash Flow'!$E$6+91),1,0))</f>
        <v>0</v>
      </c>
      <c r="I94" s="81"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79" t="n">
        <f aca="false">IF($C95="","",Recurring!$D$10)</f>
        <v>4.99</v>
      </c>
      <c r="F95" s="80"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0" t="n">
        <f aca="false">IF($F95="","",IF(Recurring!$G$10="Move Before",IF(WEEKDAY($F95,2)=6,$F95-1,IF(WEEKDAY($F95,2)=7,$F95-2,$F95)),IF(Recurring!$G$10="Move After",IF(WEEKDAY($F95,2)=6,$F95+2,IF(WEEKDAY($F95,2)=7,$F95+1,$F95)),$F95)))</f>
        <v>46606</v>
      </c>
      <c r="H95" s="81" t="n">
        <f aca="false">IF($G95="",0,IF(AND($G95&gt;='Cash Flow'!$E$6,$G95&lt;'Cash Flow'!$E$6+91),1,0))</f>
        <v>0</v>
      </c>
      <c r="I95" s="81"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79" t="n">
        <f aca="false">IF($C96="","",Recurring!$D$10)</f>
        <v>4.99</v>
      </c>
      <c r="F96" s="80"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0" t="n">
        <f aca="false">IF($F96="","",IF(Recurring!$G$10="Move Before",IF(WEEKDAY($F96,2)=6,$F96-1,IF(WEEKDAY($F96,2)=7,$F96-2,$F96)),IF(Recurring!$G$10="Move After",IF(WEEKDAY($F96,2)=6,$F96+2,IF(WEEKDAY($F96,2)=7,$F96+1,$F96)),$F96)))</f>
        <v>46637</v>
      </c>
      <c r="H96" s="81" t="n">
        <f aca="false">IF($G96="",0,IF(AND($G96&gt;='Cash Flow'!$E$6,$G96&lt;'Cash Flow'!$E$6+91),1,0))</f>
        <v>0</v>
      </c>
      <c r="I96" s="81"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79" t="n">
        <f aca="false">IF($C97="","",Recurring!$D$10)</f>
        <v>4.99</v>
      </c>
      <c r="F97" s="80"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0" t="n">
        <f aca="false">IF($F97="","",IF(Recurring!$G$10="Move Before",IF(WEEKDAY($F97,2)=6,$F97-1,IF(WEEKDAY($F97,2)=7,$F97-2,$F97)),IF(Recurring!$G$10="Move After",IF(WEEKDAY($F97,2)=6,$F97+2,IF(WEEKDAY($F97,2)=7,$F97+1,$F97)),$F97)))</f>
        <v>46667</v>
      </c>
      <c r="H97" s="81" t="n">
        <f aca="false">IF($G97="",0,IF(AND($G97&gt;='Cash Flow'!$E$6,$G97&lt;'Cash Flow'!$E$6+91),1,0))</f>
        <v>0</v>
      </c>
      <c r="I97" s="81"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79" t="n">
        <f aca="false">IF($C98="","",Recurring!$D$10)</f>
        <v>4.99</v>
      </c>
      <c r="F98" s="80"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0" t="n">
        <f aca="false">IF($F98="","",IF(Recurring!$G$10="Move Before",IF(WEEKDAY($F98,2)=6,$F98-1,IF(WEEKDAY($F98,2)=7,$F98-2,$F98)),IF(Recurring!$G$10="Move After",IF(WEEKDAY($F98,2)=6,$F98+2,IF(WEEKDAY($F98,2)=7,$F98+1,$F98)),$F98)))</f>
        <v>46698</v>
      </c>
      <c r="H98" s="81" t="n">
        <f aca="false">IF($G98="",0,IF(AND($G98&gt;='Cash Flow'!$E$6,$G98&lt;'Cash Flow'!$E$6+91),1,0))</f>
        <v>0</v>
      </c>
      <c r="I98" s="81"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79" t="n">
        <f aca="false">IF($C99="","",Recurring!$D$10)</f>
        <v>4.99</v>
      </c>
      <c r="F99" s="80"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0" t="n">
        <f aca="false">IF($F99="","",IF(Recurring!$G$10="Move Before",IF(WEEKDAY($F99,2)=6,$F99-1,IF(WEEKDAY($F99,2)=7,$F99-2,$F99)),IF(Recurring!$G$10="Move After",IF(WEEKDAY($F99,2)=6,$F99+2,IF(WEEKDAY($F99,2)=7,$F99+1,$F99)),$F99)))</f>
        <v>46728</v>
      </c>
      <c r="H99" s="81" t="n">
        <f aca="false">IF($G99="",0,IF(AND($G99&gt;='Cash Flow'!$E$6,$G99&lt;'Cash Flow'!$E$6+91),1,0))</f>
        <v>0</v>
      </c>
      <c r="I99" s="81"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79" t="n">
        <f aca="false">IF($C100="","",Recurring!$D$11)</f>
        <v>500</v>
      </c>
      <c r="F100" s="80"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0" t="n">
        <f aca="false">IF($F100="","",IF(Recurring!$G$11="Move Before",IF(WEEKDAY($F100,2)=6,$F100-1,IF(WEEKDAY($F100,2)=7,$F100-2,$F100)),IF(Recurring!$G$11="Move After",IF(WEEKDAY($F100,2)=6,$F100+2,IF(WEEKDAY($F100,2)=7,$F100+1,$F100)),$F100)))</f>
        <v>46272</v>
      </c>
      <c r="H100" s="81" t="n">
        <f aca="false">IF($G100="",0,IF(AND($G100&gt;='Cash Flow'!$E$6-90,$G100&lt;'Cash Flow'!$E$6+91),1,0))</f>
        <v>1</v>
      </c>
      <c r="I100" s="81" t="n">
        <f aca="false">IF($H100=1,MAX(1,INT(($G100-'Cash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79" t="n">
        <f aca="false">IF($C101="","",Recurring!$D$11)</f>
        <v>500</v>
      </c>
      <c r="F101" s="80"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0" t="n">
        <f aca="false">IF($F101="","",IF(Recurring!$G$11="Move Before",IF(WEEKDAY($F101,2)=6,$F101-1,IF(WEEKDAY($F101,2)=7,$F101-2,$F101)),IF(Recurring!$G$11="Move After",IF(WEEKDAY($F101,2)=6,$F101+2,IF(WEEKDAY($F101,2)=7,$F101+1,$F101)),$F101)))</f>
        <v>46302</v>
      </c>
      <c r="H101" s="81" t="n">
        <f aca="false">IF($G101="",0,IF(AND($G101&gt;='Cash Flow'!$E$6,$G101&lt;'Cash Flow'!$E$6+91),1,0))</f>
        <v>1</v>
      </c>
      <c r="I101" s="81" t="n">
        <f aca="false">IF($H101=1,MAX(1,INT(($G101-'Cash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79" t="n">
        <f aca="false">IF($C102="","",Recurring!$D$11)</f>
        <v>500</v>
      </c>
      <c r="F102" s="80"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0" t="n">
        <f aca="false">IF($F102="","",IF(Recurring!$G$11="Move Before",IF(WEEKDAY($F102,2)=6,$F102-1,IF(WEEKDAY($F102,2)=7,$F102-2,$F102)),IF(Recurring!$G$11="Move After",IF(WEEKDAY($F102,2)=6,$F102+2,IF(WEEKDAY($F102,2)=7,$F102+1,$F102)),$F102)))</f>
        <v>46333</v>
      </c>
      <c r="H102" s="81" t="n">
        <f aca="false">IF($G102="",0,IF(AND($G102&gt;='Cash Flow'!$E$6,$G102&lt;'Cash Flow'!$E$6+91),1,0))</f>
        <v>0</v>
      </c>
      <c r="I102" s="81" t="str">
        <f aca="false">IF($H102=1,MAX(1,INT(($G102-'Cash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79" t="n">
        <f aca="false">IF($C103="","",Recurring!$D$11)</f>
        <v>500</v>
      </c>
      <c r="F103" s="80"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0" t="n">
        <f aca="false">IF($F103="","",IF(Recurring!$G$11="Move Before",IF(WEEKDAY($F103,2)=6,$F103-1,IF(WEEKDAY($F103,2)=7,$F103-2,$F103)),IF(Recurring!$G$11="Move After",IF(WEEKDAY($F103,2)=6,$F103+2,IF(WEEKDAY($F103,2)=7,$F103+1,$F103)),$F103)))</f>
        <v>46363</v>
      </c>
      <c r="H103" s="81" t="n">
        <f aca="false">IF($G103="",0,IF(AND($G103&gt;='Cash Flow'!$E$6,$G103&lt;'Cash Flow'!$E$6+91),1,0))</f>
        <v>0</v>
      </c>
      <c r="I103" s="81"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79" t="n">
        <f aca="false">IF($C104="","",Recurring!$D$11)</f>
        <v>500</v>
      </c>
      <c r="F104" s="80"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0" t="n">
        <f aca="false">IF($F104="","",IF(Recurring!$G$11="Move Before",IF(WEEKDAY($F104,2)=6,$F104-1,IF(WEEKDAY($F104,2)=7,$F104-2,$F104)),IF(Recurring!$G$11="Move After",IF(WEEKDAY($F104,2)=6,$F104+2,IF(WEEKDAY($F104,2)=7,$F104+1,$F104)),$F104)))</f>
        <v>46394</v>
      </c>
      <c r="H104" s="81" t="n">
        <f aca="false">IF($G104="",0,IF(AND($G104&gt;='Cash Flow'!$E$6,$G104&lt;'Cash Flow'!$E$6+91),1,0))</f>
        <v>0</v>
      </c>
      <c r="I104" s="81"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79" t="n">
        <f aca="false">IF($C105="","",Recurring!$D$11)</f>
        <v>500</v>
      </c>
      <c r="F105" s="80"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0" t="n">
        <f aca="false">IF($F105="","",IF(Recurring!$G$11="Move Before",IF(WEEKDAY($F105,2)=6,$F105-1,IF(WEEKDAY($F105,2)=7,$F105-2,$F105)),IF(Recurring!$G$11="Move After",IF(WEEKDAY($F105,2)=6,$F105+2,IF(WEEKDAY($F105,2)=7,$F105+1,$F105)),$F105)))</f>
        <v>46425</v>
      </c>
      <c r="H105" s="81" t="n">
        <f aca="false">IF($G105="",0,IF(AND($G105&gt;='Cash Flow'!$E$6,$G105&lt;'Cash Flow'!$E$6+91),1,0))</f>
        <v>0</v>
      </c>
      <c r="I105" s="81"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79" t="n">
        <f aca="false">IF($C106="","",Recurring!$D$11)</f>
        <v>500</v>
      </c>
      <c r="F106" s="80"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0" t="n">
        <f aca="false">IF($F106="","",IF(Recurring!$G$11="Move Before",IF(WEEKDAY($F106,2)=6,$F106-1,IF(WEEKDAY($F106,2)=7,$F106-2,$F106)),IF(Recurring!$G$11="Move After",IF(WEEKDAY($F106,2)=6,$F106+2,IF(WEEKDAY($F106,2)=7,$F106+1,$F106)),$F106)))</f>
        <v>46453</v>
      </c>
      <c r="H106" s="81" t="n">
        <f aca="false">IF($G106="",0,IF(AND($G106&gt;='Cash Flow'!$E$6,$G106&lt;'Cash Flow'!$E$6+91),1,0))</f>
        <v>0</v>
      </c>
      <c r="I106" s="81"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79" t="n">
        <f aca="false">IF($C107="","",Recurring!$D$11)</f>
        <v>500</v>
      </c>
      <c r="F107" s="80"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0" t="n">
        <f aca="false">IF($F107="","",IF(Recurring!$G$11="Move Before",IF(WEEKDAY($F107,2)=6,$F107-1,IF(WEEKDAY($F107,2)=7,$F107-2,$F107)),IF(Recurring!$G$11="Move After",IF(WEEKDAY($F107,2)=6,$F107+2,IF(WEEKDAY($F107,2)=7,$F107+1,$F107)),$F107)))</f>
        <v>46484</v>
      </c>
      <c r="H107" s="81" t="n">
        <f aca="false">IF($G107="",0,IF(AND($G107&gt;='Cash Flow'!$E$6,$G107&lt;'Cash Flow'!$E$6+91),1,0))</f>
        <v>0</v>
      </c>
      <c r="I107" s="81"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79" t="n">
        <f aca="false">IF($C108="","",Recurring!$D$11)</f>
        <v>500</v>
      </c>
      <c r="F108" s="80"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0" t="n">
        <f aca="false">IF($F108="","",IF(Recurring!$G$11="Move Before",IF(WEEKDAY($F108,2)=6,$F108-1,IF(WEEKDAY($F108,2)=7,$F108-2,$F108)),IF(Recurring!$G$11="Move After",IF(WEEKDAY($F108,2)=6,$F108+2,IF(WEEKDAY($F108,2)=7,$F108+1,$F108)),$F108)))</f>
        <v>46514</v>
      </c>
      <c r="H108" s="81" t="n">
        <f aca="false">IF($G108="",0,IF(AND($G108&gt;='Cash Flow'!$E$6,$G108&lt;'Cash Flow'!$E$6+91),1,0))</f>
        <v>0</v>
      </c>
      <c r="I108" s="81"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79" t="n">
        <f aca="false">IF($C109="","",Recurring!$D$11)</f>
        <v>500</v>
      </c>
      <c r="F109" s="80"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0" t="n">
        <f aca="false">IF($F109="","",IF(Recurring!$G$11="Move Before",IF(WEEKDAY($F109,2)=6,$F109-1,IF(WEEKDAY($F109,2)=7,$F109-2,$F109)),IF(Recurring!$G$11="Move After",IF(WEEKDAY($F109,2)=6,$F109+2,IF(WEEKDAY($F109,2)=7,$F109+1,$F109)),$F109)))</f>
        <v>46545</v>
      </c>
      <c r="H109" s="81" t="n">
        <f aca="false">IF($G109="",0,IF(AND($G109&gt;='Cash Flow'!$E$6,$G109&lt;'Cash Flow'!$E$6+91),1,0))</f>
        <v>0</v>
      </c>
      <c r="I109" s="81"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79" t="n">
        <f aca="false">IF($C110="","",Recurring!$D$11)</f>
        <v>500</v>
      </c>
      <c r="F110" s="80"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0" t="n">
        <f aca="false">IF($F110="","",IF(Recurring!$G$11="Move Before",IF(WEEKDAY($F110,2)=6,$F110-1,IF(WEEKDAY($F110,2)=7,$F110-2,$F110)),IF(Recurring!$G$11="Move After",IF(WEEKDAY($F110,2)=6,$F110+2,IF(WEEKDAY($F110,2)=7,$F110+1,$F110)),$F110)))</f>
        <v>46575</v>
      </c>
      <c r="H110" s="81" t="n">
        <f aca="false">IF($G110="",0,IF(AND($G110&gt;='Cash Flow'!$E$6,$G110&lt;'Cash Flow'!$E$6+91),1,0))</f>
        <v>0</v>
      </c>
      <c r="I110" s="81"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79" t="n">
        <f aca="false">IF($C111="","",Recurring!$D$11)</f>
        <v>500</v>
      </c>
      <c r="F111" s="80"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0" t="n">
        <f aca="false">IF($F111="","",IF(Recurring!$G$11="Move Before",IF(WEEKDAY($F111,2)=6,$F111-1,IF(WEEKDAY($F111,2)=7,$F111-2,$F111)),IF(Recurring!$G$11="Move After",IF(WEEKDAY($F111,2)=6,$F111+2,IF(WEEKDAY($F111,2)=7,$F111+1,$F111)),$F111)))</f>
        <v>46606</v>
      </c>
      <c r="H111" s="81" t="n">
        <f aca="false">IF($G111="",0,IF(AND($G111&gt;='Cash Flow'!$E$6,$G111&lt;'Cash Flow'!$E$6+91),1,0))</f>
        <v>0</v>
      </c>
      <c r="I111" s="81"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79" t="n">
        <f aca="false">IF($C112="","",Recurring!$D$11)</f>
        <v>500</v>
      </c>
      <c r="F112" s="80"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0" t="n">
        <f aca="false">IF($F112="","",IF(Recurring!$G$11="Move Before",IF(WEEKDAY($F112,2)=6,$F112-1,IF(WEEKDAY($F112,2)=7,$F112-2,$F112)),IF(Recurring!$G$11="Move After",IF(WEEKDAY($F112,2)=6,$F112+2,IF(WEEKDAY($F112,2)=7,$F112+1,$F112)),$F112)))</f>
        <v>46637</v>
      </c>
      <c r="H112" s="81" t="n">
        <f aca="false">IF($G112="",0,IF(AND($G112&gt;='Cash Flow'!$E$6,$G112&lt;'Cash Flow'!$E$6+91),1,0))</f>
        <v>0</v>
      </c>
      <c r="I112" s="81"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79" t="n">
        <f aca="false">IF($C113="","",Recurring!$D$11)</f>
        <v>500</v>
      </c>
      <c r="F113" s="80"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0" t="n">
        <f aca="false">IF($F113="","",IF(Recurring!$G$11="Move Before",IF(WEEKDAY($F113,2)=6,$F113-1,IF(WEEKDAY($F113,2)=7,$F113-2,$F113)),IF(Recurring!$G$11="Move After",IF(WEEKDAY($F113,2)=6,$F113+2,IF(WEEKDAY($F113,2)=7,$F113+1,$F113)),$F113)))</f>
        <v>46667</v>
      </c>
      <c r="H113" s="81" t="n">
        <f aca="false">IF($G113="",0,IF(AND($G113&gt;='Cash Flow'!$E$6,$G113&lt;'Cash Flow'!$E$6+91),1,0))</f>
        <v>0</v>
      </c>
      <c r="I113" s="81"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79" t="n">
        <f aca="false">IF($C114="","",Recurring!$D$11)</f>
        <v>500</v>
      </c>
      <c r="F114" s="80"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0" t="n">
        <f aca="false">IF($F114="","",IF(Recurring!$G$11="Move Before",IF(WEEKDAY($F114,2)=6,$F114-1,IF(WEEKDAY($F114,2)=7,$F114-2,$F114)),IF(Recurring!$G$11="Move After",IF(WEEKDAY($F114,2)=6,$F114+2,IF(WEEKDAY($F114,2)=7,$F114+1,$F114)),$F114)))</f>
        <v>46698</v>
      </c>
      <c r="H114" s="81" t="n">
        <f aca="false">IF($G114="",0,IF(AND($G114&gt;='Cash Flow'!$E$6,$G114&lt;'Cash Flow'!$E$6+91),1,0))</f>
        <v>0</v>
      </c>
      <c r="I114" s="81"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79" t="n">
        <f aca="false">IF($C115="","",Recurring!$D$11)</f>
        <v>500</v>
      </c>
      <c r="F115" s="80"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0" t="n">
        <f aca="false">IF($F115="","",IF(Recurring!$G$11="Move Before",IF(WEEKDAY($F115,2)=6,$F115-1,IF(WEEKDAY($F115,2)=7,$F115-2,$F115)),IF(Recurring!$G$11="Move After",IF(WEEKDAY($F115,2)=6,$F115+2,IF(WEEKDAY($F115,2)=7,$F115+1,$F115)),$F115)))</f>
        <v>46728</v>
      </c>
      <c r="H115" s="81" t="n">
        <f aca="false">IF($G115="",0,IF(AND($G115&gt;='Cash Flow'!$E$6,$G115&lt;'Cash Flow'!$E$6+91),1,0))</f>
        <v>0</v>
      </c>
      <c r="I115" s="81"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79" t="n">
        <f aca="false">IF($C116="","",Recurring!$D$12)</f>
        <v>163.5</v>
      </c>
      <c r="F116" s="80"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0" t="n">
        <f aca="false">IF($F116="","",IF(Recurring!$G$12="Move Before",IF(WEEKDAY($F116,2)=6,$F116-1,IF(WEEKDAY($F116,2)=7,$F116-2,$F116)),IF(Recurring!$G$12="Move After",IF(WEEKDAY($F116,2)=6,$F116+2,IF(WEEKDAY($F116,2)=7,$F116+1,$F116)),$F116)))</f>
        <v>46275</v>
      </c>
      <c r="H116" s="81" t="n">
        <f aca="false">IF($G116="",0,IF(AND($G116&gt;='Cash Flow'!$E$6-90,$G116&lt;'Cash Flow'!$E$6+91),1,0))</f>
        <v>1</v>
      </c>
      <c r="I116" s="81" t="n">
        <f aca="false">IF($H116=1,MAX(1,INT(($G116-'Cash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79" t="n">
        <f aca="false">IF($C117="","",Recurring!$D$12)</f>
        <v>163.5</v>
      </c>
      <c r="F117" s="80"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0" t="n">
        <f aca="false">IF($F117="","",IF(Recurring!$G$12="Move Before",IF(WEEKDAY($F117,2)=6,$F117-1,IF(WEEKDAY($F117,2)=7,$F117-2,$F117)),IF(Recurring!$G$12="Move After",IF(WEEKDAY($F117,2)=6,$F117+2,IF(WEEKDAY($F117,2)=7,$F117+1,$F117)),$F117)))</f>
        <v>46305</v>
      </c>
      <c r="H117" s="81" t="n">
        <f aca="false">IF($G117="",0,IF(AND($G117&gt;='Cash Flow'!$E$6,$G117&lt;'Cash Flow'!$E$6+91),1,0))</f>
        <v>1</v>
      </c>
      <c r="I117" s="81" t="n">
        <f aca="false">IF($H117=1,MAX(1,INT(($G117-'Cash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79" t="n">
        <f aca="false">IF($C118="","",Recurring!$D$12)</f>
        <v>163.5</v>
      </c>
      <c r="F118" s="80"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0" t="n">
        <f aca="false">IF($F118="","",IF(Recurring!$G$12="Move Before",IF(WEEKDAY($F118,2)=6,$F118-1,IF(WEEKDAY($F118,2)=7,$F118-2,$F118)),IF(Recurring!$G$12="Move After",IF(WEEKDAY($F118,2)=6,$F118+2,IF(WEEKDAY($F118,2)=7,$F118+1,$F118)),$F118)))</f>
        <v>46336</v>
      </c>
      <c r="H118" s="81" t="n">
        <f aca="false">IF($G118="",0,IF(AND($G118&gt;='Cash Flow'!$E$6,$G118&lt;'Cash Flow'!$E$6+91),1,0))</f>
        <v>0</v>
      </c>
      <c r="I118" s="81" t="str">
        <f aca="false">IF($H118=1,MAX(1,INT(($G118-'Cash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79" t="n">
        <f aca="false">IF($C119="","",Recurring!$D$12)</f>
        <v>163.5</v>
      </c>
      <c r="F119" s="80"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0" t="n">
        <f aca="false">IF($F119="","",IF(Recurring!$G$12="Move Before",IF(WEEKDAY($F119,2)=6,$F119-1,IF(WEEKDAY($F119,2)=7,$F119-2,$F119)),IF(Recurring!$G$12="Move After",IF(WEEKDAY($F119,2)=6,$F119+2,IF(WEEKDAY($F119,2)=7,$F119+1,$F119)),$F119)))</f>
        <v>46366</v>
      </c>
      <c r="H119" s="81" t="n">
        <f aca="false">IF($G119="",0,IF(AND($G119&gt;='Cash Flow'!$E$6,$G119&lt;'Cash Flow'!$E$6+91),1,0))</f>
        <v>0</v>
      </c>
      <c r="I119" s="81"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79" t="n">
        <f aca="false">IF($C120="","",Recurring!$D$12)</f>
        <v>163.5</v>
      </c>
      <c r="F120" s="80"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0" t="n">
        <f aca="false">IF($F120="","",IF(Recurring!$G$12="Move Before",IF(WEEKDAY($F120,2)=6,$F120-1,IF(WEEKDAY($F120,2)=7,$F120-2,$F120)),IF(Recurring!$G$12="Move After",IF(WEEKDAY($F120,2)=6,$F120+2,IF(WEEKDAY($F120,2)=7,$F120+1,$F120)),$F120)))</f>
        <v>46397</v>
      </c>
      <c r="H120" s="81" t="n">
        <f aca="false">IF($G120="",0,IF(AND($G120&gt;='Cash Flow'!$E$6,$G120&lt;'Cash Flow'!$E$6+91),1,0))</f>
        <v>0</v>
      </c>
      <c r="I120" s="81"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79" t="n">
        <f aca="false">IF($C121="","",Recurring!$D$12)</f>
        <v>163.5</v>
      </c>
      <c r="F121" s="80"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0" t="n">
        <f aca="false">IF($F121="","",IF(Recurring!$G$12="Move Before",IF(WEEKDAY($F121,2)=6,$F121-1,IF(WEEKDAY($F121,2)=7,$F121-2,$F121)),IF(Recurring!$G$12="Move After",IF(WEEKDAY($F121,2)=6,$F121+2,IF(WEEKDAY($F121,2)=7,$F121+1,$F121)),$F121)))</f>
        <v>46428</v>
      </c>
      <c r="H121" s="81" t="n">
        <f aca="false">IF($G121="",0,IF(AND($G121&gt;='Cash Flow'!$E$6,$G121&lt;'Cash Flow'!$E$6+91),1,0))</f>
        <v>0</v>
      </c>
      <c r="I121" s="81"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79" t="n">
        <f aca="false">IF($C122="","",Recurring!$D$12)</f>
        <v>163.5</v>
      </c>
      <c r="F122" s="80"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0" t="n">
        <f aca="false">IF($F122="","",IF(Recurring!$G$12="Move Before",IF(WEEKDAY($F122,2)=6,$F122-1,IF(WEEKDAY($F122,2)=7,$F122-2,$F122)),IF(Recurring!$G$12="Move After",IF(WEEKDAY($F122,2)=6,$F122+2,IF(WEEKDAY($F122,2)=7,$F122+1,$F122)),$F122)))</f>
        <v>46456</v>
      </c>
      <c r="H122" s="81" t="n">
        <f aca="false">IF($G122="",0,IF(AND($G122&gt;='Cash Flow'!$E$6,$G122&lt;'Cash Flow'!$E$6+91),1,0))</f>
        <v>0</v>
      </c>
      <c r="I122" s="81"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79" t="n">
        <f aca="false">IF($C123="","",Recurring!$D$12)</f>
        <v>163.5</v>
      </c>
      <c r="F123" s="80"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0" t="n">
        <f aca="false">IF($F123="","",IF(Recurring!$G$12="Move Before",IF(WEEKDAY($F123,2)=6,$F123-1,IF(WEEKDAY($F123,2)=7,$F123-2,$F123)),IF(Recurring!$G$12="Move After",IF(WEEKDAY($F123,2)=6,$F123+2,IF(WEEKDAY($F123,2)=7,$F123+1,$F123)),$F123)))</f>
        <v>46487</v>
      </c>
      <c r="H123" s="81" t="n">
        <f aca="false">IF($G123="",0,IF(AND($G123&gt;='Cash Flow'!$E$6,$G123&lt;'Cash Flow'!$E$6+91),1,0))</f>
        <v>0</v>
      </c>
      <c r="I123" s="81"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79" t="n">
        <f aca="false">IF($C124="","",Recurring!$D$12)</f>
        <v>163.5</v>
      </c>
      <c r="F124" s="80"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0" t="n">
        <f aca="false">IF($F124="","",IF(Recurring!$G$12="Move Before",IF(WEEKDAY($F124,2)=6,$F124-1,IF(WEEKDAY($F124,2)=7,$F124-2,$F124)),IF(Recurring!$G$12="Move After",IF(WEEKDAY($F124,2)=6,$F124+2,IF(WEEKDAY($F124,2)=7,$F124+1,$F124)),$F124)))</f>
        <v>46517</v>
      </c>
      <c r="H124" s="81" t="n">
        <f aca="false">IF($G124="",0,IF(AND($G124&gt;='Cash Flow'!$E$6,$G124&lt;'Cash Flow'!$E$6+91),1,0))</f>
        <v>0</v>
      </c>
      <c r="I124" s="81"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79" t="n">
        <f aca="false">IF($C125="","",Recurring!$D$12)</f>
        <v>163.5</v>
      </c>
      <c r="F125" s="80"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0" t="n">
        <f aca="false">IF($F125="","",IF(Recurring!$G$12="Move Before",IF(WEEKDAY($F125,2)=6,$F125-1,IF(WEEKDAY($F125,2)=7,$F125-2,$F125)),IF(Recurring!$G$12="Move After",IF(WEEKDAY($F125,2)=6,$F125+2,IF(WEEKDAY($F125,2)=7,$F125+1,$F125)),$F125)))</f>
        <v>46548</v>
      </c>
      <c r="H125" s="81" t="n">
        <f aca="false">IF($G125="",0,IF(AND($G125&gt;='Cash Flow'!$E$6,$G125&lt;'Cash Flow'!$E$6+91),1,0))</f>
        <v>0</v>
      </c>
      <c r="I125" s="81"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79" t="n">
        <f aca="false">IF($C126="","",Recurring!$D$12)</f>
        <v>163.5</v>
      </c>
      <c r="F126" s="80"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0" t="n">
        <f aca="false">IF($F126="","",IF(Recurring!$G$12="Move Before",IF(WEEKDAY($F126,2)=6,$F126-1,IF(WEEKDAY($F126,2)=7,$F126-2,$F126)),IF(Recurring!$G$12="Move After",IF(WEEKDAY($F126,2)=6,$F126+2,IF(WEEKDAY($F126,2)=7,$F126+1,$F126)),$F126)))</f>
        <v>46578</v>
      </c>
      <c r="H126" s="81" t="n">
        <f aca="false">IF($G126="",0,IF(AND($G126&gt;='Cash Flow'!$E$6,$G126&lt;'Cash Flow'!$E$6+91),1,0))</f>
        <v>0</v>
      </c>
      <c r="I126" s="81"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79" t="n">
        <f aca="false">IF($C127="","",Recurring!$D$12)</f>
        <v>163.5</v>
      </c>
      <c r="F127" s="80"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0" t="n">
        <f aca="false">IF($F127="","",IF(Recurring!$G$12="Move Before",IF(WEEKDAY($F127,2)=6,$F127-1,IF(WEEKDAY($F127,2)=7,$F127-2,$F127)),IF(Recurring!$G$12="Move After",IF(WEEKDAY($F127,2)=6,$F127+2,IF(WEEKDAY($F127,2)=7,$F127+1,$F127)),$F127)))</f>
        <v>46609</v>
      </c>
      <c r="H127" s="81" t="n">
        <f aca="false">IF($G127="",0,IF(AND($G127&gt;='Cash Flow'!$E$6,$G127&lt;'Cash Flow'!$E$6+91),1,0))</f>
        <v>0</v>
      </c>
      <c r="I127" s="81"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79" t="n">
        <f aca="false">IF($C128="","",Recurring!$D$12)</f>
        <v>163.5</v>
      </c>
      <c r="F128" s="80"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0" t="n">
        <f aca="false">IF($F128="","",IF(Recurring!$G$12="Move Before",IF(WEEKDAY($F128,2)=6,$F128-1,IF(WEEKDAY($F128,2)=7,$F128-2,$F128)),IF(Recurring!$G$12="Move After",IF(WEEKDAY($F128,2)=6,$F128+2,IF(WEEKDAY($F128,2)=7,$F128+1,$F128)),$F128)))</f>
        <v>46640</v>
      </c>
      <c r="H128" s="81" t="n">
        <f aca="false">IF($G128="",0,IF(AND($G128&gt;='Cash Flow'!$E$6,$G128&lt;'Cash Flow'!$E$6+91),1,0))</f>
        <v>0</v>
      </c>
      <c r="I128" s="81"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79" t="n">
        <f aca="false">IF($C129="","",Recurring!$D$12)</f>
        <v>163.5</v>
      </c>
      <c r="F129" s="80"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0" t="n">
        <f aca="false">IF($F129="","",IF(Recurring!$G$12="Move Before",IF(WEEKDAY($F129,2)=6,$F129-1,IF(WEEKDAY($F129,2)=7,$F129-2,$F129)),IF(Recurring!$G$12="Move After",IF(WEEKDAY($F129,2)=6,$F129+2,IF(WEEKDAY($F129,2)=7,$F129+1,$F129)),$F129)))</f>
        <v>46670</v>
      </c>
      <c r="H129" s="81" t="n">
        <f aca="false">IF($G129="",0,IF(AND($G129&gt;='Cash Flow'!$E$6,$G129&lt;'Cash Flow'!$E$6+91),1,0))</f>
        <v>0</v>
      </c>
      <c r="I129" s="81"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79" t="n">
        <f aca="false">IF($C130="","",Recurring!$D$12)</f>
        <v>163.5</v>
      </c>
      <c r="F130" s="80"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0" t="n">
        <f aca="false">IF($F130="","",IF(Recurring!$G$12="Move Before",IF(WEEKDAY($F130,2)=6,$F130-1,IF(WEEKDAY($F130,2)=7,$F130-2,$F130)),IF(Recurring!$G$12="Move After",IF(WEEKDAY($F130,2)=6,$F130+2,IF(WEEKDAY($F130,2)=7,$F130+1,$F130)),$F130)))</f>
        <v>46701</v>
      </c>
      <c r="H130" s="81" t="n">
        <f aca="false">IF($G130="",0,IF(AND($G130&gt;='Cash Flow'!$E$6,$G130&lt;'Cash Flow'!$E$6+91),1,0))</f>
        <v>0</v>
      </c>
      <c r="I130" s="81"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79" t="n">
        <f aca="false">IF($C131="","",Recurring!$D$12)</f>
        <v>163.5</v>
      </c>
      <c r="F131" s="80"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0" t="n">
        <f aca="false">IF($F131="","",IF(Recurring!$G$12="Move Before",IF(WEEKDAY($F131,2)=6,$F131-1,IF(WEEKDAY($F131,2)=7,$F131-2,$F131)),IF(Recurring!$G$12="Move After",IF(WEEKDAY($F131,2)=6,$F131+2,IF(WEEKDAY($F131,2)=7,$F131+1,$F131)),$F131)))</f>
        <v>46731</v>
      </c>
      <c r="H131" s="81" t="n">
        <f aca="false">IF($G131="",0,IF(AND($G131&gt;='Cash Flow'!$E$6,$G131&lt;'Cash Flow'!$E$6+91),1,0))</f>
        <v>0</v>
      </c>
      <c r="I131" s="81"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79" t="n">
        <f aca="false">IF($C132="","",Recurring!$D$13)</f>
        <v>2.99</v>
      </c>
      <c r="F132" s="80"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80" t="n">
        <f aca="false">IF($F132="","",IF(Recurring!$G$13="Move Before",IF(WEEKDAY($F132,2)=6,$F132-1,IF(WEEKDAY($F132,2)=7,$F132-2,$F132)),IF(Recurring!$G$13="Move After",IF(WEEKDAY($F132,2)=6,$F132+2,IF(WEEKDAY($F132,2)=7,$F132+1,$F132)),$F132)))</f>
        <v>46247</v>
      </c>
      <c r="H132" s="81" t="n">
        <f aca="false">IF($G132="",0,IF(AND($G132&gt;='Cash Flow'!$E$6-90,$G132&lt;'Cash Flow'!$E$6+91),1,0))</f>
        <v>1</v>
      </c>
      <c r="I132" s="81" t="n">
        <f aca="false">IF($H132=1,MAX(1,INT(($G132-'Cash Flow'!$E$6)/7)+1),"")</f>
        <v>1</v>
      </c>
      <c r="J132" s="38" t="n">
        <f aca="false">IF($H132=1,$G132*10000+ROW(),"")</f>
        <v>462470132</v>
      </c>
      <c r="K132" s="38" t="n">
        <f aca="false">IF($H132=1,$I132*1000+COUNTIFS($I$4:$I$483,$I132,$J$4:$J$483,"&lt;"&amp;$J132)+1,"")</f>
        <v>1005</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79" t="n">
        <f aca="false">IF($C133="","",Recurring!$D$13)</f>
        <v>2.99</v>
      </c>
      <c r="F133" s="80"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80" t="n">
        <f aca="false">IF($F133="","",IF(Recurring!$G$13="Move Before",IF(WEEKDAY($F133,2)=6,$F133-1,IF(WEEKDAY($F133,2)=7,$F133-2,$F133)),IF(Recurring!$G$13="Move After",IF(WEEKDAY($F133,2)=6,$F133+2,IF(WEEKDAY($F133,2)=7,$F133+1,$F133)),$F133)))</f>
        <v>46278</v>
      </c>
      <c r="H133" s="81" t="n">
        <f aca="false">IF($G133="",0,IF(AND($G133&gt;='Cash Flow'!$E$6,$G133&lt;'Cash Flow'!$E$6+91),1,0))</f>
        <v>1</v>
      </c>
      <c r="I133" s="81" t="n">
        <f aca="false">IF($H133=1,MAX(1,INT(($G133-'Cash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79" t="n">
        <f aca="false">IF($C134="","",Recurring!$D$13)</f>
        <v>2.99</v>
      </c>
      <c r="F134" s="80"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80" t="n">
        <f aca="false">IF($F134="","",IF(Recurring!$G$13="Move Before",IF(WEEKDAY($F134,2)=6,$F134-1,IF(WEEKDAY($F134,2)=7,$F134-2,$F134)),IF(Recurring!$G$13="Move After",IF(WEEKDAY($F134,2)=6,$F134+2,IF(WEEKDAY($F134,2)=7,$F134+1,$F134)),$F134)))</f>
        <v>46308</v>
      </c>
      <c r="H134" s="81" t="n">
        <f aca="false">IF($G134="",0,IF(AND($G134&gt;='Cash Flow'!$E$6,$G134&lt;'Cash Flow'!$E$6+91),1,0))</f>
        <v>1</v>
      </c>
      <c r="I134" s="81" t="n">
        <f aca="false">IF($H134=1,MAX(1,INT(($G134-'Cash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79" t="n">
        <f aca="false">IF($C135="","",Recurring!$D$13)</f>
        <v>2.99</v>
      </c>
      <c r="F135" s="80"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80" t="n">
        <f aca="false">IF($F135="","",IF(Recurring!$G$13="Move Before",IF(WEEKDAY($F135,2)=6,$F135-1,IF(WEEKDAY($F135,2)=7,$F135-2,$F135)),IF(Recurring!$G$13="Move After",IF(WEEKDAY($F135,2)=6,$F135+2,IF(WEEKDAY($F135,2)=7,$F135+1,$F135)),$F135)))</f>
        <v>46339</v>
      </c>
      <c r="H135" s="81" t="n">
        <f aca="false">IF($G135="",0,IF(AND($G135&gt;='Cash Flow'!$E$6,$G135&lt;'Cash Flow'!$E$6+91),1,0))</f>
        <v>0</v>
      </c>
      <c r="I135" s="81"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79" t="n">
        <f aca="false">IF($C136="","",Recurring!$D$13)</f>
        <v>2.99</v>
      </c>
      <c r="F136" s="80"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80" t="n">
        <f aca="false">IF($F136="","",IF(Recurring!$G$13="Move Before",IF(WEEKDAY($F136,2)=6,$F136-1,IF(WEEKDAY($F136,2)=7,$F136-2,$F136)),IF(Recurring!$G$13="Move After",IF(WEEKDAY($F136,2)=6,$F136+2,IF(WEEKDAY($F136,2)=7,$F136+1,$F136)),$F136)))</f>
        <v>46369</v>
      </c>
      <c r="H136" s="81" t="n">
        <f aca="false">IF($G136="",0,IF(AND($G136&gt;='Cash Flow'!$E$6,$G136&lt;'Cash Flow'!$E$6+91),1,0))</f>
        <v>0</v>
      </c>
      <c r="I136" s="81"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79" t="n">
        <f aca="false">IF($C137="","",Recurring!$D$13)</f>
        <v>2.99</v>
      </c>
      <c r="F137" s="80"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80" t="n">
        <f aca="false">IF($F137="","",IF(Recurring!$G$13="Move Before",IF(WEEKDAY($F137,2)=6,$F137-1,IF(WEEKDAY($F137,2)=7,$F137-2,$F137)),IF(Recurring!$G$13="Move After",IF(WEEKDAY($F137,2)=6,$F137+2,IF(WEEKDAY($F137,2)=7,$F137+1,$F137)),$F137)))</f>
        <v>46400</v>
      </c>
      <c r="H137" s="81" t="n">
        <f aca="false">IF($G137="",0,IF(AND($G137&gt;='Cash Flow'!$E$6,$G137&lt;'Cash Flow'!$E$6+91),1,0))</f>
        <v>0</v>
      </c>
      <c r="I137" s="81"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79" t="n">
        <f aca="false">IF($C138="","",Recurring!$D$13)</f>
        <v>2.99</v>
      </c>
      <c r="F138" s="80"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80" t="n">
        <f aca="false">IF($F138="","",IF(Recurring!$G$13="Move Before",IF(WEEKDAY($F138,2)=6,$F138-1,IF(WEEKDAY($F138,2)=7,$F138-2,$F138)),IF(Recurring!$G$13="Move After",IF(WEEKDAY($F138,2)=6,$F138+2,IF(WEEKDAY($F138,2)=7,$F138+1,$F138)),$F138)))</f>
        <v>46431</v>
      </c>
      <c r="H138" s="81" t="n">
        <f aca="false">IF($G138="",0,IF(AND($G138&gt;='Cash Flow'!$E$6,$G138&lt;'Cash Flow'!$E$6+91),1,0))</f>
        <v>0</v>
      </c>
      <c r="I138" s="81"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79" t="n">
        <f aca="false">IF($C139="","",Recurring!$D$13)</f>
        <v>2.99</v>
      </c>
      <c r="F139" s="80"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80" t="n">
        <f aca="false">IF($F139="","",IF(Recurring!$G$13="Move Before",IF(WEEKDAY($F139,2)=6,$F139-1,IF(WEEKDAY($F139,2)=7,$F139-2,$F139)),IF(Recurring!$G$13="Move After",IF(WEEKDAY($F139,2)=6,$F139+2,IF(WEEKDAY($F139,2)=7,$F139+1,$F139)),$F139)))</f>
        <v>46459</v>
      </c>
      <c r="H139" s="81" t="n">
        <f aca="false">IF($G139="",0,IF(AND($G139&gt;='Cash Flow'!$E$6,$G139&lt;'Cash Flow'!$E$6+91),1,0))</f>
        <v>0</v>
      </c>
      <c r="I139" s="81"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79" t="n">
        <f aca="false">IF($C140="","",Recurring!$D$13)</f>
        <v>2.99</v>
      </c>
      <c r="F140" s="80"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80" t="n">
        <f aca="false">IF($F140="","",IF(Recurring!$G$13="Move Before",IF(WEEKDAY($F140,2)=6,$F140-1,IF(WEEKDAY($F140,2)=7,$F140-2,$F140)),IF(Recurring!$G$13="Move After",IF(WEEKDAY($F140,2)=6,$F140+2,IF(WEEKDAY($F140,2)=7,$F140+1,$F140)),$F140)))</f>
        <v>46490</v>
      </c>
      <c r="H140" s="81" t="n">
        <f aca="false">IF($G140="",0,IF(AND($G140&gt;='Cash Flow'!$E$6,$G140&lt;'Cash Flow'!$E$6+91),1,0))</f>
        <v>0</v>
      </c>
      <c r="I140" s="81"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79" t="n">
        <f aca="false">IF($C141="","",Recurring!$D$13)</f>
        <v>2.99</v>
      </c>
      <c r="F141" s="80"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80" t="n">
        <f aca="false">IF($F141="","",IF(Recurring!$G$13="Move Before",IF(WEEKDAY($F141,2)=6,$F141-1,IF(WEEKDAY($F141,2)=7,$F141-2,$F141)),IF(Recurring!$G$13="Move After",IF(WEEKDAY($F141,2)=6,$F141+2,IF(WEEKDAY($F141,2)=7,$F141+1,$F141)),$F141)))</f>
        <v>46520</v>
      </c>
      <c r="H141" s="81" t="n">
        <f aca="false">IF($G141="",0,IF(AND($G141&gt;='Cash Flow'!$E$6,$G141&lt;'Cash Flow'!$E$6+91),1,0))</f>
        <v>0</v>
      </c>
      <c r="I141" s="81"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79" t="n">
        <f aca="false">IF($C142="","",Recurring!$D$13)</f>
        <v>2.99</v>
      </c>
      <c r="F142" s="80"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80" t="n">
        <f aca="false">IF($F142="","",IF(Recurring!$G$13="Move Before",IF(WEEKDAY($F142,2)=6,$F142-1,IF(WEEKDAY($F142,2)=7,$F142-2,$F142)),IF(Recurring!$G$13="Move After",IF(WEEKDAY($F142,2)=6,$F142+2,IF(WEEKDAY($F142,2)=7,$F142+1,$F142)),$F142)))</f>
        <v>46551</v>
      </c>
      <c r="H142" s="81" t="n">
        <f aca="false">IF($G142="",0,IF(AND($G142&gt;='Cash Flow'!$E$6,$G142&lt;'Cash Flow'!$E$6+91),1,0))</f>
        <v>0</v>
      </c>
      <c r="I142" s="81"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79" t="n">
        <f aca="false">IF($C143="","",Recurring!$D$13)</f>
        <v>2.99</v>
      </c>
      <c r="F143" s="80"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80" t="n">
        <f aca="false">IF($F143="","",IF(Recurring!$G$13="Move Before",IF(WEEKDAY($F143,2)=6,$F143-1,IF(WEEKDAY($F143,2)=7,$F143-2,$F143)),IF(Recurring!$G$13="Move After",IF(WEEKDAY($F143,2)=6,$F143+2,IF(WEEKDAY($F143,2)=7,$F143+1,$F143)),$F143)))</f>
        <v>46581</v>
      </c>
      <c r="H143" s="81" t="n">
        <f aca="false">IF($G143="",0,IF(AND($G143&gt;='Cash Flow'!$E$6,$G143&lt;'Cash Flow'!$E$6+91),1,0))</f>
        <v>0</v>
      </c>
      <c r="I143" s="81"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79" t="n">
        <f aca="false">IF($C144="","",Recurring!$D$13)</f>
        <v>2.99</v>
      </c>
      <c r="F144" s="80"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80" t="n">
        <f aca="false">IF($F144="","",IF(Recurring!$G$13="Move Before",IF(WEEKDAY($F144,2)=6,$F144-1,IF(WEEKDAY($F144,2)=7,$F144-2,$F144)),IF(Recurring!$G$13="Move After",IF(WEEKDAY($F144,2)=6,$F144+2,IF(WEEKDAY($F144,2)=7,$F144+1,$F144)),$F144)))</f>
        <v>46612</v>
      </c>
      <c r="H144" s="81" t="n">
        <f aca="false">IF($G144="",0,IF(AND($G144&gt;='Cash Flow'!$E$6,$G144&lt;'Cash Flow'!$E$6+91),1,0))</f>
        <v>0</v>
      </c>
      <c r="I144" s="81"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79" t="n">
        <f aca="false">IF($C145="","",Recurring!$D$13)</f>
        <v>2.99</v>
      </c>
      <c r="F145" s="80"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80" t="n">
        <f aca="false">IF($F145="","",IF(Recurring!$G$13="Move Before",IF(WEEKDAY($F145,2)=6,$F145-1,IF(WEEKDAY($F145,2)=7,$F145-2,$F145)),IF(Recurring!$G$13="Move After",IF(WEEKDAY($F145,2)=6,$F145+2,IF(WEEKDAY($F145,2)=7,$F145+1,$F145)),$F145)))</f>
        <v>46643</v>
      </c>
      <c r="H145" s="81" t="n">
        <f aca="false">IF($G145="",0,IF(AND($G145&gt;='Cash Flow'!$E$6,$G145&lt;'Cash Flow'!$E$6+91),1,0))</f>
        <v>0</v>
      </c>
      <c r="I145" s="81"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79" t="n">
        <f aca="false">IF($C146="","",Recurring!$D$13)</f>
        <v>2.99</v>
      </c>
      <c r="F146" s="80"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80" t="n">
        <f aca="false">IF($F146="","",IF(Recurring!$G$13="Move Before",IF(WEEKDAY($F146,2)=6,$F146-1,IF(WEEKDAY($F146,2)=7,$F146-2,$F146)),IF(Recurring!$G$13="Move After",IF(WEEKDAY($F146,2)=6,$F146+2,IF(WEEKDAY($F146,2)=7,$F146+1,$F146)),$F146)))</f>
        <v>46673</v>
      </c>
      <c r="H146" s="81" t="n">
        <f aca="false">IF($G146="",0,IF(AND($G146&gt;='Cash Flow'!$E$6,$G146&lt;'Cash Flow'!$E$6+91),1,0))</f>
        <v>0</v>
      </c>
      <c r="I146" s="81"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79" t="n">
        <f aca="false">IF($C147="","",Recurring!$D$13)</f>
        <v>2.99</v>
      </c>
      <c r="F147" s="80"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80" t="n">
        <f aca="false">IF($F147="","",IF(Recurring!$G$13="Move Before",IF(WEEKDAY($F147,2)=6,$F147-1,IF(WEEKDAY($F147,2)=7,$F147-2,$F147)),IF(Recurring!$G$13="Move After",IF(WEEKDAY($F147,2)=6,$F147+2,IF(WEEKDAY($F147,2)=7,$F147+1,$F147)),$F147)))</f>
        <v>46704</v>
      </c>
      <c r="H147" s="81" t="n">
        <f aca="false">IF($G147="",0,IF(AND($G147&gt;='Cash Flow'!$E$6,$G147&lt;'Cash Flow'!$E$6+91),1,0))</f>
        <v>0</v>
      </c>
      <c r="I147" s="81"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79" t="n">
        <f aca="false">IF($C148="","",Recurring!$D$14)</f>
        <v>350</v>
      </c>
      <c r="F148" s="80"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80" t="n">
        <f aca="false">IF($F148="","",IF(Recurring!$G$14="Move Before",IF(WEEKDAY($F148,2)=6,$F148-1,IF(WEEKDAY($F148,2)=7,$F148-2,$F148)),IF(Recurring!$G$14="Move After",IF(WEEKDAY($F148,2)=6,$F148+2,IF(WEEKDAY($F148,2)=7,$F148+1,$F148)),$F148)))</f>
        <v>46248</v>
      </c>
      <c r="H148" s="81" t="n">
        <f aca="false">IF($G148="",0,IF(AND($G148&gt;='Cash Flow'!$E$6-90,$G148&lt;'Cash Flow'!$E$6+91),1,0))</f>
        <v>1</v>
      </c>
      <c r="I148" s="81" t="n">
        <f aca="false">IF($H148=1,MAX(1,INT(($G148-'Cash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79" t="n">
        <f aca="false">IF($C149="","",Recurring!$D$14)</f>
        <v>350</v>
      </c>
      <c r="F149" s="80"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80" t="n">
        <f aca="false">IF($F149="","",IF(Recurring!$G$14="Move Before",IF(WEEKDAY($F149,2)=6,$F149-1,IF(WEEKDAY($F149,2)=7,$F149-2,$F149)),IF(Recurring!$G$14="Move After",IF(WEEKDAY($F149,2)=6,$F149+2,IF(WEEKDAY($F149,2)=7,$F149+1,$F149)),$F149)))</f>
        <v>46265</v>
      </c>
      <c r="H149" s="81" t="n">
        <f aca="false">IF($G149="",0,IF(AND($G149&gt;='Cash Flow'!$E$6,$G149&lt;'Cash Flow'!$E$6+91),1,0))</f>
        <v>1</v>
      </c>
      <c r="I149" s="81" t="n">
        <f aca="false">IF($H149=1,MAX(1,INT(($G149-'Cash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79" t="n">
        <f aca="false">IF($C150="","",Recurring!$D$14)</f>
        <v>350</v>
      </c>
      <c r="F150" s="80"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80" t="n">
        <f aca="false">IF($F150="","",IF(Recurring!$G$14="Move Before",IF(WEEKDAY($F150,2)=6,$F150-1,IF(WEEKDAY($F150,2)=7,$F150-2,$F150)),IF(Recurring!$G$14="Move After",IF(WEEKDAY($F150,2)=6,$F150+2,IF(WEEKDAY($F150,2)=7,$F150+1,$F150)),$F150)))</f>
        <v>46280</v>
      </c>
      <c r="H150" s="81" t="n">
        <f aca="false">IF($G150="",0,IF(AND($G150&gt;='Cash Flow'!$E$6,$G150&lt;'Cash Flow'!$E$6+91),1,0))</f>
        <v>1</v>
      </c>
      <c r="I150" s="81" t="n">
        <f aca="false">IF($H150=1,MAX(1,INT(($G150-'Cash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79" t="n">
        <f aca="false">IF($C151="","",Recurring!$D$14)</f>
        <v>350</v>
      </c>
      <c r="F151" s="80"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80" t="n">
        <f aca="false">IF($F151="","",IF(Recurring!$G$14="Move Before",IF(WEEKDAY($F151,2)=6,$F151-1,IF(WEEKDAY($F151,2)=7,$F151-2,$F151)),IF(Recurring!$G$14="Move After",IF(WEEKDAY($F151,2)=6,$F151+2,IF(WEEKDAY($F151,2)=7,$F151+1,$F151)),$F151)))</f>
        <v>46295</v>
      </c>
      <c r="H151" s="81" t="n">
        <f aca="false">IF($G151="",0,IF(AND($G151&gt;='Cash Flow'!$E$6,$G151&lt;'Cash Flow'!$E$6+91),1,0))</f>
        <v>1</v>
      </c>
      <c r="I151" s="81" t="n">
        <f aca="false">IF($H151=1,MAX(1,INT(($G151-'Cash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79" t="n">
        <f aca="false">IF($C152="","",Recurring!$D$14)</f>
        <v>350</v>
      </c>
      <c r="F152" s="80"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80" t="n">
        <f aca="false">IF($F152="","",IF(Recurring!$G$14="Move Before",IF(WEEKDAY($F152,2)=6,$F152-1,IF(WEEKDAY($F152,2)=7,$F152-2,$F152)),IF(Recurring!$G$14="Move After",IF(WEEKDAY($F152,2)=6,$F152+2,IF(WEEKDAY($F152,2)=7,$F152+1,$F152)),$F152)))</f>
        <v>46310</v>
      </c>
      <c r="H152" s="81" t="n">
        <f aca="false">IF($G152="",0,IF(AND($G152&gt;='Cash Flow'!$E$6,$G152&lt;'Cash Flow'!$E$6+91),1,0))</f>
        <v>1</v>
      </c>
      <c r="I152" s="81" t="n">
        <f aca="false">IF($H152=1,MAX(1,INT(($G152-'Cash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79" t="n">
        <f aca="false">IF($C153="","",Recurring!$D$14)</f>
        <v>350</v>
      </c>
      <c r="F153" s="80"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80" t="n">
        <f aca="false">IF($F153="","",IF(Recurring!$G$14="Move Before",IF(WEEKDAY($F153,2)=6,$F153-1,IF(WEEKDAY($F153,2)=7,$F153-2,$F153)),IF(Recurring!$G$14="Move After",IF(WEEKDAY($F153,2)=6,$F153+2,IF(WEEKDAY($F153,2)=7,$F153+1,$F153)),$F153)))</f>
        <v>46325</v>
      </c>
      <c r="H153" s="81" t="n">
        <f aca="false">IF($G153="",0,IF(AND($G153&gt;='Cash Flow'!$E$6,$G153&lt;'Cash Flow'!$E$6+91),1,0))</f>
        <v>1</v>
      </c>
      <c r="I153" s="81" t="n">
        <f aca="false">IF($H153=1,MAX(1,INT(($G153-'Cash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79" t="n">
        <f aca="false">IF($C154="","",Recurring!$D$14)</f>
        <v>350</v>
      </c>
      <c r="F154" s="80"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80" t="n">
        <f aca="false">IF($F154="","",IF(Recurring!$G$14="Move Before",IF(WEEKDAY($F154,2)=6,$F154-1,IF(WEEKDAY($F154,2)=7,$F154-2,$F154)),IF(Recurring!$G$14="Move After",IF(WEEKDAY($F154,2)=6,$F154+2,IF(WEEKDAY($F154,2)=7,$F154+1,$F154)),$F154)))</f>
        <v>46339</v>
      </c>
      <c r="H154" s="81" t="n">
        <f aca="false">IF($G154="",0,IF(AND($G154&gt;='Cash Flow'!$E$6,$G154&lt;'Cash Flow'!$E$6+91),1,0))</f>
        <v>0</v>
      </c>
      <c r="I154" s="81"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79" t="n">
        <f aca="false">IF($C155="","",Recurring!$D$14)</f>
        <v>350</v>
      </c>
      <c r="F155" s="80"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80" t="n">
        <f aca="false">IF($F155="","",IF(Recurring!$G$14="Move Before",IF(WEEKDAY($F155,2)=6,$F155-1,IF(WEEKDAY($F155,2)=7,$F155-2,$F155)),IF(Recurring!$G$14="Move After",IF(WEEKDAY($F155,2)=6,$F155+2,IF(WEEKDAY($F155,2)=7,$F155+1,$F155)),$F155)))</f>
        <v>46356</v>
      </c>
      <c r="H155" s="81" t="n">
        <f aca="false">IF($G155="",0,IF(AND($G155&gt;='Cash Flow'!$E$6,$G155&lt;'Cash Flow'!$E$6+91),1,0))</f>
        <v>0</v>
      </c>
      <c r="I155" s="81"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79" t="n">
        <f aca="false">IF($C156="","",Recurring!$D$14)</f>
        <v>350</v>
      </c>
      <c r="F156" s="80"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80" t="n">
        <f aca="false">IF($F156="","",IF(Recurring!$G$14="Move Before",IF(WEEKDAY($F156,2)=6,$F156-1,IF(WEEKDAY($F156,2)=7,$F156-2,$F156)),IF(Recurring!$G$14="Move After",IF(WEEKDAY($F156,2)=6,$F156+2,IF(WEEKDAY($F156,2)=7,$F156+1,$F156)),$F156)))</f>
        <v>46371</v>
      </c>
      <c r="H156" s="81" t="n">
        <f aca="false">IF($G156="",0,IF(AND($G156&gt;='Cash Flow'!$E$6,$G156&lt;'Cash Flow'!$E$6+91),1,0))</f>
        <v>0</v>
      </c>
      <c r="I156" s="81"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79" t="n">
        <f aca="false">IF($C157="","",Recurring!$D$14)</f>
        <v>350</v>
      </c>
      <c r="F157" s="80"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80" t="n">
        <f aca="false">IF($F157="","",IF(Recurring!$G$14="Move Before",IF(WEEKDAY($F157,2)=6,$F157-1,IF(WEEKDAY($F157,2)=7,$F157-2,$F157)),IF(Recurring!$G$14="Move After",IF(WEEKDAY($F157,2)=6,$F157+2,IF(WEEKDAY($F157,2)=7,$F157+1,$F157)),$F157)))</f>
        <v>46387</v>
      </c>
      <c r="H157" s="81" t="n">
        <f aca="false">IF($G157="",0,IF(AND($G157&gt;='Cash Flow'!$E$6,$G157&lt;'Cash Flow'!$E$6+91),1,0))</f>
        <v>0</v>
      </c>
      <c r="I157" s="81"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79" t="n">
        <f aca="false">IF($C158="","",Recurring!$D$14)</f>
        <v>350</v>
      </c>
      <c r="F158" s="80"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80" t="n">
        <f aca="false">IF($F158="","",IF(Recurring!$G$14="Move Before",IF(WEEKDAY($F158,2)=6,$F158-1,IF(WEEKDAY($F158,2)=7,$F158-2,$F158)),IF(Recurring!$G$14="Move After",IF(WEEKDAY($F158,2)=6,$F158+2,IF(WEEKDAY($F158,2)=7,$F158+1,$F158)),$F158)))</f>
        <v>46402</v>
      </c>
      <c r="H158" s="81" t="n">
        <f aca="false">IF($G158="",0,IF(AND($G158&gt;='Cash Flow'!$E$6,$G158&lt;'Cash Flow'!$E$6+91),1,0))</f>
        <v>0</v>
      </c>
      <c r="I158" s="81"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79" t="n">
        <f aca="false">IF($C159="","",Recurring!$D$14)</f>
        <v>350</v>
      </c>
      <c r="F159" s="80"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80" t="n">
        <f aca="false">IF($F159="","",IF(Recurring!$G$14="Move Before",IF(WEEKDAY($F159,2)=6,$F159-1,IF(WEEKDAY($F159,2)=7,$F159-2,$F159)),IF(Recurring!$G$14="Move After",IF(WEEKDAY($F159,2)=6,$F159+2,IF(WEEKDAY($F159,2)=7,$F159+1,$F159)),$F159)))</f>
        <v>46416</v>
      </c>
      <c r="H159" s="81" t="n">
        <f aca="false">IF($G159="",0,IF(AND($G159&gt;='Cash Flow'!$E$6,$G159&lt;'Cash Flow'!$E$6+91),1,0))</f>
        <v>0</v>
      </c>
      <c r="I159" s="81"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79" t="n">
        <f aca="false">IF($C160="","",Recurring!$D$14)</f>
        <v>350</v>
      </c>
      <c r="F160" s="80"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80" t="n">
        <f aca="false">IF($F160="","",IF(Recurring!$G$14="Move Before",IF(WEEKDAY($F160,2)=6,$F160-1,IF(WEEKDAY($F160,2)=7,$F160-2,$F160)),IF(Recurring!$G$14="Move After",IF(WEEKDAY($F160,2)=6,$F160+2,IF(WEEKDAY($F160,2)=7,$F160+1,$F160)),$F160)))</f>
        <v>46433</v>
      </c>
      <c r="H160" s="81" t="n">
        <f aca="false">IF($G160="",0,IF(AND($G160&gt;='Cash Flow'!$E$6,$G160&lt;'Cash Flow'!$E$6+91),1,0))</f>
        <v>0</v>
      </c>
      <c r="I160" s="81"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79" t="n">
        <f aca="false">IF($C161="","",Recurring!$D$14)</f>
        <v>350</v>
      </c>
      <c r="F161" s="80"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80" t="n">
        <f aca="false">IF($F161="","",IF(Recurring!$G$14="Move Before",IF(WEEKDAY($F161,2)=6,$F161-1,IF(WEEKDAY($F161,2)=7,$F161-2,$F161)),IF(Recurring!$G$14="Move After",IF(WEEKDAY($F161,2)=6,$F161+2,IF(WEEKDAY($F161,2)=7,$F161+1,$F161)),$F161)))</f>
        <v>46444</v>
      </c>
      <c r="H161" s="81" t="n">
        <f aca="false">IF($G161="",0,IF(AND($G161&gt;='Cash Flow'!$E$6,$G161&lt;'Cash Flow'!$E$6+91),1,0))</f>
        <v>0</v>
      </c>
      <c r="I161" s="81"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79" t="n">
        <f aca="false">IF($C162="","",Recurring!$D$14)</f>
        <v>350</v>
      </c>
      <c r="F162" s="80"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80" t="n">
        <f aca="false">IF($F162="","",IF(Recurring!$G$14="Move Before",IF(WEEKDAY($F162,2)=6,$F162-1,IF(WEEKDAY($F162,2)=7,$F162-2,$F162)),IF(Recurring!$G$14="Move After",IF(WEEKDAY($F162,2)=6,$F162+2,IF(WEEKDAY($F162,2)=7,$F162+1,$F162)),$F162)))</f>
        <v>46461</v>
      </c>
      <c r="H162" s="81" t="n">
        <f aca="false">IF($G162="",0,IF(AND($G162&gt;='Cash Flow'!$E$6,$G162&lt;'Cash Flow'!$E$6+91),1,0))</f>
        <v>0</v>
      </c>
      <c r="I162" s="81"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79" t="n">
        <f aca="false">IF($C163="","",Recurring!$D$14)</f>
        <v>350</v>
      </c>
      <c r="F163" s="80"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80" t="n">
        <f aca="false">IF($F163="","",IF(Recurring!$G$14="Move Before",IF(WEEKDAY($F163,2)=6,$F163-1,IF(WEEKDAY($F163,2)=7,$F163-2,$F163)),IF(Recurring!$G$14="Move After",IF(WEEKDAY($F163,2)=6,$F163+2,IF(WEEKDAY($F163,2)=7,$F163+1,$F163)),$F163)))</f>
        <v>46477</v>
      </c>
      <c r="H163" s="81" t="n">
        <f aca="false">IF($G163="",0,IF(AND($G163&gt;='Cash Flow'!$E$6,$G163&lt;'Cash Flow'!$E$6+91),1,0))</f>
        <v>0</v>
      </c>
      <c r="I163" s="81"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79" t="n">
        <f aca="false">IF($C164="","",Recurring!$D$15)</f>
        <v>171.1</v>
      </c>
      <c r="F164" s="80"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0" t="n">
        <f aca="false">IF($F164="","",IF(Recurring!$G$15="Move Before",IF(WEEKDAY($F164,2)=6,$F164-1,IF(WEEKDAY($F164,2)=7,$F164-2,$F164)),IF(Recurring!$G$15="Move After",IF(WEEKDAY($F164,2)=6,$F164+2,IF(WEEKDAY($F164,2)=7,$F164+1,$F164)),$F164)))</f>
        <v>46250</v>
      </c>
      <c r="H164" s="81" t="n">
        <f aca="false">IF($G164="",0,IF(AND($G164&gt;='Cash Flow'!$E$6-90,$G164&lt;'Cash Flow'!$E$6+91),1,0))</f>
        <v>1</v>
      </c>
      <c r="I164" s="81" t="n">
        <f aca="false">IF($H164=1,MAX(1,INT(($G164-'Cash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79" t="n">
        <f aca="false">IF($C165="","",Recurring!$D$15)</f>
        <v>171.1</v>
      </c>
      <c r="F165" s="80"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0" t="n">
        <f aca="false">IF($F165="","",IF(Recurring!$G$15="Move Before",IF(WEEKDAY($F165,2)=6,$F165-1,IF(WEEKDAY($F165,2)=7,$F165-2,$F165)),IF(Recurring!$G$15="Move After",IF(WEEKDAY($F165,2)=6,$F165+2,IF(WEEKDAY($F165,2)=7,$F165+1,$F165)),$F165)))</f>
        <v>46281</v>
      </c>
      <c r="H165" s="81" t="n">
        <f aca="false">IF($G165="",0,IF(AND($G165&gt;='Cash Flow'!$E$6,$G165&lt;'Cash Flow'!$E$6+91),1,0))</f>
        <v>1</v>
      </c>
      <c r="I165" s="81" t="n">
        <f aca="false">IF($H165=1,MAX(1,INT(($G165-'Cash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79" t="n">
        <f aca="false">IF($C166="","",Recurring!$D$15)</f>
        <v>171.1</v>
      </c>
      <c r="F166" s="80"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0" t="n">
        <f aca="false">IF($F166="","",IF(Recurring!$G$15="Move Before",IF(WEEKDAY($F166,2)=6,$F166-1,IF(WEEKDAY($F166,2)=7,$F166-2,$F166)),IF(Recurring!$G$15="Move After",IF(WEEKDAY($F166,2)=6,$F166+2,IF(WEEKDAY($F166,2)=7,$F166+1,$F166)),$F166)))</f>
        <v>46311</v>
      </c>
      <c r="H166" s="81" t="n">
        <f aca="false">IF($G166="",0,IF(AND($G166&gt;='Cash Flow'!$E$6,$G166&lt;'Cash Flow'!$E$6+91),1,0))</f>
        <v>1</v>
      </c>
      <c r="I166" s="81" t="n">
        <f aca="false">IF($H166=1,MAX(1,INT(($G166-'Cash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79" t="n">
        <f aca="false">IF($C167="","",Recurring!$D$15)</f>
        <v>171.1</v>
      </c>
      <c r="F167" s="80"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0" t="n">
        <f aca="false">IF($F167="","",IF(Recurring!$G$15="Move Before",IF(WEEKDAY($F167,2)=6,$F167-1,IF(WEEKDAY($F167,2)=7,$F167-2,$F167)),IF(Recurring!$G$15="Move After",IF(WEEKDAY($F167,2)=6,$F167+2,IF(WEEKDAY($F167,2)=7,$F167+1,$F167)),$F167)))</f>
        <v>46342</v>
      </c>
      <c r="H167" s="81" t="n">
        <f aca="false">IF($G167="",0,IF(AND($G167&gt;='Cash Flow'!$E$6,$G167&lt;'Cash Flow'!$E$6+91),1,0))</f>
        <v>0</v>
      </c>
      <c r="I167" s="81"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79" t="n">
        <f aca="false">IF($C168="","",Recurring!$D$15)</f>
        <v>171.1</v>
      </c>
      <c r="F168" s="80"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0" t="n">
        <f aca="false">IF($F168="","",IF(Recurring!$G$15="Move Before",IF(WEEKDAY($F168,2)=6,$F168-1,IF(WEEKDAY($F168,2)=7,$F168-2,$F168)),IF(Recurring!$G$15="Move After",IF(WEEKDAY($F168,2)=6,$F168+2,IF(WEEKDAY($F168,2)=7,$F168+1,$F168)),$F168)))</f>
        <v>46372</v>
      </c>
      <c r="H168" s="81" t="n">
        <f aca="false">IF($G168="",0,IF(AND($G168&gt;='Cash Flow'!$E$6,$G168&lt;'Cash Flow'!$E$6+91),1,0))</f>
        <v>0</v>
      </c>
      <c r="I168" s="81"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79" t="n">
        <f aca="false">IF($C169="","",Recurring!$D$15)</f>
        <v>171.1</v>
      </c>
      <c r="F169" s="80"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0" t="n">
        <f aca="false">IF($F169="","",IF(Recurring!$G$15="Move Before",IF(WEEKDAY($F169,2)=6,$F169-1,IF(WEEKDAY($F169,2)=7,$F169-2,$F169)),IF(Recurring!$G$15="Move After",IF(WEEKDAY($F169,2)=6,$F169+2,IF(WEEKDAY($F169,2)=7,$F169+1,$F169)),$F169)))</f>
        <v>46403</v>
      </c>
      <c r="H169" s="81" t="n">
        <f aca="false">IF($G169="",0,IF(AND($G169&gt;='Cash Flow'!$E$6,$G169&lt;'Cash Flow'!$E$6+91),1,0))</f>
        <v>0</v>
      </c>
      <c r="I169" s="81"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79" t="n">
        <f aca="false">IF($C170="","",Recurring!$D$15)</f>
        <v>171.1</v>
      </c>
      <c r="F170" s="80"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0" t="n">
        <f aca="false">IF($F170="","",IF(Recurring!$G$15="Move Before",IF(WEEKDAY($F170,2)=6,$F170-1,IF(WEEKDAY($F170,2)=7,$F170-2,$F170)),IF(Recurring!$G$15="Move After",IF(WEEKDAY($F170,2)=6,$F170+2,IF(WEEKDAY($F170,2)=7,$F170+1,$F170)),$F170)))</f>
        <v>46434</v>
      </c>
      <c r="H170" s="81" t="n">
        <f aca="false">IF($G170="",0,IF(AND($G170&gt;='Cash Flow'!$E$6,$G170&lt;'Cash Flow'!$E$6+91),1,0))</f>
        <v>0</v>
      </c>
      <c r="I170" s="81"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79" t="n">
        <f aca="false">IF($C171="","",Recurring!$D$15)</f>
        <v>171.1</v>
      </c>
      <c r="F171" s="80"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0" t="n">
        <f aca="false">IF($F171="","",IF(Recurring!$G$15="Move Before",IF(WEEKDAY($F171,2)=6,$F171-1,IF(WEEKDAY($F171,2)=7,$F171-2,$F171)),IF(Recurring!$G$15="Move After",IF(WEEKDAY($F171,2)=6,$F171+2,IF(WEEKDAY($F171,2)=7,$F171+1,$F171)),$F171)))</f>
        <v>46462</v>
      </c>
      <c r="H171" s="81" t="n">
        <f aca="false">IF($G171="",0,IF(AND($G171&gt;='Cash Flow'!$E$6,$G171&lt;'Cash Flow'!$E$6+91),1,0))</f>
        <v>0</v>
      </c>
      <c r="I171" s="81"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79" t="n">
        <f aca="false">IF($C172="","",Recurring!$D$15)</f>
        <v>171.1</v>
      </c>
      <c r="F172" s="80"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0" t="n">
        <f aca="false">IF($F172="","",IF(Recurring!$G$15="Move Before",IF(WEEKDAY($F172,2)=6,$F172-1,IF(WEEKDAY($F172,2)=7,$F172-2,$F172)),IF(Recurring!$G$15="Move After",IF(WEEKDAY($F172,2)=6,$F172+2,IF(WEEKDAY($F172,2)=7,$F172+1,$F172)),$F172)))</f>
        <v>46493</v>
      </c>
      <c r="H172" s="81" t="n">
        <f aca="false">IF($G172="",0,IF(AND($G172&gt;='Cash Flow'!$E$6,$G172&lt;'Cash Flow'!$E$6+91),1,0))</f>
        <v>0</v>
      </c>
      <c r="I172" s="81"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79" t="n">
        <f aca="false">IF($C173="","",Recurring!$D$15)</f>
        <v>171.1</v>
      </c>
      <c r="F173" s="80"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0" t="n">
        <f aca="false">IF($F173="","",IF(Recurring!$G$15="Move Before",IF(WEEKDAY($F173,2)=6,$F173-1,IF(WEEKDAY($F173,2)=7,$F173-2,$F173)),IF(Recurring!$G$15="Move After",IF(WEEKDAY($F173,2)=6,$F173+2,IF(WEEKDAY($F173,2)=7,$F173+1,$F173)),$F173)))</f>
        <v>46523</v>
      </c>
      <c r="H173" s="81" t="n">
        <f aca="false">IF($G173="",0,IF(AND($G173&gt;='Cash Flow'!$E$6,$G173&lt;'Cash Flow'!$E$6+91),1,0))</f>
        <v>0</v>
      </c>
      <c r="I173" s="81"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79" t="n">
        <f aca="false">IF($C174="","",Recurring!$D$15)</f>
        <v>171.1</v>
      </c>
      <c r="F174" s="80"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0" t="n">
        <f aca="false">IF($F174="","",IF(Recurring!$G$15="Move Before",IF(WEEKDAY($F174,2)=6,$F174-1,IF(WEEKDAY($F174,2)=7,$F174-2,$F174)),IF(Recurring!$G$15="Move After",IF(WEEKDAY($F174,2)=6,$F174+2,IF(WEEKDAY($F174,2)=7,$F174+1,$F174)),$F174)))</f>
        <v>46554</v>
      </c>
      <c r="H174" s="81" t="n">
        <f aca="false">IF($G174="",0,IF(AND($G174&gt;='Cash Flow'!$E$6,$G174&lt;'Cash Flow'!$E$6+91),1,0))</f>
        <v>0</v>
      </c>
      <c r="I174" s="81"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79" t="n">
        <f aca="false">IF($C175="","",Recurring!$D$15)</f>
        <v>171.1</v>
      </c>
      <c r="F175" s="80"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0" t="n">
        <f aca="false">IF($F175="","",IF(Recurring!$G$15="Move Before",IF(WEEKDAY($F175,2)=6,$F175-1,IF(WEEKDAY($F175,2)=7,$F175-2,$F175)),IF(Recurring!$G$15="Move After",IF(WEEKDAY($F175,2)=6,$F175+2,IF(WEEKDAY($F175,2)=7,$F175+1,$F175)),$F175)))</f>
        <v>46584</v>
      </c>
      <c r="H175" s="81" t="n">
        <f aca="false">IF($G175="",0,IF(AND($G175&gt;='Cash Flow'!$E$6,$G175&lt;'Cash Flow'!$E$6+91),1,0))</f>
        <v>0</v>
      </c>
      <c r="I175" s="81"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79" t="n">
        <f aca="false">IF($C176="","",Recurring!$D$15)</f>
        <v>171.1</v>
      </c>
      <c r="F176" s="80"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0" t="n">
        <f aca="false">IF($F176="","",IF(Recurring!$G$15="Move Before",IF(WEEKDAY($F176,2)=6,$F176-1,IF(WEEKDAY($F176,2)=7,$F176-2,$F176)),IF(Recurring!$G$15="Move After",IF(WEEKDAY($F176,2)=6,$F176+2,IF(WEEKDAY($F176,2)=7,$F176+1,$F176)),$F176)))</f>
        <v>46615</v>
      </c>
      <c r="H176" s="81" t="n">
        <f aca="false">IF($G176="",0,IF(AND($G176&gt;='Cash Flow'!$E$6,$G176&lt;'Cash Flow'!$E$6+91),1,0))</f>
        <v>0</v>
      </c>
      <c r="I176" s="81"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79" t="n">
        <f aca="false">IF($C177="","",Recurring!$D$15)</f>
        <v>171.1</v>
      </c>
      <c r="F177" s="80"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0" t="n">
        <f aca="false">IF($F177="","",IF(Recurring!$G$15="Move Before",IF(WEEKDAY($F177,2)=6,$F177-1,IF(WEEKDAY($F177,2)=7,$F177-2,$F177)),IF(Recurring!$G$15="Move After",IF(WEEKDAY($F177,2)=6,$F177+2,IF(WEEKDAY($F177,2)=7,$F177+1,$F177)),$F177)))</f>
        <v>46646</v>
      </c>
      <c r="H177" s="81" t="n">
        <f aca="false">IF($G177="",0,IF(AND($G177&gt;='Cash Flow'!$E$6,$G177&lt;'Cash Flow'!$E$6+91),1,0))</f>
        <v>0</v>
      </c>
      <c r="I177" s="81"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79" t="n">
        <f aca="false">IF($C178="","",Recurring!$D$15)</f>
        <v>171.1</v>
      </c>
      <c r="F178" s="80"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0" t="n">
        <f aca="false">IF($F178="","",IF(Recurring!$G$15="Move Before",IF(WEEKDAY($F178,2)=6,$F178-1,IF(WEEKDAY($F178,2)=7,$F178-2,$F178)),IF(Recurring!$G$15="Move After",IF(WEEKDAY($F178,2)=6,$F178+2,IF(WEEKDAY($F178,2)=7,$F178+1,$F178)),$F178)))</f>
        <v>46676</v>
      </c>
      <c r="H178" s="81" t="n">
        <f aca="false">IF($G178="",0,IF(AND($G178&gt;='Cash Flow'!$E$6,$G178&lt;'Cash Flow'!$E$6+91),1,0))</f>
        <v>0</v>
      </c>
      <c r="I178" s="81"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79" t="n">
        <f aca="false">IF($C179="","",Recurring!$D$15)</f>
        <v>171.1</v>
      </c>
      <c r="F179" s="80"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0" t="n">
        <f aca="false">IF($F179="","",IF(Recurring!$G$15="Move Before",IF(WEEKDAY($F179,2)=6,$F179-1,IF(WEEKDAY($F179,2)=7,$F179-2,$F179)),IF(Recurring!$G$15="Move After",IF(WEEKDAY($F179,2)=6,$F179+2,IF(WEEKDAY($F179,2)=7,$F179+1,$F179)),$F179)))</f>
        <v>46707</v>
      </c>
      <c r="H179" s="81" t="n">
        <f aca="false">IF($G179="",0,IF(AND($G179&gt;='Cash Flow'!$E$6,$G179&lt;'Cash Flow'!$E$6+91),1,0))</f>
        <v>0</v>
      </c>
      <c r="I179" s="81"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79" t="n">
        <f aca="false">IF($C180="","",Recurring!$D$16)</f>
        <v>45</v>
      </c>
      <c r="F180" s="80"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0" t="n">
        <f aca="false">IF($F180="","",IF(Recurring!$G$16="Move Before",IF(WEEKDAY($F180,2)=6,$F180-1,IF(WEEKDAY($F180,2)=7,$F180-2,$F180)),IF(Recurring!$G$16="Move After",IF(WEEKDAY($F180,2)=6,$F180+2,IF(WEEKDAY($F180,2)=7,$F180+1,$F180)),$F180)))</f>
        <v>46250</v>
      </c>
      <c r="H180" s="81" t="n">
        <f aca="false">IF($G180="",0,IF(AND($G180&gt;='Cash Flow'!$E$6-90,$G180&lt;'Cash Flow'!$E$6+91),1,0))</f>
        <v>1</v>
      </c>
      <c r="I180" s="81" t="n">
        <f aca="false">IF($H180=1,MAX(1,INT(($G180-'Cash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79" t="n">
        <f aca="false">IF($C181="","",Recurring!$D$16)</f>
        <v>45</v>
      </c>
      <c r="F181" s="80"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0" t="n">
        <f aca="false">IF($F181="","",IF(Recurring!$G$16="Move Before",IF(WEEKDAY($F181,2)=6,$F181-1,IF(WEEKDAY($F181,2)=7,$F181-2,$F181)),IF(Recurring!$G$16="Move After",IF(WEEKDAY($F181,2)=6,$F181+2,IF(WEEKDAY($F181,2)=7,$F181+1,$F181)),$F181)))</f>
        <v>46281</v>
      </c>
      <c r="H181" s="81" t="n">
        <f aca="false">IF($G181="",0,IF(AND($G181&gt;='Cash Flow'!$E$6,$G181&lt;'Cash Flow'!$E$6+91),1,0))</f>
        <v>1</v>
      </c>
      <c r="I181" s="81" t="n">
        <f aca="false">IF($H181=1,MAX(1,INT(($G181-'Cash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79" t="n">
        <f aca="false">IF($C182="","",Recurring!$D$16)</f>
        <v>45</v>
      </c>
      <c r="F182" s="80"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0" t="n">
        <f aca="false">IF($F182="","",IF(Recurring!$G$16="Move Before",IF(WEEKDAY($F182,2)=6,$F182-1,IF(WEEKDAY($F182,2)=7,$F182-2,$F182)),IF(Recurring!$G$16="Move After",IF(WEEKDAY($F182,2)=6,$F182+2,IF(WEEKDAY($F182,2)=7,$F182+1,$F182)),$F182)))</f>
        <v>46311</v>
      </c>
      <c r="H182" s="81" t="n">
        <f aca="false">IF($G182="",0,IF(AND($G182&gt;='Cash Flow'!$E$6,$G182&lt;'Cash Flow'!$E$6+91),1,0))</f>
        <v>1</v>
      </c>
      <c r="I182" s="81" t="n">
        <f aca="false">IF($H182=1,MAX(1,INT(($G182-'Cash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79" t="n">
        <f aca="false">IF($C183="","",Recurring!$D$16)</f>
        <v>45</v>
      </c>
      <c r="F183" s="80"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0" t="n">
        <f aca="false">IF($F183="","",IF(Recurring!$G$16="Move Before",IF(WEEKDAY($F183,2)=6,$F183-1,IF(WEEKDAY($F183,2)=7,$F183-2,$F183)),IF(Recurring!$G$16="Move After",IF(WEEKDAY($F183,2)=6,$F183+2,IF(WEEKDAY($F183,2)=7,$F183+1,$F183)),$F183)))</f>
        <v>46342</v>
      </c>
      <c r="H183" s="81" t="n">
        <f aca="false">IF($G183="",0,IF(AND($G183&gt;='Cash Flow'!$E$6,$G183&lt;'Cash Flow'!$E$6+91),1,0))</f>
        <v>0</v>
      </c>
      <c r="I183" s="81"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79" t="n">
        <f aca="false">IF($C184="","",Recurring!$D$16)</f>
        <v>45</v>
      </c>
      <c r="F184" s="80"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0" t="n">
        <f aca="false">IF($F184="","",IF(Recurring!$G$16="Move Before",IF(WEEKDAY($F184,2)=6,$F184-1,IF(WEEKDAY($F184,2)=7,$F184-2,$F184)),IF(Recurring!$G$16="Move After",IF(WEEKDAY($F184,2)=6,$F184+2,IF(WEEKDAY($F184,2)=7,$F184+1,$F184)),$F184)))</f>
        <v>46372</v>
      </c>
      <c r="H184" s="81" t="n">
        <f aca="false">IF($G184="",0,IF(AND($G184&gt;='Cash Flow'!$E$6,$G184&lt;'Cash Flow'!$E$6+91),1,0))</f>
        <v>0</v>
      </c>
      <c r="I184" s="81"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79" t="n">
        <f aca="false">IF($C185="","",Recurring!$D$16)</f>
        <v>45</v>
      </c>
      <c r="F185" s="80"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0" t="n">
        <f aca="false">IF($F185="","",IF(Recurring!$G$16="Move Before",IF(WEEKDAY($F185,2)=6,$F185-1,IF(WEEKDAY($F185,2)=7,$F185-2,$F185)),IF(Recurring!$G$16="Move After",IF(WEEKDAY($F185,2)=6,$F185+2,IF(WEEKDAY($F185,2)=7,$F185+1,$F185)),$F185)))</f>
        <v>46403</v>
      </c>
      <c r="H185" s="81" t="n">
        <f aca="false">IF($G185="",0,IF(AND($G185&gt;='Cash Flow'!$E$6,$G185&lt;'Cash Flow'!$E$6+91),1,0))</f>
        <v>0</v>
      </c>
      <c r="I185" s="81"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79" t="n">
        <f aca="false">IF($C186="","",Recurring!$D$16)</f>
        <v>45</v>
      </c>
      <c r="F186" s="80"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0" t="n">
        <f aca="false">IF($F186="","",IF(Recurring!$G$16="Move Before",IF(WEEKDAY($F186,2)=6,$F186-1,IF(WEEKDAY($F186,2)=7,$F186-2,$F186)),IF(Recurring!$G$16="Move After",IF(WEEKDAY($F186,2)=6,$F186+2,IF(WEEKDAY($F186,2)=7,$F186+1,$F186)),$F186)))</f>
        <v>46434</v>
      </c>
      <c r="H186" s="81" t="n">
        <f aca="false">IF($G186="",0,IF(AND($G186&gt;='Cash Flow'!$E$6,$G186&lt;'Cash Flow'!$E$6+91),1,0))</f>
        <v>0</v>
      </c>
      <c r="I186" s="81"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79" t="n">
        <f aca="false">IF($C187="","",Recurring!$D$16)</f>
        <v>45</v>
      </c>
      <c r="F187" s="80"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0" t="n">
        <f aca="false">IF($F187="","",IF(Recurring!$G$16="Move Before",IF(WEEKDAY($F187,2)=6,$F187-1,IF(WEEKDAY($F187,2)=7,$F187-2,$F187)),IF(Recurring!$G$16="Move After",IF(WEEKDAY($F187,2)=6,$F187+2,IF(WEEKDAY($F187,2)=7,$F187+1,$F187)),$F187)))</f>
        <v>46462</v>
      </c>
      <c r="H187" s="81" t="n">
        <f aca="false">IF($G187="",0,IF(AND($G187&gt;='Cash Flow'!$E$6,$G187&lt;'Cash Flow'!$E$6+91),1,0))</f>
        <v>0</v>
      </c>
      <c r="I187" s="81"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79" t="n">
        <f aca="false">IF($C188="","",Recurring!$D$16)</f>
        <v>45</v>
      </c>
      <c r="F188" s="80"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0" t="n">
        <f aca="false">IF($F188="","",IF(Recurring!$G$16="Move Before",IF(WEEKDAY($F188,2)=6,$F188-1,IF(WEEKDAY($F188,2)=7,$F188-2,$F188)),IF(Recurring!$G$16="Move After",IF(WEEKDAY($F188,2)=6,$F188+2,IF(WEEKDAY($F188,2)=7,$F188+1,$F188)),$F188)))</f>
        <v>46493</v>
      </c>
      <c r="H188" s="81" t="n">
        <f aca="false">IF($G188="",0,IF(AND($G188&gt;='Cash Flow'!$E$6,$G188&lt;'Cash Flow'!$E$6+91),1,0))</f>
        <v>0</v>
      </c>
      <c r="I188" s="81"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79" t="n">
        <f aca="false">IF($C189="","",Recurring!$D$16)</f>
        <v>45</v>
      </c>
      <c r="F189" s="80"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0" t="n">
        <f aca="false">IF($F189="","",IF(Recurring!$G$16="Move Before",IF(WEEKDAY($F189,2)=6,$F189-1,IF(WEEKDAY($F189,2)=7,$F189-2,$F189)),IF(Recurring!$G$16="Move After",IF(WEEKDAY($F189,2)=6,$F189+2,IF(WEEKDAY($F189,2)=7,$F189+1,$F189)),$F189)))</f>
        <v>46523</v>
      </c>
      <c r="H189" s="81" t="n">
        <f aca="false">IF($G189="",0,IF(AND($G189&gt;='Cash Flow'!$E$6,$G189&lt;'Cash Flow'!$E$6+91),1,0))</f>
        <v>0</v>
      </c>
      <c r="I189" s="81"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79" t="n">
        <f aca="false">IF($C190="","",Recurring!$D$16)</f>
        <v>45</v>
      </c>
      <c r="F190" s="80"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0" t="n">
        <f aca="false">IF($F190="","",IF(Recurring!$G$16="Move Before",IF(WEEKDAY($F190,2)=6,$F190-1,IF(WEEKDAY($F190,2)=7,$F190-2,$F190)),IF(Recurring!$G$16="Move After",IF(WEEKDAY($F190,2)=6,$F190+2,IF(WEEKDAY($F190,2)=7,$F190+1,$F190)),$F190)))</f>
        <v>46554</v>
      </c>
      <c r="H190" s="81" t="n">
        <f aca="false">IF($G190="",0,IF(AND($G190&gt;='Cash Flow'!$E$6,$G190&lt;'Cash Flow'!$E$6+91),1,0))</f>
        <v>0</v>
      </c>
      <c r="I190" s="81"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79" t="n">
        <f aca="false">IF($C191="","",Recurring!$D$16)</f>
        <v>45</v>
      </c>
      <c r="F191" s="80"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0" t="n">
        <f aca="false">IF($F191="","",IF(Recurring!$G$16="Move Before",IF(WEEKDAY($F191,2)=6,$F191-1,IF(WEEKDAY($F191,2)=7,$F191-2,$F191)),IF(Recurring!$G$16="Move After",IF(WEEKDAY($F191,2)=6,$F191+2,IF(WEEKDAY($F191,2)=7,$F191+1,$F191)),$F191)))</f>
        <v>46584</v>
      </c>
      <c r="H191" s="81" t="n">
        <f aca="false">IF($G191="",0,IF(AND($G191&gt;='Cash Flow'!$E$6,$G191&lt;'Cash Flow'!$E$6+91),1,0))</f>
        <v>0</v>
      </c>
      <c r="I191" s="81"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79" t="n">
        <f aca="false">IF($C192="","",Recurring!$D$16)</f>
        <v>45</v>
      </c>
      <c r="F192" s="80"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0" t="n">
        <f aca="false">IF($F192="","",IF(Recurring!$G$16="Move Before",IF(WEEKDAY($F192,2)=6,$F192-1,IF(WEEKDAY($F192,2)=7,$F192-2,$F192)),IF(Recurring!$G$16="Move After",IF(WEEKDAY($F192,2)=6,$F192+2,IF(WEEKDAY($F192,2)=7,$F192+1,$F192)),$F192)))</f>
        <v>46615</v>
      </c>
      <c r="H192" s="81" t="n">
        <f aca="false">IF($G192="",0,IF(AND($G192&gt;='Cash Flow'!$E$6,$G192&lt;'Cash Flow'!$E$6+91),1,0))</f>
        <v>0</v>
      </c>
      <c r="I192" s="81"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79" t="n">
        <f aca="false">IF($C193="","",Recurring!$D$16)</f>
        <v>45</v>
      </c>
      <c r="F193" s="80"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0" t="n">
        <f aca="false">IF($F193="","",IF(Recurring!$G$16="Move Before",IF(WEEKDAY($F193,2)=6,$F193-1,IF(WEEKDAY($F193,2)=7,$F193-2,$F193)),IF(Recurring!$G$16="Move After",IF(WEEKDAY($F193,2)=6,$F193+2,IF(WEEKDAY($F193,2)=7,$F193+1,$F193)),$F193)))</f>
        <v>46646</v>
      </c>
      <c r="H193" s="81" t="n">
        <f aca="false">IF($G193="",0,IF(AND($G193&gt;='Cash Flow'!$E$6,$G193&lt;'Cash Flow'!$E$6+91),1,0))</f>
        <v>0</v>
      </c>
      <c r="I193" s="81"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79" t="n">
        <f aca="false">IF($C194="","",Recurring!$D$16)</f>
        <v>45</v>
      </c>
      <c r="F194" s="80"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0" t="n">
        <f aca="false">IF($F194="","",IF(Recurring!$G$16="Move Before",IF(WEEKDAY($F194,2)=6,$F194-1,IF(WEEKDAY($F194,2)=7,$F194-2,$F194)),IF(Recurring!$G$16="Move After",IF(WEEKDAY($F194,2)=6,$F194+2,IF(WEEKDAY($F194,2)=7,$F194+1,$F194)),$F194)))</f>
        <v>46676</v>
      </c>
      <c r="H194" s="81" t="n">
        <f aca="false">IF($G194="",0,IF(AND($G194&gt;='Cash Flow'!$E$6,$G194&lt;'Cash Flow'!$E$6+91),1,0))</f>
        <v>0</v>
      </c>
      <c r="I194" s="81"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79" t="n">
        <f aca="false">IF($C195="","",Recurring!$D$16)</f>
        <v>45</v>
      </c>
      <c r="F195" s="80"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0" t="n">
        <f aca="false">IF($F195="","",IF(Recurring!$G$16="Move Before",IF(WEEKDAY($F195,2)=6,$F195-1,IF(WEEKDAY($F195,2)=7,$F195-2,$F195)),IF(Recurring!$G$16="Move After",IF(WEEKDAY($F195,2)=6,$F195+2,IF(WEEKDAY($F195,2)=7,$F195+1,$F195)),$F195)))</f>
        <v>46707</v>
      </c>
      <c r="H195" s="81" t="n">
        <f aca="false">IF($G195="",0,IF(AND($G195&gt;='Cash Flow'!$E$6,$G195&lt;'Cash Flow'!$E$6+91),1,0))</f>
        <v>0</v>
      </c>
      <c r="I195" s="81"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79" t="n">
        <f aca="false">IF($C196="","",Recurring!$D$17)</f>
        <v>16.99</v>
      </c>
      <c r="F196" s="80"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0" t="n">
        <f aca="false">IF($F196="","",IF(Recurring!$G$17="Move Before",IF(WEEKDAY($F196,2)=6,$F196-1,IF(WEEKDAY($F196,2)=7,$F196-2,$F196)),IF(Recurring!$G$17="Move After",IF(WEEKDAY($F196,2)=6,$F196+2,IF(WEEKDAY($F196,2)=7,$F196+1,$F196)),$F196)))</f>
        <v>46252</v>
      </c>
      <c r="H196" s="81" t="n">
        <f aca="false">IF($G196="",0,IF(AND($G196&gt;='Cash Flow'!$E$6-90,$G196&lt;'Cash Flow'!$E$6+91),1,0))</f>
        <v>1</v>
      </c>
      <c r="I196" s="81" t="n">
        <f aca="false">IF($H196=1,MAX(1,INT(($G196-'Cash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79" t="n">
        <f aca="false">IF($C197="","",Recurring!$D$17)</f>
        <v>16.99</v>
      </c>
      <c r="F197" s="80"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0" t="n">
        <f aca="false">IF($F197="","",IF(Recurring!$G$17="Move Before",IF(WEEKDAY($F197,2)=6,$F197-1,IF(WEEKDAY($F197,2)=7,$F197-2,$F197)),IF(Recurring!$G$17="Move After",IF(WEEKDAY($F197,2)=6,$F197+2,IF(WEEKDAY($F197,2)=7,$F197+1,$F197)),$F197)))</f>
        <v>46283</v>
      </c>
      <c r="H197" s="81" t="n">
        <f aca="false">IF($G197="",0,IF(AND($G197&gt;='Cash Flow'!$E$6,$G197&lt;'Cash Flow'!$E$6+91),1,0))</f>
        <v>1</v>
      </c>
      <c r="I197" s="81" t="n">
        <f aca="false">IF($H197=1,MAX(1,INT(($G197-'Cash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79" t="n">
        <f aca="false">IF($C198="","",Recurring!$D$17)</f>
        <v>16.99</v>
      </c>
      <c r="F198" s="80"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0" t="n">
        <f aca="false">IF($F198="","",IF(Recurring!$G$17="Move Before",IF(WEEKDAY($F198,2)=6,$F198-1,IF(WEEKDAY($F198,2)=7,$F198-2,$F198)),IF(Recurring!$G$17="Move After",IF(WEEKDAY($F198,2)=6,$F198+2,IF(WEEKDAY($F198,2)=7,$F198+1,$F198)),$F198)))</f>
        <v>46313</v>
      </c>
      <c r="H198" s="81" t="n">
        <f aca="false">IF($G198="",0,IF(AND($G198&gt;='Cash Flow'!$E$6,$G198&lt;'Cash Flow'!$E$6+91),1,0))</f>
        <v>1</v>
      </c>
      <c r="I198" s="81" t="n">
        <f aca="false">IF($H198=1,MAX(1,INT(($G198-'Cash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79" t="n">
        <f aca="false">IF($C199="","",Recurring!$D$17)</f>
        <v>16.99</v>
      </c>
      <c r="F199" s="80"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0" t="n">
        <f aca="false">IF($F199="","",IF(Recurring!$G$17="Move Before",IF(WEEKDAY($F199,2)=6,$F199-1,IF(WEEKDAY($F199,2)=7,$F199-2,$F199)),IF(Recurring!$G$17="Move After",IF(WEEKDAY($F199,2)=6,$F199+2,IF(WEEKDAY($F199,2)=7,$F199+1,$F199)),$F199)))</f>
        <v>46344</v>
      </c>
      <c r="H199" s="81" t="n">
        <f aca="false">IF($G199="",0,IF(AND($G199&gt;='Cash Flow'!$E$6,$G199&lt;'Cash Flow'!$E$6+91),1,0))</f>
        <v>0</v>
      </c>
      <c r="I199" s="81"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79" t="n">
        <f aca="false">IF($C200="","",Recurring!$D$17)</f>
        <v>16.99</v>
      </c>
      <c r="F200" s="80"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0" t="n">
        <f aca="false">IF($F200="","",IF(Recurring!$G$17="Move Before",IF(WEEKDAY($F200,2)=6,$F200-1,IF(WEEKDAY($F200,2)=7,$F200-2,$F200)),IF(Recurring!$G$17="Move After",IF(WEEKDAY($F200,2)=6,$F200+2,IF(WEEKDAY($F200,2)=7,$F200+1,$F200)),$F200)))</f>
        <v>46374</v>
      </c>
      <c r="H200" s="81" t="n">
        <f aca="false">IF($G200="",0,IF(AND($G200&gt;='Cash Flow'!$E$6,$G200&lt;'Cash Flow'!$E$6+91),1,0))</f>
        <v>0</v>
      </c>
      <c r="I200" s="81"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79" t="n">
        <f aca="false">IF($C201="","",Recurring!$D$17)</f>
        <v>16.99</v>
      </c>
      <c r="F201" s="80"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0" t="n">
        <f aca="false">IF($F201="","",IF(Recurring!$G$17="Move Before",IF(WEEKDAY($F201,2)=6,$F201-1,IF(WEEKDAY($F201,2)=7,$F201-2,$F201)),IF(Recurring!$G$17="Move After",IF(WEEKDAY($F201,2)=6,$F201+2,IF(WEEKDAY($F201,2)=7,$F201+1,$F201)),$F201)))</f>
        <v>46405</v>
      </c>
      <c r="H201" s="81" t="n">
        <f aca="false">IF($G201="",0,IF(AND($G201&gt;='Cash Flow'!$E$6,$G201&lt;'Cash Flow'!$E$6+91),1,0))</f>
        <v>0</v>
      </c>
      <c r="I201" s="81"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79" t="n">
        <f aca="false">IF($C202="","",Recurring!$D$17)</f>
        <v>16.99</v>
      </c>
      <c r="F202" s="80"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0" t="n">
        <f aca="false">IF($F202="","",IF(Recurring!$G$17="Move Before",IF(WEEKDAY($F202,2)=6,$F202-1,IF(WEEKDAY($F202,2)=7,$F202-2,$F202)),IF(Recurring!$G$17="Move After",IF(WEEKDAY($F202,2)=6,$F202+2,IF(WEEKDAY($F202,2)=7,$F202+1,$F202)),$F202)))</f>
        <v>46436</v>
      </c>
      <c r="H202" s="81" t="n">
        <f aca="false">IF($G202="",0,IF(AND($G202&gt;='Cash Flow'!$E$6,$G202&lt;'Cash Flow'!$E$6+91),1,0))</f>
        <v>0</v>
      </c>
      <c r="I202" s="81"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79" t="n">
        <f aca="false">IF($C203="","",Recurring!$D$17)</f>
        <v>16.99</v>
      </c>
      <c r="F203" s="80"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0" t="n">
        <f aca="false">IF($F203="","",IF(Recurring!$G$17="Move Before",IF(WEEKDAY($F203,2)=6,$F203-1,IF(WEEKDAY($F203,2)=7,$F203-2,$F203)),IF(Recurring!$G$17="Move After",IF(WEEKDAY($F203,2)=6,$F203+2,IF(WEEKDAY($F203,2)=7,$F203+1,$F203)),$F203)))</f>
        <v>46464</v>
      </c>
      <c r="H203" s="81" t="n">
        <f aca="false">IF($G203="",0,IF(AND($G203&gt;='Cash Flow'!$E$6,$G203&lt;'Cash Flow'!$E$6+91),1,0))</f>
        <v>0</v>
      </c>
      <c r="I203" s="81"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79" t="n">
        <f aca="false">IF($C204="","",Recurring!$D$17)</f>
        <v>16.99</v>
      </c>
      <c r="F204" s="80"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0" t="n">
        <f aca="false">IF($F204="","",IF(Recurring!$G$17="Move Before",IF(WEEKDAY($F204,2)=6,$F204-1,IF(WEEKDAY($F204,2)=7,$F204-2,$F204)),IF(Recurring!$G$17="Move After",IF(WEEKDAY($F204,2)=6,$F204+2,IF(WEEKDAY($F204,2)=7,$F204+1,$F204)),$F204)))</f>
        <v>46495</v>
      </c>
      <c r="H204" s="81" t="n">
        <f aca="false">IF($G204="",0,IF(AND($G204&gt;='Cash Flow'!$E$6,$G204&lt;'Cash Flow'!$E$6+91),1,0))</f>
        <v>0</v>
      </c>
      <c r="I204" s="81"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79" t="n">
        <f aca="false">IF($C205="","",Recurring!$D$17)</f>
        <v>16.99</v>
      </c>
      <c r="F205" s="80"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0" t="n">
        <f aca="false">IF($F205="","",IF(Recurring!$G$17="Move Before",IF(WEEKDAY($F205,2)=6,$F205-1,IF(WEEKDAY($F205,2)=7,$F205-2,$F205)),IF(Recurring!$G$17="Move After",IF(WEEKDAY($F205,2)=6,$F205+2,IF(WEEKDAY($F205,2)=7,$F205+1,$F205)),$F205)))</f>
        <v>46525</v>
      </c>
      <c r="H205" s="81" t="n">
        <f aca="false">IF($G205="",0,IF(AND($G205&gt;='Cash Flow'!$E$6,$G205&lt;'Cash Flow'!$E$6+91),1,0))</f>
        <v>0</v>
      </c>
      <c r="I205" s="81"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79" t="n">
        <f aca="false">IF($C206="","",Recurring!$D$17)</f>
        <v>16.99</v>
      </c>
      <c r="F206" s="80"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0" t="n">
        <f aca="false">IF($F206="","",IF(Recurring!$G$17="Move Before",IF(WEEKDAY($F206,2)=6,$F206-1,IF(WEEKDAY($F206,2)=7,$F206-2,$F206)),IF(Recurring!$G$17="Move After",IF(WEEKDAY($F206,2)=6,$F206+2,IF(WEEKDAY($F206,2)=7,$F206+1,$F206)),$F206)))</f>
        <v>46556</v>
      </c>
      <c r="H206" s="81" t="n">
        <f aca="false">IF($G206="",0,IF(AND($G206&gt;='Cash Flow'!$E$6,$G206&lt;'Cash Flow'!$E$6+91),1,0))</f>
        <v>0</v>
      </c>
      <c r="I206" s="81"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79" t="n">
        <f aca="false">IF($C207="","",Recurring!$D$17)</f>
        <v>16.99</v>
      </c>
      <c r="F207" s="80"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0" t="n">
        <f aca="false">IF($F207="","",IF(Recurring!$G$17="Move Before",IF(WEEKDAY($F207,2)=6,$F207-1,IF(WEEKDAY($F207,2)=7,$F207-2,$F207)),IF(Recurring!$G$17="Move After",IF(WEEKDAY($F207,2)=6,$F207+2,IF(WEEKDAY($F207,2)=7,$F207+1,$F207)),$F207)))</f>
        <v>46586</v>
      </c>
      <c r="H207" s="81" t="n">
        <f aca="false">IF($G207="",0,IF(AND($G207&gt;='Cash Flow'!$E$6,$G207&lt;'Cash Flow'!$E$6+91),1,0))</f>
        <v>0</v>
      </c>
      <c r="I207" s="81"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79" t="n">
        <f aca="false">IF($C208="","",Recurring!$D$17)</f>
        <v>16.99</v>
      </c>
      <c r="F208" s="80"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0" t="n">
        <f aca="false">IF($F208="","",IF(Recurring!$G$17="Move Before",IF(WEEKDAY($F208,2)=6,$F208-1,IF(WEEKDAY($F208,2)=7,$F208-2,$F208)),IF(Recurring!$G$17="Move After",IF(WEEKDAY($F208,2)=6,$F208+2,IF(WEEKDAY($F208,2)=7,$F208+1,$F208)),$F208)))</f>
        <v>46617</v>
      </c>
      <c r="H208" s="81" t="n">
        <f aca="false">IF($G208="",0,IF(AND($G208&gt;='Cash Flow'!$E$6,$G208&lt;'Cash Flow'!$E$6+91),1,0))</f>
        <v>0</v>
      </c>
      <c r="I208" s="81"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79" t="n">
        <f aca="false">IF($C209="","",Recurring!$D$17)</f>
        <v>16.99</v>
      </c>
      <c r="F209" s="80"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0" t="n">
        <f aca="false">IF($F209="","",IF(Recurring!$G$17="Move Before",IF(WEEKDAY($F209,2)=6,$F209-1,IF(WEEKDAY($F209,2)=7,$F209-2,$F209)),IF(Recurring!$G$17="Move After",IF(WEEKDAY($F209,2)=6,$F209+2,IF(WEEKDAY($F209,2)=7,$F209+1,$F209)),$F209)))</f>
        <v>46648</v>
      </c>
      <c r="H209" s="81" t="n">
        <f aca="false">IF($G209="",0,IF(AND($G209&gt;='Cash Flow'!$E$6,$G209&lt;'Cash Flow'!$E$6+91),1,0))</f>
        <v>0</v>
      </c>
      <c r="I209" s="81"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79" t="n">
        <f aca="false">IF($C210="","",Recurring!$D$17)</f>
        <v>16.99</v>
      </c>
      <c r="F210" s="80"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0" t="n">
        <f aca="false">IF($F210="","",IF(Recurring!$G$17="Move Before",IF(WEEKDAY($F210,2)=6,$F210-1,IF(WEEKDAY($F210,2)=7,$F210-2,$F210)),IF(Recurring!$G$17="Move After",IF(WEEKDAY($F210,2)=6,$F210+2,IF(WEEKDAY($F210,2)=7,$F210+1,$F210)),$F210)))</f>
        <v>46678</v>
      </c>
      <c r="H210" s="81" t="n">
        <f aca="false">IF($G210="",0,IF(AND($G210&gt;='Cash Flow'!$E$6,$G210&lt;'Cash Flow'!$E$6+91),1,0))</f>
        <v>0</v>
      </c>
      <c r="I210" s="81"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79" t="n">
        <f aca="false">IF($C211="","",Recurring!$D$17)</f>
        <v>16.99</v>
      </c>
      <c r="F211" s="80"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0" t="n">
        <f aca="false">IF($F211="","",IF(Recurring!$G$17="Move Before",IF(WEEKDAY($F211,2)=6,$F211-1,IF(WEEKDAY($F211,2)=7,$F211-2,$F211)),IF(Recurring!$G$17="Move After",IF(WEEKDAY($F211,2)=6,$F211+2,IF(WEEKDAY($F211,2)=7,$F211+1,$F211)),$F211)))</f>
        <v>46709</v>
      </c>
      <c r="H211" s="81" t="n">
        <f aca="false">IF($G211="",0,IF(AND($G211&gt;='Cash Flow'!$E$6,$G211&lt;'Cash Flow'!$E$6+91),1,0))</f>
        <v>0</v>
      </c>
      <c r="I211" s="81"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79" t="n">
        <f aca="false">IF($C212="","",Recurring!$D$18)</f>
        <v>13.7</v>
      </c>
      <c r="F212" s="80"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0" t="n">
        <f aca="false">IF($F212="","",IF(Recurring!$G$18="Move Before",IF(WEEKDAY($F212,2)=6,$F212-1,IF(WEEKDAY($F212,2)=7,$F212-2,$F212)),IF(Recurring!$G$18="Move After",IF(WEEKDAY($F212,2)=6,$F212+2,IF(WEEKDAY($F212,2)=7,$F212+1,$F212)),$F212)))</f>
        <v>46259</v>
      </c>
      <c r="H212" s="81" t="n">
        <f aca="false">IF($G212="",0,IF(AND($G212&gt;='Cash Flow'!$E$6-90,$G212&lt;'Cash Flow'!$E$6+91),1,0))</f>
        <v>1</v>
      </c>
      <c r="I212" s="81" t="n">
        <f aca="false">IF($H212=1,MAX(1,INT(($G212-'Cash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79" t="n">
        <f aca="false">IF($C213="","",Recurring!$D$18)</f>
        <v>13.7</v>
      </c>
      <c r="F213" s="80"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0" t="n">
        <f aca="false">IF($F213="","",IF(Recurring!$G$18="Move Before",IF(WEEKDAY($F213,2)=6,$F213-1,IF(WEEKDAY($F213,2)=7,$F213-2,$F213)),IF(Recurring!$G$18="Move After",IF(WEEKDAY($F213,2)=6,$F213+2,IF(WEEKDAY($F213,2)=7,$F213+1,$F213)),$F213)))</f>
        <v>46290</v>
      </c>
      <c r="H213" s="81" t="n">
        <f aca="false">IF($G213="",0,IF(AND($G213&gt;='Cash Flow'!$E$6,$G213&lt;'Cash Flow'!$E$6+91),1,0))</f>
        <v>1</v>
      </c>
      <c r="I213" s="81" t="n">
        <f aca="false">IF($H213=1,MAX(1,INT(($G213-'Cash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79" t="n">
        <f aca="false">IF($C214="","",Recurring!$D$18)</f>
        <v>13.7</v>
      </c>
      <c r="F214" s="80"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0" t="n">
        <f aca="false">IF($F214="","",IF(Recurring!$G$18="Move Before",IF(WEEKDAY($F214,2)=6,$F214-1,IF(WEEKDAY($F214,2)=7,$F214-2,$F214)),IF(Recurring!$G$18="Move After",IF(WEEKDAY($F214,2)=6,$F214+2,IF(WEEKDAY($F214,2)=7,$F214+1,$F214)),$F214)))</f>
        <v>46320</v>
      </c>
      <c r="H214" s="81" t="n">
        <f aca="false">IF($G214="",0,IF(AND($G214&gt;='Cash Flow'!$E$6,$G214&lt;'Cash Flow'!$E$6+91),1,0))</f>
        <v>1</v>
      </c>
      <c r="I214" s="81" t="n">
        <f aca="false">IF($H214=1,MAX(1,INT(($G214-'Cash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79" t="n">
        <f aca="false">IF($C215="","",Recurring!$D$18)</f>
        <v>13.7</v>
      </c>
      <c r="F215" s="80"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0" t="n">
        <f aca="false">IF($F215="","",IF(Recurring!$G$18="Move Before",IF(WEEKDAY($F215,2)=6,$F215-1,IF(WEEKDAY($F215,2)=7,$F215-2,$F215)),IF(Recurring!$G$18="Move After",IF(WEEKDAY($F215,2)=6,$F215+2,IF(WEEKDAY($F215,2)=7,$F215+1,$F215)),$F215)))</f>
        <v>46351</v>
      </c>
      <c r="H215" s="81" t="n">
        <f aca="false">IF($G215="",0,IF(AND($G215&gt;='Cash Flow'!$E$6,$G215&lt;'Cash Flow'!$E$6+91),1,0))</f>
        <v>0</v>
      </c>
      <c r="I215" s="81"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79" t="n">
        <f aca="false">IF($C216="","",Recurring!$D$18)</f>
        <v>13.7</v>
      </c>
      <c r="F216" s="80"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0" t="n">
        <f aca="false">IF($F216="","",IF(Recurring!$G$18="Move Before",IF(WEEKDAY($F216,2)=6,$F216-1,IF(WEEKDAY($F216,2)=7,$F216-2,$F216)),IF(Recurring!$G$18="Move After",IF(WEEKDAY($F216,2)=6,$F216+2,IF(WEEKDAY($F216,2)=7,$F216+1,$F216)),$F216)))</f>
        <v>46381</v>
      </c>
      <c r="H216" s="81" t="n">
        <f aca="false">IF($G216="",0,IF(AND($G216&gt;='Cash Flow'!$E$6,$G216&lt;'Cash Flow'!$E$6+91),1,0))</f>
        <v>0</v>
      </c>
      <c r="I216" s="81"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79" t="n">
        <f aca="false">IF($C217="","",Recurring!$D$18)</f>
        <v>13.7</v>
      </c>
      <c r="F217" s="80"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0" t="n">
        <f aca="false">IF($F217="","",IF(Recurring!$G$18="Move Before",IF(WEEKDAY($F217,2)=6,$F217-1,IF(WEEKDAY($F217,2)=7,$F217-2,$F217)),IF(Recurring!$G$18="Move After",IF(WEEKDAY($F217,2)=6,$F217+2,IF(WEEKDAY($F217,2)=7,$F217+1,$F217)),$F217)))</f>
        <v>46412</v>
      </c>
      <c r="H217" s="81" t="n">
        <f aca="false">IF($G217="",0,IF(AND($G217&gt;='Cash Flow'!$E$6,$G217&lt;'Cash Flow'!$E$6+91),1,0))</f>
        <v>0</v>
      </c>
      <c r="I217" s="81"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79" t="n">
        <f aca="false">IF($C218="","",Recurring!$D$18)</f>
        <v>13.7</v>
      </c>
      <c r="F218" s="80"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0" t="n">
        <f aca="false">IF($F218="","",IF(Recurring!$G$18="Move Before",IF(WEEKDAY($F218,2)=6,$F218-1,IF(WEEKDAY($F218,2)=7,$F218-2,$F218)),IF(Recurring!$G$18="Move After",IF(WEEKDAY($F218,2)=6,$F218+2,IF(WEEKDAY($F218,2)=7,$F218+1,$F218)),$F218)))</f>
        <v>46443</v>
      </c>
      <c r="H218" s="81" t="n">
        <f aca="false">IF($G218="",0,IF(AND($G218&gt;='Cash Flow'!$E$6,$G218&lt;'Cash Flow'!$E$6+91),1,0))</f>
        <v>0</v>
      </c>
      <c r="I218" s="81"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79" t="n">
        <f aca="false">IF($C219="","",Recurring!$D$18)</f>
        <v>13.7</v>
      </c>
      <c r="F219" s="80"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0" t="n">
        <f aca="false">IF($F219="","",IF(Recurring!$G$18="Move Before",IF(WEEKDAY($F219,2)=6,$F219-1,IF(WEEKDAY($F219,2)=7,$F219-2,$F219)),IF(Recurring!$G$18="Move After",IF(WEEKDAY($F219,2)=6,$F219+2,IF(WEEKDAY($F219,2)=7,$F219+1,$F219)),$F219)))</f>
        <v>46471</v>
      </c>
      <c r="H219" s="81" t="n">
        <f aca="false">IF($G219="",0,IF(AND($G219&gt;='Cash Flow'!$E$6,$G219&lt;'Cash Flow'!$E$6+91),1,0))</f>
        <v>0</v>
      </c>
      <c r="I219" s="81"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79" t="n">
        <f aca="false">IF($C220="","",Recurring!$D$18)</f>
        <v>13.7</v>
      </c>
      <c r="F220" s="80"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0" t="n">
        <f aca="false">IF($F220="","",IF(Recurring!$G$18="Move Before",IF(WEEKDAY($F220,2)=6,$F220-1,IF(WEEKDAY($F220,2)=7,$F220-2,$F220)),IF(Recurring!$G$18="Move After",IF(WEEKDAY($F220,2)=6,$F220+2,IF(WEEKDAY($F220,2)=7,$F220+1,$F220)),$F220)))</f>
        <v>46502</v>
      </c>
      <c r="H220" s="81" t="n">
        <f aca="false">IF($G220="",0,IF(AND($G220&gt;='Cash Flow'!$E$6,$G220&lt;'Cash Flow'!$E$6+91),1,0))</f>
        <v>0</v>
      </c>
      <c r="I220" s="81"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79" t="n">
        <f aca="false">IF($C221="","",Recurring!$D$18)</f>
        <v>13.7</v>
      </c>
      <c r="F221" s="80"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0" t="n">
        <f aca="false">IF($F221="","",IF(Recurring!$G$18="Move Before",IF(WEEKDAY($F221,2)=6,$F221-1,IF(WEEKDAY($F221,2)=7,$F221-2,$F221)),IF(Recurring!$G$18="Move After",IF(WEEKDAY($F221,2)=6,$F221+2,IF(WEEKDAY($F221,2)=7,$F221+1,$F221)),$F221)))</f>
        <v>46532</v>
      </c>
      <c r="H221" s="81" t="n">
        <f aca="false">IF($G221="",0,IF(AND($G221&gt;='Cash Flow'!$E$6,$G221&lt;'Cash Flow'!$E$6+91),1,0))</f>
        <v>0</v>
      </c>
      <c r="I221" s="81"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79" t="n">
        <f aca="false">IF($C222="","",Recurring!$D$18)</f>
        <v>13.7</v>
      </c>
      <c r="F222" s="80"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0" t="n">
        <f aca="false">IF($F222="","",IF(Recurring!$G$18="Move Before",IF(WEEKDAY($F222,2)=6,$F222-1,IF(WEEKDAY($F222,2)=7,$F222-2,$F222)),IF(Recurring!$G$18="Move After",IF(WEEKDAY($F222,2)=6,$F222+2,IF(WEEKDAY($F222,2)=7,$F222+1,$F222)),$F222)))</f>
        <v>46563</v>
      </c>
      <c r="H222" s="81" t="n">
        <f aca="false">IF($G222="",0,IF(AND($G222&gt;='Cash Flow'!$E$6,$G222&lt;'Cash Flow'!$E$6+91),1,0))</f>
        <v>0</v>
      </c>
      <c r="I222" s="81"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79" t="n">
        <f aca="false">IF($C223="","",Recurring!$D$18)</f>
        <v>13.7</v>
      </c>
      <c r="F223" s="80"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0" t="n">
        <f aca="false">IF($F223="","",IF(Recurring!$G$18="Move Before",IF(WEEKDAY($F223,2)=6,$F223-1,IF(WEEKDAY($F223,2)=7,$F223-2,$F223)),IF(Recurring!$G$18="Move After",IF(WEEKDAY($F223,2)=6,$F223+2,IF(WEEKDAY($F223,2)=7,$F223+1,$F223)),$F223)))</f>
        <v>46593</v>
      </c>
      <c r="H223" s="81" t="n">
        <f aca="false">IF($G223="",0,IF(AND($G223&gt;='Cash Flow'!$E$6,$G223&lt;'Cash Flow'!$E$6+91),1,0))</f>
        <v>0</v>
      </c>
      <c r="I223" s="81"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79" t="n">
        <f aca="false">IF($C224="","",Recurring!$D$18)</f>
        <v>13.7</v>
      </c>
      <c r="F224" s="80"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0" t="n">
        <f aca="false">IF($F224="","",IF(Recurring!$G$18="Move Before",IF(WEEKDAY($F224,2)=6,$F224-1,IF(WEEKDAY($F224,2)=7,$F224-2,$F224)),IF(Recurring!$G$18="Move After",IF(WEEKDAY($F224,2)=6,$F224+2,IF(WEEKDAY($F224,2)=7,$F224+1,$F224)),$F224)))</f>
        <v>46624</v>
      </c>
      <c r="H224" s="81" t="n">
        <f aca="false">IF($G224="",0,IF(AND($G224&gt;='Cash Flow'!$E$6,$G224&lt;'Cash Flow'!$E$6+91),1,0))</f>
        <v>0</v>
      </c>
      <c r="I224" s="81"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79" t="n">
        <f aca="false">IF($C225="","",Recurring!$D$18)</f>
        <v>13.7</v>
      </c>
      <c r="F225" s="80"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0" t="n">
        <f aca="false">IF($F225="","",IF(Recurring!$G$18="Move Before",IF(WEEKDAY($F225,2)=6,$F225-1,IF(WEEKDAY($F225,2)=7,$F225-2,$F225)),IF(Recurring!$G$18="Move After",IF(WEEKDAY($F225,2)=6,$F225+2,IF(WEEKDAY($F225,2)=7,$F225+1,$F225)),$F225)))</f>
        <v>46655</v>
      </c>
      <c r="H225" s="81" t="n">
        <f aca="false">IF($G225="",0,IF(AND($G225&gt;='Cash Flow'!$E$6,$G225&lt;'Cash Flow'!$E$6+91),1,0))</f>
        <v>0</v>
      </c>
      <c r="I225" s="81"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79" t="n">
        <f aca="false">IF($C226="","",Recurring!$D$18)</f>
        <v>13.7</v>
      </c>
      <c r="F226" s="80"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0" t="n">
        <f aca="false">IF($F226="","",IF(Recurring!$G$18="Move Before",IF(WEEKDAY($F226,2)=6,$F226-1,IF(WEEKDAY($F226,2)=7,$F226-2,$F226)),IF(Recurring!$G$18="Move After",IF(WEEKDAY($F226,2)=6,$F226+2,IF(WEEKDAY($F226,2)=7,$F226+1,$F226)),$F226)))</f>
        <v>46685</v>
      </c>
      <c r="H226" s="81" t="n">
        <f aca="false">IF($G226="",0,IF(AND($G226&gt;='Cash Flow'!$E$6,$G226&lt;'Cash Flow'!$E$6+91),1,0))</f>
        <v>0</v>
      </c>
      <c r="I226" s="81"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79" t="n">
        <f aca="false">IF($C227="","",Recurring!$D$18)</f>
        <v>13.7</v>
      </c>
      <c r="F227" s="80"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0" t="n">
        <f aca="false">IF($F227="","",IF(Recurring!$G$18="Move Before",IF(WEEKDAY($F227,2)=6,$F227-1,IF(WEEKDAY($F227,2)=7,$F227-2,$F227)),IF(Recurring!$G$18="Move After",IF(WEEKDAY($F227,2)=6,$F227+2,IF(WEEKDAY($F227,2)=7,$F227+1,$F227)),$F227)))</f>
        <v>46716</v>
      </c>
      <c r="H227" s="81" t="n">
        <f aca="false">IF($G227="",0,IF(AND($G227&gt;='Cash Flow'!$E$6,$G227&lt;'Cash Flow'!$E$6+91),1,0))</f>
        <v>0</v>
      </c>
      <c r="I227" s="81"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79" t="n">
        <f aca="false">IF($C228="","",Recurring!$D$19)</f>
        <v>43.87</v>
      </c>
      <c r="F228" s="80"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0" t="n">
        <f aca="false">IF($F228="","",IF(Recurring!$G$19="Move Before",IF(WEEKDAY($F228,2)=6,$F228-1,IF(WEEKDAY($F228,2)=7,$F228-2,$F228)),IF(Recurring!$G$19="Move After",IF(WEEKDAY($F228,2)=6,$F228+2,IF(WEEKDAY($F228,2)=7,$F228+1,$F228)),$F228)))</f>
        <v>46259</v>
      </c>
      <c r="H228" s="81" t="n">
        <f aca="false">IF($G228="",0,IF(AND($G228&gt;='Cash Flow'!$E$6-90,$G228&lt;'Cash Flow'!$E$6+91),1,0))</f>
        <v>1</v>
      </c>
      <c r="I228" s="81" t="n">
        <f aca="false">IF($H228=1,MAX(1,INT(($G228-'Cash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79" t="n">
        <f aca="false">IF($C229="","",Recurring!$D$19)</f>
        <v>43.87</v>
      </c>
      <c r="F229" s="80"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0" t="n">
        <f aca="false">IF($F229="","",IF(Recurring!$G$19="Move Before",IF(WEEKDAY($F229,2)=6,$F229-1,IF(WEEKDAY($F229,2)=7,$F229-2,$F229)),IF(Recurring!$G$19="Move After",IF(WEEKDAY($F229,2)=6,$F229+2,IF(WEEKDAY($F229,2)=7,$F229+1,$F229)),$F229)))</f>
        <v>46290</v>
      </c>
      <c r="H229" s="81" t="n">
        <f aca="false">IF($G229="",0,IF(AND($G229&gt;='Cash Flow'!$E$6,$G229&lt;'Cash Flow'!$E$6+91),1,0))</f>
        <v>1</v>
      </c>
      <c r="I229" s="81" t="n">
        <f aca="false">IF($H229=1,MAX(1,INT(($G229-'Cash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79" t="n">
        <f aca="false">IF($C230="","",Recurring!$D$19)</f>
        <v>43.87</v>
      </c>
      <c r="F230" s="80"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0" t="n">
        <f aca="false">IF($F230="","",IF(Recurring!$G$19="Move Before",IF(WEEKDAY($F230,2)=6,$F230-1,IF(WEEKDAY($F230,2)=7,$F230-2,$F230)),IF(Recurring!$G$19="Move After",IF(WEEKDAY($F230,2)=6,$F230+2,IF(WEEKDAY($F230,2)=7,$F230+1,$F230)),$F230)))</f>
        <v>46320</v>
      </c>
      <c r="H230" s="81" t="n">
        <f aca="false">IF($G230="",0,IF(AND($G230&gt;='Cash Flow'!$E$6,$G230&lt;'Cash Flow'!$E$6+91),1,0))</f>
        <v>1</v>
      </c>
      <c r="I230" s="81" t="n">
        <f aca="false">IF($H230=1,MAX(1,INT(($G230-'Cash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79" t="n">
        <f aca="false">IF($C231="","",Recurring!$D$19)</f>
        <v>43.87</v>
      </c>
      <c r="F231" s="80"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0" t="n">
        <f aca="false">IF($F231="","",IF(Recurring!$G$19="Move Before",IF(WEEKDAY($F231,2)=6,$F231-1,IF(WEEKDAY($F231,2)=7,$F231-2,$F231)),IF(Recurring!$G$19="Move After",IF(WEEKDAY($F231,2)=6,$F231+2,IF(WEEKDAY($F231,2)=7,$F231+1,$F231)),$F231)))</f>
        <v>46351</v>
      </c>
      <c r="H231" s="81" t="n">
        <f aca="false">IF($G231="",0,IF(AND($G231&gt;='Cash Flow'!$E$6,$G231&lt;'Cash Flow'!$E$6+91),1,0))</f>
        <v>0</v>
      </c>
      <c r="I231" s="81"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79" t="n">
        <f aca="false">IF($C232="","",Recurring!$D$19)</f>
        <v>43.87</v>
      </c>
      <c r="F232" s="80"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0" t="n">
        <f aca="false">IF($F232="","",IF(Recurring!$G$19="Move Before",IF(WEEKDAY($F232,2)=6,$F232-1,IF(WEEKDAY($F232,2)=7,$F232-2,$F232)),IF(Recurring!$G$19="Move After",IF(WEEKDAY($F232,2)=6,$F232+2,IF(WEEKDAY($F232,2)=7,$F232+1,$F232)),$F232)))</f>
        <v>46381</v>
      </c>
      <c r="H232" s="81" t="n">
        <f aca="false">IF($G232="",0,IF(AND($G232&gt;='Cash Flow'!$E$6,$G232&lt;'Cash Flow'!$E$6+91),1,0))</f>
        <v>0</v>
      </c>
      <c r="I232" s="81"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79" t="n">
        <f aca="false">IF($C233="","",Recurring!$D$19)</f>
        <v>43.87</v>
      </c>
      <c r="F233" s="80"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0" t="n">
        <f aca="false">IF($F233="","",IF(Recurring!$G$19="Move Before",IF(WEEKDAY($F233,2)=6,$F233-1,IF(WEEKDAY($F233,2)=7,$F233-2,$F233)),IF(Recurring!$G$19="Move After",IF(WEEKDAY($F233,2)=6,$F233+2,IF(WEEKDAY($F233,2)=7,$F233+1,$F233)),$F233)))</f>
        <v>46412</v>
      </c>
      <c r="H233" s="81" t="n">
        <f aca="false">IF($G233="",0,IF(AND($G233&gt;='Cash Flow'!$E$6,$G233&lt;'Cash Flow'!$E$6+91),1,0))</f>
        <v>0</v>
      </c>
      <c r="I233" s="81"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79" t="n">
        <f aca="false">IF($C234="","",Recurring!$D$19)</f>
        <v>43.87</v>
      </c>
      <c r="F234" s="80"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0" t="n">
        <f aca="false">IF($F234="","",IF(Recurring!$G$19="Move Before",IF(WEEKDAY($F234,2)=6,$F234-1,IF(WEEKDAY($F234,2)=7,$F234-2,$F234)),IF(Recurring!$G$19="Move After",IF(WEEKDAY($F234,2)=6,$F234+2,IF(WEEKDAY($F234,2)=7,$F234+1,$F234)),$F234)))</f>
        <v>46443</v>
      </c>
      <c r="H234" s="81" t="n">
        <f aca="false">IF($G234="",0,IF(AND($G234&gt;='Cash Flow'!$E$6,$G234&lt;'Cash Flow'!$E$6+91),1,0))</f>
        <v>0</v>
      </c>
      <c r="I234" s="81"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79" t="n">
        <f aca="false">IF($C235="","",Recurring!$D$19)</f>
        <v>43.87</v>
      </c>
      <c r="F235" s="80"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0" t="n">
        <f aca="false">IF($F235="","",IF(Recurring!$G$19="Move Before",IF(WEEKDAY($F235,2)=6,$F235-1,IF(WEEKDAY($F235,2)=7,$F235-2,$F235)),IF(Recurring!$G$19="Move After",IF(WEEKDAY($F235,2)=6,$F235+2,IF(WEEKDAY($F235,2)=7,$F235+1,$F235)),$F235)))</f>
        <v>46471</v>
      </c>
      <c r="H235" s="81" t="n">
        <f aca="false">IF($G235="",0,IF(AND($G235&gt;='Cash Flow'!$E$6,$G235&lt;'Cash Flow'!$E$6+91),1,0))</f>
        <v>0</v>
      </c>
      <c r="I235" s="81"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79" t="n">
        <f aca="false">IF($C236="","",Recurring!$D$19)</f>
        <v>43.87</v>
      </c>
      <c r="F236" s="80"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0" t="n">
        <f aca="false">IF($F236="","",IF(Recurring!$G$19="Move Before",IF(WEEKDAY($F236,2)=6,$F236-1,IF(WEEKDAY($F236,2)=7,$F236-2,$F236)),IF(Recurring!$G$19="Move After",IF(WEEKDAY($F236,2)=6,$F236+2,IF(WEEKDAY($F236,2)=7,$F236+1,$F236)),$F236)))</f>
        <v>46502</v>
      </c>
      <c r="H236" s="81" t="n">
        <f aca="false">IF($G236="",0,IF(AND($G236&gt;='Cash Flow'!$E$6,$G236&lt;'Cash Flow'!$E$6+91),1,0))</f>
        <v>0</v>
      </c>
      <c r="I236" s="81"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79" t="n">
        <f aca="false">IF($C237="","",Recurring!$D$19)</f>
        <v>43.87</v>
      </c>
      <c r="F237" s="80"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0" t="n">
        <f aca="false">IF($F237="","",IF(Recurring!$G$19="Move Before",IF(WEEKDAY($F237,2)=6,$F237-1,IF(WEEKDAY($F237,2)=7,$F237-2,$F237)),IF(Recurring!$G$19="Move After",IF(WEEKDAY($F237,2)=6,$F237+2,IF(WEEKDAY($F237,2)=7,$F237+1,$F237)),$F237)))</f>
        <v>46532</v>
      </c>
      <c r="H237" s="81" t="n">
        <f aca="false">IF($G237="",0,IF(AND($G237&gt;='Cash Flow'!$E$6,$G237&lt;'Cash Flow'!$E$6+91),1,0))</f>
        <v>0</v>
      </c>
      <c r="I237" s="81"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79" t="n">
        <f aca="false">IF($C238="","",Recurring!$D$19)</f>
        <v>43.87</v>
      </c>
      <c r="F238" s="80"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0" t="n">
        <f aca="false">IF($F238="","",IF(Recurring!$G$19="Move Before",IF(WEEKDAY($F238,2)=6,$F238-1,IF(WEEKDAY($F238,2)=7,$F238-2,$F238)),IF(Recurring!$G$19="Move After",IF(WEEKDAY($F238,2)=6,$F238+2,IF(WEEKDAY($F238,2)=7,$F238+1,$F238)),$F238)))</f>
        <v>46563</v>
      </c>
      <c r="H238" s="81" t="n">
        <f aca="false">IF($G238="",0,IF(AND($G238&gt;='Cash Flow'!$E$6,$G238&lt;'Cash Flow'!$E$6+91),1,0))</f>
        <v>0</v>
      </c>
      <c r="I238" s="81"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79" t="n">
        <f aca="false">IF($C239="","",Recurring!$D$19)</f>
        <v>43.87</v>
      </c>
      <c r="F239" s="80"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0" t="n">
        <f aca="false">IF($F239="","",IF(Recurring!$G$19="Move Before",IF(WEEKDAY($F239,2)=6,$F239-1,IF(WEEKDAY($F239,2)=7,$F239-2,$F239)),IF(Recurring!$G$19="Move After",IF(WEEKDAY($F239,2)=6,$F239+2,IF(WEEKDAY($F239,2)=7,$F239+1,$F239)),$F239)))</f>
        <v>46593</v>
      </c>
      <c r="H239" s="81" t="n">
        <f aca="false">IF($G239="",0,IF(AND($G239&gt;='Cash Flow'!$E$6,$G239&lt;'Cash Flow'!$E$6+91),1,0))</f>
        <v>0</v>
      </c>
      <c r="I239" s="81"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79" t="n">
        <f aca="false">IF($C240="","",Recurring!$D$19)</f>
        <v>43.87</v>
      </c>
      <c r="F240" s="80"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0" t="n">
        <f aca="false">IF($F240="","",IF(Recurring!$G$19="Move Before",IF(WEEKDAY($F240,2)=6,$F240-1,IF(WEEKDAY($F240,2)=7,$F240-2,$F240)),IF(Recurring!$G$19="Move After",IF(WEEKDAY($F240,2)=6,$F240+2,IF(WEEKDAY($F240,2)=7,$F240+1,$F240)),$F240)))</f>
        <v>46624</v>
      </c>
      <c r="H240" s="81" t="n">
        <f aca="false">IF($G240="",0,IF(AND($G240&gt;='Cash Flow'!$E$6,$G240&lt;'Cash Flow'!$E$6+91),1,0))</f>
        <v>0</v>
      </c>
      <c r="I240" s="81"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79" t="n">
        <f aca="false">IF($C241="","",Recurring!$D$19)</f>
        <v>43.87</v>
      </c>
      <c r="F241" s="80"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0" t="n">
        <f aca="false">IF($F241="","",IF(Recurring!$G$19="Move Before",IF(WEEKDAY($F241,2)=6,$F241-1,IF(WEEKDAY($F241,2)=7,$F241-2,$F241)),IF(Recurring!$G$19="Move After",IF(WEEKDAY($F241,2)=6,$F241+2,IF(WEEKDAY($F241,2)=7,$F241+1,$F241)),$F241)))</f>
        <v>46655</v>
      </c>
      <c r="H241" s="81" t="n">
        <f aca="false">IF($G241="",0,IF(AND($G241&gt;='Cash Flow'!$E$6,$G241&lt;'Cash Flow'!$E$6+91),1,0))</f>
        <v>0</v>
      </c>
      <c r="I241" s="81"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79" t="n">
        <f aca="false">IF($C242="","",Recurring!$D$19)</f>
        <v>43.87</v>
      </c>
      <c r="F242" s="80"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0" t="n">
        <f aca="false">IF($F242="","",IF(Recurring!$G$19="Move Before",IF(WEEKDAY($F242,2)=6,$F242-1,IF(WEEKDAY($F242,2)=7,$F242-2,$F242)),IF(Recurring!$G$19="Move After",IF(WEEKDAY($F242,2)=6,$F242+2,IF(WEEKDAY($F242,2)=7,$F242+1,$F242)),$F242)))</f>
        <v>46685</v>
      </c>
      <c r="H242" s="81" t="n">
        <f aca="false">IF($G242="",0,IF(AND($G242&gt;='Cash Flow'!$E$6,$G242&lt;'Cash Flow'!$E$6+91),1,0))</f>
        <v>0</v>
      </c>
      <c r="I242" s="81"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79" t="n">
        <f aca="false">IF($C243="","",Recurring!$D$19)</f>
        <v>43.87</v>
      </c>
      <c r="F243" s="80"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0" t="n">
        <f aca="false">IF($F243="","",IF(Recurring!$G$19="Move Before",IF(WEEKDAY($F243,2)=6,$F243-1,IF(WEEKDAY($F243,2)=7,$F243-2,$F243)),IF(Recurring!$G$19="Move After",IF(WEEKDAY($F243,2)=6,$F243+2,IF(WEEKDAY($F243,2)=7,$F243+1,$F243)),$F243)))</f>
        <v>46716</v>
      </c>
      <c r="H243" s="81" t="n">
        <f aca="false">IF($G243="",0,IF(AND($G243&gt;='Cash Flow'!$E$6,$G243&lt;'Cash Flow'!$E$6+91),1,0))</f>
        <v>0</v>
      </c>
      <c r="I243" s="81"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79" t="n">
        <f aca="false">IF($C244="","",Recurring!$D$20)</f>
        <v>150</v>
      </c>
      <c r="F244" s="80"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0" t="n">
        <f aca="false">IF($F244="","",IF(Recurring!$G$20="Move Before",IF(WEEKDAY($F244,2)=6,$F244-1,IF(WEEKDAY($F244,2)=7,$F244-2,$F244)),IF(Recurring!$G$20="Move After",IF(WEEKDAY($F244,2)=6,$F244+2,IF(WEEKDAY($F244,2)=7,$F244+1,$F244)),$F244)))</f>
        <v>46264</v>
      </c>
      <c r="H244" s="81" t="n">
        <f aca="false">IF($G244="",0,IF(AND($G244&gt;='Cash Flow'!$E$6-90,$G244&lt;'Cash Flow'!$E$6+91),1,0))</f>
        <v>1</v>
      </c>
      <c r="I244" s="81" t="n">
        <f aca="false">IF($H244=1,MAX(1,INT(($G244-'Cash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79" t="n">
        <f aca="false">IF($C245="","",Recurring!$D$20)</f>
        <v>150</v>
      </c>
      <c r="F245" s="80"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0" t="n">
        <f aca="false">IF($F245="","",IF(Recurring!$G$20="Move Before",IF(WEEKDAY($F245,2)=6,$F245-1,IF(WEEKDAY($F245,2)=7,$F245-2,$F245)),IF(Recurring!$G$20="Move After",IF(WEEKDAY($F245,2)=6,$F245+2,IF(WEEKDAY($F245,2)=7,$F245+1,$F245)),$F245)))</f>
        <v>46295</v>
      </c>
      <c r="H245" s="81" t="n">
        <f aca="false">IF($G245="",0,IF(AND($G245&gt;='Cash Flow'!$E$6,$G245&lt;'Cash Flow'!$E$6+91),1,0))</f>
        <v>1</v>
      </c>
      <c r="I245" s="81" t="n">
        <f aca="false">IF($H245=1,MAX(1,INT(($G245-'Cash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79" t="n">
        <f aca="false">IF($C246="","",Recurring!$D$20)</f>
        <v>150</v>
      </c>
      <c r="F246" s="80"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0" t="n">
        <f aca="false">IF($F246="","",IF(Recurring!$G$20="Move Before",IF(WEEKDAY($F246,2)=6,$F246-1,IF(WEEKDAY($F246,2)=7,$F246-2,$F246)),IF(Recurring!$G$20="Move After",IF(WEEKDAY($F246,2)=6,$F246+2,IF(WEEKDAY($F246,2)=7,$F246+1,$F246)),$F246)))</f>
        <v>46325</v>
      </c>
      <c r="H246" s="81" t="n">
        <f aca="false">IF($G246="",0,IF(AND($G246&gt;='Cash Flow'!$E$6,$G246&lt;'Cash Flow'!$E$6+91),1,0))</f>
        <v>1</v>
      </c>
      <c r="I246" s="81" t="n">
        <f aca="false">IF($H246=1,MAX(1,INT(($G246-'Cash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79" t="n">
        <f aca="false">IF($C247="","",Recurring!$D$20)</f>
        <v>150</v>
      </c>
      <c r="F247" s="80"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0" t="n">
        <f aca="false">IF($F247="","",IF(Recurring!$G$20="Move Before",IF(WEEKDAY($F247,2)=6,$F247-1,IF(WEEKDAY($F247,2)=7,$F247-2,$F247)),IF(Recurring!$G$20="Move After",IF(WEEKDAY($F247,2)=6,$F247+2,IF(WEEKDAY($F247,2)=7,$F247+1,$F247)),$F247)))</f>
        <v>46356</v>
      </c>
      <c r="H247" s="81" t="n">
        <f aca="false">IF($G247="",0,IF(AND($G247&gt;='Cash Flow'!$E$6,$G247&lt;'Cash Flow'!$E$6+91),1,0))</f>
        <v>0</v>
      </c>
      <c r="I247" s="81"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79" t="n">
        <f aca="false">IF($C248="","",Recurring!$D$20)</f>
        <v>150</v>
      </c>
      <c r="F248" s="80"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0" t="n">
        <f aca="false">IF($F248="","",IF(Recurring!$G$20="Move Before",IF(WEEKDAY($F248,2)=6,$F248-1,IF(WEEKDAY($F248,2)=7,$F248-2,$F248)),IF(Recurring!$G$20="Move After",IF(WEEKDAY($F248,2)=6,$F248+2,IF(WEEKDAY($F248,2)=7,$F248+1,$F248)),$F248)))</f>
        <v>46386</v>
      </c>
      <c r="H248" s="81" t="n">
        <f aca="false">IF($G248="",0,IF(AND($G248&gt;='Cash Flow'!$E$6,$G248&lt;'Cash Flow'!$E$6+91),1,0))</f>
        <v>0</v>
      </c>
      <c r="I248" s="81"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79" t="n">
        <f aca="false">IF($C249="","",Recurring!$D$20)</f>
        <v>150</v>
      </c>
      <c r="F249" s="80"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0" t="n">
        <f aca="false">IF($F249="","",IF(Recurring!$G$20="Move Before",IF(WEEKDAY($F249,2)=6,$F249-1,IF(WEEKDAY($F249,2)=7,$F249-2,$F249)),IF(Recurring!$G$20="Move After",IF(WEEKDAY($F249,2)=6,$F249+2,IF(WEEKDAY($F249,2)=7,$F249+1,$F249)),$F249)))</f>
        <v>46417</v>
      </c>
      <c r="H249" s="81" t="n">
        <f aca="false">IF($G249="",0,IF(AND($G249&gt;='Cash Flow'!$E$6,$G249&lt;'Cash Flow'!$E$6+91),1,0))</f>
        <v>0</v>
      </c>
      <c r="I249" s="81"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79" t="n">
        <f aca="false">IF($C250="","",Recurring!$D$20)</f>
        <v>150</v>
      </c>
      <c r="F250" s="80"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0" t="n">
        <f aca="false">IF($F250="","",IF(Recurring!$G$20="Move Before",IF(WEEKDAY($F250,2)=6,$F250-1,IF(WEEKDAY($F250,2)=7,$F250-2,$F250)),IF(Recurring!$G$20="Move After",IF(WEEKDAY($F250,2)=6,$F250+2,IF(WEEKDAY($F250,2)=7,$F250+1,$F250)),$F250)))</f>
        <v>46446</v>
      </c>
      <c r="H250" s="81" t="n">
        <f aca="false">IF($G250="",0,IF(AND($G250&gt;='Cash Flow'!$E$6,$G250&lt;'Cash Flow'!$E$6+91),1,0))</f>
        <v>0</v>
      </c>
      <c r="I250" s="81"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79" t="n">
        <f aca="false">IF($C251="","",Recurring!$D$20)</f>
        <v>150</v>
      </c>
      <c r="F251" s="80"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0" t="n">
        <f aca="false">IF($F251="","",IF(Recurring!$G$20="Move Before",IF(WEEKDAY($F251,2)=6,$F251-1,IF(WEEKDAY($F251,2)=7,$F251-2,$F251)),IF(Recurring!$G$20="Move After",IF(WEEKDAY($F251,2)=6,$F251+2,IF(WEEKDAY($F251,2)=7,$F251+1,$F251)),$F251)))</f>
        <v>46476</v>
      </c>
      <c r="H251" s="81" t="n">
        <f aca="false">IF($G251="",0,IF(AND($G251&gt;='Cash Flow'!$E$6,$G251&lt;'Cash Flow'!$E$6+91),1,0))</f>
        <v>0</v>
      </c>
      <c r="I251" s="81"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79" t="n">
        <f aca="false">IF($C252="","",Recurring!$D$20)</f>
        <v>150</v>
      </c>
      <c r="F252" s="80"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0" t="n">
        <f aca="false">IF($F252="","",IF(Recurring!$G$20="Move Before",IF(WEEKDAY($F252,2)=6,$F252-1,IF(WEEKDAY($F252,2)=7,$F252-2,$F252)),IF(Recurring!$G$20="Move After",IF(WEEKDAY($F252,2)=6,$F252+2,IF(WEEKDAY($F252,2)=7,$F252+1,$F252)),$F252)))</f>
        <v>46507</v>
      </c>
      <c r="H252" s="81" t="n">
        <f aca="false">IF($G252="",0,IF(AND($G252&gt;='Cash Flow'!$E$6,$G252&lt;'Cash Flow'!$E$6+91),1,0))</f>
        <v>0</v>
      </c>
      <c r="I252" s="81"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79" t="n">
        <f aca="false">IF($C253="","",Recurring!$D$20)</f>
        <v>150</v>
      </c>
      <c r="F253" s="80"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0" t="n">
        <f aca="false">IF($F253="","",IF(Recurring!$G$20="Move Before",IF(WEEKDAY($F253,2)=6,$F253-1,IF(WEEKDAY($F253,2)=7,$F253-2,$F253)),IF(Recurring!$G$20="Move After",IF(WEEKDAY($F253,2)=6,$F253+2,IF(WEEKDAY($F253,2)=7,$F253+1,$F253)),$F253)))</f>
        <v>46537</v>
      </c>
      <c r="H253" s="81" t="n">
        <f aca="false">IF($G253="",0,IF(AND($G253&gt;='Cash Flow'!$E$6,$G253&lt;'Cash Flow'!$E$6+91),1,0))</f>
        <v>0</v>
      </c>
      <c r="I253" s="81"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79" t="n">
        <f aca="false">IF($C254="","",Recurring!$D$20)</f>
        <v>150</v>
      </c>
      <c r="F254" s="80"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0" t="n">
        <f aca="false">IF($F254="","",IF(Recurring!$G$20="Move Before",IF(WEEKDAY($F254,2)=6,$F254-1,IF(WEEKDAY($F254,2)=7,$F254-2,$F254)),IF(Recurring!$G$20="Move After",IF(WEEKDAY($F254,2)=6,$F254+2,IF(WEEKDAY($F254,2)=7,$F254+1,$F254)),$F254)))</f>
        <v>46568</v>
      </c>
      <c r="H254" s="81" t="n">
        <f aca="false">IF($G254="",0,IF(AND($G254&gt;='Cash Flow'!$E$6,$G254&lt;'Cash Flow'!$E$6+91),1,0))</f>
        <v>0</v>
      </c>
      <c r="I254" s="81"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79" t="n">
        <f aca="false">IF($C255="","",Recurring!$D$20)</f>
        <v>150</v>
      </c>
      <c r="F255" s="80"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0" t="n">
        <f aca="false">IF($F255="","",IF(Recurring!$G$20="Move Before",IF(WEEKDAY($F255,2)=6,$F255-1,IF(WEEKDAY($F255,2)=7,$F255-2,$F255)),IF(Recurring!$G$20="Move After",IF(WEEKDAY($F255,2)=6,$F255+2,IF(WEEKDAY($F255,2)=7,$F255+1,$F255)),$F255)))</f>
        <v>46598</v>
      </c>
      <c r="H255" s="81" t="n">
        <f aca="false">IF($G255="",0,IF(AND($G255&gt;='Cash Flow'!$E$6,$G255&lt;'Cash Flow'!$E$6+91),1,0))</f>
        <v>0</v>
      </c>
      <c r="I255" s="81"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79" t="n">
        <f aca="false">IF($C256="","",Recurring!$D$20)</f>
        <v>150</v>
      </c>
      <c r="F256" s="80"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0" t="n">
        <f aca="false">IF($F256="","",IF(Recurring!$G$20="Move Before",IF(WEEKDAY($F256,2)=6,$F256-1,IF(WEEKDAY($F256,2)=7,$F256-2,$F256)),IF(Recurring!$G$20="Move After",IF(WEEKDAY($F256,2)=6,$F256+2,IF(WEEKDAY($F256,2)=7,$F256+1,$F256)),$F256)))</f>
        <v>46629</v>
      </c>
      <c r="H256" s="81" t="n">
        <f aca="false">IF($G256="",0,IF(AND($G256&gt;='Cash Flow'!$E$6,$G256&lt;'Cash Flow'!$E$6+91),1,0))</f>
        <v>0</v>
      </c>
      <c r="I256" s="81"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79" t="n">
        <f aca="false">IF($C257="","",Recurring!$D$20)</f>
        <v>150</v>
      </c>
      <c r="F257" s="80"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0" t="n">
        <f aca="false">IF($F257="","",IF(Recurring!$G$20="Move Before",IF(WEEKDAY($F257,2)=6,$F257-1,IF(WEEKDAY($F257,2)=7,$F257-2,$F257)),IF(Recurring!$G$20="Move After",IF(WEEKDAY($F257,2)=6,$F257+2,IF(WEEKDAY($F257,2)=7,$F257+1,$F257)),$F257)))</f>
        <v>46660</v>
      </c>
      <c r="H257" s="81" t="n">
        <f aca="false">IF($G257="",0,IF(AND($G257&gt;='Cash Flow'!$E$6,$G257&lt;'Cash Flow'!$E$6+91),1,0))</f>
        <v>0</v>
      </c>
      <c r="I257" s="81"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79" t="n">
        <f aca="false">IF($C258="","",Recurring!$D$20)</f>
        <v>150</v>
      </c>
      <c r="F258" s="80"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0" t="n">
        <f aca="false">IF($F258="","",IF(Recurring!$G$20="Move Before",IF(WEEKDAY($F258,2)=6,$F258-1,IF(WEEKDAY($F258,2)=7,$F258-2,$F258)),IF(Recurring!$G$20="Move After",IF(WEEKDAY($F258,2)=6,$F258+2,IF(WEEKDAY($F258,2)=7,$F258+1,$F258)),$F258)))</f>
        <v>46690</v>
      </c>
      <c r="H258" s="81" t="n">
        <f aca="false">IF($G258="",0,IF(AND($G258&gt;='Cash Flow'!$E$6,$G258&lt;'Cash Flow'!$E$6+91),1,0))</f>
        <v>0</v>
      </c>
      <c r="I258" s="81"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79" t="n">
        <f aca="false">IF($C259="","",Recurring!$D$20)</f>
        <v>150</v>
      </c>
      <c r="F259" s="80"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0" t="n">
        <f aca="false">IF($F259="","",IF(Recurring!$G$20="Move Before",IF(WEEKDAY($F259,2)=6,$F259-1,IF(WEEKDAY($F259,2)=7,$F259-2,$F259)),IF(Recurring!$G$20="Move After",IF(WEEKDAY($F259,2)=6,$F259+2,IF(WEEKDAY($F259,2)=7,$F259+1,$F259)),$F259)))</f>
        <v>46721</v>
      </c>
      <c r="H259" s="81" t="n">
        <f aca="false">IF($G259="",0,IF(AND($G259&gt;='Cash Flow'!$E$6,$G259&lt;'Cash Flow'!$E$6+91),1,0))</f>
        <v>0</v>
      </c>
      <c r="I259" s="81"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79" t="n">
        <f aca="false">IF($C260="","",Recurring!$D$21)</f>
        <v>143.37</v>
      </c>
      <c r="F260" s="80"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0" t="n">
        <f aca="false">IF($F260="","",IF(Recurring!$G$21="Move Before",IF(WEEKDAY($F260,2)=6,$F260-1,IF(WEEKDAY($F260,2)=7,$F260-2,$F260)),IF(Recurring!$G$21="Move After",IF(WEEKDAY($F260,2)=6,$F260+2,IF(WEEKDAY($F260,2)=7,$F260+1,$F260)),$F260)))</f>
        <v>46265</v>
      </c>
      <c r="H260" s="81" t="n">
        <f aca="false">IF($G260="",0,IF(AND($G260&gt;='Cash Flow'!$E$6-90,$G260&lt;'Cash Flow'!$E$6+91),1,0))</f>
        <v>1</v>
      </c>
      <c r="I260" s="81" t="n">
        <f aca="false">IF($H260=1,MAX(1,INT(($G260-'Cash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79" t="n">
        <f aca="false">IF($C261="","",Recurring!$D$21)</f>
        <v>143.37</v>
      </c>
      <c r="F261" s="80"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0" t="n">
        <f aca="false">IF($F261="","",IF(Recurring!$G$21="Move Before",IF(WEEKDAY($F261,2)=6,$F261-1,IF(WEEKDAY($F261,2)=7,$F261-2,$F261)),IF(Recurring!$G$21="Move After",IF(WEEKDAY($F261,2)=6,$F261+2,IF(WEEKDAY($F261,2)=7,$F261+1,$F261)),$F261)))</f>
        <v>46295</v>
      </c>
      <c r="H261" s="81" t="n">
        <f aca="false">IF($G261="",0,IF(AND($G261&gt;='Cash Flow'!$E$6,$G261&lt;'Cash Flow'!$E$6+91),1,0))</f>
        <v>1</v>
      </c>
      <c r="I261" s="81" t="n">
        <f aca="false">IF($H261=1,MAX(1,INT(($G261-'Cash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79" t="n">
        <f aca="false">IF($C262="","",Recurring!$D$21)</f>
        <v>143.37</v>
      </c>
      <c r="F262" s="80"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0" t="n">
        <f aca="false">IF($F262="","",IF(Recurring!$G$21="Move Before",IF(WEEKDAY($F262,2)=6,$F262-1,IF(WEEKDAY($F262,2)=7,$F262-2,$F262)),IF(Recurring!$G$21="Move After",IF(WEEKDAY($F262,2)=6,$F262+2,IF(WEEKDAY($F262,2)=7,$F262+1,$F262)),$F262)))</f>
        <v>46326</v>
      </c>
      <c r="H262" s="81" t="n">
        <f aca="false">IF($G262="",0,IF(AND($G262&gt;='Cash Flow'!$E$6,$G262&lt;'Cash Flow'!$E$6+91),1,0))</f>
        <v>1</v>
      </c>
      <c r="I262" s="81" t="n">
        <f aca="false">IF($H262=1,MAX(1,INT(($G262-'Cash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79" t="n">
        <f aca="false">IF($C263="","",Recurring!$D$21)</f>
        <v>143.37</v>
      </c>
      <c r="F263" s="80"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0" t="n">
        <f aca="false">IF($F263="","",IF(Recurring!$G$21="Move Before",IF(WEEKDAY($F263,2)=6,$F263-1,IF(WEEKDAY($F263,2)=7,$F263-2,$F263)),IF(Recurring!$G$21="Move After",IF(WEEKDAY($F263,2)=6,$F263+2,IF(WEEKDAY($F263,2)=7,$F263+1,$F263)),$F263)))</f>
        <v>46356</v>
      </c>
      <c r="H263" s="81" t="n">
        <f aca="false">IF($G263="",0,IF(AND($G263&gt;='Cash Flow'!$E$6,$G263&lt;'Cash Flow'!$E$6+91),1,0))</f>
        <v>0</v>
      </c>
      <c r="I263" s="81"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79" t="n">
        <f aca="false">IF($C264="","",Recurring!$D$21)</f>
        <v>143.37</v>
      </c>
      <c r="F264" s="80"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0" t="n">
        <f aca="false">IF($F264="","",IF(Recurring!$G$21="Move Before",IF(WEEKDAY($F264,2)=6,$F264-1,IF(WEEKDAY($F264,2)=7,$F264-2,$F264)),IF(Recurring!$G$21="Move After",IF(WEEKDAY($F264,2)=6,$F264+2,IF(WEEKDAY($F264,2)=7,$F264+1,$F264)),$F264)))</f>
        <v>46387</v>
      </c>
      <c r="H264" s="81" t="n">
        <f aca="false">IF($G264="",0,IF(AND($G264&gt;='Cash Flow'!$E$6,$G264&lt;'Cash Flow'!$E$6+91),1,0))</f>
        <v>0</v>
      </c>
      <c r="I264" s="81"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79" t="n">
        <f aca="false">IF($C265="","",Recurring!$D$21)</f>
        <v>143.37</v>
      </c>
      <c r="F265" s="80"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0" t="n">
        <f aca="false">IF($F265="","",IF(Recurring!$G$21="Move Before",IF(WEEKDAY($F265,2)=6,$F265-1,IF(WEEKDAY($F265,2)=7,$F265-2,$F265)),IF(Recurring!$G$21="Move After",IF(WEEKDAY($F265,2)=6,$F265+2,IF(WEEKDAY($F265,2)=7,$F265+1,$F265)),$F265)))</f>
        <v>46418</v>
      </c>
      <c r="H265" s="81" t="n">
        <f aca="false">IF($G265="",0,IF(AND($G265&gt;='Cash Flow'!$E$6,$G265&lt;'Cash Flow'!$E$6+91),1,0))</f>
        <v>0</v>
      </c>
      <c r="I265" s="81"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79" t="n">
        <f aca="false">IF($C266="","",Recurring!$D$21)</f>
        <v>143.37</v>
      </c>
      <c r="F266" s="80"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0" t="n">
        <f aca="false">IF($F266="","",IF(Recurring!$G$21="Move Before",IF(WEEKDAY($F266,2)=6,$F266-1,IF(WEEKDAY($F266,2)=7,$F266-2,$F266)),IF(Recurring!$G$21="Move After",IF(WEEKDAY($F266,2)=6,$F266+2,IF(WEEKDAY($F266,2)=7,$F266+1,$F266)),$F266)))</f>
        <v>46446</v>
      </c>
      <c r="H266" s="81" t="n">
        <f aca="false">IF($G266="",0,IF(AND($G266&gt;='Cash Flow'!$E$6,$G266&lt;'Cash Flow'!$E$6+91),1,0))</f>
        <v>0</v>
      </c>
      <c r="I266" s="81"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79" t="n">
        <f aca="false">IF($C267="","",Recurring!$D$21)</f>
        <v>143.37</v>
      </c>
      <c r="F267" s="80"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0" t="n">
        <f aca="false">IF($F267="","",IF(Recurring!$G$21="Move Before",IF(WEEKDAY($F267,2)=6,$F267-1,IF(WEEKDAY($F267,2)=7,$F267-2,$F267)),IF(Recurring!$G$21="Move After",IF(WEEKDAY($F267,2)=6,$F267+2,IF(WEEKDAY($F267,2)=7,$F267+1,$F267)),$F267)))</f>
        <v>46477</v>
      </c>
      <c r="H267" s="81" t="n">
        <f aca="false">IF($G267="",0,IF(AND($G267&gt;='Cash Flow'!$E$6,$G267&lt;'Cash Flow'!$E$6+91),1,0))</f>
        <v>0</v>
      </c>
      <c r="I267" s="81"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79" t="n">
        <f aca="false">IF($C268="","",Recurring!$D$21)</f>
        <v>143.37</v>
      </c>
      <c r="F268" s="80"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0" t="n">
        <f aca="false">IF($F268="","",IF(Recurring!$G$21="Move Before",IF(WEEKDAY($F268,2)=6,$F268-1,IF(WEEKDAY($F268,2)=7,$F268-2,$F268)),IF(Recurring!$G$21="Move After",IF(WEEKDAY($F268,2)=6,$F268+2,IF(WEEKDAY($F268,2)=7,$F268+1,$F268)),$F268)))</f>
        <v>46507</v>
      </c>
      <c r="H268" s="81" t="n">
        <f aca="false">IF($G268="",0,IF(AND($G268&gt;='Cash Flow'!$E$6,$G268&lt;'Cash Flow'!$E$6+91),1,0))</f>
        <v>0</v>
      </c>
      <c r="I268" s="81"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79" t="n">
        <f aca="false">IF($C269="","",Recurring!$D$21)</f>
        <v>143.37</v>
      </c>
      <c r="F269" s="80"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0" t="n">
        <f aca="false">IF($F269="","",IF(Recurring!$G$21="Move Before",IF(WEEKDAY($F269,2)=6,$F269-1,IF(WEEKDAY($F269,2)=7,$F269-2,$F269)),IF(Recurring!$G$21="Move After",IF(WEEKDAY($F269,2)=6,$F269+2,IF(WEEKDAY($F269,2)=7,$F269+1,$F269)),$F269)))</f>
        <v>46538</v>
      </c>
      <c r="H269" s="81" t="n">
        <f aca="false">IF($G269="",0,IF(AND($G269&gt;='Cash Flow'!$E$6,$G269&lt;'Cash Flow'!$E$6+91),1,0))</f>
        <v>0</v>
      </c>
      <c r="I269" s="81"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79" t="n">
        <f aca="false">IF($C270="","",Recurring!$D$21)</f>
        <v>143.37</v>
      </c>
      <c r="F270" s="80"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0" t="n">
        <f aca="false">IF($F270="","",IF(Recurring!$G$21="Move Before",IF(WEEKDAY($F270,2)=6,$F270-1,IF(WEEKDAY($F270,2)=7,$F270-2,$F270)),IF(Recurring!$G$21="Move After",IF(WEEKDAY($F270,2)=6,$F270+2,IF(WEEKDAY($F270,2)=7,$F270+1,$F270)),$F270)))</f>
        <v>46568</v>
      </c>
      <c r="H270" s="81" t="n">
        <f aca="false">IF($G270="",0,IF(AND($G270&gt;='Cash Flow'!$E$6,$G270&lt;'Cash Flow'!$E$6+91),1,0))</f>
        <v>0</v>
      </c>
      <c r="I270" s="81"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79" t="n">
        <f aca="false">IF($C271="","",Recurring!$D$21)</f>
        <v>143.37</v>
      </c>
      <c r="F271" s="80"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0" t="n">
        <f aca="false">IF($F271="","",IF(Recurring!$G$21="Move Before",IF(WEEKDAY($F271,2)=6,$F271-1,IF(WEEKDAY($F271,2)=7,$F271-2,$F271)),IF(Recurring!$G$21="Move After",IF(WEEKDAY($F271,2)=6,$F271+2,IF(WEEKDAY($F271,2)=7,$F271+1,$F271)),$F271)))</f>
        <v>46599</v>
      </c>
      <c r="H271" s="81" t="n">
        <f aca="false">IF($G271="",0,IF(AND($G271&gt;='Cash Flow'!$E$6,$G271&lt;'Cash Flow'!$E$6+91),1,0))</f>
        <v>0</v>
      </c>
      <c r="I271" s="81"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79" t="n">
        <f aca="false">IF($C272="","",Recurring!$D$21)</f>
        <v>143.37</v>
      </c>
      <c r="F272" s="80"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0" t="n">
        <f aca="false">IF($F272="","",IF(Recurring!$G$21="Move Before",IF(WEEKDAY($F272,2)=6,$F272-1,IF(WEEKDAY($F272,2)=7,$F272-2,$F272)),IF(Recurring!$G$21="Move After",IF(WEEKDAY($F272,2)=6,$F272+2,IF(WEEKDAY($F272,2)=7,$F272+1,$F272)),$F272)))</f>
        <v>46630</v>
      </c>
      <c r="H272" s="81" t="n">
        <f aca="false">IF($G272="",0,IF(AND($G272&gt;='Cash Flow'!$E$6,$G272&lt;'Cash Flow'!$E$6+91),1,0))</f>
        <v>0</v>
      </c>
      <c r="I272" s="81"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79" t="n">
        <f aca="false">IF($C273="","",Recurring!$D$21)</f>
        <v>143.37</v>
      </c>
      <c r="F273" s="80"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0" t="n">
        <f aca="false">IF($F273="","",IF(Recurring!$G$21="Move Before",IF(WEEKDAY($F273,2)=6,$F273-1,IF(WEEKDAY($F273,2)=7,$F273-2,$F273)),IF(Recurring!$G$21="Move After",IF(WEEKDAY($F273,2)=6,$F273+2,IF(WEEKDAY($F273,2)=7,$F273+1,$F273)),$F273)))</f>
        <v>46660</v>
      </c>
      <c r="H273" s="81" t="n">
        <f aca="false">IF($G273="",0,IF(AND($G273&gt;='Cash Flow'!$E$6,$G273&lt;'Cash Flow'!$E$6+91),1,0))</f>
        <v>0</v>
      </c>
      <c r="I273" s="81"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79" t="n">
        <f aca="false">IF($C274="","",Recurring!$D$21)</f>
        <v>143.37</v>
      </c>
      <c r="F274" s="80"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0" t="n">
        <f aca="false">IF($F274="","",IF(Recurring!$G$21="Move Before",IF(WEEKDAY($F274,2)=6,$F274-1,IF(WEEKDAY($F274,2)=7,$F274-2,$F274)),IF(Recurring!$G$21="Move After",IF(WEEKDAY($F274,2)=6,$F274+2,IF(WEEKDAY($F274,2)=7,$F274+1,$F274)),$F274)))</f>
        <v>46691</v>
      </c>
      <c r="H274" s="81" t="n">
        <f aca="false">IF($G274="",0,IF(AND($G274&gt;='Cash Flow'!$E$6,$G274&lt;'Cash Flow'!$E$6+91),1,0))</f>
        <v>0</v>
      </c>
      <c r="I274" s="81"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79" t="n">
        <f aca="false">IF($C275="","",Recurring!$D$21)</f>
        <v>143.37</v>
      </c>
      <c r="F275" s="80"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0" t="n">
        <f aca="false">IF($F275="","",IF(Recurring!$G$21="Move Before",IF(WEEKDAY($F275,2)=6,$F275-1,IF(WEEKDAY($F275,2)=7,$F275-2,$F275)),IF(Recurring!$G$21="Move After",IF(WEEKDAY($F275,2)=6,$F275+2,IF(WEEKDAY($F275,2)=7,$F275+1,$F275)),$F275)))</f>
        <v>46721</v>
      </c>
      <c r="H275" s="81" t="n">
        <f aca="false">IF($G275="",0,IF(AND($G275&gt;='Cash Flow'!$E$6,$G275&lt;'Cash Flow'!$E$6+91),1,0))</f>
        <v>0</v>
      </c>
      <c r="I275" s="81"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79" t="str">
        <f aca="false">IF($C276="","",Recurring!$D$22)</f>
        <v/>
      </c>
      <c r="F276" s="80"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0" t="str">
        <f aca="false">IF($F276="","",IF(Recurring!$G$22="Move Before",IF(WEEKDAY($F276,2)=6,$F276-1,IF(WEEKDAY($F276,2)=7,$F276-2,$F276)),IF(Recurring!$G$22="Move After",IF(WEEKDAY($F276,2)=6,$F276+2,IF(WEEKDAY($F276,2)=7,$F276+1,$F276)),$F276)))</f>
        <v/>
      </c>
      <c r="H276" s="81" t="n">
        <f aca="false">IF($G276="",0,IF(AND($G276&gt;='Cash Flow'!$E$6-90,$G276&lt;'Cash Flow'!$E$6+91),1,0))</f>
        <v>0</v>
      </c>
      <c r="I276" s="81"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79" t="str">
        <f aca="false">IF($C277="","",Recurring!$D$22)</f>
        <v/>
      </c>
      <c r="F277" s="80"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0" t="str">
        <f aca="false">IF($F277="","",IF(Recurring!$G$22="Move Before",IF(WEEKDAY($F277,2)=6,$F277-1,IF(WEEKDAY($F277,2)=7,$F277-2,$F277)),IF(Recurring!$G$22="Move After",IF(WEEKDAY($F277,2)=6,$F277+2,IF(WEEKDAY($F277,2)=7,$F277+1,$F277)),$F277)))</f>
        <v/>
      </c>
      <c r="H277" s="81" t="n">
        <f aca="false">IF($G277="",0,IF(AND($G277&gt;='Cash Flow'!$E$6,$G277&lt;'Cash Flow'!$E$6+91),1,0))</f>
        <v>0</v>
      </c>
      <c r="I277" s="81"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79" t="str">
        <f aca="false">IF($C278="","",Recurring!$D$22)</f>
        <v/>
      </c>
      <c r="F278" s="80"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0" t="str">
        <f aca="false">IF($F278="","",IF(Recurring!$G$22="Move Before",IF(WEEKDAY($F278,2)=6,$F278-1,IF(WEEKDAY($F278,2)=7,$F278-2,$F278)),IF(Recurring!$G$22="Move After",IF(WEEKDAY($F278,2)=6,$F278+2,IF(WEEKDAY($F278,2)=7,$F278+1,$F278)),$F278)))</f>
        <v/>
      </c>
      <c r="H278" s="81" t="n">
        <f aca="false">IF($G278="",0,IF(AND($G278&gt;='Cash Flow'!$E$6,$G278&lt;'Cash Flow'!$E$6+91),1,0))</f>
        <v>0</v>
      </c>
      <c r="I278" s="81"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79" t="str">
        <f aca="false">IF($C279="","",Recurring!$D$22)</f>
        <v/>
      </c>
      <c r="F279" s="80"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0" t="str">
        <f aca="false">IF($F279="","",IF(Recurring!$G$22="Move Before",IF(WEEKDAY($F279,2)=6,$F279-1,IF(WEEKDAY($F279,2)=7,$F279-2,$F279)),IF(Recurring!$G$22="Move After",IF(WEEKDAY($F279,2)=6,$F279+2,IF(WEEKDAY($F279,2)=7,$F279+1,$F279)),$F279)))</f>
        <v/>
      </c>
      <c r="H279" s="81" t="n">
        <f aca="false">IF($G279="",0,IF(AND($G279&gt;='Cash Flow'!$E$6,$G279&lt;'Cash Flow'!$E$6+91),1,0))</f>
        <v>0</v>
      </c>
      <c r="I279" s="81"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79" t="str">
        <f aca="false">IF($C280="","",Recurring!$D$22)</f>
        <v/>
      </c>
      <c r="F280" s="80"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0" t="str">
        <f aca="false">IF($F280="","",IF(Recurring!$G$22="Move Before",IF(WEEKDAY($F280,2)=6,$F280-1,IF(WEEKDAY($F280,2)=7,$F280-2,$F280)),IF(Recurring!$G$22="Move After",IF(WEEKDAY($F280,2)=6,$F280+2,IF(WEEKDAY($F280,2)=7,$F280+1,$F280)),$F280)))</f>
        <v/>
      </c>
      <c r="H280" s="81" t="n">
        <f aca="false">IF($G280="",0,IF(AND($G280&gt;='Cash Flow'!$E$6,$G280&lt;'Cash Flow'!$E$6+91),1,0))</f>
        <v>0</v>
      </c>
      <c r="I280" s="81"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79" t="str">
        <f aca="false">IF($C281="","",Recurring!$D$22)</f>
        <v/>
      </c>
      <c r="F281" s="80"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0" t="str">
        <f aca="false">IF($F281="","",IF(Recurring!$G$22="Move Before",IF(WEEKDAY($F281,2)=6,$F281-1,IF(WEEKDAY($F281,2)=7,$F281-2,$F281)),IF(Recurring!$G$22="Move After",IF(WEEKDAY($F281,2)=6,$F281+2,IF(WEEKDAY($F281,2)=7,$F281+1,$F281)),$F281)))</f>
        <v/>
      </c>
      <c r="H281" s="81" t="n">
        <f aca="false">IF($G281="",0,IF(AND($G281&gt;='Cash Flow'!$E$6,$G281&lt;'Cash Flow'!$E$6+91),1,0))</f>
        <v>0</v>
      </c>
      <c r="I281" s="81"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79" t="str">
        <f aca="false">IF($C282="","",Recurring!$D$22)</f>
        <v/>
      </c>
      <c r="F282" s="80"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0" t="str">
        <f aca="false">IF($F282="","",IF(Recurring!$G$22="Move Before",IF(WEEKDAY($F282,2)=6,$F282-1,IF(WEEKDAY($F282,2)=7,$F282-2,$F282)),IF(Recurring!$G$22="Move After",IF(WEEKDAY($F282,2)=6,$F282+2,IF(WEEKDAY($F282,2)=7,$F282+1,$F282)),$F282)))</f>
        <v/>
      </c>
      <c r="H282" s="81" t="n">
        <f aca="false">IF($G282="",0,IF(AND($G282&gt;='Cash Flow'!$E$6,$G282&lt;'Cash Flow'!$E$6+91),1,0))</f>
        <v>0</v>
      </c>
      <c r="I282" s="81"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79" t="str">
        <f aca="false">IF($C283="","",Recurring!$D$22)</f>
        <v/>
      </c>
      <c r="F283" s="80"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0" t="str">
        <f aca="false">IF($F283="","",IF(Recurring!$G$22="Move Before",IF(WEEKDAY($F283,2)=6,$F283-1,IF(WEEKDAY($F283,2)=7,$F283-2,$F283)),IF(Recurring!$G$22="Move After",IF(WEEKDAY($F283,2)=6,$F283+2,IF(WEEKDAY($F283,2)=7,$F283+1,$F283)),$F283)))</f>
        <v/>
      </c>
      <c r="H283" s="81" t="n">
        <f aca="false">IF($G283="",0,IF(AND($G283&gt;='Cash Flow'!$E$6,$G283&lt;'Cash Flow'!$E$6+91),1,0))</f>
        <v>0</v>
      </c>
      <c r="I283" s="81"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79" t="str">
        <f aca="false">IF($C284="","",Recurring!$D$22)</f>
        <v/>
      </c>
      <c r="F284" s="80"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0" t="str">
        <f aca="false">IF($F284="","",IF(Recurring!$G$22="Move Before",IF(WEEKDAY($F284,2)=6,$F284-1,IF(WEEKDAY($F284,2)=7,$F284-2,$F284)),IF(Recurring!$G$22="Move After",IF(WEEKDAY($F284,2)=6,$F284+2,IF(WEEKDAY($F284,2)=7,$F284+1,$F284)),$F284)))</f>
        <v/>
      </c>
      <c r="H284" s="81" t="n">
        <f aca="false">IF($G284="",0,IF(AND($G284&gt;='Cash Flow'!$E$6,$G284&lt;'Cash Flow'!$E$6+91),1,0))</f>
        <v>0</v>
      </c>
      <c r="I284" s="81"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79" t="str">
        <f aca="false">IF($C285="","",Recurring!$D$22)</f>
        <v/>
      </c>
      <c r="F285" s="80"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0" t="str">
        <f aca="false">IF($F285="","",IF(Recurring!$G$22="Move Before",IF(WEEKDAY($F285,2)=6,$F285-1,IF(WEEKDAY($F285,2)=7,$F285-2,$F285)),IF(Recurring!$G$22="Move After",IF(WEEKDAY($F285,2)=6,$F285+2,IF(WEEKDAY($F285,2)=7,$F285+1,$F285)),$F285)))</f>
        <v/>
      </c>
      <c r="H285" s="81" t="n">
        <f aca="false">IF($G285="",0,IF(AND($G285&gt;='Cash Flow'!$E$6,$G285&lt;'Cash Flow'!$E$6+91),1,0))</f>
        <v>0</v>
      </c>
      <c r="I285" s="81"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79" t="str">
        <f aca="false">IF($C286="","",Recurring!$D$22)</f>
        <v/>
      </c>
      <c r="F286" s="80"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0" t="str">
        <f aca="false">IF($F286="","",IF(Recurring!$G$22="Move Before",IF(WEEKDAY($F286,2)=6,$F286-1,IF(WEEKDAY($F286,2)=7,$F286-2,$F286)),IF(Recurring!$G$22="Move After",IF(WEEKDAY($F286,2)=6,$F286+2,IF(WEEKDAY($F286,2)=7,$F286+1,$F286)),$F286)))</f>
        <v/>
      </c>
      <c r="H286" s="81" t="n">
        <f aca="false">IF($G286="",0,IF(AND($G286&gt;='Cash Flow'!$E$6,$G286&lt;'Cash Flow'!$E$6+91),1,0))</f>
        <v>0</v>
      </c>
      <c r="I286" s="81"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79" t="str">
        <f aca="false">IF($C287="","",Recurring!$D$22)</f>
        <v/>
      </c>
      <c r="F287" s="80"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0" t="str">
        <f aca="false">IF($F287="","",IF(Recurring!$G$22="Move Before",IF(WEEKDAY($F287,2)=6,$F287-1,IF(WEEKDAY($F287,2)=7,$F287-2,$F287)),IF(Recurring!$G$22="Move After",IF(WEEKDAY($F287,2)=6,$F287+2,IF(WEEKDAY($F287,2)=7,$F287+1,$F287)),$F287)))</f>
        <v/>
      </c>
      <c r="H287" s="81" t="n">
        <f aca="false">IF($G287="",0,IF(AND($G287&gt;='Cash Flow'!$E$6,$G287&lt;'Cash Flow'!$E$6+91),1,0))</f>
        <v>0</v>
      </c>
      <c r="I287" s="81"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79" t="str">
        <f aca="false">IF($C288="","",Recurring!$D$22)</f>
        <v/>
      </c>
      <c r="F288" s="80"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0" t="str">
        <f aca="false">IF($F288="","",IF(Recurring!$G$22="Move Before",IF(WEEKDAY($F288,2)=6,$F288-1,IF(WEEKDAY($F288,2)=7,$F288-2,$F288)),IF(Recurring!$G$22="Move After",IF(WEEKDAY($F288,2)=6,$F288+2,IF(WEEKDAY($F288,2)=7,$F288+1,$F288)),$F288)))</f>
        <v/>
      </c>
      <c r="H288" s="81" t="n">
        <f aca="false">IF($G288="",0,IF(AND($G288&gt;='Cash Flow'!$E$6,$G288&lt;'Cash Flow'!$E$6+91),1,0))</f>
        <v>0</v>
      </c>
      <c r="I288" s="81"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79" t="str">
        <f aca="false">IF($C289="","",Recurring!$D$22)</f>
        <v/>
      </c>
      <c r="F289" s="80"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0" t="str">
        <f aca="false">IF($F289="","",IF(Recurring!$G$22="Move Before",IF(WEEKDAY($F289,2)=6,$F289-1,IF(WEEKDAY($F289,2)=7,$F289-2,$F289)),IF(Recurring!$G$22="Move After",IF(WEEKDAY($F289,2)=6,$F289+2,IF(WEEKDAY($F289,2)=7,$F289+1,$F289)),$F289)))</f>
        <v/>
      </c>
      <c r="H289" s="81" t="n">
        <f aca="false">IF($G289="",0,IF(AND($G289&gt;='Cash Flow'!$E$6,$G289&lt;'Cash Flow'!$E$6+91),1,0))</f>
        <v>0</v>
      </c>
      <c r="I289" s="81"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79" t="str">
        <f aca="false">IF($C290="","",Recurring!$D$22)</f>
        <v/>
      </c>
      <c r="F290" s="80"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0" t="str">
        <f aca="false">IF($F290="","",IF(Recurring!$G$22="Move Before",IF(WEEKDAY($F290,2)=6,$F290-1,IF(WEEKDAY($F290,2)=7,$F290-2,$F290)),IF(Recurring!$G$22="Move After",IF(WEEKDAY($F290,2)=6,$F290+2,IF(WEEKDAY($F290,2)=7,$F290+1,$F290)),$F290)))</f>
        <v/>
      </c>
      <c r="H290" s="81" t="n">
        <f aca="false">IF($G290="",0,IF(AND($G290&gt;='Cash Flow'!$E$6,$G290&lt;'Cash Flow'!$E$6+91),1,0))</f>
        <v>0</v>
      </c>
      <c r="I290" s="81"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79" t="str">
        <f aca="false">IF($C291="","",Recurring!$D$22)</f>
        <v/>
      </c>
      <c r="F291" s="80"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0" t="str">
        <f aca="false">IF($F291="","",IF(Recurring!$G$22="Move Before",IF(WEEKDAY($F291,2)=6,$F291-1,IF(WEEKDAY($F291,2)=7,$F291-2,$F291)),IF(Recurring!$G$22="Move After",IF(WEEKDAY($F291,2)=6,$F291+2,IF(WEEKDAY($F291,2)=7,$F291+1,$F291)),$F291)))</f>
        <v/>
      </c>
      <c r="H291" s="81" t="n">
        <f aca="false">IF($G291="",0,IF(AND($G291&gt;='Cash Flow'!$E$6,$G291&lt;'Cash Flow'!$E$6+91),1,0))</f>
        <v>0</v>
      </c>
      <c r="I291" s="81"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79" t="str">
        <f aca="false">IF($C292="","",Recurring!$D$23)</f>
        <v/>
      </c>
      <c r="F292" s="80"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0" t="str">
        <f aca="false">IF($F292="","",IF(Recurring!$G$23="Move Before",IF(WEEKDAY($F292,2)=6,$F292-1,IF(WEEKDAY($F292,2)=7,$F292-2,$F292)),IF(Recurring!$G$23="Move After",IF(WEEKDAY($F292,2)=6,$F292+2,IF(WEEKDAY($F292,2)=7,$F292+1,$F292)),$F292)))</f>
        <v/>
      </c>
      <c r="H292" s="81" t="n">
        <f aca="false">IF($G292="",0,IF(AND($G292&gt;='Cash Flow'!$E$6-90,$G292&lt;'Cash Flow'!$E$6+91),1,0))</f>
        <v>0</v>
      </c>
      <c r="I292" s="81"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79" t="str">
        <f aca="false">IF($C293="","",Recurring!$D$23)</f>
        <v/>
      </c>
      <c r="F293" s="80"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0" t="str">
        <f aca="false">IF($F293="","",IF(Recurring!$G$23="Move Before",IF(WEEKDAY($F293,2)=6,$F293-1,IF(WEEKDAY($F293,2)=7,$F293-2,$F293)),IF(Recurring!$G$23="Move After",IF(WEEKDAY($F293,2)=6,$F293+2,IF(WEEKDAY($F293,2)=7,$F293+1,$F293)),$F293)))</f>
        <v/>
      </c>
      <c r="H293" s="81" t="n">
        <f aca="false">IF($G293="",0,IF(AND($G293&gt;='Cash Flow'!$E$6,$G293&lt;'Cash Flow'!$E$6+91),1,0))</f>
        <v>0</v>
      </c>
      <c r="I293" s="81"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79" t="str">
        <f aca="false">IF($C294="","",Recurring!$D$23)</f>
        <v/>
      </c>
      <c r="F294" s="80"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0" t="str">
        <f aca="false">IF($F294="","",IF(Recurring!$G$23="Move Before",IF(WEEKDAY($F294,2)=6,$F294-1,IF(WEEKDAY($F294,2)=7,$F294-2,$F294)),IF(Recurring!$G$23="Move After",IF(WEEKDAY($F294,2)=6,$F294+2,IF(WEEKDAY($F294,2)=7,$F294+1,$F294)),$F294)))</f>
        <v/>
      </c>
      <c r="H294" s="81" t="n">
        <f aca="false">IF($G294="",0,IF(AND($G294&gt;='Cash Flow'!$E$6,$G294&lt;'Cash Flow'!$E$6+91),1,0))</f>
        <v>0</v>
      </c>
      <c r="I294" s="81"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79" t="str">
        <f aca="false">IF($C295="","",Recurring!$D$23)</f>
        <v/>
      </c>
      <c r="F295" s="80"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0" t="str">
        <f aca="false">IF($F295="","",IF(Recurring!$G$23="Move Before",IF(WEEKDAY($F295,2)=6,$F295-1,IF(WEEKDAY($F295,2)=7,$F295-2,$F295)),IF(Recurring!$G$23="Move After",IF(WEEKDAY($F295,2)=6,$F295+2,IF(WEEKDAY($F295,2)=7,$F295+1,$F295)),$F295)))</f>
        <v/>
      </c>
      <c r="H295" s="81" t="n">
        <f aca="false">IF($G295="",0,IF(AND($G295&gt;='Cash Flow'!$E$6,$G295&lt;'Cash Flow'!$E$6+91),1,0))</f>
        <v>0</v>
      </c>
      <c r="I295" s="81"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79" t="str">
        <f aca="false">IF($C296="","",Recurring!$D$23)</f>
        <v/>
      </c>
      <c r="F296" s="80"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0" t="str">
        <f aca="false">IF($F296="","",IF(Recurring!$G$23="Move Before",IF(WEEKDAY($F296,2)=6,$F296-1,IF(WEEKDAY($F296,2)=7,$F296-2,$F296)),IF(Recurring!$G$23="Move After",IF(WEEKDAY($F296,2)=6,$F296+2,IF(WEEKDAY($F296,2)=7,$F296+1,$F296)),$F296)))</f>
        <v/>
      </c>
      <c r="H296" s="81" t="n">
        <f aca="false">IF($G296="",0,IF(AND($G296&gt;='Cash Flow'!$E$6,$G296&lt;'Cash Flow'!$E$6+91),1,0))</f>
        <v>0</v>
      </c>
      <c r="I296" s="81"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79" t="str">
        <f aca="false">IF($C297="","",Recurring!$D$23)</f>
        <v/>
      </c>
      <c r="F297" s="80"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0" t="str">
        <f aca="false">IF($F297="","",IF(Recurring!$G$23="Move Before",IF(WEEKDAY($F297,2)=6,$F297-1,IF(WEEKDAY($F297,2)=7,$F297-2,$F297)),IF(Recurring!$G$23="Move After",IF(WEEKDAY($F297,2)=6,$F297+2,IF(WEEKDAY($F297,2)=7,$F297+1,$F297)),$F297)))</f>
        <v/>
      </c>
      <c r="H297" s="81" t="n">
        <f aca="false">IF($G297="",0,IF(AND($G297&gt;='Cash Flow'!$E$6,$G297&lt;'Cash Flow'!$E$6+91),1,0))</f>
        <v>0</v>
      </c>
      <c r="I297" s="81"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79" t="str">
        <f aca="false">IF($C298="","",Recurring!$D$23)</f>
        <v/>
      </c>
      <c r="F298" s="80"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0" t="str">
        <f aca="false">IF($F298="","",IF(Recurring!$G$23="Move Before",IF(WEEKDAY($F298,2)=6,$F298-1,IF(WEEKDAY($F298,2)=7,$F298-2,$F298)),IF(Recurring!$G$23="Move After",IF(WEEKDAY($F298,2)=6,$F298+2,IF(WEEKDAY($F298,2)=7,$F298+1,$F298)),$F298)))</f>
        <v/>
      </c>
      <c r="H298" s="81" t="n">
        <f aca="false">IF($G298="",0,IF(AND($G298&gt;='Cash Flow'!$E$6,$G298&lt;'Cash Flow'!$E$6+91),1,0))</f>
        <v>0</v>
      </c>
      <c r="I298" s="81"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79" t="str">
        <f aca="false">IF($C299="","",Recurring!$D$23)</f>
        <v/>
      </c>
      <c r="F299" s="80"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0" t="str">
        <f aca="false">IF($F299="","",IF(Recurring!$G$23="Move Before",IF(WEEKDAY($F299,2)=6,$F299-1,IF(WEEKDAY($F299,2)=7,$F299-2,$F299)),IF(Recurring!$G$23="Move After",IF(WEEKDAY($F299,2)=6,$F299+2,IF(WEEKDAY($F299,2)=7,$F299+1,$F299)),$F299)))</f>
        <v/>
      </c>
      <c r="H299" s="81" t="n">
        <f aca="false">IF($G299="",0,IF(AND($G299&gt;='Cash Flow'!$E$6,$G299&lt;'Cash Flow'!$E$6+91),1,0))</f>
        <v>0</v>
      </c>
      <c r="I299" s="81"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79" t="str">
        <f aca="false">IF($C300="","",Recurring!$D$23)</f>
        <v/>
      </c>
      <c r="F300" s="80"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0" t="str">
        <f aca="false">IF($F300="","",IF(Recurring!$G$23="Move Before",IF(WEEKDAY($F300,2)=6,$F300-1,IF(WEEKDAY($F300,2)=7,$F300-2,$F300)),IF(Recurring!$G$23="Move After",IF(WEEKDAY($F300,2)=6,$F300+2,IF(WEEKDAY($F300,2)=7,$F300+1,$F300)),$F300)))</f>
        <v/>
      </c>
      <c r="H300" s="81" t="n">
        <f aca="false">IF($G300="",0,IF(AND($G300&gt;='Cash Flow'!$E$6,$G300&lt;'Cash Flow'!$E$6+91),1,0))</f>
        <v>0</v>
      </c>
      <c r="I300" s="81"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79" t="str">
        <f aca="false">IF($C301="","",Recurring!$D$23)</f>
        <v/>
      </c>
      <c r="F301" s="80"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0" t="str">
        <f aca="false">IF($F301="","",IF(Recurring!$G$23="Move Before",IF(WEEKDAY($F301,2)=6,$F301-1,IF(WEEKDAY($F301,2)=7,$F301-2,$F301)),IF(Recurring!$G$23="Move After",IF(WEEKDAY($F301,2)=6,$F301+2,IF(WEEKDAY($F301,2)=7,$F301+1,$F301)),$F301)))</f>
        <v/>
      </c>
      <c r="H301" s="81" t="n">
        <f aca="false">IF($G301="",0,IF(AND($G301&gt;='Cash Flow'!$E$6,$G301&lt;'Cash Flow'!$E$6+91),1,0))</f>
        <v>0</v>
      </c>
      <c r="I301" s="81"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79" t="str">
        <f aca="false">IF($C302="","",Recurring!$D$23)</f>
        <v/>
      </c>
      <c r="F302" s="80"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0" t="str">
        <f aca="false">IF($F302="","",IF(Recurring!$G$23="Move Before",IF(WEEKDAY($F302,2)=6,$F302-1,IF(WEEKDAY($F302,2)=7,$F302-2,$F302)),IF(Recurring!$G$23="Move After",IF(WEEKDAY($F302,2)=6,$F302+2,IF(WEEKDAY($F302,2)=7,$F302+1,$F302)),$F302)))</f>
        <v/>
      </c>
      <c r="H302" s="81" t="n">
        <f aca="false">IF($G302="",0,IF(AND($G302&gt;='Cash Flow'!$E$6,$G302&lt;'Cash Flow'!$E$6+91),1,0))</f>
        <v>0</v>
      </c>
      <c r="I302" s="81"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79" t="str">
        <f aca="false">IF($C303="","",Recurring!$D$23)</f>
        <v/>
      </c>
      <c r="F303" s="80"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0" t="str">
        <f aca="false">IF($F303="","",IF(Recurring!$G$23="Move Before",IF(WEEKDAY($F303,2)=6,$F303-1,IF(WEEKDAY($F303,2)=7,$F303-2,$F303)),IF(Recurring!$G$23="Move After",IF(WEEKDAY($F303,2)=6,$F303+2,IF(WEEKDAY($F303,2)=7,$F303+1,$F303)),$F303)))</f>
        <v/>
      </c>
      <c r="H303" s="81" t="n">
        <f aca="false">IF($G303="",0,IF(AND($G303&gt;='Cash Flow'!$E$6,$G303&lt;'Cash Flow'!$E$6+91),1,0))</f>
        <v>0</v>
      </c>
      <c r="I303" s="81"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79" t="str">
        <f aca="false">IF($C304="","",Recurring!$D$23)</f>
        <v/>
      </c>
      <c r="F304" s="80"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0" t="str">
        <f aca="false">IF($F304="","",IF(Recurring!$G$23="Move Before",IF(WEEKDAY($F304,2)=6,$F304-1,IF(WEEKDAY($F304,2)=7,$F304-2,$F304)),IF(Recurring!$G$23="Move After",IF(WEEKDAY($F304,2)=6,$F304+2,IF(WEEKDAY($F304,2)=7,$F304+1,$F304)),$F304)))</f>
        <v/>
      </c>
      <c r="H304" s="81" t="n">
        <f aca="false">IF($G304="",0,IF(AND($G304&gt;='Cash Flow'!$E$6,$G304&lt;'Cash Flow'!$E$6+91),1,0))</f>
        <v>0</v>
      </c>
      <c r="I304" s="81"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79" t="str">
        <f aca="false">IF($C305="","",Recurring!$D$23)</f>
        <v/>
      </c>
      <c r="F305" s="80"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0" t="str">
        <f aca="false">IF($F305="","",IF(Recurring!$G$23="Move Before",IF(WEEKDAY($F305,2)=6,$F305-1,IF(WEEKDAY($F305,2)=7,$F305-2,$F305)),IF(Recurring!$G$23="Move After",IF(WEEKDAY($F305,2)=6,$F305+2,IF(WEEKDAY($F305,2)=7,$F305+1,$F305)),$F305)))</f>
        <v/>
      </c>
      <c r="H305" s="81" t="n">
        <f aca="false">IF($G305="",0,IF(AND($G305&gt;='Cash Flow'!$E$6,$G305&lt;'Cash Flow'!$E$6+91),1,0))</f>
        <v>0</v>
      </c>
      <c r="I305" s="81"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79" t="str">
        <f aca="false">IF($C306="","",Recurring!$D$23)</f>
        <v/>
      </c>
      <c r="F306" s="80"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0" t="str">
        <f aca="false">IF($F306="","",IF(Recurring!$G$23="Move Before",IF(WEEKDAY($F306,2)=6,$F306-1,IF(WEEKDAY($F306,2)=7,$F306-2,$F306)),IF(Recurring!$G$23="Move After",IF(WEEKDAY($F306,2)=6,$F306+2,IF(WEEKDAY($F306,2)=7,$F306+1,$F306)),$F306)))</f>
        <v/>
      </c>
      <c r="H306" s="81" t="n">
        <f aca="false">IF($G306="",0,IF(AND($G306&gt;='Cash Flow'!$E$6,$G306&lt;'Cash Flow'!$E$6+91),1,0))</f>
        <v>0</v>
      </c>
      <c r="I306" s="81"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79" t="str">
        <f aca="false">IF($C307="","",Recurring!$D$23)</f>
        <v/>
      </c>
      <c r="F307" s="80"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0" t="str">
        <f aca="false">IF($F307="","",IF(Recurring!$G$23="Move Before",IF(WEEKDAY($F307,2)=6,$F307-1,IF(WEEKDAY($F307,2)=7,$F307-2,$F307)),IF(Recurring!$G$23="Move After",IF(WEEKDAY($F307,2)=6,$F307+2,IF(WEEKDAY($F307,2)=7,$F307+1,$F307)),$F307)))</f>
        <v/>
      </c>
      <c r="H307" s="81" t="n">
        <f aca="false">IF($G307="",0,IF(AND($G307&gt;='Cash Flow'!$E$6,$G307&lt;'Cash Flow'!$E$6+91),1,0))</f>
        <v>0</v>
      </c>
      <c r="I307" s="81"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79" t="str">
        <f aca="false">IF($C308="","",Recurring!$D$24)</f>
        <v/>
      </c>
      <c r="F308" s="80"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0" t="str">
        <f aca="false">IF($F308="","",IF(Recurring!$G$24="Move Before",IF(WEEKDAY($F308,2)=6,$F308-1,IF(WEEKDAY($F308,2)=7,$F308-2,$F308)),IF(Recurring!$G$24="Move After",IF(WEEKDAY($F308,2)=6,$F308+2,IF(WEEKDAY($F308,2)=7,$F308+1,$F308)),$F308)))</f>
        <v/>
      </c>
      <c r="H308" s="81" t="n">
        <f aca="false">IF($G308="",0,IF(AND($G308&gt;='Cash Flow'!$E$6-90,$G308&lt;'Cash Flow'!$E$6+91),1,0))</f>
        <v>0</v>
      </c>
      <c r="I308" s="81"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79" t="str">
        <f aca="false">IF($C309="","",Recurring!$D$24)</f>
        <v/>
      </c>
      <c r="F309" s="80"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0" t="str">
        <f aca="false">IF($F309="","",IF(Recurring!$G$24="Move Before",IF(WEEKDAY($F309,2)=6,$F309-1,IF(WEEKDAY($F309,2)=7,$F309-2,$F309)),IF(Recurring!$G$24="Move After",IF(WEEKDAY($F309,2)=6,$F309+2,IF(WEEKDAY($F309,2)=7,$F309+1,$F309)),$F309)))</f>
        <v/>
      </c>
      <c r="H309" s="81" t="n">
        <f aca="false">IF($G309="",0,IF(AND($G309&gt;='Cash Flow'!$E$6,$G309&lt;'Cash Flow'!$E$6+91),1,0))</f>
        <v>0</v>
      </c>
      <c r="I309" s="81"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79" t="str">
        <f aca="false">IF($C310="","",Recurring!$D$24)</f>
        <v/>
      </c>
      <c r="F310" s="80"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0" t="str">
        <f aca="false">IF($F310="","",IF(Recurring!$G$24="Move Before",IF(WEEKDAY($F310,2)=6,$F310-1,IF(WEEKDAY($F310,2)=7,$F310-2,$F310)),IF(Recurring!$G$24="Move After",IF(WEEKDAY($F310,2)=6,$F310+2,IF(WEEKDAY($F310,2)=7,$F310+1,$F310)),$F310)))</f>
        <v/>
      </c>
      <c r="H310" s="81" t="n">
        <f aca="false">IF($G310="",0,IF(AND($G310&gt;='Cash Flow'!$E$6,$G310&lt;'Cash Flow'!$E$6+91),1,0))</f>
        <v>0</v>
      </c>
      <c r="I310" s="81"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79" t="str">
        <f aca="false">IF($C311="","",Recurring!$D$24)</f>
        <v/>
      </c>
      <c r="F311" s="80"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0" t="str">
        <f aca="false">IF($F311="","",IF(Recurring!$G$24="Move Before",IF(WEEKDAY($F311,2)=6,$F311-1,IF(WEEKDAY($F311,2)=7,$F311-2,$F311)),IF(Recurring!$G$24="Move After",IF(WEEKDAY($F311,2)=6,$F311+2,IF(WEEKDAY($F311,2)=7,$F311+1,$F311)),$F311)))</f>
        <v/>
      </c>
      <c r="H311" s="81" t="n">
        <f aca="false">IF($G311="",0,IF(AND($G311&gt;='Cash Flow'!$E$6,$G311&lt;'Cash Flow'!$E$6+91),1,0))</f>
        <v>0</v>
      </c>
      <c r="I311" s="81"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79" t="str">
        <f aca="false">IF($C312="","",Recurring!$D$24)</f>
        <v/>
      </c>
      <c r="F312" s="80"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0" t="str">
        <f aca="false">IF($F312="","",IF(Recurring!$G$24="Move Before",IF(WEEKDAY($F312,2)=6,$F312-1,IF(WEEKDAY($F312,2)=7,$F312-2,$F312)),IF(Recurring!$G$24="Move After",IF(WEEKDAY($F312,2)=6,$F312+2,IF(WEEKDAY($F312,2)=7,$F312+1,$F312)),$F312)))</f>
        <v/>
      </c>
      <c r="H312" s="81" t="n">
        <f aca="false">IF($G312="",0,IF(AND($G312&gt;='Cash Flow'!$E$6,$G312&lt;'Cash Flow'!$E$6+91),1,0))</f>
        <v>0</v>
      </c>
      <c r="I312" s="81"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79" t="str">
        <f aca="false">IF($C313="","",Recurring!$D$24)</f>
        <v/>
      </c>
      <c r="F313" s="80"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0" t="str">
        <f aca="false">IF($F313="","",IF(Recurring!$G$24="Move Before",IF(WEEKDAY($F313,2)=6,$F313-1,IF(WEEKDAY($F313,2)=7,$F313-2,$F313)),IF(Recurring!$G$24="Move After",IF(WEEKDAY($F313,2)=6,$F313+2,IF(WEEKDAY($F313,2)=7,$F313+1,$F313)),$F313)))</f>
        <v/>
      </c>
      <c r="H313" s="81" t="n">
        <f aca="false">IF($G313="",0,IF(AND($G313&gt;='Cash Flow'!$E$6,$G313&lt;'Cash Flow'!$E$6+91),1,0))</f>
        <v>0</v>
      </c>
      <c r="I313" s="81"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79" t="str">
        <f aca="false">IF($C314="","",Recurring!$D$24)</f>
        <v/>
      </c>
      <c r="F314" s="80"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0" t="str">
        <f aca="false">IF($F314="","",IF(Recurring!$G$24="Move Before",IF(WEEKDAY($F314,2)=6,$F314-1,IF(WEEKDAY($F314,2)=7,$F314-2,$F314)),IF(Recurring!$G$24="Move After",IF(WEEKDAY($F314,2)=6,$F314+2,IF(WEEKDAY($F314,2)=7,$F314+1,$F314)),$F314)))</f>
        <v/>
      </c>
      <c r="H314" s="81" t="n">
        <f aca="false">IF($G314="",0,IF(AND($G314&gt;='Cash Flow'!$E$6,$G314&lt;'Cash Flow'!$E$6+91),1,0))</f>
        <v>0</v>
      </c>
      <c r="I314" s="81"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79" t="str">
        <f aca="false">IF($C315="","",Recurring!$D$24)</f>
        <v/>
      </c>
      <c r="F315" s="80"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0" t="str">
        <f aca="false">IF($F315="","",IF(Recurring!$G$24="Move Before",IF(WEEKDAY($F315,2)=6,$F315-1,IF(WEEKDAY($F315,2)=7,$F315-2,$F315)),IF(Recurring!$G$24="Move After",IF(WEEKDAY($F315,2)=6,$F315+2,IF(WEEKDAY($F315,2)=7,$F315+1,$F315)),$F315)))</f>
        <v/>
      </c>
      <c r="H315" s="81" t="n">
        <f aca="false">IF($G315="",0,IF(AND($G315&gt;='Cash Flow'!$E$6,$G315&lt;'Cash Flow'!$E$6+91),1,0))</f>
        <v>0</v>
      </c>
      <c r="I315" s="81"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79" t="str">
        <f aca="false">IF($C316="","",Recurring!$D$24)</f>
        <v/>
      </c>
      <c r="F316" s="80"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0" t="str">
        <f aca="false">IF($F316="","",IF(Recurring!$G$24="Move Before",IF(WEEKDAY($F316,2)=6,$F316-1,IF(WEEKDAY($F316,2)=7,$F316-2,$F316)),IF(Recurring!$G$24="Move After",IF(WEEKDAY($F316,2)=6,$F316+2,IF(WEEKDAY($F316,2)=7,$F316+1,$F316)),$F316)))</f>
        <v/>
      </c>
      <c r="H316" s="81" t="n">
        <f aca="false">IF($G316="",0,IF(AND($G316&gt;='Cash Flow'!$E$6,$G316&lt;'Cash Flow'!$E$6+91),1,0))</f>
        <v>0</v>
      </c>
      <c r="I316" s="81"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79" t="str">
        <f aca="false">IF($C317="","",Recurring!$D$24)</f>
        <v/>
      </c>
      <c r="F317" s="80"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0" t="str">
        <f aca="false">IF($F317="","",IF(Recurring!$G$24="Move Before",IF(WEEKDAY($F317,2)=6,$F317-1,IF(WEEKDAY($F317,2)=7,$F317-2,$F317)),IF(Recurring!$G$24="Move After",IF(WEEKDAY($F317,2)=6,$F317+2,IF(WEEKDAY($F317,2)=7,$F317+1,$F317)),$F317)))</f>
        <v/>
      </c>
      <c r="H317" s="81" t="n">
        <f aca="false">IF($G317="",0,IF(AND($G317&gt;='Cash Flow'!$E$6,$G317&lt;'Cash Flow'!$E$6+91),1,0))</f>
        <v>0</v>
      </c>
      <c r="I317" s="81"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79" t="str">
        <f aca="false">IF($C318="","",Recurring!$D$24)</f>
        <v/>
      </c>
      <c r="F318" s="80"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0" t="str">
        <f aca="false">IF($F318="","",IF(Recurring!$G$24="Move Before",IF(WEEKDAY($F318,2)=6,$F318-1,IF(WEEKDAY($F318,2)=7,$F318-2,$F318)),IF(Recurring!$G$24="Move After",IF(WEEKDAY($F318,2)=6,$F318+2,IF(WEEKDAY($F318,2)=7,$F318+1,$F318)),$F318)))</f>
        <v/>
      </c>
      <c r="H318" s="81" t="n">
        <f aca="false">IF($G318="",0,IF(AND($G318&gt;='Cash Flow'!$E$6,$G318&lt;'Cash Flow'!$E$6+91),1,0))</f>
        <v>0</v>
      </c>
      <c r="I318" s="81"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79" t="str">
        <f aca="false">IF($C319="","",Recurring!$D$24)</f>
        <v/>
      </c>
      <c r="F319" s="80"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0" t="str">
        <f aca="false">IF($F319="","",IF(Recurring!$G$24="Move Before",IF(WEEKDAY($F319,2)=6,$F319-1,IF(WEEKDAY($F319,2)=7,$F319-2,$F319)),IF(Recurring!$G$24="Move After",IF(WEEKDAY($F319,2)=6,$F319+2,IF(WEEKDAY($F319,2)=7,$F319+1,$F319)),$F319)))</f>
        <v/>
      </c>
      <c r="H319" s="81" t="n">
        <f aca="false">IF($G319="",0,IF(AND($G319&gt;='Cash Flow'!$E$6,$G319&lt;'Cash Flow'!$E$6+91),1,0))</f>
        <v>0</v>
      </c>
      <c r="I319" s="81"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79" t="str">
        <f aca="false">IF($C320="","",Recurring!$D$24)</f>
        <v/>
      </c>
      <c r="F320" s="80"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0" t="str">
        <f aca="false">IF($F320="","",IF(Recurring!$G$24="Move Before",IF(WEEKDAY($F320,2)=6,$F320-1,IF(WEEKDAY($F320,2)=7,$F320-2,$F320)),IF(Recurring!$G$24="Move After",IF(WEEKDAY($F320,2)=6,$F320+2,IF(WEEKDAY($F320,2)=7,$F320+1,$F320)),$F320)))</f>
        <v/>
      </c>
      <c r="H320" s="81" t="n">
        <f aca="false">IF($G320="",0,IF(AND($G320&gt;='Cash Flow'!$E$6,$G320&lt;'Cash Flow'!$E$6+91),1,0))</f>
        <v>0</v>
      </c>
      <c r="I320" s="81"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79" t="str">
        <f aca="false">IF($C321="","",Recurring!$D$24)</f>
        <v/>
      </c>
      <c r="F321" s="80"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0" t="str">
        <f aca="false">IF($F321="","",IF(Recurring!$G$24="Move Before",IF(WEEKDAY($F321,2)=6,$F321-1,IF(WEEKDAY($F321,2)=7,$F321-2,$F321)),IF(Recurring!$G$24="Move After",IF(WEEKDAY($F321,2)=6,$F321+2,IF(WEEKDAY($F321,2)=7,$F321+1,$F321)),$F321)))</f>
        <v/>
      </c>
      <c r="H321" s="81" t="n">
        <f aca="false">IF($G321="",0,IF(AND($G321&gt;='Cash Flow'!$E$6,$G321&lt;'Cash Flow'!$E$6+91),1,0))</f>
        <v>0</v>
      </c>
      <c r="I321" s="81"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79" t="str">
        <f aca="false">IF($C322="","",Recurring!$D$24)</f>
        <v/>
      </c>
      <c r="F322" s="80"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0" t="str">
        <f aca="false">IF($F322="","",IF(Recurring!$G$24="Move Before",IF(WEEKDAY($F322,2)=6,$F322-1,IF(WEEKDAY($F322,2)=7,$F322-2,$F322)),IF(Recurring!$G$24="Move After",IF(WEEKDAY($F322,2)=6,$F322+2,IF(WEEKDAY($F322,2)=7,$F322+1,$F322)),$F322)))</f>
        <v/>
      </c>
      <c r="H322" s="81" t="n">
        <f aca="false">IF($G322="",0,IF(AND($G322&gt;='Cash Flow'!$E$6,$G322&lt;'Cash Flow'!$E$6+91),1,0))</f>
        <v>0</v>
      </c>
      <c r="I322" s="81"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79" t="str">
        <f aca="false">IF($C323="","",Recurring!$D$24)</f>
        <v/>
      </c>
      <c r="F323" s="80"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0" t="str">
        <f aca="false">IF($F323="","",IF(Recurring!$G$24="Move Before",IF(WEEKDAY($F323,2)=6,$F323-1,IF(WEEKDAY($F323,2)=7,$F323-2,$F323)),IF(Recurring!$G$24="Move After",IF(WEEKDAY($F323,2)=6,$F323+2,IF(WEEKDAY($F323,2)=7,$F323+1,$F323)),$F323)))</f>
        <v/>
      </c>
      <c r="H323" s="81" t="n">
        <f aca="false">IF($G323="",0,IF(AND($G323&gt;='Cash Flow'!$E$6,$G323&lt;'Cash Flow'!$E$6+91),1,0))</f>
        <v>0</v>
      </c>
      <c r="I323" s="81"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79" t="str">
        <f aca="false">IF($C324="","",Recurring!$D$25)</f>
        <v/>
      </c>
      <c r="F324" s="80"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0" t="str">
        <f aca="false">IF($F324="","",IF(Recurring!$G$25="Move Before",IF(WEEKDAY($F324,2)=6,$F324-1,IF(WEEKDAY($F324,2)=7,$F324-2,$F324)),IF(Recurring!$G$25="Move After",IF(WEEKDAY($F324,2)=6,$F324+2,IF(WEEKDAY($F324,2)=7,$F324+1,$F324)),$F324)))</f>
        <v/>
      </c>
      <c r="H324" s="81" t="n">
        <f aca="false">IF($G324="",0,IF(AND($G324&gt;='Cash Flow'!$E$6-90,$G324&lt;'Cash Flow'!$E$6+91),1,0))</f>
        <v>0</v>
      </c>
      <c r="I324" s="81"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79" t="str">
        <f aca="false">IF($C325="","",Recurring!$D$25)</f>
        <v/>
      </c>
      <c r="F325" s="80"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0" t="str">
        <f aca="false">IF($F325="","",IF(Recurring!$G$25="Move Before",IF(WEEKDAY($F325,2)=6,$F325-1,IF(WEEKDAY($F325,2)=7,$F325-2,$F325)),IF(Recurring!$G$25="Move After",IF(WEEKDAY($F325,2)=6,$F325+2,IF(WEEKDAY($F325,2)=7,$F325+1,$F325)),$F325)))</f>
        <v/>
      </c>
      <c r="H325" s="81" t="n">
        <f aca="false">IF($G325="",0,IF(AND($G325&gt;='Cash Flow'!$E$6,$G325&lt;'Cash Flow'!$E$6+91),1,0))</f>
        <v>0</v>
      </c>
      <c r="I325" s="81"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79" t="str">
        <f aca="false">IF($C326="","",Recurring!$D$25)</f>
        <v/>
      </c>
      <c r="F326" s="80"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0" t="str">
        <f aca="false">IF($F326="","",IF(Recurring!$G$25="Move Before",IF(WEEKDAY($F326,2)=6,$F326-1,IF(WEEKDAY($F326,2)=7,$F326-2,$F326)),IF(Recurring!$G$25="Move After",IF(WEEKDAY($F326,2)=6,$F326+2,IF(WEEKDAY($F326,2)=7,$F326+1,$F326)),$F326)))</f>
        <v/>
      </c>
      <c r="H326" s="81" t="n">
        <f aca="false">IF($G326="",0,IF(AND($G326&gt;='Cash Flow'!$E$6,$G326&lt;'Cash Flow'!$E$6+91),1,0))</f>
        <v>0</v>
      </c>
      <c r="I326" s="81"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79" t="str">
        <f aca="false">IF($C327="","",Recurring!$D$25)</f>
        <v/>
      </c>
      <c r="F327" s="80"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0" t="str">
        <f aca="false">IF($F327="","",IF(Recurring!$G$25="Move Before",IF(WEEKDAY($F327,2)=6,$F327-1,IF(WEEKDAY($F327,2)=7,$F327-2,$F327)),IF(Recurring!$G$25="Move After",IF(WEEKDAY($F327,2)=6,$F327+2,IF(WEEKDAY($F327,2)=7,$F327+1,$F327)),$F327)))</f>
        <v/>
      </c>
      <c r="H327" s="81" t="n">
        <f aca="false">IF($G327="",0,IF(AND($G327&gt;='Cash Flow'!$E$6,$G327&lt;'Cash Flow'!$E$6+91),1,0))</f>
        <v>0</v>
      </c>
      <c r="I327" s="81"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79" t="str">
        <f aca="false">IF($C328="","",Recurring!$D$25)</f>
        <v/>
      </c>
      <c r="F328" s="80"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0" t="str">
        <f aca="false">IF($F328="","",IF(Recurring!$G$25="Move Before",IF(WEEKDAY($F328,2)=6,$F328-1,IF(WEEKDAY($F328,2)=7,$F328-2,$F328)),IF(Recurring!$G$25="Move After",IF(WEEKDAY($F328,2)=6,$F328+2,IF(WEEKDAY($F328,2)=7,$F328+1,$F328)),$F328)))</f>
        <v/>
      </c>
      <c r="H328" s="81" t="n">
        <f aca="false">IF($G328="",0,IF(AND($G328&gt;='Cash Flow'!$E$6,$G328&lt;'Cash Flow'!$E$6+91),1,0))</f>
        <v>0</v>
      </c>
      <c r="I328" s="81"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79" t="str">
        <f aca="false">IF($C329="","",Recurring!$D$25)</f>
        <v/>
      </c>
      <c r="F329" s="80"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0" t="str">
        <f aca="false">IF($F329="","",IF(Recurring!$G$25="Move Before",IF(WEEKDAY($F329,2)=6,$F329-1,IF(WEEKDAY($F329,2)=7,$F329-2,$F329)),IF(Recurring!$G$25="Move After",IF(WEEKDAY($F329,2)=6,$F329+2,IF(WEEKDAY($F329,2)=7,$F329+1,$F329)),$F329)))</f>
        <v/>
      </c>
      <c r="H329" s="81" t="n">
        <f aca="false">IF($G329="",0,IF(AND($G329&gt;='Cash Flow'!$E$6,$G329&lt;'Cash Flow'!$E$6+91),1,0))</f>
        <v>0</v>
      </c>
      <c r="I329" s="81"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79" t="str">
        <f aca="false">IF($C330="","",Recurring!$D$25)</f>
        <v/>
      </c>
      <c r="F330" s="80"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0" t="str">
        <f aca="false">IF($F330="","",IF(Recurring!$G$25="Move Before",IF(WEEKDAY($F330,2)=6,$F330-1,IF(WEEKDAY($F330,2)=7,$F330-2,$F330)),IF(Recurring!$G$25="Move After",IF(WEEKDAY($F330,2)=6,$F330+2,IF(WEEKDAY($F330,2)=7,$F330+1,$F330)),$F330)))</f>
        <v/>
      </c>
      <c r="H330" s="81" t="n">
        <f aca="false">IF($G330="",0,IF(AND($G330&gt;='Cash Flow'!$E$6,$G330&lt;'Cash Flow'!$E$6+91),1,0))</f>
        <v>0</v>
      </c>
      <c r="I330" s="81"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79" t="str">
        <f aca="false">IF($C331="","",Recurring!$D$25)</f>
        <v/>
      </c>
      <c r="F331" s="80"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0" t="str">
        <f aca="false">IF($F331="","",IF(Recurring!$G$25="Move Before",IF(WEEKDAY($F331,2)=6,$F331-1,IF(WEEKDAY($F331,2)=7,$F331-2,$F331)),IF(Recurring!$G$25="Move After",IF(WEEKDAY($F331,2)=6,$F331+2,IF(WEEKDAY($F331,2)=7,$F331+1,$F331)),$F331)))</f>
        <v/>
      </c>
      <c r="H331" s="81" t="n">
        <f aca="false">IF($G331="",0,IF(AND($G331&gt;='Cash Flow'!$E$6,$G331&lt;'Cash Flow'!$E$6+91),1,0))</f>
        <v>0</v>
      </c>
      <c r="I331" s="81"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79" t="str">
        <f aca="false">IF($C332="","",Recurring!$D$25)</f>
        <v/>
      </c>
      <c r="F332" s="80"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0" t="str">
        <f aca="false">IF($F332="","",IF(Recurring!$G$25="Move Before",IF(WEEKDAY($F332,2)=6,$F332-1,IF(WEEKDAY($F332,2)=7,$F332-2,$F332)),IF(Recurring!$G$25="Move After",IF(WEEKDAY($F332,2)=6,$F332+2,IF(WEEKDAY($F332,2)=7,$F332+1,$F332)),$F332)))</f>
        <v/>
      </c>
      <c r="H332" s="81" t="n">
        <f aca="false">IF($G332="",0,IF(AND($G332&gt;='Cash Flow'!$E$6,$G332&lt;'Cash Flow'!$E$6+91),1,0))</f>
        <v>0</v>
      </c>
      <c r="I332" s="81"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79" t="str">
        <f aca="false">IF($C333="","",Recurring!$D$25)</f>
        <v/>
      </c>
      <c r="F333" s="80"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0" t="str">
        <f aca="false">IF($F333="","",IF(Recurring!$G$25="Move Before",IF(WEEKDAY($F333,2)=6,$F333-1,IF(WEEKDAY($F333,2)=7,$F333-2,$F333)),IF(Recurring!$G$25="Move After",IF(WEEKDAY($F333,2)=6,$F333+2,IF(WEEKDAY($F333,2)=7,$F333+1,$F333)),$F333)))</f>
        <v/>
      </c>
      <c r="H333" s="81" t="n">
        <f aca="false">IF($G333="",0,IF(AND($G333&gt;='Cash Flow'!$E$6,$G333&lt;'Cash Flow'!$E$6+91),1,0))</f>
        <v>0</v>
      </c>
      <c r="I333" s="81"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79" t="str">
        <f aca="false">IF($C334="","",Recurring!$D$25)</f>
        <v/>
      </c>
      <c r="F334" s="80"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0" t="str">
        <f aca="false">IF($F334="","",IF(Recurring!$G$25="Move Before",IF(WEEKDAY($F334,2)=6,$F334-1,IF(WEEKDAY($F334,2)=7,$F334-2,$F334)),IF(Recurring!$G$25="Move After",IF(WEEKDAY($F334,2)=6,$F334+2,IF(WEEKDAY($F334,2)=7,$F334+1,$F334)),$F334)))</f>
        <v/>
      </c>
      <c r="H334" s="81" t="n">
        <f aca="false">IF($G334="",0,IF(AND($G334&gt;='Cash Flow'!$E$6,$G334&lt;'Cash Flow'!$E$6+91),1,0))</f>
        <v>0</v>
      </c>
      <c r="I334" s="81"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79" t="str">
        <f aca="false">IF($C335="","",Recurring!$D$25)</f>
        <v/>
      </c>
      <c r="F335" s="80"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0" t="str">
        <f aca="false">IF($F335="","",IF(Recurring!$G$25="Move Before",IF(WEEKDAY($F335,2)=6,$F335-1,IF(WEEKDAY($F335,2)=7,$F335-2,$F335)),IF(Recurring!$G$25="Move After",IF(WEEKDAY($F335,2)=6,$F335+2,IF(WEEKDAY($F335,2)=7,$F335+1,$F335)),$F335)))</f>
        <v/>
      </c>
      <c r="H335" s="81" t="n">
        <f aca="false">IF($G335="",0,IF(AND($G335&gt;='Cash Flow'!$E$6,$G335&lt;'Cash Flow'!$E$6+91),1,0))</f>
        <v>0</v>
      </c>
      <c r="I335" s="81"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79" t="str">
        <f aca="false">IF($C336="","",Recurring!$D$25)</f>
        <v/>
      </c>
      <c r="F336" s="80"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0" t="str">
        <f aca="false">IF($F336="","",IF(Recurring!$G$25="Move Before",IF(WEEKDAY($F336,2)=6,$F336-1,IF(WEEKDAY($F336,2)=7,$F336-2,$F336)),IF(Recurring!$G$25="Move After",IF(WEEKDAY($F336,2)=6,$F336+2,IF(WEEKDAY($F336,2)=7,$F336+1,$F336)),$F336)))</f>
        <v/>
      </c>
      <c r="H336" s="81" t="n">
        <f aca="false">IF($G336="",0,IF(AND($G336&gt;='Cash Flow'!$E$6,$G336&lt;'Cash Flow'!$E$6+91),1,0))</f>
        <v>0</v>
      </c>
      <c r="I336" s="81"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79" t="str">
        <f aca="false">IF($C337="","",Recurring!$D$25)</f>
        <v/>
      </c>
      <c r="F337" s="80"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0" t="str">
        <f aca="false">IF($F337="","",IF(Recurring!$G$25="Move Before",IF(WEEKDAY($F337,2)=6,$F337-1,IF(WEEKDAY($F337,2)=7,$F337-2,$F337)),IF(Recurring!$G$25="Move After",IF(WEEKDAY($F337,2)=6,$F337+2,IF(WEEKDAY($F337,2)=7,$F337+1,$F337)),$F337)))</f>
        <v/>
      </c>
      <c r="H337" s="81" t="n">
        <f aca="false">IF($G337="",0,IF(AND($G337&gt;='Cash Flow'!$E$6,$G337&lt;'Cash Flow'!$E$6+91),1,0))</f>
        <v>0</v>
      </c>
      <c r="I337" s="81"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79" t="str">
        <f aca="false">IF($C338="","",Recurring!$D$25)</f>
        <v/>
      </c>
      <c r="F338" s="80"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0" t="str">
        <f aca="false">IF($F338="","",IF(Recurring!$G$25="Move Before",IF(WEEKDAY($F338,2)=6,$F338-1,IF(WEEKDAY($F338,2)=7,$F338-2,$F338)),IF(Recurring!$G$25="Move After",IF(WEEKDAY($F338,2)=6,$F338+2,IF(WEEKDAY($F338,2)=7,$F338+1,$F338)),$F338)))</f>
        <v/>
      </c>
      <c r="H338" s="81" t="n">
        <f aca="false">IF($G338="",0,IF(AND($G338&gt;='Cash Flow'!$E$6,$G338&lt;'Cash Flow'!$E$6+91),1,0))</f>
        <v>0</v>
      </c>
      <c r="I338" s="81"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79" t="str">
        <f aca="false">IF($C339="","",Recurring!$D$25)</f>
        <v/>
      </c>
      <c r="F339" s="80"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0" t="str">
        <f aca="false">IF($F339="","",IF(Recurring!$G$25="Move Before",IF(WEEKDAY($F339,2)=6,$F339-1,IF(WEEKDAY($F339,2)=7,$F339-2,$F339)),IF(Recurring!$G$25="Move After",IF(WEEKDAY($F339,2)=6,$F339+2,IF(WEEKDAY($F339,2)=7,$F339+1,$F339)),$F339)))</f>
        <v/>
      </c>
      <c r="H339" s="81" t="n">
        <f aca="false">IF($G339="",0,IF(AND($G339&gt;='Cash Flow'!$E$6,$G339&lt;'Cash Flow'!$E$6+91),1,0))</f>
        <v>0</v>
      </c>
      <c r="I339" s="81"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79" t="str">
        <f aca="false">IF($C340="","",Recurring!$D$26)</f>
        <v/>
      </c>
      <c r="F340" s="80"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0" t="str">
        <f aca="false">IF($F340="","",IF(Recurring!$G$26="Move Before",IF(WEEKDAY($F340,2)=6,$F340-1,IF(WEEKDAY($F340,2)=7,$F340-2,$F340)),IF(Recurring!$G$26="Move After",IF(WEEKDAY($F340,2)=6,$F340+2,IF(WEEKDAY($F340,2)=7,$F340+1,$F340)),$F340)))</f>
        <v/>
      </c>
      <c r="H340" s="81" t="n">
        <f aca="false">IF($G340="",0,IF(AND($G340&gt;='Cash Flow'!$E$6-90,$G340&lt;'Cash Flow'!$E$6+91),1,0))</f>
        <v>0</v>
      </c>
      <c r="I340" s="81"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79" t="str">
        <f aca="false">IF($C341="","",Recurring!$D$26)</f>
        <v/>
      </c>
      <c r="F341" s="80"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0" t="str">
        <f aca="false">IF($F341="","",IF(Recurring!$G$26="Move Before",IF(WEEKDAY($F341,2)=6,$F341-1,IF(WEEKDAY($F341,2)=7,$F341-2,$F341)),IF(Recurring!$G$26="Move After",IF(WEEKDAY($F341,2)=6,$F341+2,IF(WEEKDAY($F341,2)=7,$F341+1,$F341)),$F341)))</f>
        <v/>
      </c>
      <c r="H341" s="81" t="n">
        <f aca="false">IF($G341="",0,IF(AND($G341&gt;='Cash Flow'!$E$6,$G341&lt;'Cash Flow'!$E$6+91),1,0))</f>
        <v>0</v>
      </c>
      <c r="I341" s="81"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79" t="str">
        <f aca="false">IF($C342="","",Recurring!$D$26)</f>
        <v/>
      </c>
      <c r="F342" s="80"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0" t="str">
        <f aca="false">IF($F342="","",IF(Recurring!$G$26="Move Before",IF(WEEKDAY($F342,2)=6,$F342-1,IF(WEEKDAY($F342,2)=7,$F342-2,$F342)),IF(Recurring!$G$26="Move After",IF(WEEKDAY($F342,2)=6,$F342+2,IF(WEEKDAY($F342,2)=7,$F342+1,$F342)),$F342)))</f>
        <v/>
      </c>
      <c r="H342" s="81" t="n">
        <f aca="false">IF($G342="",0,IF(AND($G342&gt;='Cash Flow'!$E$6,$G342&lt;'Cash Flow'!$E$6+91),1,0))</f>
        <v>0</v>
      </c>
      <c r="I342" s="81"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79" t="str">
        <f aca="false">IF($C343="","",Recurring!$D$26)</f>
        <v/>
      </c>
      <c r="F343" s="80"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0" t="str">
        <f aca="false">IF($F343="","",IF(Recurring!$G$26="Move Before",IF(WEEKDAY($F343,2)=6,$F343-1,IF(WEEKDAY($F343,2)=7,$F343-2,$F343)),IF(Recurring!$G$26="Move After",IF(WEEKDAY($F343,2)=6,$F343+2,IF(WEEKDAY($F343,2)=7,$F343+1,$F343)),$F343)))</f>
        <v/>
      </c>
      <c r="H343" s="81" t="n">
        <f aca="false">IF($G343="",0,IF(AND($G343&gt;='Cash Flow'!$E$6,$G343&lt;'Cash Flow'!$E$6+91),1,0))</f>
        <v>0</v>
      </c>
      <c r="I343" s="81"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79" t="str">
        <f aca="false">IF($C344="","",Recurring!$D$26)</f>
        <v/>
      </c>
      <c r="F344" s="80"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0" t="str">
        <f aca="false">IF($F344="","",IF(Recurring!$G$26="Move Before",IF(WEEKDAY($F344,2)=6,$F344-1,IF(WEEKDAY($F344,2)=7,$F344-2,$F344)),IF(Recurring!$G$26="Move After",IF(WEEKDAY($F344,2)=6,$F344+2,IF(WEEKDAY($F344,2)=7,$F344+1,$F344)),$F344)))</f>
        <v/>
      </c>
      <c r="H344" s="81" t="n">
        <f aca="false">IF($G344="",0,IF(AND($G344&gt;='Cash Flow'!$E$6,$G344&lt;'Cash Flow'!$E$6+91),1,0))</f>
        <v>0</v>
      </c>
      <c r="I344" s="81"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79" t="str">
        <f aca="false">IF($C345="","",Recurring!$D$26)</f>
        <v/>
      </c>
      <c r="F345" s="80"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0" t="str">
        <f aca="false">IF($F345="","",IF(Recurring!$G$26="Move Before",IF(WEEKDAY($F345,2)=6,$F345-1,IF(WEEKDAY($F345,2)=7,$F345-2,$F345)),IF(Recurring!$G$26="Move After",IF(WEEKDAY($F345,2)=6,$F345+2,IF(WEEKDAY($F345,2)=7,$F345+1,$F345)),$F345)))</f>
        <v/>
      </c>
      <c r="H345" s="81" t="n">
        <f aca="false">IF($G345="",0,IF(AND($G345&gt;='Cash Flow'!$E$6,$G345&lt;'Cash Flow'!$E$6+91),1,0))</f>
        <v>0</v>
      </c>
      <c r="I345" s="81"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79" t="str">
        <f aca="false">IF($C346="","",Recurring!$D$26)</f>
        <v/>
      </c>
      <c r="F346" s="80"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0" t="str">
        <f aca="false">IF($F346="","",IF(Recurring!$G$26="Move Before",IF(WEEKDAY($F346,2)=6,$F346-1,IF(WEEKDAY($F346,2)=7,$F346-2,$F346)),IF(Recurring!$G$26="Move After",IF(WEEKDAY($F346,2)=6,$F346+2,IF(WEEKDAY($F346,2)=7,$F346+1,$F346)),$F346)))</f>
        <v/>
      </c>
      <c r="H346" s="81" t="n">
        <f aca="false">IF($G346="",0,IF(AND($G346&gt;='Cash Flow'!$E$6,$G346&lt;'Cash Flow'!$E$6+91),1,0))</f>
        <v>0</v>
      </c>
      <c r="I346" s="81"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79" t="str">
        <f aca="false">IF($C347="","",Recurring!$D$26)</f>
        <v/>
      </c>
      <c r="F347" s="80"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0" t="str">
        <f aca="false">IF($F347="","",IF(Recurring!$G$26="Move Before",IF(WEEKDAY($F347,2)=6,$F347-1,IF(WEEKDAY($F347,2)=7,$F347-2,$F347)),IF(Recurring!$G$26="Move After",IF(WEEKDAY($F347,2)=6,$F347+2,IF(WEEKDAY($F347,2)=7,$F347+1,$F347)),$F347)))</f>
        <v/>
      </c>
      <c r="H347" s="81" t="n">
        <f aca="false">IF($G347="",0,IF(AND($G347&gt;='Cash Flow'!$E$6,$G347&lt;'Cash Flow'!$E$6+91),1,0))</f>
        <v>0</v>
      </c>
      <c r="I347" s="81"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79" t="str">
        <f aca="false">IF($C348="","",Recurring!$D$26)</f>
        <v/>
      </c>
      <c r="F348" s="80"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0" t="str">
        <f aca="false">IF($F348="","",IF(Recurring!$G$26="Move Before",IF(WEEKDAY($F348,2)=6,$F348-1,IF(WEEKDAY($F348,2)=7,$F348-2,$F348)),IF(Recurring!$G$26="Move After",IF(WEEKDAY($F348,2)=6,$F348+2,IF(WEEKDAY($F348,2)=7,$F348+1,$F348)),$F348)))</f>
        <v/>
      </c>
      <c r="H348" s="81" t="n">
        <f aca="false">IF($G348="",0,IF(AND($G348&gt;='Cash Flow'!$E$6,$G348&lt;'Cash Flow'!$E$6+91),1,0))</f>
        <v>0</v>
      </c>
      <c r="I348" s="81"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79" t="str">
        <f aca="false">IF($C349="","",Recurring!$D$26)</f>
        <v/>
      </c>
      <c r="F349" s="80"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0" t="str">
        <f aca="false">IF($F349="","",IF(Recurring!$G$26="Move Before",IF(WEEKDAY($F349,2)=6,$F349-1,IF(WEEKDAY($F349,2)=7,$F349-2,$F349)),IF(Recurring!$G$26="Move After",IF(WEEKDAY($F349,2)=6,$F349+2,IF(WEEKDAY($F349,2)=7,$F349+1,$F349)),$F349)))</f>
        <v/>
      </c>
      <c r="H349" s="81" t="n">
        <f aca="false">IF($G349="",0,IF(AND($G349&gt;='Cash Flow'!$E$6,$G349&lt;'Cash Flow'!$E$6+91),1,0))</f>
        <v>0</v>
      </c>
      <c r="I349" s="81"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79" t="str">
        <f aca="false">IF($C350="","",Recurring!$D$26)</f>
        <v/>
      </c>
      <c r="F350" s="80"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0" t="str">
        <f aca="false">IF($F350="","",IF(Recurring!$G$26="Move Before",IF(WEEKDAY($F350,2)=6,$F350-1,IF(WEEKDAY($F350,2)=7,$F350-2,$F350)),IF(Recurring!$G$26="Move After",IF(WEEKDAY($F350,2)=6,$F350+2,IF(WEEKDAY($F350,2)=7,$F350+1,$F350)),$F350)))</f>
        <v/>
      </c>
      <c r="H350" s="81" t="n">
        <f aca="false">IF($G350="",0,IF(AND($G350&gt;='Cash Flow'!$E$6,$G350&lt;'Cash Flow'!$E$6+91),1,0))</f>
        <v>0</v>
      </c>
      <c r="I350" s="81"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79" t="str">
        <f aca="false">IF($C351="","",Recurring!$D$26)</f>
        <v/>
      </c>
      <c r="F351" s="80"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0" t="str">
        <f aca="false">IF($F351="","",IF(Recurring!$G$26="Move Before",IF(WEEKDAY($F351,2)=6,$F351-1,IF(WEEKDAY($F351,2)=7,$F351-2,$F351)),IF(Recurring!$G$26="Move After",IF(WEEKDAY($F351,2)=6,$F351+2,IF(WEEKDAY($F351,2)=7,$F351+1,$F351)),$F351)))</f>
        <v/>
      </c>
      <c r="H351" s="81" t="n">
        <f aca="false">IF($G351="",0,IF(AND($G351&gt;='Cash Flow'!$E$6,$G351&lt;'Cash Flow'!$E$6+91),1,0))</f>
        <v>0</v>
      </c>
      <c r="I351" s="81"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79" t="str">
        <f aca="false">IF($C352="","",Recurring!$D$26)</f>
        <v/>
      </c>
      <c r="F352" s="80"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0" t="str">
        <f aca="false">IF($F352="","",IF(Recurring!$G$26="Move Before",IF(WEEKDAY($F352,2)=6,$F352-1,IF(WEEKDAY($F352,2)=7,$F352-2,$F352)),IF(Recurring!$G$26="Move After",IF(WEEKDAY($F352,2)=6,$F352+2,IF(WEEKDAY($F352,2)=7,$F352+1,$F352)),$F352)))</f>
        <v/>
      </c>
      <c r="H352" s="81" t="n">
        <f aca="false">IF($G352="",0,IF(AND($G352&gt;='Cash Flow'!$E$6,$G352&lt;'Cash Flow'!$E$6+91),1,0))</f>
        <v>0</v>
      </c>
      <c r="I352" s="81"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79" t="str">
        <f aca="false">IF($C353="","",Recurring!$D$26)</f>
        <v/>
      </c>
      <c r="F353" s="80"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0" t="str">
        <f aca="false">IF($F353="","",IF(Recurring!$G$26="Move Before",IF(WEEKDAY($F353,2)=6,$F353-1,IF(WEEKDAY($F353,2)=7,$F353-2,$F353)),IF(Recurring!$G$26="Move After",IF(WEEKDAY($F353,2)=6,$F353+2,IF(WEEKDAY($F353,2)=7,$F353+1,$F353)),$F353)))</f>
        <v/>
      </c>
      <c r="H353" s="81" t="n">
        <f aca="false">IF($G353="",0,IF(AND($G353&gt;='Cash Flow'!$E$6,$G353&lt;'Cash Flow'!$E$6+91),1,0))</f>
        <v>0</v>
      </c>
      <c r="I353" s="81"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79" t="str">
        <f aca="false">IF($C354="","",Recurring!$D$26)</f>
        <v/>
      </c>
      <c r="F354" s="80"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0" t="str">
        <f aca="false">IF($F354="","",IF(Recurring!$G$26="Move Before",IF(WEEKDAY($F354,2)=6,$F354-1,IF(WEEKDAY($F354,2)=7,$F354-2,$F354)),IF(Recurring!$G$26="Move After",IF(WEEKDAY($F354,2)=6,$F354+2,IF(WEEKDAY($F354,2)=7,$F354+1,$F354)),$F354)))</f>
        <v/>
      </c>
      <c r="H354" s="81" t="n">
        <f aca="false">IF($G354="",0,IF(AND($G354&gt;='Cash Flow'!$E$6,$G354&lt;'Cash Flow'!$E$6+91),1,0))</f>
        <v>0</v>
      </c>
      <c r="I354" s="81"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79" t="str">
        <f aca="false">IF($C355="","",Recurring!$D$26)</f>
        <v/>
      </c>
      <c r="F355" s="80"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0" t="str">
        <f aca="false">IF($F355="","",IF(Recurring!$G$26="Move Before",IF(WEEKDAY($F355,2)=6,$F355-1,IF(WEEKDAY($F355,2)=7,$F355-2,$F355)),IF(Recurring!$G$26="Move After",IF(WEEKDAY($F355,2)=6,$F355+2,IF(WEEKDAY($F355,2)=7,$F355+1,$F355)),$F355)))</f>
        <v/>
      </c>
      <c r="H355" s="81" t="n">
        <f aca="false">IF($G355="",0,IF(AND($G355&gt;='Cash Flow'!$E$6,$G355&lt;'Cash Flow'!$E$6+91),1,0))</f>
        <v>0</v>
      </c>
      <c r="I355" s="81"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79" t="str">
        <f aca="false">IF($C356="","",Recurring!$D$27)</f>
        <v/>
      </c>
      <c r="F356" s="80"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0" t="str">
        <f aca="false">IF($F356="","",IF(Recurring!$G$27="Move Before",IF(WEEKDAY($F356,2)=6,$F356-1,IF(WEEKDAY($F356,2)=7,$F356-2,$F356)),IF(Recurring!$G$27="Move After",IF(WEEKDAY($F356,2)=6,$F356+2,IF(WEEKDAY($F356,2)=7,$F356+1,$F356)),$F356)))</f>
        <v/>
      </c>
      <c r="H356" s="81" t="n">
        <f aca="false">IF($G356="",0,IF(AND($G356&gt;='Cash Flow'!$E$6-90,$G356&lt;'Cash Flow'!$E$6+91),1,0))</f>
        <v>0</v>
      </c>
      <c r="I356" s="81"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79" t="str">
        <f aca="false">IF($C357="","",Recurring!$D$27)</f>
        <v/>
      </c>
      <c r="F357" s="80"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0" t="str">
        <f aca="false">IF($F357="","",IF(Recurring!$G$27="Move Before",IF(WEEKDAY($F357,2)=6,$F357-1,IF(WEEKDAY($F357,2)=7,$F357-2,$F357)),IF(Recurring!$G$27="Move After",IF(WEEKDAY($F357,2)=6,$F357+2,IF(WEEKDAY($F357,2)=7,$F357+1,$F357)),$F357)))</f>
        <v/>
      </c>
      <c r="H357" s="81" t="n">
        <f aca="false">IF($G357="",0,IF(AND($G357&gt;='Cash Flow'!$E$6,$G357&lt;'Cash Flow'!$E$6+91),1,0))</f>
        <v>0</v>
      </c>
      <c r="I357" s="81"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79" t="str">
        <f aca="false">IF($C358="","",Recurring!$D$27)</f>
        <v/>
      </c>
      <c r="F358" s="80"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0" t="str">
        <f aca="false">IF($F358="","",IF(Recurring!$G$27="Move Before",IF(WEEKDAY($F358,2)=6,$F358-1,IF(WEEKDAY($F358,2)=7,$F358-2,$F358)),IF(Recurring!$G$27="Move After",IF(WEEKDAY($F358,2)=6,$F358+2,IF(WEEKDAY($F358,2)=7,$F358+1,$F358)),$F358)))</f>
        <v/>
      </c>
      <c r="H358" s="81" t="n">
        <f aca="false">IF($G358="",0,IF(AND($G358&gt;='Cash Flow'!$E$6,$G358&lt;'Cash Flow'!$E$6+91),1,0))</f>
        <v>0</v>
      </c>
      <c r="I358" s="81"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79" t="str">
        <f aca="false">IF($C359="","",Recurring!$D$27)</f>
        <v/>
      </c>
      <c r="F359" s="80"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0" t="str">
        <f aca="false">IF($F359="","",IF(Recurring!$G$27="Move Before",IF(WEEKDAY($F359,2)=6,$F359-1,IF(WEEKDAY($F359,2)=7,$F359-2,$F359)),IF(Recurring!$G$27="Move After",IF(WEEKDAY($F359,2)=6,$F359+2,IF(WEEKDAY($F359,2)=7,$F359+1,$F359)),$F359)))</f>
        <v/>
      </c>
      <c r="H359" s="81" t="n">
        <f aca="false">IF($G359="",0,IF(AND($G359&gt;='Cash Flow'!$E$6,$G359&lt;'Cash Flow'!$E$6+91),1,0))</f>
        <v>0</v>
      </c>
      <c r="I359" s="81"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79" t="str">
        <f aca="false">IF($C360="","",Recurring!$D$27)</f>
        <v/>
      </c>
      <c r="F360" s="80"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0" t="str">
        <f aca="false">IF($F360="","",IF(Recurring!$G$27="Move Before",IF(WEEKDAY($F360,2)=6,$F360-1,IF(WEEKDAY($F360,2)=7,$F360-2,$F360)),IF(Recurring!$G$27="Move After",IF(WEEKDAY($F360,2)=6,$F360+2,IF(WEEKDAY($F360,2)=7,$F360+1,$F360)),$F360)))</f>
        <v/>
      </c>
      <c r="H360" s="81" t="n">
        <f aca="false">IF($G360="",0,IF(AND($G360&gt;='Cash Flow'!$E$6,$G360&lt;'Cash Flow'!$E$6+91),1,0))</f>
        <v>0</v>
      </c>
      <c r="I360" s="81"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79" t="str">
        <f aca="false">IF($C361="","",Recurring!$D$27)</f>
        <v/>
      </c>
      <c r="F361" s="80"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0" t="str">
        <f aca="false">IF($F361="","",IF(Recurring!$G$27="Move Before",IF(WEEKDAY($F361,2)=6,$F361-1,IF(WEEKDAY($F361,2)=7,$F361-2,$F361)),IF(Recurring!$G$27="Move After",IF(WEEKDAY($F361,2)=6,$F361+2,IF(WEEKDAY($F361,2)=7,$F361+1,$F361)),$F361)))</f>
        <v/>
      </c>
      <c r="H361" s="81" t="n">
        <f aca="false">IF($G361="",0,IF(AND($G361&gt;='Cash Flow'!$E$6,$G361&lt;'Cash Flow'!$E$6+91),1,0))</f>
        <v>0</v>
      </c>
      <c r="I361" s="81"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79" t="str">
        <f aca="false">IF($C362="","",Recurring!$D$27)</f>
        <v/>
      </c>
      <c r="F362" s="80"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0" t="str">
        <f aca="false">IF($F362="","",IF(Recurring!$G$27="Move Before",IF(WEEKDAY($F362,2)=6,$F362-1,IF(WEEKDAY($F362,2)=7,$F362-2,$F362)),IF(Recurring!$G$27="Move After",IF(WEEKDAY($F362,2)=6,$F362+2,IF(WEEKDAY($F362,2)=7,$F362+1,$F362)),$F362)))</f>
        <v/>
      </c>
      <c r="H362" s="81" t="n">
        <f aca="false">IF($G362="",0,IF(AND($G362&gt;='Cash Flow'!$E$6,$G362&lt;'Cash Flow'!$E$6+91),1,0))</f>
        <v>0</v>
      </c>
      <c r="I362" s="81"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79" t="str">
        <f aca="false">IF($C363="","",Recurring!$D$27)</f>
        <v/>
      </c>
      <c r="F363" s="80"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0" t="str">
        <f aca="false">IF($F363="","",IF(Recurring!$G$27="Move Before",IF(WEEKDAY($F363,2)=6,$F363-1,IF(WEEKDAY($F363,2)=7,$F363-2,$F363)),IF(Recurring!$G$27="Move After",IF(WEEKDAY($F363,2)=6,$F363+2,IF(WEEKDAY($F363,2)=7,$F363+1,$F363)),$F363)))</f>
        <v/>
      </c>
      <c r="H363" s="81" t="n">
        <f aca="false">IF($G363="",0,IF(AND($G363&gt;='Cash Flow'!$E$6,$G363&lt;'Cash Flow'!$E$6+91),1,0))</f>
        <v>0</v>
      </c>
      <c r="I363" s="81"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79" t="str">
        <f aca="false">IF($C364="","",Recurring!$D$27)</f>
        <v/>
      </c>
      <c r="F364" s="80"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0" t="str">
        <f aca="false">IF($F364="","",IF(Recurring!$G$27="Move Before",IF(WEEKDAY($F364,2)=6,$F364-1,IF(WEEKDAY($F364,2)=7,$F364-2,$F364)),IF(Recurring!$G$27="Move After",IF(WEEKDAY($F364,2)=6,$F364+2,IF(WEEKDAY($F364,2)=7,$F364+1,$F364)),$F364)))</f>
        <v/>
      </c>
      <c r="H364" s="81" t="n">
        <f aca="false">IF($G364="",0,IF(AND($G364&gt;='Cash Flow'!$E$6,$G364&lt;'Cash Flow'!$E$6+91),1,0))</f>
        <v>0</v>
      </c>
      <c r="I364" s="81"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79" t="str">
        <f aca="false">IF($C365="","",Recurring!$D$27)</f>
        <v/>
      </c>
      <c r="F365" s="80"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0" t="str">
        <f aca="false">IF($F365="","",IF(Recurring!$G$27="Move Before",IF(WEEKDAY($F365,2)=6,$F365-1,IF(WEEKDAY($F365,2)=7,$F365-2,$F365)),IF(Recurring!$G$27="Move After",IF(WEEKDAY($F365,2)=6,$F365+2,IF(WEEKDAY($F365,2)=7,$F365+1,$F365)),$F365)))</f>
        <v/>
      </c>
      <c r="H365" s="81" t="n">
        <f aca="false">IF($G365="",0,IF(AND($G365&gt;='Cash Flow'!$E$6,$G365&lt;'Cash Flow'!$E$6+91),1,0))</f>
        <v>0</v>
      </c>
      <c r="I365" s="81"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79" t="str">
        <f aca="false">IF($C366="","",Recurring!$D$27)</f>
        <v/>
      </c>
      <c r="F366" s="80"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0" t="str">
        <f aca="false">IF($F366="","",IF(Recurring!$G$27="Move Before",IF(WEEKDAY($F366,2)=6,$F366-1,IF(WEEKDAY($F366,2)=7,$F366-2,$F366)),IF(Recurring!$G$27="Move After",IF(WEEKDAY($F366,2)=6,$F366+2,IF(WEEKDAY($F366,2)=7,$F366+1,$F366)),$F366)))</f>
        <v/>
      </c>
      <c r="H366" s="81" t="n">
        <f aca="false">IF($G366="",0,IF(AND($G366&gt;='Cash Flow'!$E$6,$G366&lt;'Cash Flow'!$E$6+91),1,0))</f>
        <v>0</v>
      </c>
      <c r="I366" s="81"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79" t="str">
        <f aca="false">IF($C367="","",Recurring!$D$27)</f>
        <v/>
      </c>
      <c r="F367" s="80"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0" t="str">
        <f aca="false">IF($F367="","",IF(Recurring!$G$27="Move Before",IF(WEEKDAY($F367,2)=6,$F367-1,IF(WEEKDAY($F367,2)=7,$F367-2,$F367)),IF(Recurring!$G$27="Move After",IF(WEEKDAY($F367,2)=6,$F367+2,IF(WEEKDAY($F367,2)=7,$F367+1,$F367)),$F367)))</f>
        <v/>
      </c>
      <c r="H367" s="81" t="n">
        <f aca="false">IF($G367="",0,IF(AND($G367&gt;='Cash Flow'!$E$6,$G367&lt;'Cash Flow'!$E$6+91),1,0))</f>
        <v>0</v>
      </c>
      <c r="I367" s="81"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79" t="str">
        <f aca="false">IF($C368="","",Recurring!$D$27)</f>
        <v/>
      </c>
      <c r="F368" s="80"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0" t="str">
        <f aca="false">IF($F368="","",IF(Recurring!$G$27="Move Before",IF(WEEKDAY($F368,2)=6,$F368-1,IF(WEEKDAY($F368,2)=7,$F368-2,$F368)),IF(Recurring!$G$27="Move After",IF(WEEKDAY($F368,2)=6,$F368+2,IF(WEEKDAY($F368,2)=7,$F368+1,$F368)),$F368)))</f>
        <v/>
      </c>
      <c r="H368" s="81" t="n">
        <f aca="false">IF($G368="",0,IF(AND($G368&gt;='Cash Flow'!$E$6,$G368&lt;'Cash Flow'!$E$6+91),1,0))</f>
        <v>0</v>
      </c>
      <c r="I368" s="81"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79" t="str">
        <f aca="false">IF($C369="","",Recurring!$D$27)</f>
        <v/>
      </c>
      <c r="F369" s="80"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0" t="str">
        <f aca="false">IF($F369="","",IF(Recurring!$G$27="Move Before",IF(WEEKDAY($F369,2)=6,$F369-1,IF(WEEKDAY($F369,2)=7,$F369-2,$F369)),IF(Recurring!$G$27="Move After",IF(WEEKDAY($F369,2)=6,$F369+2,IF(WEEKDAY($F369,2)=7,$F369+1,$F369)),$F369)))</f>
        <v/>
      </c>
      <c r="H369" s="81" t="n">
        <f aca="false">IF($G369="",0,IF(AND($G369&gt;='Cash Flow'!$E$6,$G369&lt;'Cash Flow'!$E$6+91),1,0))</f>
        <v>0</v>
      </c>
      <c r="I369" s="81"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79" t="str">
        <f aca="false">IF($C370="","",Recurring!$D$27)</f>
        <v/>
      </c>
      <c r="F370" s="80"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0" t="str">
        <f aca="false">IF($F370="","",IF(Recurring!$G$27="Move Before",IF(WEEKDAY($F370,2)=6,$F370-1,IF(WEEKDAY($F370,2)=7,$F370-2,$F370)),IF(Recurring!$G$27="Move After",IF(WEEKDAY($F370,2)=6,$F370+2,IF(WEEKDAY($F370,2)=7,$F370+1,$F370)),$F370)))</f>
        <v/>
      </c>
      <c r="H370" s="81" t="n">
        <f aca="false">IF($G370="",0,IF(AND($G370&gt;='Cash Flow'!$E$6,$G370&lt;'Cash Flow'!$E$6+91),1,0))</f>
        <v>0</v>
      </c>
      <c r="I370" s="81"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79" t="str">
        <f aca="false">IF($C371="","",Recurring!$D$27)</f>
        <v/>
      </c>
      <c r="F371" s="80"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0" t="str">
        <f aca="false">IF($F371="","",IF(Recurring!$G$27="Move Before",IF(WEEKDAY($F371,2)=6,$F371-1,IF(WEEKDAY($F371,2)=7,$F371-2,$F371)),IF(Recurring!$G$27="Move After",IF(WEEKDAY($F371,2)=6,$F371+2,IF(WEEKDAY($F371,2)=7,$F371+1,$F371)),$F371)))</f>
        <v/>
      </c>
      <c r="H371" s="81" t="n">
        <f aca="false">IF($G371="",0,IF(AND($G371&gt;='Cash Flow'!$E$6,$G371&lt;'Cash Flow'!$E$6+91),1,0))</f>
        <v>0</v>
      </c>
      <c r="I371" s="81"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79" t="str">
        <f aca="false">IF($C372="","",Recurring!$D$28)</f>
        <v/>
      </c>
      <c r="F372" s="80"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0" t="str">
        <f aca="false">IF($F372="","",IF(Recurring!$G$28="Move Before",IF(WEEKDAY($F372,2)=6,$F372-1,IF(WEEKDAY($F372,2)=7,$F372-2,$F372)),IF(Recurring!$G$28="Move After",IF(WEEKDAY($F372,2)=6,$F372+2,IF(WEEKDAY($F372,2)=7,$F372+1,$F372)),$F372)))</f>
        <v/>
      </c>
      <c r="H372" s="81" t="n">
        <f aca="false">IF($G372="",0,IF(AND($G372&gt;='Cash Flow'!$E$6-90,$G372&lt;'Cash Flow'!$E$6+91),1,0))</f>
        <v>0</v>
      </c>
      <c r="I372" s="81"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79" t="str">
        <f aca="false">IF($C373="","",Recurring!$D$28)</f>
        <v/>
      </c>
      <c r="F373" s="80"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0" t="str">
        <f aca="false">IF($F373="","",IF(Recurring!$G$28="Move Before",IF(WEEKDAY($F373,2)=6,$F373-1,IF(WEEKDAY($F373,2)=7,$F373-2,$F373)),IF(Recurring!$G$28="Move After",IF(WEEKDAY($F373,2)=6,$F373+2,IF(WEEKDAY($F373,2)=7,$F373+1,$F373)),$F373)))</f>
        <v/>
      </c>
      <c r="H373" s="81" t="n">
        <f aca="false">IF($G373="",0,IF(AND($G373&gt;='Cash Flow'!$E$6,$G373&lt;'Cash Flow'!$E$6+91),1,0))</f>
        <v>0</v>
      </c>
      <c r="I373" s="81"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79" t="str">
        <f aca="false">IF($C374="","",Recurring!$D$28)</f>
        <v/>
      </c>
      <c r="F374" s="80"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0" t="str">
        <f aca="false">IF($F374="","",IF(Recurring!$G$28="Move Before",IF(WEEKDAY($F374,2)=6,$F374-1,IF(WEEKDAY($F374,2)=7,$F374-2,$F374)),IF(Recurring!$G$28="Move After",IF(WEEKDAY($F374,2)=6,$F374+2,IF(WEEKDAY($F374,2)=7,$F374+1,$F374)),$F374)))</f>
        <v/>
      </c>
      <c r="H374" s="81" t="n">
        <f aca="false">IF($G374="",0,IF(AND($G374&gt;='Cash Flow'!$E$6,$G374&lt;'Cash Flow'!$E$6+91),1,0))</f>
        <v>0</v>
      </c>
      <c r="I374" s="81"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79" t="str">
        <f aca="false">IF($C375="","",Recurring!$D$28)</f>
        <v/>
      </c>
      <c r="F375" s="80"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0" t="str">
        <f aca="false">IF($F375="","",IF(Recurring!$G$28="Move Before",IF(WEEKDAY($F375,2)=6,$F375-1,IF(WEEKDAY($F375,2)=7,$F375-2,$F375)),IF(Recurring!$G$28="Move After",IF(WEEKDAY($F375,2)=6,$F375+2,IF(WEEKDAY($F375,2)=7,$F375+1,$F375)),$F375)))</f>
        <v/>
      </c>
      <c r="H375" s="81" t="n">
        <f aca="false">IF($G375="",0,IF(AND($G375&gt;='Cash Flow'!$E$6,$G375&lt;'Cash Flow'!$E$6+91),1,0))</f>
        <v>0</v>
      </c>
      <c r="I375" s="81"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79" t="str">
        <f aca="false">IF($C376="","",Recurring!$D$28)</f>
        <v/>
      </c>
      <c r="F376" s="80"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0" t="str">
        <f aca="false">IF($F376="","",IF(Recurring!$G$28="Move Before",IF(WEEKDAY($F376,2)=6,$F376-1,IF(WEEKDAY($F376,2)=7,$F376-2,$F376)),IF(Recurring!$G$28="Move After",IF(WEEKDAY($F376,2)=6,$F376+2,IF(WEEKDAY($F376,2)=7,$F376+1,$F376)),$F376)))</f>
        <v/>
      </c>
      <c r="H376" s="81" t="n">
        <f aca="false">IF($G376="",0,IF(AND($G376&gt;='Cash Flow'!$E$6,$G376&lt;'Cash Flow'!$E$6+91),1,0))</f>
        <v>0</v>
      </c>
      <c r="I376" s="81"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79" t="str">
        <f aca="false">IF($C377="","",Recurring!$D$28)</f>
        <v/>
      </c>
      <c r="F377" s="80"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0" t="str">
        <f aca="false">IF($F377="","",IF(Recurring!$G$28="Move Before",IF(WEEKDAY($F377,2)=6,$F377-1,IF(WEEKDAY($F377,2)=7,$F377-2,$F377)),IF(Recurring!$G$28="Move After",IF(WEEKDAY($F377,2)=6,$F377+2,IF(WEEKDAY($F377,2)=7,$F377+1,$F377)),$F377)))</f>
        <v/>
      </c>
      <c r="H377" s="81" t="n">
        <f aca="false">IF($G377="",0,IF(AND($G377&gt;='Cash Flow'!$E$6,$G377&lt;'Cash Flow'!$E$6+91),1,0))</f>
        <v>0</v>
      </c>
      <c r="I377" s="81"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79" t="str">
        <f aca="false">IF($C378="","",Recurring!$D$28)</f>
        <v/>
      </c>
      <c r="F378" s="80"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0" t="str">
        <f aca="false">IF($F378="","",IF(Recurring!$G$28="Move Before",IF(WEEKDAY($F378,2)=6,$F378-1,IF(WEEKDAY($F378,2)=7,$F378-2,$F378)),IF(Recurring!$G$28="Move After",IF(WEEKDAY($F378,2)=6,$F378+2,IF(WEEKDAY($F378,2)=7,$F378+1,$F378)),$F378)))</f>
        <v/>
      </c>
      <c r="H378" s="81" t="n">
        <f aca="false">IF($G378="",0,IF(AND($G378&gt;='Cash Flow'!$E$6,$G378&lt;'Cash Flow'!$E$6+91),1,0))</f>
        <v>0</v>
      </c>
      <c r="I378" s="81"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79" t="str">
        <f aca="false">IF($C379="","",Recurring!$D$28)</f>
        <v/>
      </c>
      <c r="F379" s="80"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0" t="str">
        <f aca="false">IF($F379="","",IF(Recurring!$G$28="Move Before",IF(WEEKDAY($F379,2)=6,$F379-1,IF(WEEKDAY($F379,2)=7,$F379-2,$F379)),IF(Recurring!$G$28="Move After",IF(WEEKDAY($F379,2)=6,$F379+2,IF(WEEKDAY($F379,2)=7,$F379+1,$F379)),$F379)))</f>
        <v/>
      </c>
      <c r="H379" s="81" t="n">
        <f aca="false">IF($G379="",0,IF(AND($G379&gt;='Cash Flow'!$E$6,$G379&lt;'Cash Flow'!$E$6+91),1,0))</f>
        <v>0</v>
      </c>
      <c r="I379" s="81"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79" t="str">
        <f aca="false">IF($C380="","",Recurring!$D$28)</f>
        <v/>
      </c>
      <c r="F380" s="80"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0" t="str">
        <f aca="false">IF($F380="","",IF(Recurring!$G$28="Move Before",IF(WEEKDAY($F380,2)=6,$F380-1,IF(WEEKDAY($F380,2)=7,$F380-2,$F380)),IF(Recurring!$G$28="Move After",IF(WEEKDAY($F380,2)=6,$F380+2,IF(WEEKDAY($F380,2)=7,$F380+1,$F380)),$F380)))</f>
        <v/>
      </c>
      <c r="H380" s="81" t="n">
        <f aca="false">IF($G380="",0,IF(AND($G380&gt;='Cash Flow'!$E$6,$G380&lt;'Cash Flow'!$E$6+91),1,0))</f>
        <v>0</v>
      </c>
      <c r="I380" s="81"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79" t="str">
        <f aca="false">IF($C381="","",Recurring!$D$28)</f>
        <v/>
      </c>
      <c r="F381" s="80"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0" t="str">
        <f aca="false">IF($F381="","",IF(Recurring!$G$28="Move Before",IF(WEEKDAY($F381,2)=6,$F381-1,IF(WEEKDAY($F381,2)=7,$F381-2,$F381)),IF(Recurring!$G$28="Move After",IF(WEEKDAY($F381,2)=6,$F381+2,IF(WEEKDAY($F381,2)=7,$F381+1,$F381)),$F381)))</f>
        <v/>
      </c>
      <c r="H381" s="81" t="n">
        <f aca="false">IF($G381="",0,IF(AND($G381&gt;='Cash Flow'!$E$6,$G381&lt;'Cash Flow'!$E$6+91),1,0))</f>
        <v>0</v>
      </c>
      <c r="I381" s="81"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79" t="str">
        <f aca="false">IF($C382="","",Recurring!$D$28)</f>
        <v/>
      </c>
      <c r="F382" s="80"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0" t="str">
        <f aca="false">IF($F382="","",IF(Recurring!$G$28="Move Before",IF(WEEKDAY($F382,2)=6,$F382-1,IF(WEEKDAY($F382,2)=7,$F382-2,$F382)),IF(Recurring!$G$28="Move After",IF(WEEKDAY($F382,2)=6,$F382+2,IF(WEEKDAY($F382,2)=7,$F382+1,$F382)),$F382)))</f>
        <v/>
      </c>
      <c r="H382" s="81" t="n">
        <f aca="false">IF($G382="",0,IF(AND($G382&gt;='Cash Flow'!$E$6,$G382&lt;'Cash Flow'!$E$6+91),1,0))</f>
        <v>0</v>
      </c>
      <c r="I382" s="81"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79" t="str">
        <f aca="false">IF($C383="","",Recurring!$D$28)</f>
        <v/>
      </c>
      <c r="F383" s="80"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0" t="str">
        <f aca="false">IF($F383="","",IF(Recurring!$G$28="Move Before",IF(WEEKDAY($F383,2)=6,$F383-1,IF(WEEKDAY($F383,2)=7,$F383-2,$F383)),IF(Recurring!$G$28="Move After",IF(WEEKDAY($F383,2)=6,$F383+2,IF(WEEKDAY($F383,2)=7,$F383+1,$F383)),$F383)))</f>
        <v/>
      </c>
      <c r="H383" s="81" t="n">
        <f aca="false">IF($G383="",0,IF(AND($G383&gt;='Cash Flow'!$E$6,$G383&lt;'Cash Flow'!$E$6+91),1,0))</f>
        <v>0</v>
      </c>
      <c r="I383" s="81"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79" t="str">
        <f aca="false">IF($C384="","",Recurring!$D$28)</f>
        <v/>
      </c>
      <c r="F384" s="80"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0" t="str">
        <f aca="false">IF($F384="","",IF(Recurring!$G$28="Move Before",IF(WEEKDAY($F384,2)=6,$F384-1,IF(WEEKDAY($F384,2)=7,$F384-2,$F384)),IF(Recurring!$G$28="Move After",IF(WEEKDAY($F384,2)=6,$F384+2,IF(WEEKDAY($F384,2)=7,$F384+1,$F384)),$F384)))</f>
        <v/>
      </c>
      <c r="H384" s="81" t="n">
        <f aca="false">IF($G384="",0,IF(AND($G384&gt;='Cash Flow'!$E$6,$G384&lt;'Cash Flow'!$E$6+91),1,0))</f>
        <v>0</v>
      </c>
      <c r="I384" s="81"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79" t="str">
        <f aca="false">IF($C385="","",Recurring!$D$28)</f>
        <v/>
      </c>
      <c r="F385" s="80"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0" t="str">
        <f aca="false">IF($F385="","",IF(Recurring!$G$28="Move Before",IF(WEEKDAY($F385,2)=6,$F385-1,IF(WEEKDAY($F385,2)=7,$F385-2,$F385)),IF(Recurring!$G$28="Move After",IF(WEEKDAY($F385,2)=6,$F385+2,IF(WEEKDAY($F385,2)=7,$F385+1,$F385)),$F385)))</f>
        <v/>
      </c>
      <c r="H385" s="81" t="n">
        <f aca="false">IF($G385="",0,IF(AND($G385&gt;='Cash Flow'!$E$6,$G385&lt;'Cash Flow'!$E$6+91),1,0))</f>
        <v>0</v>
      </c>
      <c r="I385" s="81"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79" t="str">
        <f aca="false">IF($C386="","",Recurring!$D$28)</f>
        <v/>
      </c>
      <c r="F386" s="80"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0" t="str">
        <f aca="false">IF($F386="","",IF(Recurring!$G$28="Move Before",IF(WEEKDAY($F386,2)=6,$F386-1,IF(WEEKDAY($F386,2)=7,$F386-2,$F386)),IF(Recurring!$G$28="Move After",IF(WEEKDAY($F386,2)=6,$F386+2,IF(WEEKDAY($F386,2)=7,$F386+1,$F386)),$F386)))</f>
        <v/>
      </c>
      <c r="H386" s="81" t="n">
        <f aca="false">IF($G386="",0,IF(AND($G386&gt;='Cash Flow'!$E$6,$G386&lt;'Cash Flow'!$E$6+91),1,0))</f>
        <v>0</v>
      </c>
      <c r="I386" s="81"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79" t="str">
        <f aca="false">IF($C387="","",Recurring!$D$28)</f>
        <v/>
      </c>
      <c r="F387" s="80"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0" t="str">
        <f aca="false">IF($F387="","",IF(Recurring!$G$28="Move Before",IF(WEEKDAY($F387,2)=6,$F387-1,IF(WEEKDAY($F387,2)=7,$F387-2,$F387)),IF(Recurring!$G$28="Move After",IF(WEEKDAY($F387,2)=6,$F387+2,IF(WEEKDAY($F387,2)=7,$F387+1,$F387)),$F387)))</f>
        <v/>
      </c>
      <c r="H387" s="81" t="n">
        <f aca="false">IF($G387="",0,IF(AND($G387&gt;='Cash Flow'!$E$6,$G387&lt;'Cash Flow'!$E$6+91),1,0))</f>
        <v>0</v>
      </c>
      <c r="I387" s="81"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79" t="str">
        <f aca="false">IF($C388="","",Recurring!$D$29)</f>
        <v/>
      </c>
      <c r="F388" s="80"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0" t="str">
        <f aca="false">IF($F388="","",IF(Recurring!$G$29="Move Before",IF(WEEKDAY($F388,2)=6,$F388-1,IF(WEEKDAY($F388,2)=7,$F388-2,$F388)),IF(Recurring!$G$29="Move After",IF(WEEKDAY($F388,2)=6,$F388+2,IF(WEEKDAY($F388,2)=7,$F388+1,$F388)),$F388)))</f>
        <v/>
      </c>
      <c r="H388" s="81" t="n">
        <f aca="false">IF($G388="",0,IF(AND($G388&gt;='Cash Flow'!$E$6-90,$G388&lt;'Cash Flow'!$E$6+91),1,0))</f>
        <v>0</v>
      </c>
      <c r="I388" s="81"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79" t="str">
        <f aca="false">IF($C389="","",Recurring!$D$29)</f>
        <v/>
      </c>
      <c r="F389" s="80"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0" t="str">
        <f aca="false">IF($F389="","",IF(Recurring!$G$29="Move Before",IF(WEEKDAY($F389,2)=6,$F389-1,IF(WEEKDAY($F389,2)=7,$F389-2,$F389)),IF(Recurring!$G$29="Move After",IF(WEEKDAY($F389,2)=6,$F389+2,IF(WEEKDAY($F389,2)=7,$F389+1,$F389)),$F389)))</f>
        <v/>
      </c>
      <c r="H389" s="81" t="n">
        <f aca="false">IF($G389="",0,IF(AND($G389&gt;='Cash Flow'!$E$6,$G389&lt;'Cash Flow'!$E$6+91),1,0))</f>
        <v>0</v>
      </c>
      <c r="I389" s="81"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79" t="str">
        <f aca="false">IF($C390="","",Recurring!$D$29)</f>
        <v/>
      </c>
      <c r="F390" s="80"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0" t="str">
        <f aca="false">IF($F390="","",IF(Recurring!$G$29="Move Before",IF(WEEKDAY($F390,2)=6,$F390-1,IF(WEEKDAY($F390,2)=7,$F390-2,$F390)),IF(Recurring!$G$29="Move After",IF(WEEKDAY($F390,2)=6,$F390+2,IF(WEEKDAY($F390,2)=7,$F390+1,$F390)),$F390)))</f>
        <v/>
      </c>
      <c r="H390" s="81" t="n">
        <f aca="false">IF($G390="",0,IF(AND($G390&gt;='Cash Flow'!$E$6,$G390&lt;'Cash Flow'!$E$6+91),1,0))</f>
        <v>0</v>
      </c>
      <c r="I390" s="81"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79" t="str">
        <f aca="false">IF($C391="","",Recurring!$D$29)</f>
        <v/>
      </c>
      <c r="F391" s="80"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0" t="str">
        <f aca="false">IF($F391="","",IF(Recurring!$G$29="Move Before",IF(WEEKDAY($F391,2)=6,$F391-1,IF(WEEKDAY($F391,2)=7,$F391-2,$F391)),IF(Recurring!$G$29="Move After",IF(WEEKDAY($F391,2)=6,$F391+2,IF(WEEKDAY($F391,2)=7,$F391+1,$F391)),$F391)))</f>
        <v/>
      </c>
      <c r="H391" s="81" t="n">
        <f aca="false">IF($G391="",0,IF(AND($G391&gt;='Cash Flow'!$E$6,$G391&lt;'Cash Flow'!$E$6+91),1,0))</f>
        <v>0</v>
      </c>
      <c r="I391" s="81"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79" t="str">
        <f aca="false">IF($C392="","",Recurring!$D$29)</f>
        <v/>
      </c>
      <c r="F392" s="80"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0" t="str">
        <f aca="false">IF($F392="","",IF(Recurring!$G$29="Move Before",IF(WEEKDAY($F392,2)=6,$F392-1,IF(WEEKDAY($F392,2)=7,$F392-2,$F392)),IF(Recurring!$G$29="Move After",IF(WEEKDAY($F392,2)=6,$F392+2,IF(WEEKDAY($F392,2)=7,$F392+1,$F392)),$F392)))</f>
        <v/>
      </c>
      <c r="H392" s="81" t="n">
        <f aca="false">IF($G392="",0,IF(AND($G392&gt;='Cash Flow'!$E$6,$G392&lt;'Cash Flow'!$E$6+91),1,0))</f>
        <v>0</v>
      </c>
      <c r="I392" s="81"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79" t="str">
        <f aca="false">IF($C393="","",Recurring!$D$29)</f>
        <v/>
      </c>
      <c r="F393" s="80"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0" t="str">
        <f aca="false">IF($F393="","",IF(Recurring!$G$29="Move Before",IF(WEEKDAY($F393,2)=6,$F393-1,IF(WEEKDAY($F393,2)=7,$F393-2,$F393)),IF(Recurring!$G$29="Move After",IF(WEEKDAY($F393,2)=6,$F393+2,IF(WEEKDAY($F393,2)=7,$F393+1,$F393)),$F393)))</f>
        <v/>
      </c>
      <c r="H393" s="81" t="n">
        <f aca="false">IF($G393="",0,IF(AND($G393&gt;='Cash Flow'!$E$6,$G393&lt;'Cash Flow'!$E$6+91),1,0))</f>
        <v>0</v>
      </c>
      <c r="I393" s="81"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79" t="str">
        <f aca="false">IF($C394="","",Recurring!$D$29)</f>
        <v/>
      </c>
      <c r="F394" s="80"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0" t="str">
        <f aca="false">IF($F394="","",IF(Recurring!$G$29="Move Before",IF(WEEKDAY($F394,2)=6,$F394-1,IF(WEEKDAY($F394,2)=7,$F394-2,$F394)),IF(Recurring!$G$29="Move After",IF(WEEKDAY($F394,2)=6,$F394+2,IF(WEEKDAY($F394,2)=7,$F394+1,$F394)),$F394)))</f>
        <v/>
      </c>
      <c r="H394" s="81" t="n">
        <f aca="false">IF($G394="",0,IF(AND($G394&gt;='Cash Flow'!$E$6,$G394&lt;'Cash Flow'!$E$6+91),1,0))</f>
        <v>0</v>
      </c>
      <c r="I394" s="81"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79" t="str">
        <f aca="false">IF($C395="","",Recurring!$D$29)</f>
        <v/>
      </c>
      <c r="F395" s="80"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0" t="str">
        <f aca="false">IF($F395="","",IF(Recurring!$G$29="Move Before",IF(WEEKDAY($F395,2)=6,$F395-1,IF(WEEKDAY($F395,2)=7,$F395-2,$F395)),IF(Recurring!$G$29="Move After",IF(WEEKDAY($F395,2)=6,$F395+2,IF(WEEKDAY($F395,2)=7,$F395+1,$F395)),$F395)))</f>
        <v/>
      </c>
      <c r="H395" s="81" t="n">
        <f aca="false">IF($G395="",0,IF(AND($G395&gt;='Cash Flow'!$E$6,$G395&lt;'Cash Flow'!$E$6+91),1,0))</f>
        <v>0</v>
      </c>
      <c r="I395" s="81"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79" t="str">
        <f aca="false">IF($C396="","",Recurring!$D$29)</f>
        <v/>
      </c>
      <c r="F396" s="80"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0" t="str">
        <f aca="false">IF($F396="","",IF(Recurring!$G$29="Move Before",IF(WEEKDAY($F396,2)=6,$F396-1,IF(WEEKDAY($F396,2)=7,$F396-2,$F396)),IF(Recurring!$G$29="Move After",IF(WEEKDAY($F396,2)=6,$F396+2,IF(WEEKDAY($F396,2)=7,$F396+1,$F396)),$F396)))</f>
        <v/>
      </c>
      <c r="H396" s="81" t="n">
        <f aca="false">IF($G396="",0,IF(AND($G396&gt;='Cash Flow'!$E$6,$G396&lt;'Cash Flow'!$E$6+91),1,0))</f>
        <v>0</v>
      </c>
      <c r="I396" s="81"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79" t="str">
        <f aca="false">IF($C397="","",Recurring!$D$29)</f>
        <v/>
      </c>
      <c r="F397" s="80"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0" t="str">
        <f aca="false">IF($F397="","",IF(Recurring!$G$29="Move Before",IF(WEEKDAY($F397,2)=6,$F397-1,IF(WEEKDAY($F397,2)=7,$F397-2,$F397)),IF(Recurring!$G$29="Move After",IF(WEEKDAY($F397,2)=6,$F397+2,IF(WEEKDAY($F397,2)=7,$F397+1,$F397)),$F397)))</f>
        <v/>
      </c>
      <c r="H397" s="81" t="n">
        <f aca="false">IF($G397="",0,IF(AND($G397&gt;='Cash Flow'!$E$6,$G397&lt;'Cash Flow'!$E$6+91),1,0))</f>
        <v>0</v>
      </c>
      <c r="I397" s="81"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79" t="str">
        <f aca="false">IF($C398="","",Recurring!$D$29)</f>
        <v/>
      </c>
      <c r="F398" s="80"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0" t="str">
        <f aca="false">IF($F398="","",IF(Recurring!$G$29="Move Before",IF(WEEKDAY($F398,2)=6,$F398-1,IF(WEEKDAY($F398,2)=7,$F398-2,$F398)),IF(Recurring!$G$29="Move After",IF(WEEKDAY($F398,2)=6,$F398+2,IF(WEEKDAY($F398,2)=7,$F398+1,$F398)),$F398)))</f>
        <v/>
      </c>
      <c r="H398" s="81" t="n">
        <f aca="false">IF($G398="",0,IF(AND($G398&gt;='Cash Flow'!$E$6,$G398&lt;'Cash Flow'!$E$6+91),1,0))</f>
        <v>0</v>
      </c>
      <c r="I398" s="81"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79" t="str">
        <f aca="false">IF($C399="","",Recurring!$D$29)</f>
        <v/>
      </c>
      <c r="F399" s="80"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0" t="str">
        <f aca="false">IF($F399="","",IF(Recurring!$G$29="Move Before",IF(WEEKDAY($F399,2)=6,$F399-1,IF(WEEKDAY($F399,2)=7,$F399-2,$F399)),IF(Recurring!$G$29="Move After",IF(WEEKDAY($F399,2)=6,$F399+2,IF(WEEKDAY($F399,2)=7,$F399+1,$F399)),$F399)))</f>
        <v/>
      </c>
      <c r="H399" s="81" t="n">
        <f aca="false">IF($G399="",0,IF(AND($G399&gt;='Cash Flow'!$E$6,$G399&lt;'Cash Flow'!$E$6+91),1,0))</f>
        <v>0</v>
      </c>
      <c r="I399" s="81"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79" t="str">
        <f aca="false">IF($C400="","",Recurring!$D$29)</f>
        <v/>
      </c>
      <c r="F400" s="80"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0" t="str">
        <f aca="false">IF($F400="","",IF(Recurring!$G$29="Move Before",IF(WEEKDAY($F400,2)=6,$F400-1,IF(WEEKDAY($F400,2)=7,$F400-2,$F400)),IF(Recurring!$G$29="Move After",IF(WEEKDAY($F400,2)=6,$F400+2,IF(WEEKDAY($F400,2)=7,$F400+1,$F400)),$F400)))</f>
        <v/>
      </c>
      <c r="H400" s="81" t="n">
        <f aca="false">IF($G400="",0,IF(AND($G400&gt;='Cash Flow'!$E$6,$G400&lt;'Cash Flow'!$E$6+91),1,0))</f>
        <v>0</v>
      </c>
      <c r="I400" s="81"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79" t="str">
        <f aca="false">IF($C401="","",Recurring!$D$29)</f>
        <v/>
      </c>
      <c r="F401" s="80"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0" t="str">
        <f aca="false">IF($F401="","",IF(Recurring!$G$29="Move Before",IF(WEEKDAY($F401,2)=6,$F401-1,IF(WEEKDAY($F401,2)=7,$F401-2,$F401)),IF(Recurring!$G$29="Move After",IF(WEEKDAY($F401,2)=6,$F401+2,IF(WEEKDAY($F401,2)=7,$F401+1,$F401)),$F401)))</f>
        <v/>
      </c>
      <c r="H401" s="81" t="n">
        <f aca="false">IF($G401="",0,IF(AND($G401&gt;='Cash Flow'!$E$6,$G401&lt;'Cash Flow'!$E$6+91),1,0))</f>
        <v>0</v>
      </c>
      <c r="I401" s="81"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79" t="str">
        <f aca="false">IF($C402="","",Recurring!$D$29)</f>
        <v/>
      </c>
      <c r="F402" s="80"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0" t="str">
        <f aca="false">IF($F402="","",IF(Recurring!$G$29="Move Before",IF(WEEKDAY($F402,2)=6,$F402-1,IF(WEEKDAY($F402,2)=7,$F402-2,$F402)),IF(Recurring!$G$29="Move After",IF(WEEKDAY($F402,2)=6,$F402+2,IF(WEEKDAY($F402,2)=7,$F402+1,$F402)),$F402)))</f>
        <v/>
      </c>
      <c r="H402" s="81" t="n">
        <f aca="false">IF($G402="",0,IF(AND($G402&gt;='Cash Flow'!$E$6,$G402&lt;'Cash Flow'!$E$6+91),1,0))</f>
        <v>0</v>
      </c>
      <c r="I402" s="81"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79" t="str">
        <f aca="false">IF($C403="","",Recurring!$D$29)</f>
        <v/>
      </c>
      <c r="F403" s="80"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0" t="str">
        <f aca="false">IF($F403="","",IF(Recurring!$G$29="Move Before",IF(WEEKDAY($F403,2)=6,$F403-1,IF(WEEKDAY($F403,2)=7,$F403-2,$F403)),IF(Recurring!$G$29="Move After",IF(WEEKDAY($F403,2)=6,$F403+2,IF(WEEKDAY($F403,2)=7,$F403+1,$F403)),$F403)))</f>
        <v/>
      </c>
      <c r="H403" s="81" t="n">
        <f aca="false">IF($G403="",0,IF(AND($G403&gt;='Cash Flow'!$E$6,$G403&lt;'Cash Flow'!$E$6+91),1,0))</f>
        <v>0</v>
      </c>
      <c r="I403" s="81"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79" t="str">
        <f aca="false">IF($C404="","",Recurring!$D$30)</f>
        <v/>
      </c>
      <c r="F404" s="80"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0" t="str">
        <f aca="false">IF($F404="","",IF(Recurring!$G$30="Move Before",IF(WEEKDAY($F404,2)=6,$F404-1,IF(WEEKDAY($F404,2)=7,$F404-2,$F404)),IF(Recurring!$G$30="Move After",IF(WEEKDAY($F404,2)=6,$F404+2,IF(WEEKDAY($F404,2)=7,$F404+1,$F404)),$F404)))</f>
        <v/>
      </c>
      <c r="H404" s="81" t="n">
        <f aca="false">IF($G404="",0,IF(AND($G404&gt;='Cash Flow'!$E$6-90,$G404&lt;'Cash Flow'!$E$6+91),1,0))</f>
        <v>0</v>
      </c>
      <c r="I404" s="81"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79" t="str">
        <f aca="false">IF($C405="","",Recurring!$D$30)</f>
        <v/>
      </c>
      <c r="F405" s="80"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0" t="str">
        <f aca="false">IF($F405="","",IF(Recurring!$G$30="Move Before",IF(WEEKDAY($F405,2)=6,$F405-1,IF(WEEKDAY($F405,2)=7,$F405-2,$F405)),IF(Recurring!$G$30="Move After",IF(WEEKDAY($F405,2)=6,$F405+2,IF(WEEKDAY($F405,2)=7,$F405+1,$F405)),$F405)))</f>
        <v/>
      </c>
      <c r="H405" s="81" t="n">
        <f aca="false">IF($G405="",0,IF(AND($G405&gt;='Cash Flow'!$E$6,$G405&lt;'Cash Flow'!$E$6+91),1,0))</f>
        <v>0</v>
      </c>
      <c r="I405" s="81"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79" t="str">
        <f aca="false">IF($C406="","",Recurring!$D$30)</f>
        <v/>
      </c>
      <c r="F406" s="80"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0" t="str">
        <f aca="false">IF($F406="","",IF(Recurring!$G$30="Move Before",IF(WEEKDAY($F406,2)=6,$F406-1,IF(WEEKDAY($F406,2)=7,$F406-2,$F406)),IF(Recurring!$G$30="Move After",IF(WEEKDAY($F406,2)=6,$F406+2,IF(WEEKDAY($F406,2)=7,$F406+1,$F406)),$F406)))</f>
        <v/>
      </c>
      <c r="H406" s="81" t="n">
        <f aca="false">IF($G406="",0,IF(AND($G406&gt;='Cash Flow'!$E$6,$G406&lt;'Cash Flow'!$E$6+91),1,0))</f>
        <v>0</v>
      </c>
      <c r="I406" s="81"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79" t="str">
        <f aca="false">IF($C407="","",Recurring!$D$30)</f>
        <v/>
      </c>
      <c r="F407" s="80"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0" t="str">
        <f aca="false">IF($F407="","",IF(Recurring!$G$30="Move Before",IF(WEEKDAY($F407,2)=6,$F407-1,IF(WEEKDAY($F407,2)=7,$F407-2,$F407)),IF(Recurring!$G$30="Move After",IF(WEEKDAY($F407,2)=6,$F407+2,IF(WEEKDAY($F407,2)=7,$F407+1,$F407)),$F407)))</f>
        <v/>
      </c>
      <c r="H407" s="81" t="n">
        <f aca="false">IF($G407="",0,IF(AND($G407&gt;='Cash Flow'!$E$6,$G407&lt;'Cash Flow'!$E$6+91),1,0))</f>
        <v>0</v>
      </c>
      <c r="I407" s="81"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79" t="str">
        <f aca="false">IF($C408="","",Recurring!$D$30)</f>
        <v/>
      </c>
      <c r="F408" s="80"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0" t="str">
        <f aca="false">IF($F408="","",IF(Recurring!$G$30="Move Before",IF(WEEKDAY($F408,2)=6,$F408-1,IF(WEEKDAY($F408,2)=7,$F408-2,$F408)),IF(Recurring!$G$30="Move After",IF(WEEKDAY($F408,2)=6,$F408+2,IF(WEEKDAY($F408,2)=7,$F408+1,$F408)),$F408)))</f>
        <v/>
      </c>
      <c r="H408" s="81" t="n">
        <f aca="false">IF($G408="",0,IF(AND($G408&gt;='Cash Flow'!$E$6,$G408&lt;'Cash Flow'!$E$6+91),1,0))</f>
        <v>0</v>
      </c>
      <c r="I408" s="81"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79" t="str">
        <f aca="false">IF($C409="","",Recurring!$D$30)</f>
        <v/>
      </c>
      <c r="F409" s="80"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0" t="str">
        <f aca="false">IF($F409="","",IF(Recurring!$G$30="Move Before",IF(WEEKDAY($F409,2)=6,$F409-1,IF(WEEKDAY($F409,2)=7,$F409-2,$F409)),IF(Recurring!$G$30="Move After",IF(WEEKDAY($F409,2)=6,$F409+2,IF(WEEKDAY($F409,2)=7,$F409+1,$F409)),$F409)))</f>
        <v/>
      </c>
      <c r="H409" s="81" t="n">
        <f aca="false">IF($G409="",0,IF(AND($G409&gt;='Cash Flow'!$E$6,$G409&lt;'Cash Flow'!$E$6+91),1,0))</f>
        <v>0</v>
      </c>
      <c r="I409" s="81"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79" t="str">
        <f aca="false">IF($C410="","",Recurring!$D$30)</f>
        <v/>
      </c>
      <c r="F410" s="80"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0" t="str">
        <f aca="false">IF($F410="","",IF(Recurring!$G$30="Move Before",IF(WEEKDAY($F410,2)=6,$F410-1,IF(WEEKDAY($F410,2)=7,$F410-2,$F410)),IF(Recurring!$G$30="Move After",IF(WEEKDAY($F410,2)=6,$F410+2,IF(WEEKDAY($F410,2)=7,$F410+1,$F410)),$F410)))</f>
        <v/>
      </c>
      <c r="H410" s="81" t="n">
        <f aca="false">IF($G410="",0,IF(AND($G410&gt;='Cash Flow'!$E$6,$G410&lt;'Cash Flow'!$E$6+91),1,0))</f>
        <v>0</v>
      </c>
      <c r="I410" s="81"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79" t="str">
        <f aca="false">IF($C411="","",Recurring!$D$30)</f>
        <v/>
      </c>
      <c r="F411" s="80"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0" t="str">
        <f aca="false">IF($F411="","",IF(Recurring!$G$30="Move Before",IF(WEEKDAY($F411,2)=6,$F411-1,IF(WEEKDAY($F411,2)=7,$F411-2,$F411)),IF(Recurring!$G$30="Move After",IF(WEEKDAY($F411,2)=6,$F411+2,IF(WEEKDAY($F411,2)=7,$F411+1,$F411)),$F411)))</f>
        <v/>
      </c>
      <c r="H411" s="81" t="n">
        <f aca="false">IF($G411="",0,IF(AND($G411&gt;='Cash Flow'!$E$6,$G411&lt;'Cash Flow'!$E$6+91),1,0))</f>
        <v>0</v>
      </c>
      <c r="I411" s="81"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79" t="str">
        <f aca="false">IF($C412="","",Recurring!$D$30)</f>
        <v/>
      </c>
      <c r="F412" s="80"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0" t="str">
        <f aca="false">IF($F412="","",IF(Recurring!$G$30="Move Before",IF(WEEKDAY($F412,2)=6,$F412-1,IF(WEEKDAY($F412,2)=7,$F412-2,$F412)),IF(Recurring!$G$30="Move After",IF(WEEKDAY($F412,2)=6,$F412+2,IF(WEEKDAY($F412,2)=7,$F412+1,$F412)),$F412)))</f>
        <v/>
      </c>
      <c r="H412" s="81" t="n">
        <f aca="false">IF($G412="",0,IF(AND($G412&gt;='Cash Flow'!$E$6,$G412&lt;'Cash Flow'!$E$6+91),1,0))</f>
        <v>0</v>
      </c>
      <c r="I412" s="81"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79" t="str">
        <f aca="false">IF($C413="","",Recurring!$D$30)</f>
        <v/>
      </c>
      <c r="F413" s="80"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0" t="str">
        <f aca="false">IF($F413="","",IF(Recurring!$G$30="Move Before",IF(WEEKDAY($F413,2)=6,$F413-1,IF(WEEKDAY($F413,2)=7,$F413-2,$F413)),IF(Recurring!$G$30="Move After",IF(WEEKDAY($F413,2)=6,$F413+2,IF(WEEKDAY($F413,2)=7,$F413+1,$F413)),$F413)))</f>
        <v/>
      </c>
      <c r="H413" s="81" t="n">
        <f aca="false">IF($G413="",0,IF(AND($G413&gt;='Cash Flow'!$E$6,$G413&lt;'Cash Flow'!$E$6+91),1,0))</f>
        <v>0</v>
      </c>
      <c r="I413" s="81"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79" t="str">
        <f aca="false">IF($C414="","",Recurring!$D$30)</f>
        <v/>
      </c>
      <c r="F414" s="80"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0" t="str">
        <f aca="false">IF($F414="","",IF(Recurring!$G$30="Move Before",IF(WEEKDAY($F414,2)=6,$F414-1,IF(WEEKDAY($F414,2)=7,$F414-2,$F414)),IF(Recurring!$G$30="Move After",IF(WEEKDAY($F414,2)=6,$F414+2,IF(WEEKDAY($F414,2)=7,$F414+1,$F414)),$F414)))</f>
        <v/>
      </c>
      <c r="H414" s="81" t="n">
        <f aca="false">IF($G414="",0,IF(AND($G414&gt;='Cash Flow'!$E$6,$G414&lt;'Cash Flow'!$E$6+91),1,0))</f>
        <v>0</v>
      </c>
      <c r="I414" s="81"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79" t="str">
        <f aca="false">IF($C415="","",Recurring!$D$30)</f>
        <v/>
      </c>
      <c r="F415" s="80"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0" t="str">
        <f aca="false">IF($F415="","",IF(Recurring!$G$30="Move Before",IF(WEEKDAY($F415,2)=6,$F415-1,IF(WEEKDAY($F415,2)=7,$F415-2,$F415)),IF(Recurring!$G$30="Move After",IF(WEEKDAY($F415,2)=6,$F415+2,IF(WEEKDAY($F415,2)=7,$F415+1,$F415)),$F415)))</f>
        <v/>
      </c>
      <c r="H415" s="81" t="n">
        <f aca="false">IF($G415="",0,IF(AND($G415&gt;='Cash Flow'!$E$6,$G415&lt;'Cash Flow'!$E$6+91),1,0))</f>
        <v>0</v>
      </c>
      <c r="I415" s="81"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79" t="str">
        <f aca="false">IF($C416="","",Recurring!$D$30)</f>
        <v/>
      </c>
      <c r="F416" s="80"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0" t="str">
        <f aca="false">IF($F416="","",IF(Recurring!$G$30="Move Before",IF(WEEKDAY($F416,2)=6,$F416-1,IF(WEEKDAY($F416,2)=7,$F416-2,$F416)),IF(Recurring!$G$30="Move After",IF(WEEKDAY($F416,2)=6,$F416+2,IF(WEEKDAY($F416,2)=7,$F416+1,$F416)),$F416)))</f>
        <v/>
      </c>
      <c r="H416" s="81" t="n">
        <f aca="false">IF($G416="",0,IF(AND($G416&gt;='Cash Flow'!$E$6,$G416&lt;'Cash Flow'!$E$6+91),1,0))</f>
        <v>0</v>
      </c>
      <c r="I416" s="81"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79" t="str">
        <f aca="false">IF($C417="","",Recurring!$D$30)</f>
        <v/>
      </c>
      <c r="F417" s="80"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0" t="str">
        <f aca="false">IF($F417="","",IF(Recurring!$G$30="Move Before",IF(WEEKDAY($F417,2)=6,$F417-1,IF(WEEKDAY($F417,2)=7,$F417-2,$F417)),IF(Recurring!$G$30="Move After",IF(WEEKDAY($F417,2)=6,$F417+2,IF(WEEKDAY($F417,2)=7,$F417+1,$F417)),$F417)))</f>
        <v/>
      </c>
      <c r="H417" s="81" t="n">
        <f aca="false">IF($G417="",0,IF(AND($G417&gt;='Cash Flow'!$E$6,$G417&lt;'Cash Flow'!$E$6+91),1,0))</f>
        <v>0</v>
      </c>
      <c r="I417" s="81"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79" t="str">
        <f aca="false">IF($C418="","",Recurring!$D$30)</f>
        <v/>
      </c>
      <c r="F418" s="80"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0" t="str">
        <f aca="false">IF($F418="","",IF(Recurring!$G$30="Move Before",IF(WEEKDAY($F418,2)=6,$F418-1,IF(WEEKDAY($F418,2)=7,$F418-2,$F418)),IF(Recurring!$G$30="Move After",IF(WEEKDAY($F418,2)=6,$F418+2,IF(WEEKDAY($F418,2)=7,$F418+1,$F418)),$F418)))</f>
        <v/>
      </c>
      <c r="H418" s="81" t="n">
        <f aca="false">IF($G418="",0,IF(AND($G418&gt;='Cash Flow'!$E$6,$G418&lt;'Cash Flow'!$E$6+91),1,0))</f>
        <v>0</v>
      </c>
      <c r="I418" s="81"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79" t="str">
        <f aca="false">IF($C419="","",Recurring!$D$30)</f>
        <v/>
      </c>
      <c r="F419" s="80"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0" t="str">
        <f aca="false">IF($F419="","",IF(Recurring!$G$30="Move Before",IF(WEEKDAY($F419,2)=6,$F419-1,IF(WEEKDAY($F419,2)=7,$F419-2,$F419)),IF(Recurring!$G$30="Move After",IF(WEEKDAY($F419,2)=6,$F419+2,IF(WEEKDAY($F419,2)=7,$F419+1,$F419)),$F419)))</f>
        <v/>
      </c>
      <c r="H419" s="81" t="n">
        <f aca="false">IF($G419="",0,IF(AND($G419&gt;='Cash Flow'!$E$6,$G419&lt;'Cash Flow'!$E$6+91),1,0))</f>
        <v>0</v>
      </c>
      <c r="I419" s="81"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79" t="str">
        <f aca="false">IF($C420="","",Recurring!$D$31)</f>
        <v/>
      </c>
      <c r="F420" s="80"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0" t="str">
        <f aca="false">IF($F420="","",IF(Recurring!$G$31="Move Before",IF(WEEKDAY($F420,2)=6,$F420-1,IF(WEEKDAY($F420,2)=7,$F420-2,$F420)),IF(Recurring!$G$31="Move After",IF(WEEKDAY($F420,2)=6,$F420+2,IF(WEEKDAY($F420,2)=7,$F420+1,$F420)),$F420)))</f>
        <v/>
      </c>
      <c r="H420" s="81" t="n">
        <f aca="false">IF($G420="",0,IF(AND($G420&gt;='Cash Flow'!$E$6-90,$G420&lt;'Cash Flow'!$E$6+91),1,0))</f>
        <v>0</v>
      </c>
      <c r="I420" s="81"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79" t="str">
        <f aca="false">IF($C421="","",Recurring!$D$31)</f>
        <v/>
      </c>
      <c r="F421" s="80"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0" t="str">
        <f aca="false">IF($F421="","",IF(Recurring!$G$31="Move Before",IF(WEEKDAY($F421,2)=6,$F421-1,IF(WEEKDAY($F421,2)=7,$F421-2,$F421)),IF(Recurring!$G$31="Move After",IF(WEEKDAY($F421,2)=6,$F421+2,IF(WEEKDAY($F421,2)=7,$F421+1,$F421)),$F421)))</f>
        <v/>
      </c>
      <c r="H421" s="81" t="n">
        <f aca="false">IF($G421="",0,IF(AND($G421&gt;='Cash Flow'!$E$6,$G421&lt;'Cash Flow'!$E$6+91),1,0))</f>
        <v>0</v>
      </c>
      <c r="I421" s="81"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79" t="str">
        <f aca="false">IF($C422="","",Recurring!$D$31)</f>
        <v/>
      </c>
      <c r="F422" s="80"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0" t="str">
        <f aca="false">IF($F422="","",IF(Recurring!$G$31="Move Before",IF(WEEKDAY($F422,2)=6,$F422-1,IF(WEEKDAY($F422,2)=7,$F422-2,$F422)),IF(Recurring!$G$31="Move After",IF(WEEKDAY($F422,2)=6,$F422+2,IF(WEEKDAY($F422,2)=7,$F422+1,$F422)),$F422)))</f>
        <v/>
      </c>
      <c r="H422" s="81" t="n">
        <f aca="false">IF($G422="",0,IF(AND($G422&gt;='Cash Flow'!$E$6,$G422&lt;'Cash Flow'!$E$6+91),1,0))</f>
        <v>0</v>
      </c>
      <c r="I422" s="81"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79" t="str">
        <f aca="false">IF($C423="","",Recurring!$D$31)</f>
        <v/>
      </c>
      <c r="F423" s="80"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0" t="str">
        <f aca="false">IF($F423="","",IF(Recurring!$G$31="Move Before",IF(WEEKDAY($F423,2)=6,$F423-1,IF(WEEKDAY($F423,2)=7,$F423-2,$F423)),IF(Recurring!$G$31="Move After",IF(WEEKDAY($F423,2)=6,$F423+2,IF(WEEKDAY($F423,2)=7,$F423+1,$F423)),$F423)))</f>
        <v/>
      </c>
      <c r="H423" s="81" t="n">
        <f aca="false">IF($G423="",0,IF(AND($G423&gt;='Cash Flow'!$E$6,$G423&lt;'Cash Flow'!$E$6+91),1,0))</f>
        <v>0</v>
      </c>
      <c r="I423" s="81"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79" t="str">
        <f aca="false">IF($C424="","",Recurring!$D$31)</f>
        <v/>
      </c>
      <c r="F424" s="80"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0" t="str">
        <f aca="false">IF($F424="","",IF(Recurring!$G$31="Move Before",IF(WEEKDAY($F424,2)=6,$F424-1,IF(WEEKDAY($F424,2)=7,$F424-2,$F424)),IF(Recurring!$G$31="Move After",IF(WEEKDAY($F424,2)=6,$F424+2,IF(WEEKDAY($F424,2)=7,$F424+1,$F424)),$F424)))</f>
        <v/>
      </c>
      <c r="H424" s="81" t="n">
        <f aca="false">IF($G424="",0,IF(AND($G424&gt;='Cash Flow'!$E$6,$G424&lt;'Cash Flow'!$E$6+91),1,0))</f>
        <v>0</v>
      </c>
      <c r="I424" s="81"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79" t="str">
        <f aca="false">IF($C425="","",Recurring!$D$31)</f>
        <v/>
      </c>
      <c r="F425" s="80"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0" t="str">
        <f aca="false">IF($F425="","",IF(Recurring!$G$31="Move Before",IF(WEEKDAY($F425,2)=6,$F425-1,IF(WEEKDAY($F425,2)=7,$F425-2,$F425)),IF(Recurring!$G$31="Move After",IF(WEEKDAY($F425,2)=6,$F425+2,IF(WEEKDAY($F425,2)=7,$F425+1,$F425)),$F425)))</f>
        <v/>
      </c>
      <c r="H425" s="81" t="n">
        <f aca="false">IF($G425="",0,IF(AND($G425&gt;='Cash Flow'!$E$6,$G425&lt;'Cash Flow'!$E$6+91),1,0))</f>
        <v>0</v>
      </c>
      <c r="I425" s="81"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79" t="str">
        <f aca="false">IF($C426="","",Recurring!$D$31)</f>
        <v/>
      </c>
      <c r="F426" s="80"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0" t="str">
        <f aca="false">IF($F426="","",IF(Recurring!$G$31="Move Before",IF(WEEKDAY($F426,2)=6,$F426-1,IF(WEEKDAY($F426,2)=7,$F426-2,$F426)),IF(Recurring!$G$31="Move After",IF(WEEKDAY($F426,2)=6,$F426+2,IF(WEEKDAY($F426,2)=7,$F426+1,$F426)),$F426)))</f>
        <v/>
      </c>
      <c r="H426" s="81" t="n">
        <f aca="false">IF($G426="",0,IF(AND($G426&gt;='Cash Flow'!$E$6,$G426&lt;'Cash Flow'!$E$6+91),1,0))</f>
        <v>0</v>
      </c>
      <c r="I426" s="81"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79" t="str">
        <f aca="false">IF($C427="","",Recurring!$D$31)</f>
        <v/>
      </c>
      <c r="F427" s="80"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0" t="str">
        <f aca="false">IF($F427="","",IF(Recurring!$G$31="Move Before",IF(WEEKDAY($F427,2)=6,$F427-1,IF(WEEKDAY($F427,2)=7,$F427-2,$F427)),IF(Recurring!$G$31="Move After",IF(WEEKDAY($F427,2)=6,$F427+2,IF(WEEKDAY($F427,2)=7,$F427+1,$F427)),$F427)))</f>
        <v/>
      </c>
      <c r="H427" s="81" t="n">
        <f aca="false">IF($G427="",0,IF(AND($G427&gt;='Cash Flow'!$E$6,$G427&lt;'Cash Flow'!$E$6+91),1,0))</f>
        <v>0</v>
      </c>
      <c r="I427" s="81"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79" t="str">
        <f aca="false">IF($C428="","",Recurring!$D$31)</f>
        <v/>
      </c>
      <c r="F428" s="80"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0" t="str">
        <f aca="false">IF($F428="","",IF(Recurring!$G$31="Move Before",IF(WEEKDAY($F428,2)=6,$F428-1,IF(WEEKDAY($F428,2)=7,$F428-2,$F428)),IF(Recurring!$G$31="Move After",IF(WEEKDAY($F428,2)=6,$F428+2,IF(WEEKDAY($F428,2)=7,$F428+1,$F428)),$F428)))</f>
        <v/>
      </c>
      <c r="H428" s="81" t="n">
        <f aca="false">IF($G428="",0,IF(AND($G428&gt;='Cash Flow'!$E$6,$G428&lt;'Cash Flow'!$E$6+91),1,0))</f>
        <v>0</v>
      </c>
      <c r="I428" s="81"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79" t="str">
        <f aca="false">IF($C429="","",Recurring!$D$31)</f>
        <v/>
      </c>
      <c r="F429" s="80"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0" t="str">
        <f aca="false">IF($F429="","",IF(Recurring!$G$31="Move Before",IF(WEEKDAY($F429,2)=6,$F429-1,IF(WEEKDAY($F429,2)=7,$F429-2,$F429)),IF(Recurring!$G$31="Move After",IF(WEEKDAY($F429,2)=6,$F429+2,IF(WEEKDAY($F429,2)=7,$F429+1,$F429)),$F429)))</f>
        <v/>
      </c>
      <c r="H429" s="81" t="n">
        <f aca="false">IF($G429="",0,IF(AND($G429&gt;='Cash Flow'!$E$6,$G429&lt;'Cash Flow'!$E$6+91),1,0))</f>
        <v>0</v>
      </c>
      <c r="I429" s="81"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79" t="str">
        <f aca="false">IF($C430="","",Recurring!$D$31)</f>
        <v/>
      </c>
      <c r="F430" s="80"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0" t="str">
        <f aca="false">IF($F430="","",IF(Recurring!$G$31="Move Before",IF(WEEKDAY($F430,2)=6,$F430-1,IF(WEEKDAY($F430,2)=7,$F430-2,$F430)),IF(Recurring!$G$31="Move After",IF(WEEKDAY($F430,2)=6,$F430+2,IF(WEEKDAY($F430,2)=7,$F430+1,$F430)),$F430)))</f>
        <v/>
      </c>
      <c r="H430" s="81" t="n">
        <f aca="false">IF($G430="",0,IF(AND($G430&gt;='Cash Flow'!$E$6,$G430&lt;'Cash Flow'!$E$6+91),1,0))</f>
        <v>0</v>
      </c>
      <c r="I430" s="81"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79" t="str">
        <f aca="false">IF($C431="","",Recurring!$D$31)</f>
        <v/>
      </c>
      <c r="F431" s="80"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0" t="str">
        <f aca="false">IF($F431="","",IF(Recurring!$G$31="Move Before",IF(WEEKDAY($F431,2)=6,$F431-1,IF(WEEKDAY($F431,2)=7,$F431-2,$F431)),IF(Recurring!$G$31="Move After",IF(WEEKDAY($F431,2)=6,$F431+2,IF(WEEKDAY($F431,2)=7,$F431+1,$F431)),$F431)))</f>
        <v/>
      </c>
      <c r="H431" s="81" t="n">
        <f aca="false">IF($G431="",0,IF(AND($G431&gt;='Cash Flow'!$E$6,$G431&lt;'Cash Flow'!$E$6+91),1,0))</f>
        <v>0</v>
      </c>
      <c r="I431" s="81"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79" t="str">
        <f aca="false">IF($C432="","",Recurring!$D$31)</f>
        <v/>
      </c>
      <c r="F432" s="80"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0" t="str">
        <f aca="false">IF($F432="","",IF(Recurring!$G$31="Move Before",IF(WEEKDAY($F432,2)=6,$F432-1,IF(WEEKDAY($F432,2)=7,$F432-2,$F432)),IF(Recurring!$G$31="Move After",IF(WEEKDAY($F432,2)=6,$F432+2,IF(WEEKDAY($F432,2)=7,$F432+1,$F432)),$F432)))</f>
        <v/>
      </c>
      <c r="H432" s="81" t="n">
        <f aca="false">IF($G432="",0,IF(AND($G432&gt;='Cash Flow'!$E$6,$G432&lt;'Cash Flow'!$E$6+91),1,0))</f>
        <v>0</v>
      </c>
      <c r="I432" s="81"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79" t="str">
        <f aca="false">IF($C433="","",Recurring!$D$31)</f>
        <v/>
      </c>
      <c r="F433" s="80"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0" t="str">
        <f aca="false">IF($F433="","",IF(Recurring!$G$31="Move Before",IF(WEEKDAY($F433,2)=6,$F433-1,IF(WEEKDAY($F433,2)=7,$F433-2,$F433)),IF(Recurring!$G$31="Move After",IF(WEEKDAY($F433,2)=6,$F433+2,IF(WEEKDAY($F433,2)=7,$F433+1,$F433)),$F433)))</f>
        <v/>
      </c>
      <c r="H433" s="81" t="n">
        <f aca="false">IF($G433="",0,IF(AND($G433&gt;='Cash Flow'!$E$6,$G433&lt;'Cash Flow'!$E$6+91),1,0))</f>
        <v>0</v>
      </c>
      <c r="I433" s="81"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79" t="str">
        <f aca="false">IF($C434="","",Recurring!$D$31)</f>
        <v/>
      </c>
      <c r="F434" s="80"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0" t="str">
        <f aca="false">IF($F434="","",IF(Recurring!$G$31="Move Before",IF(WEEKDAY($F434,2)=6,$F434-1,IF(WEEKDAY($F434,2)=7,$F434-2,$F434)),IF(Recurring!$G$31="Move After",IF(WEEKDAY($F434,2)=6,$F434+2,IF(WEEKDAY($F434,2)=7,$F434+1,$F434)),$F434)))</f>
        <v/>
      </c>
      <c r="H434" s="81" t="n">
        <f aca="false">IF($G434="",0,IF(AND($G434&gt;='Cash Flow'!$E$6,$G434&lt;'Cash Flow'!$E$6+91),1,0))</f>
        <v>0</v>
      </c>
      <c r="I434" s="81"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79" t="str">
        <f aca="false">IF($C435="","",Recurring!$D$31)</f>
        <v/>
      </c>
      <c r="F435" s="80"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0" t="str">
        <f aca="false">IF($F435="","",IF(Recurring!$G$31="Move Before",IF(WEEKDAY($F435,2)=6,$F435-1,IF(WEEKDAY($F435,2)=7,$F435-2,$F435)),IF(Recurring!$G$31="Move After",IF(WEEKDAY($F435,2)=6,$F435+2,IF(WEEKDAY($F435,2)=7,$F435+1,$F435)),$F435)))</f>
        <v/>
      </c>
      <c r="H435" s="81" t="n">
        <f aca="false">IF($G435="",0,IF(AND($G435&gt;='Cash Flow'!$E$6,$G435&lt;'Cash Flow'!$E$6+91),1,0))</f>
        <v>0</v>
      </c>
      <c r="I435" s="81"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79" t="str">
        <f aca="false">IF($C436="","",Recurring!$D$32)</f>
        <v/>
      </c>
      <c r="F436" s="80"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0" t="str">
        <f aca="false">IF($F436="","",IF(Recurring!$G$32="Move Before",IF(WEEKDAY($F436,2)=6,$F436-1,IF(WEEKDAY($F436,2)=7,$F436-2,$F436)),IF(Recurring!$G$32="Move After",IF(WEEKDAY($F436,2)=6,$F436+2,IF(WEEKDAY($F436,2)=7,$F436+1,$F436)),$F436)))</f>
        <v/>
      </c>
      <c r="H436" s="81" t="n">
        <f aca="false">IF($G436="",0,IF(AND($G436&gt;='Cash Flow'!$E$6-90,$G436&lt;'Cash Flow'!$E$6+91),1,0))</f>
        <v>0</v>
      </c>
      <c r="I436" s="81"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79" t="str">
        <f aca="false">IF($C437="","",Recurring!$D$32)</f>
        <v/>
      </c>
      <c r="F437" s="80"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0" t="str">
        <f aca="false">IF($F437="","",IF(Recurring!$G$32="Move Before",IF(WEEKDAY($F437,2)=6,$F437-1,IF(WEEKDAY($F437,2)=7,$F437-2,$F437)),IF(Recurring!$G$32="Move After",IF(WEEKDAY($F437,2)=6,$F437+2,IF(WEEKDAY($F437,2)=7,$F437+1,$F437)),$F437)))</f>
        <v/>
      </c>
      <c r="H437" s="81" t="n">
        <f aca="false">IF($G437="",0,IF(AND($G437&gt;='Cash Flow'!$E$6,$G437&lt;'Cash Flow'!$E$6+91),1,0))</f>
        <v>0</v>
      </c>
      <c r="I437" s="81"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79" t="str">
        <f aca="false">IF($C438="","",Recurring!$D$32)</f>
        <v/>
      </c>
      <c r="F438" s="80"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0" t="str">
        <f aca="false">IF($F438="","",IF(Recurring!$G$32="Move Before",IF(WEEKDAY($F438,2)=6,$F438-1,IF(WEEKDAY($F438,2)=7,$F438-2,$F438)),IF(Recurring!$G$32="Move After",IF(WEEKDAY($F438,2)=6,$F438+2,IF(WEEKDAY($F438,2)=7,$F438+1,$F438)),$F438)))</f>
        <v/>
      </c>
      <c r="H438" s="81" t="n">
        <f aca="false">IF($G438="",0,IF(AND($G438&gt;='Cash Flow'!$E$6,$G438&lt;'Cash Flow'!$E$6+91),1,0))</f>
        <v>0</v>
      </c>
      <c r="I438" s="81"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79" t="str">
        <f aca="false">IF($C439="","",Recurring!$D$32)</f>
        <v/>
      </c>
      <c r="F439" s="80"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0" t="str">
        <f aca="false">IF($F439="","",IF(Recurring!$G$32="Move Before",IF(WEEKDAY($F439,2)=6,$F439-1,IF(WEEKDAY($F439,2)=7,$F439-2,$F439)),IF(Recurring!$G$32="Move After",IF(WEEKDAY($F439,2)=6,$F439+2,IF(WEEKDAY($F439,2)=7,$F439+1,$F439)),$F439)))</f>
        <v/>
      </c>
      <c r="H439" s="81" t="n">
        <f aca="false">IF($G439="",0,IF(AND($G439&gt;='Cash Flow'!$E$6,$G439&lt;'Cash Flow'!$E$6+91),1,0))</f>
        <v>0</v>
      </c>
      <c r="I439" s="81"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79" t="str">
        <f aca="false">IF($C440="","",Recurring!$D$32)</f>
        <v/>
      </c>
      <c r="F440" s="80"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0" t="str">
        <f aca="false">IF($F440="","",IF(Recurring!$G$32="Move Before",IF(WEEKDAY($F440,2)=6,$F440-1,IF(WEEKDAY($F440,2)=7,$F440-2,$F440)),IF(Recurring!$G$32="Move After",IF(WEEKDAY($F440,2)=6,$F440+2,IF(WEEKDAY($F440,2)=7,$F440+1,$F440)),$F440)))</f>
        <v/>
      </c>
      <c r="H440" s="81" t="n">
        <f aca="false">IF($G440="",0,IF(AND($G440&gt;='Cash Flow'!$E$6,$G440&lt;'Cash Flow'!$E$6+91),1,0))</f>
        <v>0</v>
      </c>
      <c r="I440" s="81"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79" t="str">
        <f aca="false">IF($C441="","",Recurring!$D$32)</f>
        <v/>
      </c>
      <c r="F441" s="80"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0" t="str">
        <f aca="false">IF($F441="","",IF(Recurring!$G$32="Move Before",IF(WEEKDAY($F441,2)=6,$F441-1,IF(WEEKDAY($F441,2)=7,$F441-2,$F441)),IF(Recurring!$G$32="Move After",IF(WEEKDAY($F441,2)=6,$F441+2,IF(WEEKDAY($F441,2)=7,$F441+1,$F441)),$F441)))</f>
        <v/>
      </c>
      <c r="H441" s="81" t="n">
        <f aca="false">IF($G441="",0,IF(AND($G441&gt;='Cash Flow'!$E$6,$G441&lt;'Cash Flow'!$E$6+91),1,0))</f>
        <v>0</v>
      </c>
      <c r="I441" s="81"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79" t="str">
        <f aca="false">IF($C442="","",Recurring!$D$32)</f>
        <v/>
      </c>
      <c r="F442" s="80"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0" t="str">
        <f aca="false">IF($F442="","",IF(Recurring!$G$32="Move Before",IF(WEEKDAY($F442,2)=6,$F442-1,IF(WEEKDAY($F442,2)=7,$F442-2,$F442)),IF(Recurring!$G$32="Move After",IF(WEEKDAY($F442,2)=6,$F442+2,IF(WEEKDAY($F442,2)=7,$F442+1,$F442)),$F442)))</f>
        <v/>
      </c>
      <c r="H442" s="81" t="n">
        <f aca="false">IF($G442="",0,IF(AND($G442&gt;='Cash Flow'!$E$6,$G442&lt;'Cash Flow'!$E$6+91),1,0))</f>
        <v>0</v>
      </c>
      <c r="I442" s="81"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79" t="str">
        <f aca="false">IF($C443="","",Recurring!$D$32)</f>
        <v/>
      </c>
      <c r="F443" s="80"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0" t="str">
        <f aca="false">IF($F443="","",IF(Recurring!$G$32="Move Before",IF(WEEKDAY($F443,2)=6,$F443-1,IF(WEEKDAY($F443,2)=7,$F443-2,$F443)),IF(Recurring!$G$32="Move After",IF(WEEKDAY($F443,2)=6,$F443+2,IF(WEEKDAY($F443,2)=7,$F443+1,$F443)),$F443)))</f>
        <v/>
      </c>
      <c r="H443" s="81" t="n">
        <f aca="false">IF($G443="",0,IF(AND($G443&gt;='Cash Flow'!$E$6,$G443&lt;'Cash Flow'!$E$6+91),1,0))</f>
        <v>0</v>
      </c>
      <c r="I443" s="81"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79" t="str">
        <f aca="false">IF($C444="","",Recurring!$D$32)</f>
        <v/>
      </c>
      <c r="F444" s="80"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0" t="str">
        <f aca="false">IF($F444="","",IF(Recurring!$G$32="Move Before",IF(WEEKDAY($F444,2)=6,$F444-1,IF(WEEKDAY($F444,2)=7,$F444-2,$F444)),IF(Recurring!$G$32="Move After",IF(WEEKDAY($F444,2)=6,$F444+2,IF(WEEKDAY($F444,2)=7,$F444+1,$F444)),$F444)))</f>
        <v/>
      </c>
      <c r="H444" s="81" t="n">
        <f aca="false">IF($G444="",0,IF(AND($G444&gt;='Cash Flow'!$E$6,$G444&lt;'Cash Flow'!$E$6+91),1,0))</f>
        <v>0</v>
      </c>
      <c r="I444" s="81"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79" t="str">
        <f aca="false">IF($C445="","",Recurring!$D$32)</f>
        <v/>
      </c>
      <c r="F445" s="80"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0" t="str">
        <f aca="false">IF($F445="","",IF(Recurring!$G$32="Move Before",IF(WEEKDAY($F445,2)=6,$F445-1,IF(WEEKDAY($F445,2)=7,$F445-2,$F445)),IF(Recurring!$G$32="Move After",IF(WEEKDAY($F445,2)=6,$F445+2,IF(WEEKDAY($F445,2)=7,$F445+1,$F445)),$F445)))</f>
        <v/>
      </c>
      <c r="H445" s="81" t="n">
        <f aca="false">IF($G445="",0,IF(AND($G445&gt;='Cash Flow'!$E$6,$G445&lt;'Cash Flow'!$E$6+91),1,0))</f>
        <v>0</v>
      </c>
      <c r="I445" s="81"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79" t="str">
        <f aca="false">IF($C446="","",Recurring!$D$32)</f>
        <v/>
      </c>
      <c r="F446" s="80"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0" t="str">
        <f aca="false">IF($F446="","",IF(Recurring!$G$32="Move Before",IF(WEEKDAY($F446,2)=6,$F446-1,IF(WEEKDAY($F446,2)=7,$F446-2,$F446)),IF(Recurring!$G$32="Move After",IF(WEEKDAY($F446,2)=6,$F446+2,IF(WEEKDAY($F446,2)=7,$F446+1,$F446)),$F446)))</f>
        <v/>
      </c>
      <c r="H446" s="81" t="n">
        <f aca="false">IF($G446="",0,IF(AND($G446&gt;='Cash Flow'!$E$6,$G446&lt;'Cash Flow'!$E$6+91),1,0))</f>
        <v>0</v>
      </c>
      <c r="I446" s="81"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79" t="str">
        <f aca="false">IF($C447="","",Recurring!$D$32)</f>
        <v/>
      </c>
      <c r="F447" s="80"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0" t="str">
        <f aca="false">IF($F447="","",IF(Recurring!$G$32="Move Before",IF(WEEKDAY($F447,2)=6,$F447-1,IF(WEEKDAY($F447,2)=7,$F447-2,$F447)),IF(Recurring!$G$32="Move After",IF(WEEKDAY($F447,2)=6,$F447+2,IF(WEEKDAY($F447,2)=7,$F447+1,$F447)),$F447)))</f>
        <v/>
      </c>
      <c r="H447" s="81" t="n">
        <f aca="false">IF($G447="",0,IF(AND($G447&gt;='Cash Flow'!$E$6,$G447&lt;'Cash Flow'!$E$6+91),1,0))</f>
        <v>0</v>
      </c>
      <c r="I447" s="81"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79" t="str">
        <f aca="false">IF($C448="","",Recurring!$D$32)</f>
        <v/>
      </c>
      <c r="F448" s="80"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0" t="str">
        <f aca="false">IF($F448="","",IF(Recurring!$G$32="Move Before",IF(WEEKDAY($F448,2)=6,$F448-1,IF(WEEKDAY($F448,2)=7,$F448-2,$F448)),IF(Recurring!$G$32="Move After",IF(WEEKDAY($F448,2)=6,$F448+2,IF(WEEKDAY($F448,2)=7,$F448+1,$F448)),$F448)))</f>
        <v/>
      </c>
      <c r="H448" s="81" t="n">
        <f aca="false">IF($G448="",0,IF(AND($G448&gt;='Cash Flow'!$E$6,$G448&lt;'Cash Flow'!$E$6+91),1,0))</f>
        <v>0</v>
      </c>
      <c r="I448" s="81"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79" t="str">
        <f aca="false">IF($C449="","",Recurring!$D$32)</f>
        <v/>
      </c>
      <c r="F449" s="80"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0" t="str">
        <f aca="false">IF($F449="","",IF(Recurring!$G$32="Move Before",IF(WEEKDAY($F449,2)=6,$F449-1,IF(WEEKDAY($F449,2)=7,$F449-2,$F449)),IF(Recurring!$G$32="Move After",IF(WEEKDAY($F449,2)=6,$F449+2,IF(WEEKDAY($F449,2)=7,$F449+1,$F449)),$F449)))</f>
        <v/>
      </c>
      <c r="H449" s="81" t="n">
        <f aca="false">IF($G449="",0,IF(AND($G449&gt;='Cash Flow'!$E$6,$G449&lt;'Cash Flow'!$E$6+91),1,0))</f>
        <v>0</v>
      </c>
      <c r="I449" s="81"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79" t="str">
        <f aca="false">IF($C450="","",Recurring!$D$32)</f>
        <v/>
      </c>
      <c r="F450" s="80"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0" t="str">
        <f aca="false">IF($F450="","",IF(Recurring!$G$32="Move Before",IF(WEEKDAY($F450,2)=6,$F450-1,IF(WEEKDAY($F450,2)=7,$F450-2,$F450)),IF(Recurring!$G$32="Move After",IF(WEEKDAY($F450,2)=6,$F450+2,IF(WEEKDAY($F450,2)=7,$F450+1,$F450)),$F450)))</f>
        <v/>
      </c>
      <c r="H450" s="81" t="n">
        <f aca="false">IF($G450="",0,IF(AND($G450&gt;='Cash Flow'!$E$6,$G450&lt;'Cash Flow'!$E$6+91),1,0))</f>
        <v>0</v>
      </c>
      <c r="I450" s="81"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79" t="str">
        <f aca="false">IF($C451="","",Recurring!$D$32)</f>
        <v/>
      </c>
      <c r="F451" s="80"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0" t="str">
        <f aca="false">IF($F451="","",IF(Recurring!$G$32="Move Before",IF(WEEKDAY($F451,2)=6,$F451-1,IF(WEEKDAY($F451,2)=7,$F451-2,$F451)),IF(Recurring!$G$32="Move After",IF(WEEKDAY($F451,2)=6,$F451+2,IF(WEEKDAY($F451,2)=7,$F451+1,$F451)),$F451)))</f>
        <v/>
      </c>
      <c r="H451" s="81" t="n">
        <f aca="false">IF($G451="",0,IF(AND($G451&gt;='Cash Flow'!$E$6,$G451&lt;'Cash Flow'!$E$6+91),1,0))</f>
        <v>0</v>
      </c>
      <c r="I451" s="81"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79" t="str">
        <f aca="false">IF($C452="","",Recurring!$D$33)</f>
        <v/>
      </c>
      <c r="F452" s="80"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0" t="str">
        <f aca="false">IF($F452="","",IF(Recurring!$G$33="Move Before",IF(WEEKDAY($F452,2)=6,$F452-1,IF(WEEKDAY($F452,2)=7,$F452-2,$F452)),IF(Recurring!$G$33="Move After",IF(WEEKDAY($F452,2)=6,$F452+2,IF(WEEKDAY($F452,2)=7,$F452+1,$F452)),$F452)))</f>
        <v/>
      </c>
      <c r="H452" s="81" t="n">
        <f aca="false">IF($G452="",0,IF(AND($G452&gt;='Cash Flow'!$E$6-90,$G452&lt;'Cash Flow'!$E$6+91),1,0))</f>
        <v>0</v>
      </c>
      <c r="I452" s="81"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79" t="str">
        <f aca="false">IF($C453="","",Recurring!$D$33)</f>
        <v/>
      </c>
      <c r="F453" s="80"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0" t="str">
        <f aca="false">IF($F453="","",IF(Recurring!$G$33="Move Before",IF(WEEKDAY($F453,2)=6,$F453-1,IF(WEEKDAY($F453,2)=7,$F453-2,$F453)),IF(Recurring!$G$33="Move After",IF(WEEKDAY($F453,2)=6,$F453+2,IF(WEEKDAY($F453,2)=7,$F453+1,$F453)),$F453)))</f>
        <v/>
      </c>
      <c r="H453" s="81" t="n">
        <f aca="false">IF($G453="",0,IF(AND($G453&gt;='Cash Flow'!$E$6,$G453&lt;'Cash Flow'!$E$6+91),1,0))</f>
        <v>0</v>
      </c>
      <c r="I453" s="81"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79" t="str">
        <f aca="false">IF($C454="","",Recurring!$D$33)</f>
        <v/>
      </c>
      <c r="F454" s="80"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0" t="str">
        <f aca="false">IF($F454="","",IF(Recurring!$G$33="Move Before",IF(WEEKDAY($F454,2)=6,$F454-1,IF(WEEKDAY($F454,2)=7,$F454-2,$F454)),IF(Recurring!$G$33="Move After",IF(WEEKDAY($F454,2)=6,$F454+2,IF(WEEKDAY($F454,2)=7,$F454+1,$F454)),$F454)))</f>
        <v/>
      </c>
      <c r="H454" s="81" t="n">
        <f aca="false">IF($G454="",0,IF(AND($G454&gt;='Cash Flow'!$E$6,$G454&lt;'Cash Flow'!$E$6+91),1,0))</f>
        <v>0</v>
      </c>
      <c r="I454" s="81"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79" t="str">
        <f aca="false">IF($C455="","",Recurring!$D$33)</f>
        <v/>
      </c>
      <c r="F455" s="80"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0" t="str">
        <f aca="false">IF($F455="","",IF(Recurring!$G$33="Move Before",IF(WEEKDAY($F455,2)=6,$F455-1,IF(WEEKDAY($F455,2)=7,$F455-2,$F455)),IF(Recurring!$G$33="Move After",IF(WEEKDAY($F455,2)=6,$F455+2,IF(WEEKDAY($F455,2)=7,$F455+1,$F455)),$F455)))</f>
        <v/>
      </c>
      <c r="H455" s="81" t="n">
        <f aca="false">IF($G455="",0,IF(AND($G455&gt;='Cash Flow'!$E$6,$G455&lt;'Cash Flow'!$E$6+91),1,0))</f>
        <v>0</v>
      </c>
      <c r="I455" s="81"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79" t="str">
        <f aca="false">IF($C456="","",Recurring!$D$33)</f>
        <v/>
      </c>
      <c r="F456" s="80"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0" t="str">
        <f aca="false">IF($F456="","",IF(Recurring!$G$33="Move Before",IF(WEEKDAY($F456,2)=6,$F456-1,IF(WEEKDAY($F456,2)=7,$F456-2,$F456)),IF(Recurring!$G$33="Move After",IF(WEEKDAY($F456,2)=6,$F456+2,IF(WEEKDAY($F456,2)=7,$F456+1,$F456)),$F456)))</f>
        <v/>
      </c>
      <c r="H456" s="81" t="n">
        <f aca="false">IF($G456="",0,IF(AND($G456&gt;='Cash Flow'!$E$6,$G456&lt;'Cash Flow'!$E$6+91),1,0))</f>
        <v>0</v>
      </c>
      <c r="I456" s="81"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79" t="str">
        <f aca="false">IF($C457="","",Recurring!$D$33)</f>
        <v/>
      </c>
      <c r="F457" s="80"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0" t="str">
        <f aca="false">IF($F457="","",IF(Recurring!$G$33="Move Before",IF(WEEKDAY($F457,2)=6,$F457-1,IF(WEEKDAY($F457,2)=7,$F457-2,$F457)),IF(Recurring!$G$33="Move After",IF(WEEKDAY($F457,2)=6,$F457+2,IF(WEEKDAY($F457,2)=7,$F457+1,$F457)),$F457)))</f>
        <v/>
      </c>
      <c r="H457" s="81" t="n">
        <f aca="false">IF($G457="",0,IF(AND($G457&gt;='Cash Flow'!$E$6,$G457&lt;'Cash Flow'!$E$6+91),1,0))</f>
        <v>0</v>
      </c>
      <c r="I457" s="81"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79" t="str">
        <f aca="false">IF($C458="","",Recurring!$D$33)</f>
        <v/>
      </c>
      <c r="F458" s="80"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0" t="str">
        <f aca="false">IF($F458="","",IF(Recurring!$G$33="Move Before",IF(WEEKDAY($F458,2)=6,$F458-1,IF(WEEKDAY($F458,2)=7,$F458-2,$F458)),IF(Recurring!$G$33="Move After",IF(WEEKDAY($F458,2)=6,$F458+2,IF(WEEKDAY($F458,2)=7,$F458+1,$F458)),$F458)))</f>
        <v/>
      </c>
      <c r="H458" s="81" t="n">
        <f aca="false">IF($G458="",0,IF(AND($G458&gt;='Cash Flow'!$E$6,$G458&lt;'Cash Flow'!$E$6+91),1,0))</f>
        <v>0</v>
      </c>
      <c r="I458" s="81"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79" t="str">
        <f aca="false">IF($C459="","",Recurring!$D$33)</f>
        <v/>
      </c>
      <c r="F459" s="80"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0" t="str">
        <f aca="false">IF($F459="","",IF(Recurring!$G$33="Move Before",IF(WEEKDAY($F459,2)=6,$F459-1,IF(WEEKDAY($F459,2)=7,$F459-2,$F459)),IF(Recurring!$G$33="Move After",IF(WEEKDAY($F459,2)=6,$F459+2,IF(WEEKDAY($F459,2)=7,$F459+1,$F459)),$F459)))</f>
        <v/>
      </c>
      <c r="H459" s="81" t="n">
        <f aca="false">IF($G459="",0,IF(AND($G459&gt;='Cash Flow'!$E$6,$G459&lt;'Cash Flow'!$E$6+91),1,0))</f>
        <v>0</v>
      </c>
      <c r="I459" s="81"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79" t="str">
        <f aca="false">IF($C460="","",Recurring!$D$33)</f>
        <v/>
      </c>
      <c r="F460" s="80"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0" t="str">
        <f aca="false">IF($F460="","",IF(Recurring!$G$33="Move Before",IF(WEEKDAY($F460,2)=6,$F460-1,IF(WEEKDAY($F460,2)=7,$F460-2,$F460)),IF(Recurring!$G$33="Move After",IF(WEEKDAY($F460,2)=6,$F460+2,IF(WEEKDAY($F460,2)=7,$F460+1,$F460)),$F460)))</f>
        <v/>
      </c>
      <c r="H460" s="81" t="n">
        <f aca="false">IF($G460="",0,IF(AND($G460&gt;='Cash Flow'!$E$6,$G460&lt;'Cash Flow'!$E$6+91),1,0))</f>
        <v>0</v>
      </c>
      <c r="I460" s="81"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79" t="str">
        <f aca="false">IF($C461="","",Recurring!$D$33)</f>
        <v/>
      </c>
      <c r="F461" s="80"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0" t="str">
        <f aca="false">IF($F461="","",IF(Recurring!$G$33="Move Before",IF(WEEKDAY($F461,2)=6,$F461-1,IF(WEEKDAY($F461,2)=7,$F461-2,$F461)),IF(Recurring!$G$33="Move After",IF(WEEKDAY($F461,2)=6,$F461+2,IF(WEEKDAY($F461,2)=7,$F461+1,$F461)),$F461)))</f>
        <v/>
      </c>
      <c r="H461" s="81" t="n">
        <f aca="false">IF($G461="",0,IF(AND($G461&gt;='Cash Flow'!$E$6,$G461&lt;'Cash Flow'!$E$6+91),1,0))</f>
        <v>0</v>
      </c>
      <c r="I461" s="81"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79" t="str">
        <f aca="false">IF($C462="","",Recurring!$D$33)</f>
        <v/>
      </c>
      <c r="F462" s="80"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0" t="str">
        <f aca="false">IF($F462="","",IF(Recurring!$G$33="Move Before",IF(WEEKDAY($F462,2)=6,$F462-1,IF(WEEKDAY($F462,2)=7,$F462-2,$F462)),IF(Recurring!$G$33="Move After",IF(WEEKDAY($F462,2)=6,$F462+2,IF(WEEKDAY($F462,2)=7,$F462+1,$F462)),$F462)))</f>
        <v/>
      </c>
      <c r="H462" s="81" t="n">
        <f aca="false">IF($G462="",0,IF(AND($G462&gt;='Cash Flow'!$E$6,$G462&lt;'Cash Flow'!$E$6+91),1,0))</f>
        <v>0</v>
      </c>
      <c r="I462" s="81"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79" t="str">
        <f aca="false">IF($C463="","",Recurring!$D$33)</f>
        <v/>
      </c>
      <c r="F463" s="80"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0" t="str">
        <f aca="false">IF($F463="","",IF(Recurring!$G$33="Move Before",IF(WEEKDAY($F463,2)=6,$F463-1,IF(WEEKDAY($F463,2)=7,$F463-2,$F463)),IF(Recurring!$G$33="Move After",IF(WEEKDAY($F463,2)=6,$F463+2,IF(WEEKDAY($F463,2)=7,$F463+1,$F463)),$F463)))</f>
        <v/>
      </c>
      <c r="H463" s="81" t="n">
        <f aca="false">IF($G463="",0,IF(AND($G463&gt;='Cash Flow'!$E$6,$G463&lt;'Cash Flow'!$E$6+91),1,0))</f>
        <v>0</v>
      </c>
      <c r="I463" s="81"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79" t="str">
        <f aca="false">IF($C464="","",Recurring!$D$33)</f>
        <v/>
      </c>
      <c r="F464" s="80"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0" t="str">
        <f aca="false">IF($F464="","",IF(Recurring!$G$33="Move Before",IF(WEEKDAY($F464,2)=6,$F464-1,IF(WEEKDAY($F464,2)=7,$F464-2,$F464)),IF(Recurring!$G$33="Move After",IF(WEEKDAY($F464,2)=6,$F464+2,IF(WEEKDAY($F464,2)=7,$F464+1,$F464)),$F464)))</f>
        <v/>
      </c>
      <c r="H464" s="81" t="n">
        <f aca="false">IF($G464="",0,IF(AND($G464&gt;='Cash Flow'!$E$6,$G464&lt;'Cash Flow'!$E$6+91),1,0))</f>
        <v>0</v>
      </c>
      <c r="I464" s="81"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79" t="str">
        <f aca="false">IF($C465="","",Recurring!$D$33)</f>
        <v/>
      </c>
      <c r="F465" s="80"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0" t="str">
        <f aca="false">IF($F465="","",IF(Recurring!$G$33="Move Before",IF(WEEKDAY($F465,2)=6,$F465-1,IF(WEEKDAY($F465,2)=7,$F465-2,$F465)),IF(Recurring!$G$33="Move After",IF(WEEKDAY($F465,2)=6,$F465+2,IF(WEEKDAY($F465,2)=7,$F465+1,$F465)),$F465)))</f>
        <v/>
      </c>
      <c r="H465" s="81" t="n">
        <f aca="false">IF($G465="",0,IF(AND($G465&gt;='Cash Flow'!$E$6,$G465&lt;'Cash Flow'!$E$6+91),1,0))</f>
        <v>0</v>
      </c>
      <c r="I465" s="81"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79" t="str">
        <f aca="false">IF($C466="","",Recurring!$D$33)</f>
        <v/>
      </c>
      <c r="F466" s="80"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0" t="str">
        <f aca="false">IF($F466="","",IF(Recurring!$G$33="Move Before",IF(WEEKDAY($F466,2)=6,$F466-1,IF(WEEKDAY($F466,2)=7,$F466-2,$F466)),IF(Recurring!$G$33="Move After",IF(WEEKDAY($F466,2)=6,$F466+2,IF(WEEKDAY($F466,2)=7,$F466+1,$F466)),$F466)))</f>
        <v/>
      </c>
      <c r="H466" s="81" t="n">
        <f aca="false">IF($G466="",0,IF(AND($G466&gt;='Cash Flow'!$E$6,$G466&lt;'Cash Flow'!$E$6+91),1,0))</f>
        <v>0</v>
      </c>
      <c r="I466" s="81"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79" t="str">
        <f aca="false">IF($C467="","",Recurring!$D$33)</f>
        <v/>
      </c>
      <c r="F467" s="80"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0" t="str">
        <f aca="false">IF($F467="","",IF(Recurring!$G$33="Move Before",IF(WEEKDAY($F467,2)=6,$F467-1,IF(WEEKDAY($F467,2)=7,$F467-2,$F467)),IF(Recurring!$G$33="Move After",IF(WEEKDAY($F467,2)=6,$F467+2,IF(WEEKDAY($F467,2)=7,$F467+1,$F467)),$F467)))</f>
        <v/>
      </c>
      <c r="H467" s="81" t="n">
        <f aca="false">IF($G467="",0,IF(AND($G467&gt;='Cash Flow'!$E$6,$G467&lt;'Cash Flow'!$E$6+91),1,0))</f>
        <v>0</v>
      </c>
      <c r="I467" s="81"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79" t="str">
        <f aca="false">IF($C468="","",Recurring!$D$34)</f>
        <v/>
      </c>
      <c r="F468" s="80"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0" t="str">
        <f aca="false">IF($F468="","",IF(Recurring!$G$34="Move Before",IF(WEEKDAY($F468,2)=6,$F468-1,IF(WEEKDAY($F468,2)=7,$F468-2,$F468)),IF(Recurring!$G$34="Move After",IF(WEEKDAY($F468,2)=6,$F468+2,IF(WEEKDAY($F468,2)=7,$F468+1,$F468)),$F468)))</f>
        <v/>
      </c>
      <c r="H468" s="81" t="n">
        <f aca="false">IF($G468="",0,IF(AND($G468&gt;='Cash Flow'!$E$6-90,$G468&lt;'Cash Flow'!$E$6+91),1,0))</f>
        <v>0</v>
      </c>
      <c r="I468" s="81"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79" t="str">
        <f aca="false">IF($C469="","",Recurring!$D$34)</f>
        <v/>
      </c>
      <c r="F469" s="80"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0" t="str">
        <f aca="false">IF($F469="","",IF(Recurring!$G$34="Move Before",IF(WEEKDAY($F469,2)=6,$F469-1,IF(WEEKDAY($F469,2)=7,$F469-2,$F469)),IF(Recurring!$G$34="Move After",IF(WEEKDAY($F469,2)=6,$F469+2,IF(WEEKDAY($F469,2)=7,$F469+1,$F469)),$F469)))</f>
        <v/>
      </c>
      <c r="H469" s="81" t="n">
        <f aca="false">IF($G469="",0,IF(AND($G469&gt;='Cash Flow'!$E$6,$G469&lt;'Cash Flow'!$E$6+91),1,0))</f>
        <v>0</v>
      </c>
      <c r="I469" s="81"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79" t="str">
        <f aca="false">IF($C470="","",Recurring!$D$34)</f>
        <v/>
      </c>
      <c r="F470" s="80"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0" t="str">
        <f aca="false">IF($F470="","",IF(Recurring!$G$34="Move Before",IF(WEEKDAY($F470,2)=6,$F470-1,IF(WEEKDAY($F470,2)=7,$F470-2,$F470)),IF(Recurring!$G$34="Move After",IF(WEEKDAY($F470,2)=6,$F470+2,IF(WEEKDAY($F470,2)=7,$F470+1,$F470)),$F470)))</f>
        <v/>
      </c>
      <c r="H470" s="81" t="n">
        <f aca="false">IF($G470="",0,IF(AND($G470&gt;='Cash Flow'!$E$6,$G470&lt;'Cash Flow'!$E$6+91),1,0))</f>
        <v>0</v>
      </c>
      <c r="I470" s="81"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79" t="str">
        <f aca="false">IF($C471="","",Recurring!$D$34)</f>
        <v/>
      </c>
      <c r="F471" s="80"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0" t="str">
        <f aca="false">IF($F471="","",IF(Recurring!$G$34="Move Before",IF(WEEKDAY($F471,2)=6,$F471-1,IF(WEEKDAY($F471,2)=7,$F471-2,$F471)),IF(Recurring!$G$34="Move After",IF(WEEKDAY($F471,2)=6,$F471+2,IF(WEEKDAY($F471,2)=7,$F471+1,$F471)),$F471)))</f>
        <v/>
      </c>
      <c r="H471" s="81" t="n">
        <f aca="false">IF($G471="",0,IF(AND($G471&gt;='Cash Flow'!$E$6,$G471&lt;'Cash Flow'!$E$6+91),1,0))</f>
        <v>0</v>
      </c>
      <c r="I471" s="81"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79" t="str">
        <f aca="false">IF($C472="","",Recurring!$D$34)</f>
        <v/>
      </c>
      <c r="F472" s="80"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0" t="str">
        <f aca="false">IF($F472="","",IF(Recurring!$G$34="Move Before",IF(WEEKDAY($F472,2)=6,$F472-1,IF(WEEKDAY($F472,2)=7,$F472-2,$F472)),IF(Recurring!$G$34="Move After",IF(WEEKDAY($F472,2)=6,$F472+2,IF(WEEKDAY($F472,2)=7,$F472+1,$F472)),$F472)))</f>
        <v/>
      </c>
      <c r="H472" s="81" t="n">
        <f aca="false">IF($G472="",0,IF(AND($G472&gt;='Cash Flow'!$E$6,$G472&lt;'Cash Flow'!$E$6+91),1,0))</f>
        <v>0</v>
      </c>
      <c r="I472" s="81"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79" t="str">
        <f aca="false">IF($C473="","",Recurring!$D$34)</f>
        <v/>
      </c>
      <c r="F473" s="80"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0" t="str">
        <f aca="false">IF($F473="","",IF(Recurring!$G$34="Move Before",IF(WEEKDAY($F473,2)=6,$F473-1,IF(WEEKDAY($F473,2)=7,$F473-2,$F473)),IF(Recurring!$G$34="Move After",IF(WEEKDAY($F473,2)=6,$F473+2,IF(WEEKDAY($F473,2)=7,$F473+1,$F473)),$F473)))</f>
        <v/>
      </c>
      <c r="H473" s="81" t="n">
        <f aca="false">IF($G473="",0,IF(AND($G473&gt;='Cash Flow'!$E$6,$G473&lt;'Cash Flow'!$E$6+91),1,0))</f>
        <v>0</v>
      </c>
      <c r="I473" s="81"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79" t="str">
        <f aca="false">IF($C474="","",Recurring!$D$34)</f>
        <v/>
      </c>
      <c r="F474" s="80"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0" t="str">
        <f aca="false">IF($F474="","",IF(Recurring!$G$34="Move Before",IF(WEEKDAY($F474,2)=6,$F474-1,IF(WEEKDAY($F474,2)=7,$F474-2,$F474)),IF(Recurring!$G$34="Move After",IF(WEEKDAY($F474,2)=6,$F474+2,IF(WEEKDAY($F474,2)=7,$F474+1,$F474)),$F474)))</f>
        <v/>
      </c>
      <c r="H474" s="81" t="n">
        <f aca="false">IF($G474="",0,IF(AND($G474&gt;='Cash Flow'!$E$6,$G474&lt;'Cash Flow'!$E$6+91),1,0))</f>
        <v>0</v>
      </c>
      <c r="I474" s="81"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79" t="str">
        <f aca="false">IF($C475="","",Recurring!$D$34)</f>
        <v/>
      </c>
      <c r="F475" s="80"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0" t="str">
        <f aca="false">IF($F475="","",IF(Recurring!$G$34="Move Before",IF(WEEKDAY($F475,2)=6,$F475-1,IF(WEEKDAY($F475,2)=7,$F475-2,$F475)),IF(Recurring!$G$34="Move After",IF(WEEKDAY($F475,2)=6,$F475+2,IF(WEEKDAY($F475,2)=7,$F475+1,$F475)),$F475)))</f>
        <v/>
      </c>
      <c r="H475" s="81" t="n">
        <f aca="false">IF($G475="",0,IF(AND($G475&gt;='Cash Flow'!$E$6,$G475&lt;'Cash Flow'!$E$6+91),1,0))</f>
        <v>0</v>
      </c>
      <c r="I475" s="81"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79" t="str">
        <f aca="false">IF($C476="","",Recurring!$D$34)</f>
        <v/>
      </c>
      <c r="F476" s="80"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0" t="str">
        <f aca="false">IF($F476="","",IF(Recurring!$G$34="Move Before",IF(WEEKDAY($F476,2)=6,$F476-1,IF(WEEKDAY($F476,2)=7,$F476-2,$F476)),IF(Recurring!$G$34="Move After",IF(WEEKDAY($F476,2)=6,$F476+2,IF(WEEKDAY($F476,2)=7,$F476+1,$F476)),$F476)))</f>
        <v/>
      </c>
      <c r="H476" s="81" t="n">
        <f aca="false">IF($G476="",0,IF(AND($G476&gt;='Cash Flow'!$E$6,$G476&lt;'Cash Flow'!$E$6+91),1,0))</f>
        <v>0</v>
      </c>
      <c r="I476" s="81"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79" t="str">
        <f aca="false">IF($C477="","",Recurring!$D$34)</f>
        <v/>
      </c>
      <c r="F477" s="80"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0" t="str">
        <f aca="false">IF($F477="","",IF(Recurring!$G$34="Move Before",IF(WEEKDAY($F477,2)=6,$F477-1,IF(WEEKDAY($F477,2)=7,$F477-2,$F477)),IF(Recurring!$G$34="Move After",IF(WEEKDAY($F477,2)=6,$F477+2,IF(WEEKDAY($F477,2)=7,$F477+1,$F477)),$F477)))</f>
        <v/>
      </c>
      <c r="H477" s="81" t="n">
        <f aca="false">IF($G477="",0,IF(AND($G477&gt;='Cash Flow'!$E$6,$G477&lt;'Cash Flow'!$E$6+91),1,0))</f>
        <v>0</v>
      </c>
      <c r="I477" s="81"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79" t="str">
        <f aca="false">IF($C478="","",Recurring!$D$34)</f>
        <v/>
      </c>
      <c r="F478" s="80"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0" t="str">
        <f aca="false">IF($F478="","",IF(Recurring!$G$34="Move Before",IF(WEEKDAY($F478,2)=6,$F478-1,IF(WEEKDAY($F478,2)=7,$F478-2,$F478)),IF(Recurring!$G$34="Move After",IF(WEEKDAY($F478,2)=6,$F478+2,IF(WEEKDAY($F478,2)=7,$F478+1,$F478)),$F478)))</f>
        <v/>
      </c>
      <c r="H478" s="81" t="n">
        <f aca="false">IF($G478="",0,IF(AND($G478&gt;='Cash Flow'!$E$6,$G478&lt;'Cash Flow'!$E$6+91),1,0))</f>
        <v>0</v>
      </c>
      <c r="I478" s="81"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79" t="str">
        <f aca="false">IF($C479="","",Recurring!$D$34)</f>
        <v/>
      </c>
      <c r="F479" s="80"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0" t="str">
        <f aca="false">IF($F479="","",IF(Recurring!$G$34="Move Before",IF(WEEKDAY($F479,2)=6,$F479-1,IF(WEEKDAY($F479,2)=7,$F479-2,$F479)),IF(Recurring!$G$34="Move After",IF(WEEKDAY($F479,2)=6,$F479+2,IF(WEEKDAY($F479,2)=7,$F479+1,$F479)),$F479)))</f>
        <v/>
      </c>
      <c r="H479" s="81" t="n">
        <f aca="false">IF($G479="",0,IF(AND($G479&gt;='Cash Flow'!$E$6,$G479&lt;'Cash Flow'!$E$6+91),1,0))</f>
        <v>0</v>
      </c>
      <c r="I479" s="81"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79" t="str">
        <f aca="false">IF($C480="","",Recurring!$D$34)</f>
        <v/>
      </c>
      <c r="F480" s="80"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0" t="str">
        <f aca="false">IF($F480="","",IF(Recurring!$G$34="Move Before",IF(WEEKDAY($F480,2)=6,$F480-1,IF(WEEKDAY($F480,2)=7,$F480-2,$F480)),IF(Recurring!$G$34="Move After",IF(WEEKDAY($F480,2)=6,$F480+2,IF(WEEKDAY($F480,2)=7,$F480+1,$F480)),$F480)))</f>
        <v/>
      </c>
      <c r="H480" s="81" t="n">
        <f aca="false">IF($G480="",0,IF(AND($G480&gt;='Cash Flow'!$E$6,$G480&lt;'Cash Flow'!$E$6+91),1,0))</f>
        <v>0</v>
      </c>
      <c r="I480" s="81"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79" t="str">
        <f aca="false">IF($C481="","",Recurring!$D$34)</f>
        <v/>
      </c>
      <c r="F481" s="80"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0" t="str">
        <f aca="false">IF($F481="","",IF(Recurring!$G$34="Move Before",IF(WEEKDAY($F481,2)=6,$F481-1,IF(WEEKDAY($F481,2)=7,$F481-2,$F481)),IF(Recurring!$G$34="Move After",IF(WEEKDAY($F481,2)=6,$F481+2,IF(WEEKDAY($F481,2)=7,$F481+1,$F481)),$F481)))</f>
        <v/>
      </c>
      <c r="H481" s="81" t="n">
        <f aca="false">IF($G481="",0,IF(AND($G481&gt;='Cash Flow'!$E$6,$G481&lt;'Cash Flow'!$E$6+91),1,0))</f>
        <v>0</v>
      </c>
      <c r="I481" s="81"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79" t="str">
        <f aca="false">IF($C482="","",Recurring!$D$34)</f>
        <v/>
      </c>
      <c r="F482" s="80"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0" t="str">
        <f aca="false">IF($F482="","",IF(Recurring!$G$34="Move Before",IF(WEEKDAY($F482,2)=6,$F482-1,IF(WEEKDAY($F482,2)=7,$F482-2,$F482)),IF(Recurring!$G$34="Move After",IF(WEEKDAY($F482,2)=6,$F482+2,IF(WEEKDAY($F482,2)=7,$F482+1,$F482)),$F482)))</f>
        <v/>
      </c>
      <c r="H482" s="81" t="n">
        <f aca="false">IF($G482="",0,IF(AND($G482&gt;='Cash Flow'!$E$6,$G482&lt;'Cash Flow'!$E$6+91),1,0))</f>
        <v>0</v>
      </c>
      <c r="I482" s="81"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79" t="str">
        <f aca="false">IF($C483="","",Recurring!$D$34)</f>
        <v/>
      </c>
      <c r="F483" s="80"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0" t="str">
        <f aca="false">IF($F483="","",IF(Recurring!$G$34="Move Before",IF(WEEKDAY($F483,2)=6,$F483-1,IF(WEEKDAY($F483,2)=7,$F483-2,$F483)),IF(Recurring!$G$34="Move After",IF(WEEKDAY($F483,2)=6,$F483+2,IF(WEEKDAY($F483,2)=7,$F483+1,$F483)),$F483)))</f>
        <v/>
      </c>
      <c r="H483" s="81" t="n">
        <f aca="false">IF($G483="",0,IF(AND($G483&gt;='Cash Flow'!$E$6,$G483&lt;'Cash Flow'!$E$6+91),1,0))</f>
        <v>0</v>
      </c>
      <c r="I483" s="81"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2026-08-08T18:12:22Z</dcterms:created>
  <dc:creator>openpyxl</dc:creator>
  <dc:description/>
  <dc:language>en-US</dc:language>
  <cp:lastModifiedBy/>
  <dcterms:modified xsi:type="dcterms:W3CDTF">2026-08-12T11:38:04Z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