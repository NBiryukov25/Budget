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structions" sheetId="1" state="visible" r:id="rId3"/>
    <sheet name="Recurring" sheetId="2" state="visible" r:id="rId4"/>
    <sheet name="Cash Flow" sheetId="3" state="visible" r:id="rId5"/>
    <sheet name="Summary" sheetId="4" state="visible" r:id="rId6"/>
    <sheet name="Schedule" sheetId="5" state="visible" r:id="rId7"/>
  </sheets>
  <definedNames>
    <definedName function="false" hidden="false" localSheetId="2" name="_xlnm.Print_Area" vbProcedure="false">'Cash Flow'!$A$1:$K$284</definedName>
    <definedName function="false" hidden="false" localSheetId="0" name="_xlnm.Print_Area" vbProcedure="false">Instructions!$A$1:$C$46</definedName>
    <definedName function="false" hidden="false" localSheetId="1" name="_xlnm.Print_Area" vbProcedure="false">Recurring!$A$1:$J$38</definedName>
    <definedName function="false" hidden="false" localSheetId="1" name="_xlnm.Print_Titles" vbProcedure="false">Recurring!$4:$4</definedName>
    <definedName function="false" hidden="false" localSheetId="3" name="_xlnm.Print_Area" vbProcedure="false">Summary!$A$1:$J$28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<sst xmlns="http://schemas.openxmlformats.org/spreadsheetml/2006/main" count="390" uniqueCount="167">
  <si>
    <t xml:space="preserve">WEEKLY CASH FLOW SURVIVAL WORKSHEET</t>
  </si>
  <si>
    <t xml:space="preserve">Recurring transactions + weekly paychecks, projected 13 weeks out.</t>
  </si>
  <si>
    <t xml:space="preserve">HOW TO USE IT</t>
  </si>
  <si>
    <t xml:space="preserve">1.  Set your starting point</t>
  </si>
  <si>
    <t xml:space="preserve">On the 'Cash Flow' tab, type your Beginning Balance in E5 and your start date in E6 (use a Friday). Everything below it flows from those two cells. Weeks run Friday through Thursday, so your Friday paycheck arrives on day one.</t>
  </si>
  <si>
    <t xml:space="preserve">2.  Check your recurring transactions</t>
  </si>
  <si>
    <t xml:space="preserve">The 'Recurring' tab is already loaded with the bills and paychecks from your app. Edit any row, or type a new one into the first empty row - it appears on the cash flow automatically.</t>
  </si>
  <si>
    <t xml:space="preserve">3.  Record what you actually paid</t>
  </si>
  <si>
    <t xml:space="preserve">As each due date arrives or passes, type the real amount into the 'Amount Paid' column on the Cash Flow tab. The cell turns yellow when something is due and still blank. Until you fill it in, the sheet projects the scheduled amount.</t>
  </si>
  <si>
    <t xml:space="preserve">4.  Log your week's spending</t>
  </si>
  <si>
    <t xml:space="preserve">Each week block has a 'WEEKLY VARIABLE EXPENSES' section. Type a description and an amount for groceries, gas, and anything else. It is subtracted from that week's income right away.</t>
  </si>
  <si>
    <t xml:space="preserve">5.  Watch the Summary tab</t>
  </si>
  <si>
    <t xml:space="preserve">It shows every week's ending balance, your lowest point, and the first week you run short - which is the whole point of a survival sheet.</t>
  </si>
  <si>
    <t xml:space="preserve">COLOUR LEGEND</t>
  </si>
  <si>
    <t xml:space="preserve">Blue text</t>
  </si>
  <si>
    <t xml:space="preserve">You type it. A number or date you enter by hand.</t>
  </si>
  <si>
    <t xml:space="preserve">Yellow fill</t>
  </si>
  <si>
    <t xml:space="preserve">A cell waiting for you to fill it in.</t>
  </si>
  <si>
    <t xml:space="preserve">MONEY IN</t>
  </si>
  <si>
    <t xml:space="preserve">Green column. Deposits only — paychecks and anything else coming in.</t>
  </si>
  <si>
    <t xml:space="preserve">MONEY OUT</t>
  </si>
  <si>
    <t xml:space="preserve">Orange column. Payments only — bills and spending going out.</t>
  </si>
  <si>
    <t xml:space="preserve">Black text</t>
  </si>
  <si>
    <t xml:space="preserve">A formula that does the arithmetic — running balances, week totals, the Summary. Leave these alone.</t>
  </si>
  <si>
    <t xml:space="preserve">Green text</t>
  </si>
  <si>
    <t xml:space="preserve">A formula that pulls a transaction in from the Recurring tab. You CAN type straight over these — see below.</t>
  </si>
  <si>
    <t xml:space="preserve">WHEN A FORMULA IS IN YOUR WAY</t>
  </si>
  <si>
    <t xml:space="preserve">Type over it</t>
  </si>
  <si>
    <t xml:space="preserve">The green cells in the week blocks — Description, Scheduled Date, Type, Scheduled Amount — are safe to overwrite. Type a real date or a different amount straight into the cell. The running balance, the week totals and the Summary all keep working, because they read the cell rather than the formula behind it.</t>
  </si>
  <si>
    <t xml:space="preserve">What you give up</t>
  </si>
  <si>
    <t xml:space="preserve">That one row stops following the Recurring tab. Edit the transaction later and this row will not move with it. Everything else on the sheet is unaffected.</t>
  </si>
  <si>
    <t xml:space="preserve">To skip a bill this week</t>
  </si>
  <si>
    <t xml:space="preserve">Clear the Description cell. The row empties out and drops from the week's totals, leaving the rest of the week intact.</t>
  </si>
  <si>
    <t xml:space="preserve">To add a one-off</t>
  </si>
  <si>
    <t xml:space="preserve">Type a description, date, Income or Expense, and an amount into any blank row in a week block. Nothing needs to exist on the Recurring tab first.</t>
  </si>
  <si>
    <t xml:space="preserve">To pay part of a bill</t>
  </si>
  <si>
    <t xml:space="preserve">Leave the scheduled row alone and put what you actually paid in Amount Paid. That column is yours already and always wins over the scheduled figure.</t>
  </si>
  <si>
    <t xml:space="preserve">To get the formula back</t>
  </si>
  <si>
    <t xml:space="preserve">Undo, or copy the same cell from the row above or below and let Excel adjust it.</t>
  </si>
  <si>
    <t xml:space="preserve">Already paid or already received</t>
  </si>
  <si>
    <t xml:space="preserve">Do NOT zero out the row. Go to the Recurring tab and move that transaction's Next Due Date forward to its following occurrence — that is a blue cell you are meant to edit, with no formula anywhere near it. The occurrence disappears from the cash flow and every later one still lands correctly. Your beginning balance already contains the money, so counting it again would overstate the whole 13 weeks.</t>
  </si>
  <si>
    <t xml:space="preserve">FREQUENCIES THE SHEET UNDERSTANDS</t>
  </si>
  <si>
    <t xml:space="preserve">Weekly</t>
  </si>
  <si>
    <t xml:space="preserve">Every 7 days from the Next Due Date. Your two paychecks use this.</t>
  </si>
  <si>
    <t xml:space="preserve">Every 2 Weeks</t>
  </si>
  <si>
    <t xml:space="preserve">Every 14 days from the Next Due Date.</t>
  </si>
  <si>
    <t xml:space="preserve">Monthly</t>
  </si>
  <si>
    <t xml:space="preserve">Same day each month. A 31st rolls back to the last day of shorter months.</t>
  </si>
  <si>
    <t xml:space="preserve">Twice a Month</t>
  </si>
  <si>
    <t xml:space="preserve">The 15th and the last day of the month.</t>
  </si>
  <si>
    <t xml:space="preserve">One Time</t>
  </si>
  <si>
    <t xml:space="preserve">Happens once, on the Next Due Date, then never again.</t>
  </si>
  <si>
    <t xml:space="preserve">ASSUMPTIONS AND SOURCES</t>
  </si>
  <si>
    <t xml:space="preserve">•</t>
  </si>
  <si>
    <t xml:space="preserve">Every recurring transaction was transcribed from the three screenshots of your budget app's Recurring / Upcoming list (August 2026). Nothing was invented.</t>
  </si>
  <si>
    <t xml:space="preserve">Amounts are entered as positive numbers. The Type column (Income or Expense) decides the sign, so a $90 paycheck is Type = Income, amount 90.</t>
  </si>
  <si>
    <t xml:space="preserve">Next Due Date means the next occurrence you have NOT paid yet. If that date is already behind you the transaction still appears, in Week 1, marked PAST DUE — an unpaid bill never drops off this sheet just because its date has passed. Only roll a date forward once the money has actually moved.</t>
  </si>
  <si>
    <t xml:space="preserve">The sheet opens on Fri Aug 7, 2026 with $71.17 already in hand. Confirmed as already settled and therefore rolled forward: the Compunnel paycheck (now Aug 14), Upstart and Google One (now Sep 7), Bruno's (Aug 12), and the $163.50 Central Maine Power bill (now Sep 10, covered by the payment plan through August). Apple: Claude, OpenAI and Obsidian keep their Aug 4 and Aug 5 dates because they are still unpaid.</t>
  </si>
  <si>
    <t xml:space="preserve">Progressive Insurance ($143.37) was cut off at the bottom of the third screenshot, so its due date is set to Aug 31, 2026. Correct it on the Recurring tab if that is wrong.</t>
  </si>
  <si>
    <t xml:space="preserve">Central Maine Power: the $43.87 payment plan covers usage through August, so the $163.50 regular bill does not start until Sep 10, 2026. OPEN QUESTION: the $43.87 plan is still set to repeat every month from Aug 25. If the plan ends once the $163.50 billing resumes, set its Active to No or give it an end, or the sheet will charge you both from September onward.</t>
  </si>
  <si>
    <t xml:space="preserve">Patrick Rombalski is 'Twice a Month' with Weekend Rule = Move Before, which is why the August payment lands on Fri Aug 14 rather than Sat Aug 15, matching your app.</t>
  </si>
  <si>
    <t xml:space="preserve">The Beginning Balance of $1,250.00 and the weekly expense examples in Week 1 are placeholders. Overwrite them with your real numbers.</t>
  </si>
  <si>
    <t xml:space="preserve">The Schedule tab is the engine that turns recurring rules into dated occurrences. It is safe to look at, but do not type in it.</t>
  </si>
  <si>
    <t xml:space="preserve">Each week shows up to 10 recurring transactions. If a week ever has more, a warning appears to the right of that week's banner.</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</si>
  <si>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</si>
  <si>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</si>
  <si>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</si>
  <si>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</si>
  <si>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</si>
  <si>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</si>
  <si>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</si>
  <si>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Next Due Date</t>
  </si>
  <si>
    <t xml:space="preserve">Weekend Rule</t>
  </si>
  <si>
    <t xml:space="preserve">Active</t>
  </si>
  <si>
    <t xml:space="preserve">Category</t>
  </si>
  <si>
    <t xml:space="preserve">Notes</t>
  </si>
  <si>
    <t xml:space="preserve">Bruno's Restaurant (paycheck)</t>
  </si>
  <si>
    <t xml:space="preserve">Income</t>
  </si>
  <si>
    <t xml:space="preserve">None</t>
  </si>
  <si>
    <t xml:space="preserve">Yes</t>
  </si>
  <si>
    <t xml:space="preserve">Wages</t>
  </si>
  <si>
    <t xml:space="preserve">Compunnel Software (paycheck)</t>
  </si>
  <si>
    <t xml:space="preserve">Apple: Claude</t>
  </si>
  <si>
    <t xml:space="preserve">Expense</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</si>
  <si>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</si>
  <si>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</si>
  <si>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</si>
  <si>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</si>
  <si>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</si>
  <si>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</si>
  <si>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</si>
  <si>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</si>
  <si>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</si>
  <si>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</si>
  <si>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Move Before</t>
  </si>
  <si>
    <t xml:space="preserve">Housing</t>
  </si>
  <si>
    <t xml:space="preserve">Spectrum</t>
  </si>
  <si>
    <t xml:space="preserve">Maine Revenue Services</t>
  </si>
  <si>
    <t xml:space="preserve">Taxes</t>
  </si>
  <si>
    <t xml:space="preserve">Metal Copy</t>
  </si>
  <si>
    <t xml:space="preserve">Microsoft</t>
  </si>
  <si>
    <t xml:space="preserve">Central Maine Power: Payment Plan</t>
  </si>
  <si>
    <t xml:space="preserve">Maine Revenue Services (2)</t>
  </si>
  <si>
    <t xml:space="preserve">Progressive Insurance</t>
  </si>
  <si>
    <t xml:space="preserve">Insurance</t>
  </si>
  <si>
    <t xml:space="preserve">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</si>
  <si>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</si>
  <si>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</si>
  <si>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</si>
  <si>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</si>
  <si>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</si>
  <si>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</si>
  <si>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</si>
  <si>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Today</t>
  </si>
  <si>
    <t xml:space="preserve">This sheet projects 13 weeks from the start date. Week 1 begins on the start date and each week runs Friday through Thursday.</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</si>
  <si>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</si>
  <si>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Starting balance:</t>
  </si>
  <si>
    <t xml:space="preserve">Recurring Transaction</t>
  </si>
  <si>
    <t xml:space="preserve">Scheduled Date</t>
  </si>
  <si>
    <t xml:space="preserve">Scheduled Amount</t>
  </si>
  <si>
    <t xml:space="preserve">Amount Paid</t>
  </si>
  <si>
    <t xml:space="preserve">Running Balance</t>
  </si>
  <si>
    <t xml:space="preserve">Status</t>
  </si>
  <si>
    <t xml:space="preserve">WEEKLY VARIABLE EXPENSES — type what you spend this week (groceries, gas, eating out, anything)</t>
  </si>
  <si>
    <t xml:space="preserve">WEEK 1 TOTALS</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</si>
  <si>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</si>
  <si>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</si>
  <si>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</si>
  <si>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</si>
  <si>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</si>
  <si>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</si>
  <si>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</si>
  <si>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</si>
  <si>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</si>
  <si>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</si>
  <si>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</si>
  <si>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</si>
  <si>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13-WEEK SURVIVAL SUMMARY</t>
  </si>
  <si>
    <t xml:space="preserve">Every figure here is pulled live from the Cash Flow tab.</t>
  </si>
  <si>
    <t xml:space="preserve">Lowest ending balance</t>
  </si>
  <si>
    <t xml:space="preserve">Week it happens</t>
  </si>
  <si>
    <t xml:space="preserve">First week you run short</t>
  </si>
  <si>
    <t xml:space="preserve">Total income projected</t>
  </si>
  <si>
    <t xml:space="preserve">Total expenses projected</t>
  </si>
  <si>
    <t xml:space="preserve">Net change over 13 weeks</t>
  </si>
  <si>
    <t xml:space="preserve">Ending balance</t>
  </si>
  <si>
    <t xml:space="preserve">Week</t>
  </si>
  <si>
    <t xml:space="preserve">Week Beginning</t>
  </si>
  <si>
    <t xml:space="preserve">Starting Balance</t>
  </si>
  <si>
    <t xml:space="preserve">Recurring Expenses</t>
  </si>
  <si>
    <t xml:space="preserve">Weekly Expenses</t>
  </si>
  <si>
    <t xml:space="preserve">Net Change</t>
  </si>
  <si>
    <t xml:space="preserve">Ending Balance</t>
  </si>
  <si>
    <t xml:space="preserve">shortfall key</t>
  </si>
  <si>
    <t xml:space="preserve">TOTAL</t>
  </si>
  <si>
    <t xml:space="preserve">opening →</t>
  </si>
  <si>
    <t xml:space="preserve">Recurring Expenses come from the scheduled rows in each week block; Weekly Expenses come from what you type into that week's variable-expense rows. Both are already netted against income in Net Change.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</si>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</sst>
</file>

<file path=xl/styles.xml><?xml version="1.0" encoding="utf-8"?>
<styleSheet xmlns="http://schemas.openxmlformats.org/spreadsheetml/2006/main">
  <numFmts count="6">
    <numFmt numFmtId="164" formatCode="General"/>
    <numFmt numFmtId="165" formatCode="\$#,##0.00;&quot;($&quot;#,##0.00\);\–"/>
    <numFmt numFmtId="166" formatCode="ddd\ mmm\ d&quot;, &quot;yyyy"/>
    <numFmt numFmtId="167" formatCode="\$#,##0.00;[RED]&quot;($&quot;#,##0.00\);\–"/>
    <numFmt numFmtId="168" formatCode="ddd\ mm/dd"/>
    <numFmt numFmtId="169" formatCode="General"/>
  </numFmts>
  <fonts count="17">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b val="true"/>
      <sz val="10"/>
      <color rgb="FF006100"/>
      <name val="Arial"/>
      <family val="0"/>
      <charset val="1"/>
    </font>
    <font>
      <sz val="10"/>
      <color rgb="FF9C0006"/>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b val="true"/>
      <sz val="9"/>
      <color rgb="FFC00000"/>
      <name val="Arial"/>
      <family val="0"/>
      <charset val="1"/>
    </font>
    <font>
      <b val="true"/>
      <sz val="14"/>
      <color rgb="FFC00000"/>
      <name val="Arial"/>
      <family val="0"/>
      <charset val="1"/>
    </font>
  </fonts>
  <fills count="10">
    <fill>
      <patternFill patternType="none"/>
    </fill>
    <fill>
      <patternFill patternType="gray125"/>
    </fill>
    <fill>
      <patternFill patternType="solid">
        <fgColor rgb="FFFFFF00"/>
        <bgColor rgb="FFFFFF00"/>
      </patternFill>
    </fill>
    <fill>
      <patternFill patternType="solid">
        <fgColor rgb="FFC6E0B4"/>
        <bgColor rgb="FFE2EFDA"/>
      </patternFill>
    </fill>
    <fill>
      <patternFill patternType="solid">
        <fgColor rgb="FFF8CBAD"/>
        <bgColor rgb="FFFCE4D6"/>
      </patternFill>
    </fill>
    <fill>
      <patternFill patternType="solid">
        <fgColor rgb="FF1F3864"/>
        <bgColor rgb="FF333333"/>
      </patternFill>
    </fill>
    <fill>
      <patternFill patternType="solid">
        <fgColor rgb="FFF2F2F2"/>
        <bgColor rgb="FFE2EFDA"/>
      </patternFill>
    </fill>
    <fill>
      <patternFill patternType="solid">
        <fgColor rgb="FF2E75B6"/>
        <bgColor rgb="FF0066CC"/>
      </patternFill>
    </fill>
    <fill>
      <patternFill patternType="solid">
        <fgColor rgb="FFD9E2F3"/>
        <bgColor rgb="FFE2EFDA"/>
      </patternFill>
    </fill>
    <fill>
      <patternFill patternType="solid">
        <fgColor rgb="FFE2EFDA"/>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5" fontId="9" fillId="6" borderId="1" xfId="0" applyFont="true" applyBorder="true" applyAlignment="false" applyProtection="false">
      <alignment horizontal="general" vertical="bottom" textRotation="0" wrapText="false" indent="0" shrinkToFit="false"/>
      <protection locked="true" hidden="false"/>
    </xf>
    <xf numFmtId="166" fontId="9" fillId="6"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center" textRotation="0" wrapText="false" indent="0" shrinkToFit="false"/>
      <protection locked="true" hidden="false"/>
    </xf>
    <xf numFmtId="166" fontId="9" fillId="2"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14" fillId="7" borderId="0" xfId="0" applyFont="true" applyBorder="false" applyAlignment="true" applyProtection="false">
      <alignment horizontal="left" vertical="center" textRotation="0" wrapText="false" indent="0" shrinkToFit="false"/>
      <protection locked="true" hidden="false"/>
    </xf>
    <xf numFmtId="164" fontId="14" fillId="7"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right" vertical="center" textRotation="0" wrapText="false" indent="0" shrinkToFit="false"/>
      <protection locked="true" hidden="false"/>
    </xf>
    <xf numFmtId="167" fontId="14" fillId="7" borderId="0" xfId="0" applyFont="true" applyBorder="fals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9" borderId="2" xfId="0" applyFont="true" applyBorder="true" applyAlignment="false" applyProtection="false">
      <alignment horizontal="general" vertical="bottom" textRotation="0" wrapText="false" indent="0" shrinkToFit="false"/>
      <protection locked="true" hidden="false"/>
    </xf>
    <xf numFmtId="164" fontId="8" fillId="9" borderId="1" xfId="0" applyFont="true" applyBorder="true" applyAlignment="false" applyProtection="false">
      <alignment horizontal="general" vertical="bottom" textRotation="0" wrapText="false" indent="0" shrinkToFit="false"/>
      <protection locked="true" hidden="false"/>
    </xf>
    <xf numFmtId="165" fontId="7" fillId="9" borderId="1" xfId="0" applyFont="true" applyBorder="true" applyAlignment="fals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7" fontId="12" fillId="9" borderId="1" xfId="0" applyFont="true" applyBorder="true" applyAlignment="true" applyProtection="false">
      <alignment horizontal="center" vertical="center" textRotation="0" wrapText="false" indent="0" shrinkToFit="false"/>
      <protection locked="true" hidden="false"/>
    </xf>
    <xf numFmtId="164" fontId="12" fillId="9" borderId="1" xfId="0" applyFont="true" applyBorder="true" applyAlignment="true" applyProtection="false">
      <alignment horizontal="left" vertical="center" textRotation="0" wrapText="false" indent="0" shrinkToFit="false"/>
      <protection locked="true" hidden="false"/>
    </xf>
    <xf numFmtId="165" fontId="12" fillId="9"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12" fillId="6" borderId="1" xfId="0" applyFont="true" applyBorder="true" applyAlignment="true" applyProtection="false">
      <alignment horizontal="center" vertical="center" textRotation="0" wrapText="false" indent="0" shrinkToFit="false"/>
      <protection locked="true" hidden="false"/>
    </xf>
    <xf numFmtId="167" fontId="12" fillId="6" borderId="1" xfId="0" applyFont="true" applyBorder="true" applyAlignment="false" applyProtection="false">
      <alignment horizontal="general" vertical="bottom" textRotation="0" wrapText="false" indent="0" shrinkToFit="false"/>
      <protection locked="true" hidden="false"/>
    </xf>
    <xf numFmtId="165" fontId="12" fillId="6" borderId="1" xfId="0" applyFont="true" applyBorder="true" applyAlignment="false" applyProtection="false">
      <alignment horizontal="general" vertical="bottom" textRotation="0" wrapText="false" indent="0" shrinkToFit="false"/>
      <protection locked="true" hidden="false"/>
    </xf>
    <xf numFmtId="167" fontId="7"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right" vertical="center" textRotation="0" wrapText="false" indent="0" shrinkToFit="false"/>
      <protection locked="true" hidden="false"/>
    </xf>
    <xf numFmtId="167" fontId="7" fillId="9"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center"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center" vertical="bottom" textRotation="0" wrapText="false" indent="0" shrinkToFit="false"/>
      <protection locked="true" hidden="false"/>
    </xf>
    <xf numFmtId="169" fontId="12"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bgColor rgb="FFFFF9D6"/>
        </patternFill>
      </fill>
    </dxf>
    <dxf>
      <font>
        <name val="Arial"/>
        <charset val="1"/>
        <family val="0"/>
        <i val="1"/>
        <color rgb="FFA6A6A6"/>
        <sz val="10"/>
      </font>
    </dxf>
    <dxf>
      <border diagonalUp="false" diagonalDown="false">
        <left style="thin">
          <color rgb="FFBFBFBF"/>
        </left>
        <right style="thin">
          <color rgb="FFBFBFBF"/>
        </right>
        <top style="thin">
          <color rgb="FFBFBFBF"/>
        </top>
        <bottom style="thin">
          <color rgb="FFBFBFBF"/>
        </bottom>
        <diagonal/>
      </border>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9C0006"/>
        <sz val="10"/>
      </font>
      <fill>
        <patternFill>
          <bgColor rgb="FFFCE4D6"/>
        </patternFill>
      </fill>
    </dxf>
    <dxf>
      <font>
        <name val="Arial"/>
        <charset val="1"/>
        <family val="0"/>
        <b val="1"/>
        <color rgb="FF006100"/>
        <sz val="10"/>
      </font>
    </dxf>
    <dxf>
      <font>
        <name val="Arial"/>
        <charset val="1"/>
        <family val="0"/>
        <b val="1"/>
        <color rgb="FF9C6500"/>
        <sz val="10"/>
      </font>
    </dxf>
    <dxf>
      <font>
        <name val="Arial"/>
        <charset val="1"/>
        <family val="0"/>
        <b val="1"/>
        <color rgb="FF9C0006"/>
        <sz val="1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9999FF"/>
      <rgbColor rgb="FF993366"/>
      <rgbColor rgb="FFFFF9D6"/>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6E0B4"/>
      <rgbColor rgb="FFE2EFDA"/>
      <rgbColor rgb="FFFCE4D6"/>
      <rgbColor rgb="FF99CCFF"/>
      <rgbColor rgb="FFFF99CC"/>
      <rgbColor rgb="FFCC99FF"/>
      <rgbColor rgb="FFF8CBAD"/>
      <rgbColor rgb="FF2E75B6"/>
      <rgbColor rgb="FF33CCCC"/>
      <rgbColor rgb="FF99CC00"/>
      <rgbColor rgb="FFFFCC00"/>
      <rgbColor rgb="FFFF9900"/>
      <rgbColor rgb="FFFF6600"/>
      <rgbColor rgb="FF595959"/>
      <rgbColor rgb="FFA6A6A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62"/>
    <col collapsed="false" customWidth="true" hidden="false" outlineLevel="0" max="5" min="4" style="0" width="3"/>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2" hidden="false" customHeight="true" outlineLevel="0" collapsed="false">
      <c r="B6" s="4" t="s">
        <v>3</v>
      </c>
      <c r="C6" s="5" t="s">
        <v>4</v>
      </c>
    </row>
    <row r="7" customFormat="false" ht="42" hidden="false" customHeight="true" outlineLevel="0" collapsed="false">
      <c r="B7" s="4" t="s">
        <v>5</v>
      </c>
      <c r="C7" s="5" t="s">
        <v>6</v>
      </c>
    </row>
    <row r="8" customFormat="false" ht="42" hidden="false" customHeight="true" outlineLevel="0" collapsed="false">
      <c r="B8" s="4" t="s">
        <v>7</v>
      </c>
      <c r="C8" s="5" t="s">
        <v>8</v>
      </c>
    </row>
    <row r="9" customFormat="false" ht="42" hidden="false" customHeight="true" outlineLevel="0" collapsed="false">
      <c r="B9" s="4" t="s">
        <v>9</v>
      </c>
      <c r="C9" s="5" t="s">
        <v>10</v>
      </c>
    </row>
    <row r="10" customFormat="false" ht="42" hidden="false" customHeight="true" outlineLevel="0" collapsed="false">
      <c r="B10" s="4" t="s">
        <v>11</v>
      </c>
      <c r="C10" s="5" t="s">
        <v>12</v>
      </c>
    </row>
    <row r="12" customFormat="false" ht="15" hidden="false" customHeight="false" outlineLevel="0" collapsed="false">
      <c r="B12" s="3" t="s">
        <v>13</v>
      </c>
    </row>
    <row r="13" customFormat="false" ht="15" hidden="false" customHeight="false" outlineLevel="0" collapsed="false">
      <c r="B13" s="6" t="s">
        <v>14</v>
      </c>
      <c r="C13" s="5" t="s">
        <v>15</v>
      </c>
    </row>
    <row r="14" customFormat="false" ht="15" hidden="false" customHeight="false" outlineLevel="0" collapsed="false">
      <c r="B14" s="7" t="s">
        <v>16</v>
      </c>
      <c r="C14" s="5" t="s">
        <v>17</v>
      </c>
    </row>
    <row r="15" customFormat="false" ht="15" hidden="false" customHeight="false" outlineLevel="0" collapsed="false">
      <c r="B15" s="8" t="s">
        <v>18</v>
      </c>
      <c r="C15" s="5" t="s">
        <v>19</v>
      </c>
    </row>
    <row r="16" customFormat="false" ht="15" hidden="false" customHeight="false" outlineLevel="0" collapsed="false">
      <c r="B16" s="9" t="s">
        <v>20</v>
      </c>
      <c r="C16" s="5" t="s">
        <v>21</v>
      </c>
    </row>
    <row r="17" customFormat="false" ht="23.85" hidden="false" customHeight="false" outlineLevel="0" collapsed="false">
      <c r="B17" s="10" t="s">
        <v>22</v>
      </c>
      <c r="C17" s="5" t="s">
        <v>23</v>
      </c>
    </row>
    <row r="18" customFormat="false" ht="23.85" hidden="false" customHeight="false" outlineLevel="0" collapsed="false">
      <c r="B18" s="11" t="s">
        <v>24</v>
      </c>
      <c r="C18" s="5" t="s">
        <v>25</v>
      </c>
    </row>
    <row r="20" customFormat="false" ht="15" hidden="false" customHeight="false" outlineLevel="0" collapsed="false">
      <c r="B20" s="3" t="s">
        <v>26</v>
      </c>
    </row>
    <row r="21" customFormat="false" ht="42" hidden="false" customHeight="true" outlineLevel="0" collapsed="false">
      <c r="B21" s="12" t="s">
        <v>27</v>
      </c>
      <c r="C21" s="5" t="s">
        <v>28</v>
      </c>
    </row>
    <row r="22" customFormat="false" ht="42" hidden="false" customHeight="true" outlineLevel="0" collapsed="false">
      <c r="B22" s="12" t="s">
        <v>29</v>
      </c>
      <c r="C22" s="5" t="s">
        <v>30</v>
      </c>
    </row>
    <row r="23" customFormat="false" ht="42" hidden="false" customHeight="true" outlineLevel="0" collapsed="false">
      <c r="B23" s="12" t="s">
        <v>31</v>
      </c>
      <c r="C23" s="5" t="s">
        <v>32</v>
      </c>
    </row>
    <row r="24" customFormat="false" ht="42" hidden="false" customHeight="true" outlineLevel="0" collapsed="false">
      <c r="B24" s="12" t="s">
        <v>33</v>
      </c>
      <c r="C24" s="5" t="s">
        <v>34</v>
      </c>
    </row>
    <row r="25" customFormat="false" ht="42" hidden="false" customHeight="true" outlineLevel="0" collapsed="false">
      <c r="B25" s="12" t="s">
        <v>35</v>
      </c>
      <c r="C25" s="5" t="s">
        <v>36</v>
      </c>
    </row>
    <row r="26" customFormat="false" ht="42" hidden="false" customHeight="true" outlineLevel="0" collapsed="false">
      <c r="B26" s="12" t="s">
        <v>37</v>
      </c>
      <c r="C26" s="5" t="s">
        <v>38</v>
      </c>
    </row>
    <row r="27" customFormat="false" ht="42" hidden="false" customHeight="true" outlineLevel="0" collapsed="false">
      <c r="B27" s="12" t="s">
        <v>39</v>
      </c>
      <c r="C27" s="5" t="s">
        <v>40</v>
      </c>
    </row>
    <row r="29" customFormat="false" ht="15" hidden="false" customHeight="false" outlineLevel="0" collapsed="false">
      <c r="B29" s="3" t="s">
        <v>41</v>
      </c>
    </row>
    <row r="30" customFormat="false" ht="15" hidden="false" customHeight="false" outlineLevel="0" collapsed="false">
      <c r="B30" s="12" t="s">
        <v>42</v>
      </c>
      <c r="C30" s="5" t="s">
        <v>43</v>
      </c>
    </row>
    <row r="31" customFormat="false" ht="15" hidden="false" customHeight="false" outlineLevel="0" collapsed="false">
      <c r="B31" s="12" t="s">
        <v>44</v>
      </c>
      <c r="C31" s="5" t="s">
        <v>45</v>
      </c>
    </row>
    <row r="32" customFormat="false" ht="15" hidden="false" customHeight="false" outlineLevel="0" collapsed="false">
      <c r="B32" s="12" t="s">
        <v>46</v>
      </c>
      <c r="C32" s="5" t="s">
        <v>47</v>
      </c>
    </row>
    <row r="33" customFormat="false" ht="15" hidden="false" customHeight="false" outlineLevel="0" collapsed="false">
      <c r="B33" s="12" t="s">
        <v>48</v>
      </c>
      <c r="C33" s="5" t="s">
        <v>49</v>
      </c>
    </row>
    <row r="34" customFormat="false" ht="15" hidden="false" customHeight="false" outlineLevel="0" collapsed="false">
      <c r="B34" s="12" t="s">
        <v>50</v>
      </c>
      <c r="C34" s="5" t="s">
        <v>51</v>
      </c>
    </row>
    <row r="36" customFormat="false" ht="15" hidden="false" customHeight="false" outlineLevel="0" collapsed="false">
      <c r="B36" s="3" t="s">
        <v>52</v>
      </c>
    </row>
    <row r="37" customFormat="false" ht="30" hidden="false" customHeight="true" outlineLevel="0" collapsed="false">
      <c r="B37" s="13" t="s">
        <v>53</v>
      </c>
      <c r="C37" s="14" t="s">
        <v>54</v>
      </c>
    </row>
    <row r="38" customFormat="false" ht="30" hidden="false" customHeight="true" outlineLevel="0" collapsed="false">
      <c r="B38" s="13" t="s">
        <v>53</v>
      </c>
      <c r="C38" s="14" t="s">
        <v>55</v>
      </c>
    </row>
    <row r="39" customFormat="false" ht="30" hidden="false" customHeight="true" outlineLevel="0" collapsed="false">
      <c r="B39" s="13" t="s">
        <v>53</v>
      </c>
      <c r="C39" s="14" t="s">
        <v>56</v>
      </c>
    </row>
    <row r="40" customFormat="false" ht="30" hidden="false" customHeight="true" outlineLevel="0" collapsed="false">
      <c r="B40" s="13" t="s">
        <v>53</v>
      </c>
      <c r="C40" s="14" t="s">
        <v>57</v>
      </c>
    </row>
    <row r="41" customFormat="false" ht="30" hidden="false" customHeight="true" outlineLevel="0" collapsed="false">
      <c r="B41" s="13" t="s">
        <v>53</v>
      </c>
      <c r="C41" s="14" t="s">
        <v>58</v>
      </c>
    </row>
    <row r="42" customFormat="false" ht="30" hidden="false" customHeight="true" outlineLevel="0" collapsed="false">
      <c r="B42" s="13" t="s">
        <v>53</v>
      </c>
      <c r="C42" s="14" t="s">
        <v>59</v>
      </c>
    </row>
    <row r="43" customFormat="false" ht="30" hidden="false" customHeight="true" outlineLevel="0" collapsed="false">
      <c r="B43" s="13" t="s">
        <v>53</v>
      </c>
      <c r="C43" s="14" t="s">
        <v>60</v>
      </c>
    </row>
    <row r="44" customFormat="false" ht="30" hidden="false" customHeight="true" outlineLevel="0" collapsed="false">
      <c r="B44" s="13" t="s">
        <v>53</v>
      </c>
      <c r="C44" s="14" t="s">
        <v>61</v>
      </c>
    </row>
    <row r="45" customFormat="false" ht="30" hidden="false" customHeight="true" outlineLevel="0" collapsed="false">
      <c r="B45" s="13" t="s">
        <v>53</v>
      </c>
      <c r="C45" s="14" t="s">
        <v>62</v>
      </c>
    </row>
    <row r="46" customFormat="false" ht="30" hidden="false" customHeight="true" outlineLevel="0" collapsed="false">
      <c r="B46" s="13" t="s">
        <v>53</v>
      </c>
      <c r="C46" s="14" t="s">
        <v>63</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6"/>
    <col collapsed="false" customWidth="true" hidden="false" outlineLevel="0" max="6" min="6" style="0" width="15"/>
    <col collapsed="false" customWidth="true" hidden="false" outlineLevel="0" max="7" min="7" style="0" width="14"/>
    <col collapsed="false" customWidth="true" hidden="false" outlineLevel="0" max="8" min="8" style="0" width="8"/>
    <col collapsed="false" customWidth="true" hidden="false" outlineLevel="0" max="9" min="9" style="0" width="15"/>
    <col collapsed="false" customWidth="true" hidden="false" outlineLevel="0" max="10" min="10" style="0" width="26"/>
  </cols>
  <sheetData>
    <row r="1" customFormat="false" ht="19.7" hidden="false" customHeight="false" outlineLevel="0" collapsed="false">
      <c r="B1" s="1" t="s">
        <v>64</v>
      </c>
    </row>
    <row r="2" customFormat="false" ht="15" hidden="false" customHeight="false" outlineLevel="0" collapsed="false">
      <c r="B2" s="2" t="s">
        <v>65</v>
      </c>
    </row>
    <row r="4" customFormat="false" ht="27.75" hidden="false" customHeight="true" outlineLevel="0" collapsed="false">
      <c r="A4" s="15" t="s">
        <v>66</v>
      </c>
      <c r="B4" s="15" t="s">
        <v>67</v>
      </c>
      <c r="C4" s="15" t="s">
        <v>68</v>
      </c>
      <c r="D4" s="15" t="s">
        <v>69</v>
      </c>
      <c r="E4" s="15" t="s">
        <v>70</v>
      </c>
      <c r="F4" s="15" t="s">
        <v>71</v>
      </c>
      <c r="G4" s="15" t="s">
        <v>72</v>
      </c>
      <c r="H4" s="15" t="s">
        <v>73</v>
      </c>
      <c r="I4" s="15" t="s">
        <v>74</v>
      </c>
      <c r="J4" s="15" t="s">
        <v>75</v>
      </c>
    </row>
    <row r="5" customFormat="false" ht="15" hidden="false" customHeight="false" outlineLevel="0" collapsed="false">
      <c r="A5" s="16" t="n">
        <v>1</v>
      </c>
      <c r="B5" s="6" t="s">
        <v>76</v>
      </c>
      <c r="C5" s="17" t="s">
        <v>77</v>
      </c>
      <c r="D5" s="18" t="n">
        <v>90</v>
      </c>
      <c r="E5" s="17" t="s">
        <v>42</v>
      </c>
      <c r="F5" s="19" t="n">
        <v>46246</v>
      </c>
      <c r="G5" s="17" t="s">
        <v>78</v>
      </c>
      <c r="H5" s="17" t="s">
        <v>79</v>
      </c>
      <c r="I5" s="6" t="s">
        <v>80</v>
      </c>
      <c r="J5" s="6"/>
    </row>
    <row r="6" customFormat="false" ht="15" hidden="false" customHeight="false" outlineLevel="0" collapsed="false">
      <c r="A6" s="20" t="n">
        <v>2</v>
      </c>
      <c r="B6" s="21" t="s">
        <v>81</v>
      </c>
      <c r="C6" s="22" t="s">
        <v>77</v>
      </c>
      <c r="D6" s="23" t="n">
        <v>790</v>
      </c>
      <c r="E6" s="22" t="s">
        <v>42</v>
      </c>
      <c r="F6" s="24" t="n">
        <v>46248</v>
      </c>
      <c r="G6" s="22" t="s">
        <v>78</v>
      </c>
      <c r="H6" s="22" t="s">
        <v>79</v>
      </c>
      <c r="I6" s="21" t="s">
        <v>80</v>
      </c>
      <c r="J6" s="21"/>
    </row>
    <row r="7" customFormat="false" ht="15" hidden="false" customHeight="false" outlineLevel="0" collapsed="false">
      <c r="A7" s="16" t="n">
        <v>3</v>
      </c>
      <c r="B7" s="6" t="s">
        <v>82</v>
      </c>
      <c r="C7" s="17" t="s">
        <v>83</v>
      </c>
      <c r="D7" s="18" t="n">
        <v>21.1</v>
      </c>
      <c r="E7" s="17" t="s">
        <v>46</v>
      </c>
      <c r="F7" s="19" t="n">
        <v>46238</v>
      </c>
      <c r="G7" s="17" t="s">
        <v>78</v>
      </c>
      <c r="H7" s="17" t="s">
        <v>79</v>
      </c>
      <c r="I7" s="6" t="s">
        <v>84</v>
      </c>
      <c r="J7" s="6"/>
    </row>
    <row r="8" customFormat="false" ht="15" hidden="false" customHeight="false" outlineLevel="0" collapsed="false">
      <c r="A8" s="20" t="n">
        <v>4</v>
      </c>
      <c r="B8" s="21" t="s">
        <v>85</v>
      </c>
      <c r="C8" s="22" t="s">
        <v>83</v>
      </c>
      <c r="D8" s="23" t="n">
        <v>20</v>
      </c>
      <c r="E8" s="22" t="s">
        <v>46</v>
      </c>
      <c r="F8" s="24" t="n">
        <v>46239</v>
      </c>
      <c r="G8" s="22" t="s">
        <v>78</v>
      </c>
      <c r="H8" s="22" t="s">
        <v>79</v>
      </c>
      <c r="I8" s="21" t="s">
        <v>84</v>
      </c>
      <c r="J8" s="21"/>
    </row>
    <row r="9" customFormat="false" ht="15" hidden="false" customHeight="false" outlineLevel="0" collapsed="false">
      <c r="A9" s="16" t="n">
        <v>5</v>
      </c>
      <c r="B9" s="6" t="s">
        <v>86</v>
      </c>
      <c r="C9" s="17" t="s">
        <v>83</v>
      </c>
      <c r="D9" s="18" t="n">
        <v>10</v>
      </c>
      <c r="E9" s="17" t="s">
        <v>46</v>
      </c>
      <c r="F9" s="19" t="n">
        <v>46239</v>
      </c>
      <c r="G9" s="17" t="s">
        <v>78</v>
      </c>
      <c r="H9" s="17" t="s">
        <v>79</v>
      </c>
      <c r="I9" s="6" t="s">
        <v>84</v>
      </c>
      <c r="J9" s="6"/>
    </row>
    <row r="10" customFormat="false" ht="15" hidden="false" customHeight="false" outlineLevel="0" collapsed="false">
      <c r="A10" s="20" t="n">
        <v>6</v>
      </c>
      <c r="B10" s="21" t="s">
        <v>87</v>
      </c>
      <c r="C10" s="22" t="s">
        <v>83</v>
      </c>
      <c r="D10" s="23" t="n">
        <v>4.99</v>
      </c>
      <c r="E10" s="22" t="s">
        <v>46</v>
      </c>
      <c r="F10" s="24" t="n">
        <v>46272</v>
      </c>
      <c r="G10" s="22" t="s">
        <v>78</v>
      </c>
      <c r="H10" s="22" t="s">
        <v>79</v>
      </c>
      <c r="I10" s="21" t="s">
        <v>84</v>
      </c>
      <c r="J10" s="21"/>
    </row>
    <row r="11" customFormat="false" ht="15" hidden="false" customHeight="false" outlineLevel="0" collapsed="false">
      <c r="A11" s="16" t="n">
        <v>7</v>
      </c>
      <c r="B11" s="6" t="s">
        <v>88</v>
      </c>
      <c r="C11" s="17" t="s">
        <v>83</v>
      </c>
      <c r="D11" s="18" t="n">
        <v>500</v>
      </c>
      <c r="E11" s="17" t="s">
        <v>46</v>
      </c>
      <c r="F11" s="19" t="n">
        <v>46272</v>
      </c>
      <c r="G11" s="17" t="s">
        <v>78</v>
      </c>
      <c r="H11" s="17" t="s">
        <v>79</v>
      </c>
      <c r="I11" s="6" t="s">
        <v>89</v>
      </c>
      <c r="J11" s="6"/>
    </row>
    <row r="12" customFormat="false" ht="15" hidden="false" customHeight="false" outlineLevel="0" collapsed="false">
      <c r="A12" s="20" t="n">
        <v>8</v>
      </c>
      <c r="B12" s="21" t="s">
        <v>90</v>
      </c>
      <c r="C12" s="22" t="s">
        <v>83</v>
      </c>
      <c r="D12" s="23" t="n">
        <v>163.5</v>
      </c>
      <c r="E12" s="22" t="s">
        <v>46</v>
      </c>
      <c r="F12" s="24" t="n">
        <v>46275</v>
      </c>
      <c r="G12" s="22" t="s">
        <v>78</v>
      </c>
      <c r="H12" s="22" t="s">
        <v>79</v>
      </c>
      <c r="I12" s="21" t="s">
        <v>91</v>
      </c>
      <c r="J12" s="21"/>
    </row>
    <row r="13" customFormat="false" ht="15" hidden="false" customHeight="false" outlineLevel="0" collapsed="false">
      <c r="A13" s="16" t="n">
        <v>9</v>
      </c>
      <c r="B13" s="6" t="s">
        <v>92</v>
      </c>
      <c r="C13" s="17" t="s">
        <v>83</v>
      </c>
      <c r="D13" s="18" t="n">
        <v>2.99</v>
      </c>
      <c r="E13" s="17" t="s">
        <v>46</v>
      </c>
      <c r="F13" s="19" t="n">
        <v>46247</v>
      </c>
      <c r="G13" s="17" t="s">
        <v>78</v>
      </c>
      <c r="H13" s="17" t="s">
        <v>79</v>
      </c>
      <c r="I13" s="6" t="s">
        <v>84</v>
      </c>
      <c r="J13" s="6"/>
    </row>
    <row r="14" customFormat="false" ht="15" hidden="false" customHeight="false" outlineLevel="0" collapsed="false">
      <c r="A14" s="20" t="n">
        <v>10</v>
      </c>
      <c r="B14" s="21" t="s">
        <v>93</v>
      </c>
      <c r="C14" s="22" t="s">
        <v>83</v>
      </c>
      <c r="D14" s="23" t="n">
        <v>350</v>
      </c>
      <c r="E14" s="22" t="s">
        <v>48</v>
      </c>
      <c r="F14" s="24" t="n">
        <v>46248</v>
      </c>
      <c r="G14" s="22" t="s">
        <v>94</v>
      </c>
      <c r="H14" s="22" t="s">
        <v>79</v>
      </c>
      <c r="I14" s="21" t="s">
        <v>95</v>
      </c>
      <c r="J14" s="21"/>
    </row>
    <row r="15" customFormat="false" ht="15" hidden="false" customHeight="false" outlineLevel="0" collapsed="false">
      <c r="A15" s="16" t="n">
        <v>11</v>
      </c>
      <c r="B15" s="6" t="s">
        <v>96</v>
      </c>
      <c r="C15" s="17" t="s">
        <v>83</v>
      </c>
      <c r="D15" s="18" t="n">
        <v>171.1</v>
      </c>
      <c r="E15" s="17" t="s">
        <v>46</v>
      </c>
      <c r="F15" s="19" t="n">
        <v>46250</v>
      </c>
      <c r="G15" s="17" t="s">
        <v>78</v>
      </c>
      <c r="H15" s="17" t="s">
        <v>79</v>
      </c>
      <c r="I15" s="6" t="s">
        <v>91</v>
      </c>
      <c r="J15" s="6"/>
    </row>
    <row r="16" customFormat="false" ht="15" hidden="false" customHeight="false" outlineLevel="0" collapsed="false">
      <c r="A16" s="20" t="n">
        <v>12</v>
      </c>
      <c r="B16" s="21" t="s">
        <v>97</v>
      </c>
      <c r="C16" s="22" t="s">
        <v>83</v>
      </c>
      <c r="D16" s="23" t="n">
        <v>45</v>
      </c>
      <c r="E16" s="22" t="s">
        <v>46</v>
      </c>
      <c r="F16" s="24" t="n">
        <v>46250</v>
      </c>
      <c r="G16" s="22" t="s">
        <v>78</v>
      </c>
      <c r="H16" s="22" t="s">
        <v>79</v>
      </c>
      <c r="I16" s="21" t="s">
        <v>98</v>
      </c>
      <c r="J16" s="21"/>
    </row>
    <row r="17" customFormat="false" ht="15" hidden="false" customHeight="false" outlineLevel="0" collapsed="false">
      <c r="A17" s="16" t="n">
        <v>13</v>
      </c>
      <c r="B17" s="6" t="s">
        <v>99</v>
      </c>
      <c r="C17" s="17" t="s">
        <v>83</v>
      </c>
      <c r="D17" s="18" t="n">
        <v>16.99</v>
      </c>
      <c r="E17" s="17" t="s">
        <v>46</v>
      </c>
      <c r="F17" s="19" t="n">
        <v>46252</v>
      </c>
      <c r="G17" s="17" t="s">
        <v>78</v>
      </c>
      <c r="H17" s="17" t="s">
        <v>79</v>
      </c>
      <c r="I17" s="6" t="s">
        <v>84</v>
      </c>
      <c r="J17" s="6"/>
    </row>
    <row r="18" customFormat="false" ht="15" hidden="false" customHeight="false" outlineLevel="0" collapsed="false">
      <c r="A18" s="20" t="n">
        <v>14</v>
      </c>
      <c r="B18" s="21" t="s">
        <v>100</v>
      </c>
      <c r="C18" s="22" t="s">
        <v>83</v>
      </c>
      <c r="D18" s="23" t="n">
        <v>13.7</v>
      </c>
      <c r="E18" s="22" t="s">
        <v>46</v>
      </c>
      <c r="F18" s="24" t="n">
        <v>46259</v>
      </c>
      <c r="G18" s="22" t="s">
        <v>78</v>
      </c>
      <c r="H18" s="22" t="s">
        <v>79</v>
      </c>
      <c r="I18" s="21" t="s">
        <v>84</v>
      </c>
      <c r="J18" s="21"/>
    </row>
    <row r="19" customFormat="false" ht="15" hidden="false" customHeight="false" outlineLevel="0" collapsed="false">
      <c r="A19" s="16" t="n">
        <v>15</v>
      </c>
      <c r="B19" s="6" t="s">
        <v>101</v>
      </c>
      <c r="C19" s="17" t="s">
        <v>83</v>
      </c>
      <c r="D19" s="18" t="n">
        <v>43.87</v>
      </c>
      <c r="E19" s="17" t="s">
        <v>46</v>
      </c>
      <c r="F19" s="19" t="n">
        <v>46259</v>
      </c>
      <c r="G19" s="17" t="s">
        <v>78</v>
      </c>
      <c r="H19" s="17" t="s">
        <v>79</v>
      </c>
      <c r="I19" s="6" t="s">
        <v>91</v>
      </c>
      <c r="J19" s="6"/>
    </row>
    <row r="20" customFormat="false" ht="15" hidden="false" customHeight="false" outlineLevel="0" collapsed="false">
      <c r="A20" s="20" t="n">
        <v>16</v>
      </c>
      <c r="B20" s="21" t="s">
        <v>102</v>
      </c>
      <c r="C20" s="22" t="s">
        <v>83</v>
      </c>
      <c r="D20" s="23" t="n">
        <v>150</v>
      </c>
      <c r="E20" s="22" t="s">
        <v>46</v>
      </c>
      <c r="F20" s="24" t="n">
        <v>46264</v>
      </c>
      <c r="G20" s="22" t="s">
        <v>78</v>
      </c>
      <c r="H20" s="22" t="s">
        <v>79</v>
      </c>
      <c r="I20" s="21" t="s">
        <v>98</v>
      </c>
      <c r="J20" s="21"/>
    </row>
    <row r="21" customFormat="false" ht="15" hidden="false" customHeight="false" outlineLevel="0" collapsed="false">
      <c r="A21" s="16" t="n">
        <v>17</v>
      </c>
      <c r="B21" s="6" t="s">
        <v>103</v>
      </c>
      <c r="C21" s="17" t="s">
        <v>83</v>
      </c>
      <c r="D21" s="18" t="n">
        <v>143.37</v>
      </c>
      <c r="E21" s="17" t="s">
        <v>46</v>
      </c>
      <c r="F21" s="19" t="n">
        <v>46265</v>
      </c>
      <c r="G21" s="17" t="s">
        <v>78</v>
      </c>
      <c r="H21" s="17" t="s">
        <v>79</v>
      </c>
      <c r="I21" s="6" t="s">
        <v>104</v>
      </c>
      <c r="J21" s="6"/>
    </row>
    <row r="22" customFormat="false" ht="15" hidden="false" customHeight="false" outlineLevel="0" collapsed="false">
      <c r="A22" s="20" t="n">
        <v>18</v>
      </c>
      <c r="B22" s="21"/>
      <c r="C22" s="22"/>
      <c r="D22" s="23"/>
      <c r="E22" s="22"/>
      <c r="F22" s="24"/>
      <c r="G22" s="22"/>
      <c r="H22" s="22"/>
      <c r="I22" s="21"/>
      <c r="J22" s="21"/>
    </row>
    <row r="23" customFormat="false" ht="15" hidden="false" customHeight="false" outlineLevel="0" collapsed="false">
      <c r="A23" s="16" t="n">
        <v>19</v>
      </c>
      <c r="B23" s="6"/>
      <c r="C23" s="17"/>
      <c r="D23" s="18"/>
      <c r="E23" s="17"/>
      <c r="F23" s="19"/>
      <c r="G23" s="17"/>
      <c r="H23" s="17"/>
      <c r="I23" s="6"/>
      <c r="J23" s="6"/>
    </row>
    <row r="24" customFormat="false" ht="15" hidden="false" customHeight="false" outlineLevel="0" collapsed="false">
      <c r="A24" s="20" t="n">
        <v>20</v>
      </c>
      <c r="B24" s="21"/>
      <c r="C24" s="22"/>
      <c r="D24" s="23"/>
      <c r="E24" s="22"/>
      <c r="F24" s="24"/>
      <c r="G24" s="22"/>
      <c r="H24" s="22"/>
      <c r="I24" s="21"/>
      <c r="J24" s="21"/>
    </row>
    <row r="25" customFormat="false" ht="15" hidden="false" customHeight="false" outlineLevel="0" collapsed="false">
      <c r="A25" s="16" t="n">
        <v>21</v>
      </c>
      <c r="B25" s="6"/>
      <c r="C25" s="17"/>
      <c r="D25" s="18"/>
      <c r="E25" s="17"/>
      <c r="F25" s="19"/>
      <c r="G25" s="17"/>
      <c r="H25" s="17"/>
      <c r="I25" s="6"/>
      <c r="J25" s="6"/>
    </row>
    <row r="26" customFormat="false" ht="15" hidden="false" customHeight="false" outlineLevel="0" collapsed="false">
      <c r="A26" s="20" t="n">
        <v>22</v>
      </c>
      <c r="B26" s="21"/>
      <c r="C26" s="22"/>
      <c r="D26" s="23"/>
      <c r="E26" s="22"/>
      <c r="F26" s="24"/>
      <c r="G26" s="22"/>
      <c r="H26" s="22"/>
      <c r="I26" s="21"/>
      <c r="J26" s="21"/>
    </row>
    <row r="27" customFormat="false" ht="15" hidden="false" customHeight="false" outlineLevel="0" collapsed="false">
      <c r="A27" s="16" t="n">
        <v>23</v>
      </c>
      <c r="B27" s="6"/>
      <c r="C27" s="17"/>
      <c r="D27" s="18"/>
      <c r="E27" s="17"/>
      <c r="F27" s="19"/>
      <c r="G27" s="17"/>
      <c r="H27" s="17"/>
      <c r="I27" s="6"/>
      <c r="J27" s="6"/>
    </row>
    <row r="28" customFormat="false" ht="15" hidden="false" customHeight="false" outlineLevel="0" collapsed="false">
      <c r="A28" s="20" t="n">
        <v>24</v>
      </c>
      <c r="B28" s="21"/>
      <c r="C28" s="22"/>
      <c r="D28" s="23"/>
      <c r="E28" s="22"/>
      <c r="F28" s="24"/>
      <c r="G28" s="22"/>
      <c r="H28" s="22"/>
      <c r="I28" s="21"/>
      <c r="J28" s="21"/>
    </row>
    <row r="29" customFormat="false" ht="15" hidden="false" customHeight="false" outlineLevel="0" collapsed="false">
      <c r="A29" s="16" t="n">
        <v>25</v>
      </c>
      <c r="B29" s="6"/>
      <c r="C29" s="17"/>
      <c r="D29" s="18"/>
      <c r="E29" s="17"/>
      <c r="F29" s="19"/>
      <c r="G29" s="17"/>
      <c r="H29" s="17"/>
      <c r="I29" s="6"/>
      <c r="J29" s="6"/>
    </row>
    <row r="30" customFormat="false" ht="15" hidden="false" customHeight="false" outlineLevel="0" collapsed="false">
      <c r="A30" s="20" t="n">
        <v>26</v>
      </c>
      <c r="B30" s="21"/>
      <c r="C30" s="22"/>
      <c r="D30" s="23"/>
      <c r="E30" s="22"/>
      <c r="F30" s="24"/>
      <c r="G30" s="22"/>
      <c r="H30" s="22"/>
      <c r="I30" s="21"/>
      <c r="J30" s="21"/>
    </row>
    <row r="31" customFormat="false" ht="15" hidden="false" customHeight="false" outlineLevel="0" collapsed="false">
      <c r="A31" s="16" t="n">
        <v>27</v>
      </c>
      <c r="B31" s="6"/>
      <c r="C31" s="17"/>
      <c r="D31" s="18"/>
      <c r="E31" s="17"/>
      <c r="F31" s="19"/>
      <c r="G31" s="17"/>
      <c r="H31" s="17"/>
      <c r="I31" s="6"/>
      <c r="J31" s="6"/>
    </row>
    <row r="32" customFormat="false" ht="15" hidden="false" customHeight="false" outlineLevel="0" collapsed="false">
      <c r="A32" s="20" t="n">
        <v>28</v>
      </c>
      <c r="B32" s="21"/>
      <c r="C32" s="22"/>
      <c r="D32" s="23"/>
      <c r="E32" s="22"/>
      <c r="F32" s="24"/>
      <c r="G32" s="22"/>
      <c r="H32" s="22"/>
      <c r="I32" s="21"/>
      <c r="J32" s="21"/>
    </row>
    <row r="33" customFormat="false" ht="15" hidden="false" customHeight="false" outlineLevel="0" collapsed="false">
      <c r="A33" s="16" t="n">
        <v>29</v>
      </c>
      <c r="B33" s="6"/>
      <c r="C33" s="17"/>
      <c r="D33" s="18"/>
      <c r="E33" s="17"/>
      <c r="F33" s="19"/>
      <c r="G33" s="17"/>
      <c r="H33" s="17"/>
      <c r="I33" s="6"/>
      <c r="J33" s="6"/>
    </row>
    <row r="34" customFormat="false" ht="15" hidden="false" customHeight="false" outlineLevel="0" collapsed="false">
      <c r="A34" s="20" t="n">
        <v>30</v>
      </c>
      <c r="B34" s="21"/>
      <c r="C34" s="22"/>
      <c r="D34" s="23"/>
      <c r="E34" s="22"/>
      <c r="F34" s="24"/>
      <c r="G34" s="22"/>
      <c r="H34" s="22"/>
      <c r="I34" s="21"/>
      <c r="J34" s="21"/>
    </row>
    <row r="36" customFormat="false" ht="74.6" hidden="false" customHeight="false" outlineLevel="0" collapsed="false">
      <c r="B36" s="14" t="s">
        <v>105</v>
      </c>
    </row>
    <row r="37" customFormat="false" ht="32.8" hidden="false" customHeight="false" outlineLevel="0" collapsed="false">
      <c r="B37" s="14" t="s">
        <v>106</v>
      </c>
    </row>
    <row r="38" customFormat="false" ht="15" hidden="false" customHeight="false" outlineLevel="0" collapsed="false">
      <c r="B38" s="25" t="s">
        <v>107</v>
      </c>
    </row>
  </sheetData>
  <conditionalFormatting sqref="B5:J34">
    <cfRule type="expression" priority="2" aboveAverage="0" equalAverage="0" bottom="0" percent="0" rank="0" text="" dxfId="0">
      <formula>$B5=""</formula>
    </cfRule>
  </conditionalFormatting>
  <conditionalFormatting sqref="A5:J34">
    <cfRule type="expression" priority="3" aboveAverage="0" equalAverage="0" bottom="0" percent="0" rank="0" text="" dxfId="1">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12" activePane="bottomRight" state="frozen"/>
      <selection pane="topLeft" activeCell="A1" activeCellId="0" sqref="A1"/>
      <selection pane="topRight" activeCell="B1" activeCellId="0" sqref="B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3"/>
    <col collapsed="false" customWidth="true" hidden="false" outlineLevel="0" max="4" min="4" style="0" width="11"/>
    <col collapsed="false" customWidth="true" hidden="false" outlineLevel="0" max="8" min="5" style="0" width="14"/>
    <col collapsed="false" customWidth="true" hidden="false" outlineLevel="0" max="9" min="9" style="0" width="15"/>
    <col collapsed="false" customWidth="true" hidden="false" outlineLevel="0" max="10" min="10" style="0" width="12"/>
    <col collapsed="false" customWidth="true" hidden="false" outlineLevel="0" max="11" min="11" style="0" width="34"/>
  </cols>
  <sheetData>
    <row r="1" customFormat="false" ht="19.7" hidden="false" customHeight="false" outlineLevel="0" collapsed="false">
      <c r="B1" s="1" t="s">
        <v>0</v>
      </c>
    </row>
    <row r="2" customFormat="false" ht="15" hidden="false" customHeight="false" outlineLevel="0" collapsed="false">
      <c r="B2" s="2" t="s">
        <v>108</v>
      </c>
    </row>
    <row r="4" customFormat="false" ht="15" hidden="false" customHeight="false" outlineLevel="0" collapsed="false">
      <c r="B4" s="3" t="s">
        <v>109</v>
      </c>
    </row>
    <row r="5" customFormat="false" ht="15" hidden="false" customHeight="false" outlineLevel="0" collapsed="false">
      <c r="B5" s="12" t="s">
        <v>110</v>
      </c>
      <c r="E5" s="26" t="n">
        <v>71.17</v>
      </c>
    </row>
    <row r="6" customFormat="false" ht="15" hidden="false" customHeight="false" outlineLevel="0" collapsed="false">
      <c r="B6" s="12" t="s">
        <v>111</v>
      </c>
      <c r="E6" s="27" t="n">
        <v>46241</v>
      </c>
      <c r="G6" s="28" t="str">
        <f aca="false">IF($E$6="","",IF(WEEKDAY($E$6,2)=5,"","! That is a "&amp;TEXT($E$6,"dddd")&amp;". Weeks run Friday to Thursday — use the Friday on or before the date you want to start."))</f>
        <v/>
      </c>
    </row>
    <row r="7" customFormat="false" ht="15" hidden="false" customHeight="false" outlineLevel="0" collapsed="false">
      <c r="B7" s="12" t="s">
        <v>112</v>
      </c>
      <c r="E7" s="26" t="n">
        <v>200</v>
      </c>
    </row>
    <row r="8" customFormat="false" ht="15" hidden="false" customHeight="false" outlineLevel="0" collapsed="false">
      <c r="B8" s="29" t="s">
        <v>113</v>
      </c>
      <c r="E8" s="30" t="n">
        <f aca="true">TODAY()</f>
        <v>46242</v>
      </c>
    </row>
    <row r="9" customFormat="false" ht="15" hidden="false" customHeight="false" outlineLevel="0" collapsed="false">
      <c r="B9" s="25" t="s">
        <v>114</v>
      </c>
    </row>
    <row r="10" customFormat="false" ht="15" hidden="false" customHeight="false" outlineLevel="0" collapsed="false">
      <c r="B10" s="25" t="s">
        <v>115</v>
      </c>
    </row>
    <row r="13" customFormat="false" ht="21.75" hidden="false" customHeight="true" outlineLevel="0" collapsed="false">
      <c r="B13" s="31" t="str">
        <f aca="false">"WEEK 1     "&amp;TEXT($E$6+0,"ddd, mmm d")&amp;"   through   "&amp;TEXT($E$6+0+6,"ddd, mmm d, yyyy")</f>
        <v>WEEK 1     Fri, Aug 7   through   Thu, Aug 13, 2026</v>
      </c>
      <c r="C13" s="32"/>
      <c r="D13" s="32"/>
      <c r="E13" s="32"/>
      <c r="F13" s="32"/>
      <c r="G13" s="33" t="s">
        <v>116</v>
      </c>
      <c r="H13" s="32"/>
      <c r="I13" s="34" t="n">
        <f aca="false">$E$5</f>
        <v>71.17</v>
      </c>
      <c r="J13" s="32"/>
      <c r="K13" s="28" t="str">
        <f aca="false">IF(COUNTIF(Schedule!$I$4:$I$483,1)&gt;10,"! "&amp;COUNTIF(Schedule!$I$4:$I$483,1)-10&amp;" more transaction(s) fall in this week than there are rows to show them.","")</f>
        <v/>
      </c>
    </row>
    <row r="14" customFormat="false" ht="25.5" hidden="false" customHeight="true" outlineLevel="0" collapsed="false">
      <c r="B14" s="35" t="s">
        <v>117</v>
      </c>
      <c r="C14" s="35" t="s">
        <v>118</v>
      </c>
      <c r="D14" s="35" t="s">
        <v>68</v>
      </c>
      <c r="E14" s="35" t="s">
        <v>119</v>
      </c>
      <c r="F14" s="35" t="s">
        <v>120</v>
      </c>
      <c r="G14" s="36" t="s">
        <v>18</v>
      </c>
      <c r="H14" s="37" t="s">
        <v>20</v>
      </c>
      <c r="I14" s="35" t="s">
        <v>121</v>
      </c>
      <c r="J14" s="35" t="s">
        <v>122</v>
      </c>
    </row>
    <row r="15" customFormat="false" ht="15" hidden="false" customHeight="false" outlineLevel="0" collapsed="false">
      <c r="B15" s="38" t="str">
        <f aca="false">IFERROR(INDEX(Schedule!$C$4:$C$483,MATCH(1001,Schedule!$K$4:$K$483,0)),"")</f>
        <v>Apple: Claude</v>
      </c>
      <c r="C15" s="39" t="n">
        <f aca="false">IF($B15="","",INDEX(Schedule!$G$4:$G$483,MATCH(1001,Schedule!$K$4:$K$483,0)))</f>
        <v>46238</v>
      </c>
      <c r="D15" s="40" t="str">
        <f aca="false">IF($B15="","",INDEX(Schedule!$D$4:$D$483,MATCH(1001,Schedule!$K$4:$K$483,0)))</f>
        <v>Expense</v>
      </c>
      <c r="E15" s="41" t="n">
        <f aca="false">IF($B15="","",INDEX(Schedule!$E$4:$E$483,MATCH(1001,Schedule!$K$4:$K$483,0)))</f>
        <v>21.1</v>
      </c>
      <c r="F15" s="42"/>
      <c r="G15" s="43" t="str">
        <f aca="false">IF($B15="","",IF($D15="Income",IF($F15&lt;&gt;"",$F15,$E15),""))</f>
        <v/>
      </c>
      <c r="H15" s="44" t="n">
        <f aca="false">IF($B15="","",IF($D15="Income","",IF($F15&lt;&gt;"",$F15,$E15)))</f>
        <v>21.1</v>
      </c>
      <c r="I15" s="45" t="n">
        <f aca="false">IF($B15="","",$I$13+SUM($G$15:$G15)-SUM($H$15:$H15))</f>
        <v>50.07</v>
      </c>
      <c r="J15" s="46" t="str">
        <f aca="true">IF($B15="","",IF($F15&lt;&gt;"","PAID",IF($C15&lt;TODAY(),"PAST DUE",IF($C15&lt;=TODAY()+7,"DUE","Upcoming"))))</f>
        <v>PAST DUE</v>
      </c>
    </row>
    <row r="16" customFormat="false" ht="15" hidden="false" customHeight="false" outlineLevel="0" collapsed="false">
      <c r="B16" s="38" t="str">
        <f aca="false">IFERROR(INDEX(Schedule!$C$4:$C$483,MATCH(1002,Schedule!$K$4:$K$483,0)),"")</f>
        <v>OpenAI</v>
      </c>
      <c r="C16" s="39" t="n">
        <f aca="false">IF($B16="","",INDEX(Schedule!$G$4:$G$483,MATCH(1002,Schedule!$K$4:$K$483,0)))</f>
        <v>46239</v>
      </c>
      <c r="D16" s="40" t="str">
        <f aca="false">IF($B16="","",INDEX(Schedule!$D$4:$D$483,MATCH(1002,Schedule!$K$4:$K$483,0)))</f>
        <v>Expense</v>
      </c>
      <c r="E16" s="41" t="n">
        <f aca="false">IF($B16="","",INDEX(Schedule!$E$4:$E$483,MATCH(1002,Schedule!$K$4:$K$483,0)))</f>
        <v>20</v>
      </c>
      <c r="F16" s="42"/>
      <c r="G16" s="43" t="str">
        <f aca="false">IF($B16="","",IF($D16="Income",IF($F16&lt;&gt;"",$F16,$E16),""))</f>
        <v/>
      </c>
      <c r="H16" s="44" t="n">
        <f aca="false">IF($B16="","",IF($D16="Income","",IF($F16&lt;&gt;"",$F16,$E16)))</f>
        <v>20</v>
      </c>
      <c r="I16" s="45" t="n">
        <f aca="false">IF($B16="","",$I$13+SUM($G$15:$G16)-SUM($H$15:$H16))</f>
        <v>30.07</v>
      </c>
      <c r="J16" s="46" t="str">
        <f aca="true">IF($B16="","",IF($F16&lt;&gt;"","PAID",IF($C16&lt;TODAY(),"PAST DUE",IF($C16&lt;=TODAY()+7,"DUE","Upcoming"))))</f>
        <v>PAST DUE</v>
      </c>
    </row>
    <row r="17" customFormat="false" ht="15" hidden="false" customHeight="false" outlineLevel="0" collapsed="false">
      <c r="B17" s="38" t="str">
        <f aca="false">IFERROR(INDEX(Schedule!$C$4:$C$483,MATCH(1003,Schedule!$K$4:$K$483,0)),"")</f>
        <v>Obsidian</v>
      </c>
      <c r="C17" s="39" t="n">
        <f aca="false">IF($B17="","",INDEX(Schedule!$G$4:$G$483,MATCH(1003,Schedule!$K$4:$K$483,0)))</f>
        <v>46239</v>
      </c>
      <c r="D17" s="40" t="str">
        <f aca="false">IF($B17="","",INDEX(Schedule!$D$4:$D$483,MATCH(1003,Schedule!$K$4:$K$483,0)))</f>
        <v>Expense</v>
      </c>
      <c r="E17" s="41" t="n">
        <f aca="false">IF($B17="","",INDEX(Schedule!$E$4:$E$483,MATCH(1003,Schedule!$K$4:$K$483,0)))</f>
        <v>10</v>
      </c>
      <c r="F17" s="42"/>
      <c r="G17" s="43" t="str">
        <f aca="false">IF($B17="","",IF($D17="Income",IF($F17&lt;&gt;"",$F17,$E17),""))</f>
        <v/>
      </c>
      <c r="H17" s="44" t="n">
        <f aca="false">IF($B17="","",IF($D17="Income","",IF($F17&lt;&gt;"",$F17,$E17)))</f>
        <v>10</v>
      </c>
      <c r="I17" s="45" t="n">
        <f aca="false">IF($B17="","",$I$13+SUM($G$15:$G17)-SUM($H$15:$H17))</f>
        <v>20.07</v>
      </c>
      <c r="J17" s="46" t="str">
        <f aca="true">IF($B17="","",IF($F17&lt;&gt;"","PAID",IF($C17&lt;TODAY(),"PAST DUE",IF($C17&lt;=TODAY()+7,"DUE","Upcoming"))))</f>
        <v>PAST DUE</v>
      </c>
    </row>
    <row r="18" customFormat="false" ht="15" hidden="false" customHeight="false" outlineLevel="0" collapsed="false">
      <c r="B18" s="38" t="str">
        <f aca="false">IFERROR(INDEX(Schedule!$C$4:$C$483,MATCH(1004,Schedule!$K$4:$K$483,0)),"")</f>
        <v>Bruno's Restaurant (paycheck)</v>
      </c>
      <c r="C18" s="39" t="n">
        <f aca="false">IF($B18="","",INDEX(Schedule!$G$4:$G$483,MATCH(1004,Schedule!$K$4:$K$483,0)))</f>
        <v>46246</v>
      </c>
      <c r="D18" s="40" t="str">
        <f aca="false">IF($B18="","",INDEX(Schedule!$D$4:$D$483,MATCH(1004,Schedule!$K$4:$K$483,0)))</f>
        <v>Income</v>
      </c>
      <c r="E18" s="41" t="n">
        <f aca="false">IF($B18="","",INDEX(Schedule!$E$4:$E$483,MATCH(1004,Schedule!$K$4:$K$483,0)))</f>
        <v>90</v>
      </c>
      <c r="F18" s="42"/>
      <c r="G18" s="43" t="n">
        <f aca="false">IF($B18="","",IF($D18="Income",IF($F18&lt;&gt;"",$F18,$E18),""))</f>
        <v>90</v>
      </c>
      <c r="H18" s="44" t="str">
        <f aca="false">IF($B18="","",IF($D18="Income","",IF($F18&lt;&gt;"",$F18,$E18)))</f>
        <v/>
      </c>
      <c r="I18" s="45" t="n">
        <f aca="false">IF($B18="","",$I$13+SUM($G$15:$G18)-SUM($H$15:$H18))</f>
        <v>110.07</v>
      </c>
      <c r="J18" s="46" t="str">
        <f aca="true">IF($B18="","",IF($F18&lt;&gt;"","PAID",IF($C18&lt;TODAY(),"PAST DUE",IF($C18&lt;=TODAY()+7,"DUE","Upcoming"))))</f>
        <v>DUE</v>
      </c>
    </row>
    <row r="19" customFormat="false" ht="15" hidden="false" customHeight="false" outlineLevel="0" collapsed="false">
      <c r="B19" s="38" t="str">
        <f aca="false">IFERROR(INDEX(Schedule!$C$4:$C$483,MATCH(1005,Schedule!$K$4:$K$483,0)),"")</f>
        <v>Apple: iCloud</v>
      </c>
      <c r="C19" s="39" t="n">
        <f aca="false">IF($B19="","",INDEX(Schedule!$G$4:$G$483,MATCH(1005,Schedule!$K$4:$K$483,0)))</f>
        <v>46247</v>
      </c>
      <c r="D19" s="40" t="str">
        <f aca="false">IF($B19="","",INDEX(Schedule!$D$4:$D$483,MATCH(1005,Schedule!$K$4:$K$483,0)))</f>
        <v>Expense</v>
      </c>
      <c r="E19" s="41" t="n">
        <f aca="false">IF($B19="","",INDEX(Schedule!$E$4:$E$483,MATCH(1005,Schedule!$K$4:$K$483,0)))</f>
        <v>2.99</v>
      </c>
      <c r="F19" s="42"/>
      <c r="G19" s="43" t="str">
        <f aca="false">IF($B19="","",IF($D19="Income",IF($F19&lt;&gt;"",$F19,$E19),""))</f>
        <v/>
      </c>
      <c r="H19" s="44" t="n">
        <f aca="false">IF($B19="","",IF($D19="Income","",IF($F19&lt;&gt;"",$F19,$E19)))</f>
        <v>2.99</v>
      </c>
      <c r="I19" s="45" t="n">
        <f aca="false">IF($B19="","",$I$13+SUM($G$15:$G19)-SUM($H$15:$H19))</f>
        <v>107.08</v>
      </c>
      <c r="J19" s="46" t="str">
        <f aca="true">IF($B19="","",IF($F19&lt;&gt;"","PAID",IF($C19&lt;TODAY(),"PAST DUE",IF($C19&lt;=TODAY()+7,"DUE","Upcoming"))))</f>
        <v>DUE</v>
      </c>
    </row>
    <row r="20" customFormat="false" ht="15" hidden="false" customHeight="false" outlineLevel="0" collapsed="false">
      <c r="B20" s="38" t="str">
        <f aca="false">IFERROR(INDEX(Schedule!$C$4:$C$483,MATCH(1006,Schedule!$K$4:$K$483,0)),"")</f>
        <v/>
      </c>
      <c r="C20" s="39" t="str">
        <f aca="false">IF($B20="","",INDEX(Schedule!$G$4:$G$483,MATCH(1006,Schedule!$K$4:$K$483,0)))</f>
        <v/>
      </c>
      <c r="D20" s="40" t="str">
        <f aca="false">IF($B20="","",INDEX(Schedule!$D$4:$D$483,MATCH(1006,Schedule!$K$4:$K$483,0)))</f>
        <v/>
      </c>
      <c r="E20" s="41" t="str">
        <f aca="false">IF($B20="","",INDEX(Schedule!$E$4:$E$483,MATCH(1006,Schedule!$K$4:$K$483,0)))</f>
        <v/>
      </c>
      <c r="F20" s="42"/>
      <c r="G20" s="43" t="str">
        <f aca="false">IF($B20="","",IF($D20="Income",IF($F20&lt;&gt;"",$F20,$E20),""))</f>
        <v/>
      </c>
      <c r="H20" s="44" t="str">
        <f aca="false">IF($B20="","",IF($D20="Income","",IF($F20&lt;&gt;"",$F20,$E20)))</f>
        <v/>
      </c>
      <c r="I20" s="45" t="str">
        <f aca="false">IF($B20="","",$I$13+SUM($G$15:$G20)-SUM($H$15:$H20))</f>
        <v/>
      </c>
      <c r="J20" s="46" t="str">
        <f aca="true">IF($B20="","",IF($F20&lt;&gt;"","PAID",IF($C20&lt;TODAY(),"PAST DUE",IF($C20&lt;=TODAY()+7,"DUE","Upcoming"))))</f>
        <v/>
      </c>
    </row>
    <row r="21" customFormat="false" ht="15" hidden="false" customHeight="false" outlineLevel="0" collapsed="false">
      <c r="B21" s="38" t="str">
        <f aca="false">IFERROR(INDEX(Schedule!$C$4:$C$483,MATCH(1007,Schedule!$K$4:$K$483,0)),"")</f>
        <v/>
      </c>
      <c r="C21" s="39" t="str">
        <f aca="false">IF($B21="","",INDEX(Schedule!$G$4:$G$483,MATCH(1007,Schedule!$K$4:$K$483,0)))</f>
        <v/>
      </c>
      <c r="D21" s="40" t="str">
        <f aca="false">IF($B21="","",INDEX(Schedule!$D$4:$D$483,MATCH(1007,Schedule!$K$4:$K$483,0)))</f>
        <v/>
      </c>
      <c r="E21" s="41" t="str">
        <f aca="false">IF($B21="","",INDEX(Schedule!$E$4:$E$483,MATCH(1007,Schedule!$K$4:$K$483,0)))</f>
        <v/>
      </c>
      <c r="F21" s="42"/>
      <c r="G21" s="43" t="str">
        <f aca="false">IF($B21="","",IF($D21="Income",IF($F21&lt;&gt;"",$F21,$E21),""))</f>
        <v/>
      </c>
      <c r="H21" s="44" t="str">
        <f aca="false">IF($B21="","",IF($D21="Income","",IF($F21&lt;&gt;"",$F21,$E21)))</f>
        <v/>
      </c>
      <c r="I21" s="45" t="str">
        <f aca="false">IF($B21="","",$I$13+SUM($G$15:$G21)-SUM($H$15:$H21))</f>
        <v/>
      </c>
      <c r="J21" s="46" t="str">
        <f aca="true">IF($B21="","",IF($F21&lt;&gt;"","PAID",IF($C21&lt;TODAY(),"PAST DUE",IF($C21&lt;=TODAY()+7,"DUE","Upcoming"))))</f>
        <v/>
      </c>
    </row>
    <row r="22" customFormat="false" ht="15" hidden="false" customHeight="false" outlineLevel="0" collapsed="false">
      <c r="B22" s="38" t="str">
        <f aca="false">IFERROR(INDEX(Schedule!$C$4:$C$483,MATCH(1008,Schedule!$K$4:$K$483,0)),"")</f>
        <v/>
      </c>
      <c r="C22" s="39" t="str">
        <f aca="false">IF($B22="","",INDEX(Schedule!$G$4:$G$483,MATCH(1008,Schedule!$K$4:$K$483,0)))</f>
        <v/>
      </c>
      <c r="D22" s="40" t="str">
        <f aca="false">IF($B22="","",INDEX(Schedule!$D$4:$D$483,MATCH(1008,Schedule!$K$4:$K$483,0)))</f>
        <v/>
      </c>
      <c r="E22" s="41" t="str">
        <f aca="false">IF($B22="","",INDEX(Schedule!$E$4:$E$483,MATCH(1008,Schedule!$K$4:$K$483,0)))</f>
        <v/>
      </c>
      <c r="F22" s="42"/>
      <c r="G22" s="43" t="str">
        <f aca="false">IF($B22="","",IF($D22="Income",IF($F22&lt;&gt;"",$F22,$E22),""))</f>
        <v/>
      </c>
      <c r="H22" s="44" t="str">
        <f aca="false">IF($B22="","",IF($D22="Income","",IF($F22&lt;&gt;"",$F22,$E22)))</f>
        <v/>
      </c>
      <c r="I22" s="45" t="str">
        <f aca="false">IF($B22="","",$I$13+SUM($G$15:$G22)-SUM($H$15:$H22))</f>
        <v/>
      </c>
      <c r="J22" s="46" t="str">
        <f aca="true">IF($B22="","",IF($F22&lt;&gt;"","PAID",IF($C22&lt;TODAY(),"PAST DUE",IF($C22&lt;=TODAY()+7,"DUE","Upcoming"))))</f>
        <v/>
      </c>
    </row>
    <row r="23" customFormat="false" ht="15" hidden="false" customHeight="false" outlineLevel="0" collapsed="false">
      <c r="B23" s="38" t="str">
        <f aca="false">IFERROR(INDEX(Schedule!$C$4:$C$483,MATCH(1009,Schedule!$K$4:$K$483,0)),"")</f>
        <v/>
      </c>
      <c r="C23" s="39" t="str">
        <f aca="false">IF($B23="","",INDEX(Schedule!$G$4:$G$483,MATCH(1009,Schedule!$K$4:$K$483,0)))</f>
        <v/>
      </c>
      <c r="D23" s="40" t="str">
        <f aca="false">IF($B23="","",INDEX(Schedule!$D$4:$D$483,MATCH(1009,Schedule!$K$4:$K$483,0)))</f>
        <v/>
      </c>
      <c r="E23" s="41" t="str">
        <f aca="false">IF($B23="","",INDEX(Schedule!$E$4:$E$483,MATCH(1009,Schedule!$K$4:$K$483,0)))</f>
        <v/>
      </c>
      <c r="F23" s="42"/>
      <c r="G23" s="43" t="str">
        <f aca="false">IF($B23="","",IF($D23="Income",IF($F23&lt;&gt;"",$F23,$E23),""))</f>
        <v/>
      </c>
      <c r="H23" s="44" t="str">
        <f aca="false">IF($B23="","",IF($D23="Income","",IF($F23&lt;&gt;"",$F23,$E23)))</f>
        <v/>
      </c>
      <c r="I23" s="45" t="str">
        <f aca="false">IF($B23="","",$I$13+SUM($G$15:$G23)-SUM($H$15:$H23))</f>
        <v/>
      </c>
      <c r="J23" s="46" t="str">
        <f aca="true">IF($B23="","",IF($F23&lt;&gt;"","PAID",IF($C23&lt;TODAY(),"PAST DUE",IF($C23&lt;=TODAY()+7,"DUE","Upcoming"))))</f>
        <v/>
      </c>
    </row>
    <row r="24" customFormat="false" ht="15" hidden="false" customHeight="false" outlineLevel="0" collapsed="false">
      <c r="B24" s="38" t="str">
        <f aca="false">IFERROR(INDEX(Schedule!$C$4:$C$483,MATCH(1010,Schedule!$K$4:$K$483,0)),"")</f>
        <v/>
      </c>
      <c r="C24" s="39" t="str">
        <f aca="false">IF($B24="","",INDEX(Schedule!$G$4:$G$483,MATCH(1010,Schedule!$K$4:$K$483,0)))</f>
        <v/>
      </c>
      <c r="D24" s="40" t="str">
        <f aca="false">IF($B24="","",INDEX(Schedule!$D$4:$D$483,MATCH(1010,Schedule!$K$4:$K$483,0)))</f>
        <v/>
      </c>
      <c r="E24" s="41" t="str">
        <f aca="false">IF($B24="","",INDEX(Schedule!$E$4:$E$483,MATCH(1010,Schedule!$K$4:$K$483,0)))</f>
        <v/>
      </c>
      <c r="F24" s="42"/>
      <c r="G24" s="43" t="str">
        <f aca="false">IF($B24="","",IF($D24="Income",IF($F24&lt;&gt;"",$F24,$E24),""))</f>
        <v/>
      </c>
      <c r="H24" s="44" t="str">
        <f aca="false">IF($B24="","",IF($D24="Income","",IF($F24&lt;&gt;"",$F24,$E24)))</f>
        <v/>
      </c>
      <c r="I24" s="45" t="str">
        <f aca="false">IF($B24="","",$I$13+SUM($G$15:$G24)-SUM($H$15:$H24))</f>
        <v/>
      </c>
      <c r="J24" s="46" t="str">
        <f aca="true">IF($B24="","",IF($F24&lt;&gt;"","PAID",IF($C24&lt;TODAY(),"PAST DUE",IF($C24&lt;=TODAY()+7,"DUE","Upcoming"))))</f>
        <v/>
      </c>
    </row>
    <row r="25" customFormat="false" ht="15" hidden="false" customHeight="false" outlineLevel="0" collapsed="false">
      <c r="B25" s="47" t="s">
        <v>123</v>
      </c>
      <c r="C25" s="48"/>
      <c r="D25" s="48"/>
      <c r="E25" s="48"/>
      <c r="F25" s="48"/>
      <c r="G25" s="48"/>
      <c r="H25" s="48"/>
      <c r="I25" s="48"/>
      <c r="J25" s="48"/>
    </row>
    <row r="26" customFormat="false" ht="15" hidden="false" customHeight="false" outlineLevel="0" collapsed="false">
      <c r="B26" s="6"/>
      <c r="C26" s="10"/>
      <c r="D26" s="49" t="str">
        <f aca="false">IF($B26="","","Expense")</f>
        <v/>
      </c>
      <c r="E26" s="18"/>
      <c r="F26" s="10"/>
      <c r="G26" s="10"/>
      <c r="H26" s="50" t="str">
        <f aca="false">IF($B26="","",N($E26))</f>
        <v/>
      </c>
      <c r="I26" s="51" t="str">
        <f aca="false">IF($B26="","",$I$13+SUM($G$15:$G26)-SUM($H$15:$H26))</f>
        <v/>
      </c>
      <c r="J26" s="10"/>
    </row>
    <row r="27" customFormat="false" ht="15" hidden="false" customHeight="false" outlineLevel="0" collapsed="false">
      <c r="B27" s="6"/>
      <c r="C27" s="10"/>
      <c r="D27" s="49" t="str">
        <f aca="false">IF($B27="","","Expense")</f>
        <v/>
      </c>
      <c r="E27" s="18"/>
      <c r="F27" s="10"/>
      <c r="G27" s="10"/>
      <c r="H27" s="50" t="str">
        <f aca="false">IF($B27="","",N($E27))</f>
        <v/>
      </c>
      <c r="I27" s="51" t="str">
        <f aca="false">IF($B27="","",$I$13+SUM($G$15:$G27)-SUM($H$15:$H27))</f>
        <v/>
      </c>
      <c r="J27" s="10"/>
    </row>
    <row r="28" customFormat="false" ht="15" hidden="false" customHeight="false" outlineLevel="0" collapsed="false">
      <c r="B28" s="6"/>
      <c r="C28" s="10"/>
      <c r="D28" s="49" t="str">
        <f aca="false">IF($B28="","","Expense")</f>
        <v/>
      </c>
      <c r="E28" s="18"/>
      <c r="F28" s="10"/>
      <c r="G28" s="10"/>
      <c r="H28" s="50" t="str">
        <f aca="false">IF($B28="","",N($E28))</f>
        <v/>
      </c>
      <c r="I28" s="51" t="str">
        <f aca="false">IF($B28="","",$I$13+SUM($G$15:$G28)-SUM($H$15:$H28))</f>
        <v/>
      </c>
      <c r="J28" s="10"/>
    </row>
    <row r="29" customFormat="false" ht="15" hidden="false" customHeight="false" outlineLevel="0" collapsed="false">
      <c r="B29" s="6"/>
      <c r="C29" s="10"/>
      <c r="D29" s="49" t="str">
        <f aca="false">IF($B29="","","Expense")</f>
        <v/>
      </c>
      <c r="E29" s="18"/>
      <c r="F29" s="10"/>
      <c r="G29" s="10"/>
      <c r="H29" s="50" t="str">
        <f aca="false">IF($B29="","",N($E29))</f>
        <v/>
      </c>
      <c r="I29" s="51" t="str">
        <f aca="false">IF($B29="","",$I$13+SUM($G$15:$G29)-SUM($H$15:$H29))</f>
        <v/>
      </c>
      <c r="J29" s="10"/>
    </row>
    <row r="30" customFormat="false" ht="15" hidden="false" customHeight="false" outlineLevel="0" collapsed="false">
      <c r="B30" s="6"/>
      <c r="C30" s="10"/>
      <c r="D30" s="49" t="str">
        <f aca="false">IF($B30="","","Expense")</f>
        <v/>
      </c>
      <c r="E30" s="18"/>
      <c r="F30" s="10"/>
      <c r="G30" s="10"/>
      <c r="H30" s="50" t="str">
        <f aca="false">IF($B30="","",N($E30))</f>
        <v/>
      </c>
      <c r="I30" s="51" t="str">
        <f aca="false">IF($B30="","",$I$13+SUM($G$15:$G30)-SUM($H$15:$H30))</f>
        <v/>
      </c>
      <c r="J30" s="10"/>
    </row>
    <row r="31" customFormat="false" ht="15" hidden="false" customHeight="false" outlineLevel="0" collapsed="false">
      <c r="B31" s="6"/>
      <c r="C31" s="10"/>
      <c r="D31" s="49" t="str">
        <f aca="false">IF($B31="","","Expense")</f>
        <v/>
      </c>
      <c r="E31" s="18"/>
      <c r="F31" s="10"/>
      <c r="G31" s="10"/>
      <c r="H31" s="50" t="str">
        <f aca="false">IF($B31="","",N($E31))</f>
        <v/>
      </c>
      <c r="I31" s="51" t="str">
        <f aca="false">IF($B31="","",$I$13+SUM($G$15:$G31)-SUM($H$15:$H31))</f>
        <v/>
      </c>
      <c r="J31" s="10"/>
    </row>
    <row r="32" customFormat="false" ht="15" hidden="false" customHeight="false" outlineLevel="0" collapsed="false">
      <c r="B32" s="52" t="s">
        <v>124</v>
      </c>
      <c r="C32" s="53"/>
      <c r="D32" s="53"/>
      <c r="E32" s="53"/>
      <c r="F32" s="53"/>
      <c r="G32" s="54" t="n">
        <f aca="false">SUM($G$15:$G$31)</f>
        <v>90</v>
      </c>
      <c r="H32" s="54" t="n">
        <f aca="false">SUM($H$15:$H$31)</f>
        <v>54.09</v>
      </c>
      <c r="I32" s="55" t="n">
        <f aca="false">$I$13+$G$32-$H$32</f>
        <v>107.08</v>
      </c>
      <c r="J32" s="56" t="str">
        <f aca="false">IF($I$32&lt;0,"SHORTFALL",IF($I$32&lt;$E$7,"TIGHT","OK"))</f>
        <v>TIGHT</v>
      </c>
      <c r="K32" s="25" t="str">
        <f aca="false">"In "&amp;TEXT($G$32,"$#,##0.00")&amp;"   less out "&amp;TEXT($H$32,"$#,##0.00")&amp;"   =  net "&amp;TEXT($G$32-$H$32,"$#,##0.00;-$#,##0.00")</f>
        <v>In $90.00   less out $54.09   =  net $35.91</v>
      </c>
    </row>
    <row r="34" customFormat="false" ht="21.75" hidden="false" customHeight="true" outlineLevel="0" collapsed="false">
      <c r="B34" s="31" t="str">
        <f aca="false">"WEEK 2     "&amp;TEXT($E$6+7,"ddd, mmm d")&amp;"   through   "&amp;TEXT($E$6+7+6,"ddd, mmm d, yyyy")</f>
        <v>WEEK 2     Fri, Aug 14   through   Thu, Aug 20, 2026</v>
      </c>
      <c r="C34" s="32"/>
      <c r="D34" s="32"/>
      <c r="E34" s="32"/>
      <c r="F34" s="32"/>
      <c r="G34" s="33" t="s">
        <v>116</v>
      </c>
      <c r="H34" s="32"/>
      <c r="I34" s="34" t="n">
        <f aca="false">$I$32</f>
        <v>107.08</v>
      </c>
      <c r="J34" s="32"/>
      <c r="K34" s="28" t="str">
        <f aca="false">IF(COUNTIF(Schedule!$I$4:$I$483,2)&gt;10,"! "&amp;COUNTIF(Schedule!$I$4:$I$483,2)-10&amp;" more transaction(s) fall in this week than there are rows to show them.","")</f>
        <v/>
      </c>
    </row>
    <row r="35" customFormat="false" ht="25.5" hidden="false" customHeight="true" outlineLevel="0" collapsed="false">
      <c r="B35" s="35" t="s">
        <v>117</v>
      </c>
      <c r="C35" s="35" t="s">
        <v>118</v>
      </c>
      <c r="D35" s="35" t="s">
        <v>68</v>
      </c>
      <c r="E35" s="35" t="s">
        <v>119</v>
      </c>
      <c r="F35" s="35" t="s">
        <v>120</v>
      </c>
      <c r="G35" s="36" t="s">
        <v>18</v>
      </c>
      <c r="H35" s="37" t="s">
        <v>20</v>
      </c>
      <c r="I35" s="35" t="s">
        <v>121</v>
      </c>
      <c r="J35" s="35" t="s">
        <v>122</v>
      </c>
    </row>
    <row r="36" customFormat="false" ht="15" hidden="false" customHeight="false" outlineLevel="0" collapsed="false">
      <c r="B36" s="38" t="str">
        <f aca="false">IFERROR(INDEX(Schedule!$C$4:$C$483,MATCH(2001,Schedule!$K$4:$K$483,0)),"")</f>
        <v>Compunnel Software (paycheck)</v>
      </c>
      <c r="C36" s="39" t="n">
        <f aca="false">IF($B36="","",INDEX(Schedule!$G$4:$G$483,MATCH(2001,Schedule!$K$4:$K$483,0)))</f>
        <v>46248</v>
      </c>
      <c r="D36" s="40" t="str">
        <f aca="false">IF($B36="","",INDEX(Schedule!$D$4:$D$483,MATCH(2001,Schedule!$K$4:$K$483,0)))</f>
        <v>Income</v>
      </c>
      <c r="E36" s="41" t="n">
        <f aca="false">IF($B36="","",INDEX(Schedule!$E$4:$E$483,MATCH(2001,Schedule!$K$4:$K$483,0)))</f>
        <v>790</v>
      </c>
      <c r="F36" s="42"/>
      <c r="G36" s="43" t="n">
        <f aca="false">IF($B36="","",IF($D36="Income",IF($F36&lt;&gt;"",$F36,$E36),""))</f>
        <v>790</v>
      </c>
      <c r="H36" s="44" t="str">
        <f aca="false">IF($B36="","",IF($D36="Income","",IF($F36&lt;&gt;"",$F36,$E36)))</f>
        <v/>
      </c>
      <c r="I36" s="45" t="n">
        <f aca="false">IF($B36="","",$I$34+SUM($G$36:$G36)-SUM($H$36:$H36))</f>
        <v>897.08</v>
      </c>
      <c r="J36" s="46" t="str">
        <f aca="true">IF($B36="","",IF($F36&lt;&gt;"","PAID",IF($C36&lt;TODAY(),"PAST DUE",IF($C36&lt;=TODAY()+7,"DUE","Upcoming"))))</f>
        <v>DUE</v>
      </c>
    </row>
    <row r="37" customFormat="false" ht="15" hidden="false" customHeight="false" outlineLevel="0" collapsed="false">
      <c r="B37" s="38" t="str">
        <f aca="false">IFERROR(INDEX(Schedule!$C$4:$C$483,MATCH(2002,Schedule!$K$4:$K$483,0)),"")</f>
        <v>Patrick Rombalski (rent)</v>
      </c>
      <c r="C37" s="39" t="n">
        <f aca="false">IF($B37="","",INDEX(Schedule!$G$4:$G$483,MATCH(2002,Schedule!$K$4:$K$483,0)))</f>
        <v>46248</v>
      </c>
      <c r="D37" s="40" t="str">
        <f aca="false">IF($B37="","",INDEX(Schedule!$D$4:$D$483,MATCH(2002,Schedule!$K$4:$K$483,0)))</f>
        <v>Expense</v>
      </c>
      <c r="E37" s="41" t="n">
        <f aca="false">IF($B37="","",INDEX(Schedule!$E$4:$E$483,MATCH(2002,Schedule!$K$4:$K$483,0)))</f>
        <v>350</v>
      </c>
      <c r="F37" s="42"/>
      <c r="G37" s="43" t="str">
        <f aca="false">IF($B37="","",IF($D37="Income",IF($F37&lt;&gt;"",$F37,$E37),""))</f>
        <v/>
      </c>
      <c r="H37" s="44" t="n">
        <f aca="false">IF($B37="","",IF($D37="Income","",IF($F37&lt;&gt;"",$F37,$E37)))</f>
        <v>350</v>
      </c>
      <c r="I37" s="45" t="n">
        <f aca="false">IF($B37="","",$I$34+SUM($G$36:$G37)-SUM($H$36:$H37))</f>
        <v>547.08</v>
      </c>
      <c r="J37" s="46" t="str">
        <f aca="true">IF($B37="","",IF($F37&lt;&gt;"","PAID",IF($C37&lt;TODAY(),"PAST DUE",IF($C37&lt;=TODAY()+7,"DUE","Upcoming"))))</f>
        <v>DUE</v>
      </c>
    </row>
    <row r="38" customFormat="false" ht="15" hidden="false" customHeight="false" outlineLevel="0" collapsed="false">
      <c r="B38" s="38" t="str">
        <f aca="false">IFERROR(INDEX(Schedule!$C$4:$C$483,MATCH(2003,Schedule!$K$4:$K$483,0)),"")</f>
        <v>Spectrum</v>
      </c>
      <c r="C38" s="39" t="n">
        <f aca="false">IF($B38="","",INDEX(Schedule!$G$4:$G$483,MATCH(2003,Schedule!$K$4:$K$483,0)))</f>
        <v>46250</v>
      </c>
      <c r="D38" s="40" t="str">
        <f aca="false">IF($B38="","",INDEX(Schedule!$D$4:$D$483,MATCH(2003,Schedule!$K$4:$K$483,0)))</f>
        <v>Expense</v>
      </c>
      <c r="E38" s="41" t="n">
        <f aca="false">IF($B38="","",INDEX(Schedule!$E$4:$E$483,MATCH(2003,Schedule!$K$4:$K$483,0)))</f>
        <v>171.1</v>
      </c>
      <c r="F38" s="42"/>
      <c r="G38" s="43" t="str">
        <f aca="false">IF($B38="","",IF($D38="Income",IF($F38&lt;&gt;"",$F38,$E38),""))</f>
        <v/>
      </c>
      <c r="H38" s="44" t="n">
        <f aca="false">IF($B38="","",IF($D38="Income","",IF($F38&lt;&gt;"",$F38,$E38)))</f>
        <v>171.1</v>
      </c>
      <c r="I38" s="45" t="n">
        <f aca="false">IF($B38="","",$I$34+SUM($G$36:$G38)-SUM($H$36:$H38))</f>
        <v>375.98</v>
      </c>
      <c r="J38" s="46" t="str">
        <f aca="true">IF($B38="","",IF($F38&lt;&gt;"","PAID",IF($C38&lt;TODAY(),"PAST DUE",IF($C38&lt;=TODAY()+7,"DUE","Upcoming"))))</f>
        <v>Upcoming</v>
      </c>
    </row>
    <row r="39" customFormat="false" ht="15" hidden="false" customHeight="false" outlineLevel="0" collapsed="false">
      <c r="B39" s="38" t="str">
        <f aca="false">IFERROR(INDEX(Schedule!$C$4:$C$483,MATCH(2004,Schedule!$K$4:$K$483,0)),"")</f>
        <v>Maine Revenue Services</v>
      </c>
      <c r="C39" s="39" t="n">
        <f aca="false">IF($B39="","",INDEX(Schedule!$G$4:$G$483,MATCH(2004,Schedule!$K$4:$K$483,0)))</f>
        <v>46250</v>
      </c>
      <c r="D39" s="40" t="str">
        <f aca="false">IF($B39="","",INDEX(Schedule!$D$4:$D$483,MATCH(2004,Schedule!$K$4:$K$483,0)))</f>
        <v>Expense</v>
      </c>
      <c r="E39" s="41" t="n">
        <f aca="false">IF($B39="","",INDEX(Schedule!$E$4:$E$483,MATCH(2004,Schedule!$K$4:$K$483,0)))</f>
        <v>45</v>
      </c>
      <c r="F39" s="42"/>
      <c r="G39" s="43" t="str">
        <f aca="false">IF($B39="","",IF($D39="Income",IF($F39&lt;&gt;"",$F39,$E39),""))</f>
        <v/>
      </c>
      <c r="H39" s="44" t="n">
        <f aca="false">IF($B39="","",IF($D39="Income","",IF($F39&lt;&gt;"",$F39,$E39)))</f>
        <v>45</v>
      </c>
      <c r="I39" s="45" t="n">
        <f aca="false">IF($B39="","",$I$34+SUM($G$36:$G39)-SUM($H$36:$H39))</f>
        <v>330.98</v>
      </c>
      <c r="J39" s="46" t="str">
        <f aca="true">IF($B39="","",IF($F39&lt;&gt;"","PAID",IF($C39&lt;TODAY(),"PAST DUE",IF($C39&lt;=TODAY()+7,"DUE","Upcoming"))))</f>
        <v>Upcoming</v>
      </c>
    </row>
    <row r="40" customFormat="false" ht="15" hidden="false" customHeight="false" outlineLevel="0" collapsed="false">
      <c r="B40" s="38" t="str">
        <f aca="false">IFERROR(INDEX(Schedule!$C$4:$C$483,MATCH(2005,Schedule!$K$4:$K$483,0)),"")</f>
        <v>Metal Copy</v>
      </c>
      <c r="C40" s="39" t="n">
        <f aca="false">IF($B40="","",INDEX(Schedule!$G$4:$G$483,MATCH(2005,Schedule!$K$4:$K$483,0)))</f>
        <v>46252</v>
      </c>
      <c r="D40" s="40" t="str">
        <f aca="false">IF($B40="","",INDEX(Schedule!$D$4:$D$483,MATCH(2005,Schedule!$K$4:$K$483,0)))</f>
        <v>Expense</v>
      </c>
      <c r="E40" s="41" t="n">
        <f aca="false">IF($B40="","",INDEX(Schedule!$E$4:$E$483,MATCH(2005,Schedule!$K$4:$K$483,0)))</f>
        <v>16.99</v>
      </c>
      <c r="F40" s="42"/>
      <c r="G40" s="43" t="str">
        <f aca="false">IF($B40="","",IF($D40="Income",IF($F40&lt;&gt;"",$F40,$E40),""))</f>
        <v/>
      </c>
      <c r="H40" s="44" t="n">
        <f aca="false">IF($B40="","",IF($D40="Income","",IF($F40&lt;&gt;"",$F40,$E40)))</f>
        <v>16.99</v>
      </c>
      <c r="I40" s="45" t="n">
        <f aca="false">IF($B40="","",$I$34+SUM($G$36:$G40)-SUM($H$36:$H40))</f>
        <v>313.99</v>
      </c>
      <c r="J40" s="46" t="str">
        <f aca="true">IF($B40="","",IF($F40&lt;&gt;"","PAID",IF($C40&lt;TODAY(),"PAST DUE",IF($C40&lt;=TODAY()+7,"DUE","Upcoming"))))</f>
        <v>Upcoming</v>
      </c>
    </row>
    <row r="41" customFormat="false" ht="15" hidden="false" customHeight="false" outlineLevel="0" collapsed="false">
      <c r="B41" s="38" t="str">
        <f aca="false">IFERROR(INDEX(Schedule!$C$4:$C$483,MATCH(2006,Schedule!$K$4:$K$483,0)),"")</f>
        <v>Bruno's Restaurant (paycheck)</v>
      </c>
      <c r="C41" s="39" t="n">
        <f aca="false">IF($B41="","",INDEX(Schedule!$G$4:$G$483,MATCH(2006,Schedule!$K$4:$K$483,0)))</f>
        <v>46253</v>
      </c>
      <c r="D41" s="40" t="str">
        <f aca="false">IF($B41="","",INDEX(Schedule!$D$4:$D$483,MATCH(2006,Schedule!$K$4:$K$483,0)))</f>
        <v>Income</v>
      </c>
      <c r="E41" s="41" t="n">
        <f aca="false">IF($B41="","",INDEX(Schedule!$E$4:$E$483,MATCH(2006,Schedule!$K$4:$K$483,0)))</f>
        <v>90</v>
      </c>
      <c r="F41" s="42"/>
      <c r="G41" s="43" t="n">
        <f aca="false">IF($B41="","",IF($D41="Income",IF($F41&lt;&gt;"",$F41,$E41),""))</f>
        <v>90</v>
      </c>
      <c r="H41" s="44" t="str">
        <f aca="false">IF($B41="","",IF($D41="Income","",IF($F41&lt;&gt;"",$F41,$E41)))</f>
        <v/>
      </c>
      <c r="I41" s="45" t="n">
        <f aca="false">IF($B41="","",$I$34+SUM($G$36:$G41)-SUM($H$36:$H41))</f>
        <v>403.99</v>
      </c>
      <c r="J41" s="46" t="str">
        <f aca="true">IF($B41="","",IF($F41&lt;&gt;"","PAID",IF($C41&lt;TODAY(),"PAST DUE",IF($C41&lt;=TODAY()+7,"DUE","Upcoming"))))</f>
        <v>Upcoming</v>
      </c>
    </row>
    <row r="42" customFormat="false" ht="15" hidden="false" customHeight="false" outlineLevel="0" collapsed="false">
      <c r="B42" s="38" t="str">
        <f aca="false">IFERROR(INDEX(Schedule!$C$4:$C$483,MATCH(2007,Schedule!$K$4:$K$483,0)),"")</f>
        <v/>
      </c>
      <c r="C42" s="39" t="str">
        <f aca="false">IF($B42="","",INDEX(Schedule!$G$4:$G$483,MATCH(2007,Schedule!$K$4:$K$483,0)))</f>
        <v/>
      </c>
      <c r="D42" s="40" t="str">
        <f aca="false">IF($B42="","",INDEX(Schedule!$D$4:$D$483,MATCH(2007,Schedule!$K$4:$K$483,0)))</f>
        <v/>
      </c>
      <c r="E42" s="41" t="str">
        <f aca="false">IF($B42="","",INDEX(Schedule!$E$4:$E$483,MATCH(2007,Schedule!$K$4:$K$483,0)))</f>
        <v/>
      </c>
      <c r="F42" s="42"/>
      <c r="G42" s="43" t="str">
        <f aca="false">IF($B42="","",IF($D42="Income",IF($F42&lt;&gt;"",$F42,$E42),""))</f>
        <v/>
      </c>
      <c r="H42" s="44" t="str">
        <f aca="false">IF($B42="","",IF($D42="Income","",IF($F42&lt;&gt;"",$F42,$E42)))</f>
        <v/>
      </c>
      <c r="I42" s="45" t="str">
        <f aca="false">IF($B42="","",$I$34+SUM($G$36:$G42)-SUM($H$36:$H42))</f>
        <v/>
      </c>
      <c r="J42" s="46" t="str">
        <f aca="true">IF($B42="","",IF($F42&lt;&gt;"","PAID",IF($C42&lt;TODAY(),"PAST DUE",IF($C42&lt;=TODAY()+7,"DUE","Upcoming"))))</f>
        <v/>
      </c>
    </row>
    <row r="43" customFormat="false" ht="15" hidden="false" customHeight="false" outlineLevel="0" collapsed="false">
      <c r="B43" s="38" t="str">
        <f aca="false">IFERROR(INDEX(Schedule!$C$4:$C$483,MATCH(2008,Schedule!$K$4:$K$483,0)),"")</f>
        <v/>
      </c>
      <c r="C43" s="39" t="str">
        <f aca="false">IF($B43="","",INDEX(Schedule!$G$4:$G$483,MATCH(2008,Schedule!$K$4:$K$483,0)))</f>
        <v/>
      </c>
      <c r="D43" s="40" t="str">
        <f aca="false">IF($B43="","",INDEX(Schedule!$D$4:$D$483,MATCH(2008,Schedule!$K$4:$K$483,0)))</f>
        <v/>
      </c>
      <c r="E43" s="41" t="str">
        <f aca="false">IF($B43="","",INDEX(Schedule!$E$4:$E$483,MATCH(2008,Schedule!$K$4:$K$483,0)))</f>
        <v/>
      </c>
      <c r="F43" s="42"/>
      <c r="G43" s="43" t="str">
        <f aca="false">IF($B43="","",IF($D43="Income",IF($F43&lt;&gt;"",$F43,$E43),""))</f>
        <v/>
      </c>
      <c r="H43" s="44" t="str">
        <f aca="false">IF($B43="","",IF($D43="Income","",IF($F43&lt;&gt;"",$F43,$E43)))</f>
        <v/>
      </c>
      <c r="I43" s="45" t="str">
        <f aca="false">IF($B43="","",$I$34+SUM($G$36:$G43)-SUM($H$36:$H43))</f>
        <v/>
      </c>
      <c r="J43" s="46" t="str">
        <f aca="true">IF($B43="","",IF($F43&lt;&gt;"","PAID",IF($C43&lt;TODAY(),"PAST DUE",IF($C43&lt;=TODAY()+7,"DUE","Upcoming"))))</f>
        <v/>
      </c>
    </row>
    <row r="44" customFormat="false" ht="15" hidden="false" customHeight="false" outlineLevel="0" collapsed="false">
      <c r="B44" s="38" t="str">
        <f aca="false">IFERROR(INDEX(Schedule!$C$4:$C$483,MATCH(2009,Schedule!$K$4:$K$483,0)),"")</f>
        <v/>
      </c>
      <c r="C44" s="39" t="str">
        <f aca="false">IF($B44="","",INDEX(Schedule!$G$4:$G$483,MATCH(2009,Schedule!$K$4:$K$483,0)))</f>
        <v/>
      </c>
      <c r="D44" s="40" t="str">
        <f aca="false">IF($B44="","",INDEX(Schedule!$D$4:$D$483,MATCH(2009,Schedule!$K$4:$K$483,0)))</f>
        <v/>
      </c>
      <c r="E44" s="41" t="str">
        <f aca="false">IF($B44="","",INDEX(Schedule!$E$4:$E$483,MATCH(2009,Schedule!$K$4:$K$483,0)))</f>
        <v/>
      </c>
      <c r="F44" s="42"/>
      <c r="G44" s="43" t="str">
        <f aca="false">IF($B44="","",IF($D44="Income",IF($F44&lt;&gt;"",$F44,$E44),""))</f>
        <v/>
      </c>
      <c r="H44" s="44" t="str">
        <f aca="false">IF($B44="","",IF($D44="Income","",IF($F44&lt;&gt;"",$F44,$E44)))</f>
        <v/>
      </c>
      <c r="I44" s="45" t="str">
        <f aca="false">IF($B44="","",$I$34+SUM($G$36:$G44)-SUM($H$36:$H44))</f>
        <v/>
      </c>
      <c r="J44" s="46" t="str">
        <f aca="true">IF($B44="","",IF($F44&lt;&gt;"","PAID",IF($C44&lt;TODAY(),"PAST DUE",IF($C44&lt;=TODAY()+7,"DUE","Upcoming"))))</f>
        <v/>
      </c>
    </row>
    <row r="45" customFormat="false" ht="15" hidden="false" customHeight="false" outlineLevel="0" collapsed="false">
      <c r="B45" s="38" t="str">
        <f aca="false">IFERROR(INDEX(Schedule!$C$4:$C$483,MATCH(2010,Schedule!$K$4:$K$483,0)),"")</f>
        <v/>
      </c>
      <c r="C45" s="39" t="str">
        <f aca="false">IF($B45="","",INDEX(Schedule!$G$4:$G$483,MATCH(2010,Schedule!$K$4:$K$483,0)))</f>
        <v/>
      </c>
      <c r="D45" s="40" t="str">
        <f aca="false">IF($B45="","",INDEX(Schedule!$D$4:$D$483,MATCH(2010,Schedule!$K$4:$K$483,0)))</f>
        <v/>
      </c>
      <c r="E45" s="41" t="str">
        <f aca="false">IF($B45="","",INDEX(Schedule!$E$4:$E$483,MATCH(2010,Schedule!$K$4:$K$483,0)))</f>
        <v/>
      </c>
      <c r="F45" s="42"/>
      <c r="G45" s="43" t="str">
        <f aca="false">IF($B45="","",IF($D45="Income",IF($F45&lt;&gt;"",$F45,$E45),""))</f>
        <v/>
      </c>
      <c r="H45" s="44" t="str">
        <f aca="false">IF($B45="","",IF($D45="Income","",IF($F45&lt;&gt;"",$F45,$E45)))</f>
        <v/>
      </c>
      <c r="I45" s="45" t="str">
        <f aca="false">IF($B45="","",$I$34+SUM($G$36:$G45)-SUM($H$36:$H45))</f>
        <v/>
      </c>
      <c r="J45" s="46" t="str">
        <f aca="true">IF($B45="","",IF($F45&lt;&gt;"","PAID",IF($C45&lt;TODAY(),"PAST DUE",IF($C45&lt;=TODAY()+7,"DUE","Upcoming"))))</f>
        <v/>
      </c>
    </row>
    <row r="46" customFormat="false" ht="15" hidden="false" customHeight="false" outlineLevel="0" collapsed="false">
      <c r="B46" s="47" t="s">
        <v>123</v>
      </c>
      <c r="C46" s="48"/>
      <c r="D46" s="48"/>
      <c r="E46" s="48"/>
      <c r="F46" s="48"/>
      <c r="G46" s="48"/>
      <c r="H46" s="48"/>
      <c r="I46" s="48"/>
      <c r="J46" s="48"/>
    </row>
    <row r="47" customFormat="false" ht="15" hidden="false" customHeight="false" outlineLevel="0" collapsed="false">
      <c r="B47" s="6"/>
      <c r="C47" s="10"/>
      <c r="D47" s="49" t="str">
        <f aca="false">IF($B47="","","Expense")</f>
        <v/>
      </c>
      <c r="E47" s="18"/>
      <c r="F47" s="10"/>
      <c r="G47" s="10"/>
      <c r="H47" s="50" t="str">
        <f aca="false">IF($B47="","",N($E47))</f>
        <v/>
      </c>
      <c r="I47" s="51" t="str">
        <f aca="false">IF($B47="","",$I$34+SUM($G$36:$G47)-SUM($H$36:$H47))</f>
        <v/>
      </c>
      <c r="J47" s="10"/>
    </row>
    <row r="48" customFormat="false" ht="15" hidden="false" customHeight="false" outlineLevel="0" collapsed="false">
      <c r="B48" s="6"/>
      <c r="C48" s="10"/>
      <c r="D48" s="49" t="str">
        <f aca="false">IF($B48="","","Expense")</f>
        <v/>
      </c>
      <c r="E48" s="18"/>
      <c r="F48" s="10"/>
      <c r="G48" s="10"/>
      <c r="H48" s="50" t="str">
        <f aca="false">IF($B48="","",N($E48))</f>
        <v/>
      </c>
      <c r="I48" s="51" t="str">
        <f aca="false">IF($B48="","",$I$34+SUM($G$36:$G48)-SUM($H$36:$H48))</f>
        <v/>
      </c>
      <c r="J48" s="10"/>
    </row>
    <row r="49" customFormat="false" ht="15" hidden="false" customHeight="false" outlineLevel="0" collapsed="false">
      <c r="B49" s="6"/>
      <c r="C49" s="10"/>
      <c r="D49" s="49" t="str">
        <f aca="false">IF($B49="","","Expense")</f>
        <v/>
      </c>
      <c r="E49" s="18"/>
      <c r="F49" s="10"/>
      <c r="G49" s="10"/>
      <c r="H49" s="50" t="str">
        <f aca="false">IF($B49="","",N($E49))</f>
        <v/>
      </c>
      <c r="I49" s="51" t="str">
        <f aca="false">IF($B49="","",$I$34+SUM($G$36:$G49)-SUM($H$36:$H49))</f>
        <v/>
      </c>
      <c r="J49" s="10"/>
    </row>
    <row r="50" customFormat="false" ht="15" hidden="false" customHeight="false" outlineLevel="0" collapsed="false">
      <c r="B50" s="6"/>
      <c r="C50" s="10"/>
      <c r="D50" s="49" t="str">
        <f aca="false">IF($B50="","","Expense")</f>
        <v/>
      </c>
      <c r="E50" s="18"/>
      <c r="F50" s="10"/>
      <c r="G50" s="10"/>
      <c r="H50" s="50" t="str">
        <f aca="false">IF($B50="","",N($E50))</f>
        <v/>
      </c>
      <c r="I50" s="51" t="str">
        <f aca="false">IF($B50="","",$I$34+SUM($G$36:$G50)-SUM($H$36:$H50))</f>
        <v/>
      </c>
      <c r="J50" s="10"/>
    </row>
    <row r="51" customFormat="false" ht="15" hidden="false" customHeight="false" outlineLevel="0" collapsed="false">
      <c r="B51" s="6"/>
      <c r="C51" s="10"/>
      <c r="D51" s="49" t="str">
        <f aca="false">IF($B51="","","Expense")</f>
        <v/>
      </c>
      <c r="E51" s="18"/>
      <c r="F51" s="10"/>
      <c r="G51" s="10"/>
      <c r="H51" s="50" t="str">
        <f aca="false">IF($B51="","",N($E51))</f>
        <v/>
      </c>
      <c r="I51" s="51" t="str">
        <f aca="false">IF($B51="","",$I$34+SUM($G$36:$G51)-SUM($H$36:$H51))</f>
        <v/>
      </c>
      <c r="J51" s="10"/>
    </row>
    <row r="52" customFormat="false" ht="15" hidden="false" customHeight="false" outlineLevel="0" collapsed="false">
      <c r="B52" s="6"/>
      <c r="C52" s="10"/>
      <c r="D52" s="49" t="str">
        <f aca="false">IF($B52="","","Expense")</f>
        <v/>
      </c>
      <c r="E52" s="18"/>
      <c r="F52" s="10"/>
      <c r="G52" s="10"/>
      <c r="H52" s="50" t="str">
        <f aca="false">IF($B52="","",N($E52))</f>
        <v/>
      </c>
      <c r="I52" s="51" t="str">
        <f aca="false">IF($B52="","",$I$34+SUM($G$36:$G52)-SUM($H$36:$H52))</f>
        <v/>
      </c>
      <c r="J52" s="10"/>
    </row>
    <row r="53" customFormat="false" ht="15" hidden="false" customHeight="false" outlineLevel="0" collapsed="false">
      <c r="B53" s="52" t="s">
        <v>125</v>
      </c>
      <c r="C53" s="53"/>
      <c r="D53" s="53"/>
      <c r="E53" s="53"/>
      <c r="F53" s="53"/>
      <c r="G53" s="54" t="n">
        <f aca="false">SUM($G$36:$G$52)</f>
        <v>880</v>
      </c>
      <c r="H53" s="54" t="n">
        <f aca="false">SUM($H$36:$H$52)</f>
        <v>583.09</v>
      </c>
      <c r="I53" s="55" t="n">
        <f aca="false">$I$34+$G$53-$H$53</f>
        <v>403.99</v>
      </c>
      <c r="J53" s="56" t="str">
        <f aca="false">IF($I$53&lt;0,"SHORTFALL",IF($I$53&lt;$E$7,"TIGHT","OK"))</f>
        <v>OK</v>
      </c>
      <c r="K53" s="25" t="str">
        <f aca="false">"In "&amp;TEXT($G$53,"$#,##0.00")&amp;"   less out "&amp;TEXT($H$53,"$#,##0.00")&amp;"   =  net "&amp;TEXT($G$53-$H$53,"$#,##0.00;-$#,##0.00")</f>
        <v>In $880.00   less out $583.09   =  net $296.91</v>
      </c>
    </row>
    <row r="55" customFormat="false" ht="21.75" hidden="false" customHeight="true" outlineLevel="0" collapsed="false">
      <c r="B55" s="31" t="str">
        <f aca="false">"WEEK 3     "&amp;TEXT($E$6+14,"ddd, mmm d")&amp;"   through   "&amp;TEXT($E$6+14+6,"ddd, mmm d, yyyy")</f>
        <v>WEEK 3     Fri, Aug 21   through   Thu, Aug 27, 2026</v>
      </c>
      <c r="C55" s="32"/>
      <c r="D55" s="32"/>
      <c r="E55" s="32"/>
      <c r="F55" s="32"/>
      <c r="G55" s="33" t="s">
        <v>116</v>
      </c>
      <c r="H55" s="32"/>
      <c r="I55" s="34" t="n">
        <f aca="false">$I$53</f>
        <v>403.99</v>
      </c>
      <c r="J55" s="32"/>
      <c r="K55" s="28" t="str">
        <f aca="false">IF(COUNTIF(Schedule!$I$4:$I$483,3)&gt;10,"! "&amp;COUNTIF(Schedule!$I$4:$I$483,3)-10&amp;" more transaction(s) fall in this week than there are rows to show them.","")</f>
        <v/>
      </c>
    </row>
    <row r="56" customFormat="false" ht="25.5" hidden="false" customHeight="true" outlineLevel="0" collapsed="false">
      <c r="B56" s="35" t="s">
        <v>117</v>
      </c>
      <c r="C56" s="35" t="s">
        <v>118</v>
      </c>
      <c r="D56" s="35" t="s">
        <v>68</v>
      </c>
      <c r="E56" s="35" t="s">
        <v>119</v>
      </c>
      <c r="F56" s="35" t="s">
        <v>120</v>
      </c>
      <c r="G56" s="36" t="s">
        <v>18</v>
      </c>
      <c r="H56" s="37" t="s">
        <v>20</v>
      </c>
      <c r="I56" s="35" t="s">
        <v>121</v>
      </c>
      <c r="J56" s="35" t="s">
        <v>122</v>
      </c>
    </row>
    <row r="57" customFormat="false" ht="15" hidden="false" customHeight="false" outlineLevel="0" collapsed="false">
      <c r="B57" s="38" t="str">
        <f aca="false">IFERROR(INDEX(Schedule!$C$4:$C$483,MATCH(3001,Schedule!$K$4:$K$483,0)),"")</f>
        <v>Compunnel Software (paycheck)</v>
      </c>
      <c r="C57" s="39" t="n">
        <f aca="false">IF($B57="","",INDEX(Schedule!$G$4:$G$483,MATCH(3001,Schedule!$K$4:$K$483,0)))</f>
        <v>46255</v>
      </c>
      <c r="D57" s="40" t="str">
        <f aca="false">IF($B57="","",INDEX(Schedule!$D$4:$D$483,MATCH(3001,Schedule!$K$4:$K$483,0)))</f>
        <v>Income</v>
      </c>
      <c r="E57" s="41" t="n">
        <f aca="false">IF($B57="","",INDEX(Schedule!$E$4:$E$483,MATCH(3001,Schedule!$K$4:$K$483,0)))</f>
        <v>790</v>
      </c>
      <c r="F57" s="42"/>
      <c r="G57" s="43" t="n">
        <f aca="false">IF($B57="","",IF($D57="Income",IF($F57&lt;&gt;"",$F57,$E57),""))</f>
        <v>790</v>
      </c>
      <c r="H57" s="44" t="str">
        <f aca="false">IF($B57="","",IF($D57="Income","",IF($F57&lt;&gt;"",$F57,$E57)))</f>
        <v/>
      </c>
      <c r="I57" s="45" t="n">
        <f aca="false">IF($B57="","",$I$55+SUM($G$57:$G57)-SUM($H$57:$H57))</f>
        <v>1193.99</v>
      </c>
      <c r="J57" s="46" t="str">
        <f aca="true">IF($B57="","",IF($F57&lt;&gt;"","PAID",IF($C57&lt;TODAY(),"PAST DUE",IF($C57&lt;=TODAY()+7,"DUE","Upcoming"))))</f>
        <v>Upcoming</v>
      </c>
    </row>
    <row r="58" customFormat="false" ht="15" hidden="false" customHeight="false" outlineLevel="0" collapsed="false">
      <c r="B58" s="38" t="str">
        <f aca="false">IFERROR(INDEX(Schedule!$C$4:$C$483,MATCH(3002,Schedule!$K$4:$K$483,0)),"")</f>
        <v>Microsoft</v>
      </c>
      <c r="C58" s="39" t="n">
        <f aca="false">IF($B58="","",INDEX(Schedule!$G$4:$G$483,MATCH(3002,Schedule!$K$4:$K$483,0)))</f>
        <v>46259</v>
      </c>
      <c r="D58" s="40" t="str">
        <f aca="false">IF($B58="","",INDEX(Schedule!$D$4:$D$483,MATCH(3002,Schedule!$K$4:$K$483,0)))</f>
        <v>Expense</v>
      </c>
      <c r="E58" s="41" t="n">
        <f aca="false">IF($B58="","",INDEX(Schedule!$E$4:$E$483,MATCH(3002,Schedule!$K$4:$K$483,0)))</f>
        <v>13.7</v>
      </c>
      <c r="F58" s="42"/>
      <c r="G58" s="43" t="str">
        <f aca="false">IF($B58="","",IF($D58="Income",IF($F58&lt;&gt;"",$F58,$E58),""))</f>
        <v/>
      </c>
      <c r="H58" s="44" t="n">
        <f aca="false">IF($B58="","",IF($D58="Income","",IF($F58&lt;&gt;"",$F58,$E58)))</f>
        <v>13.7</v>
      </c>
      <c r="I58" s="45" t="n">
        <f aca="false">IF($B58="","",$I$55+SUM($G$57:$G58)-SUM($H$57:$H58))</f>
        <v>1180.29</v>
      </c>
      <c r="J58" s="46" t="str">
        <f aca="true">IF($B58="","",IF($F58&lt;&gt;"","PAID",IF($C58&lt;TODAY(),"PAST DUE",IF($C58&lt;=TODAY()+7,"DUE","Upcoming"))))</f>
        <v>Upcoming</v>
      </c>
    </row>
    <row r="59" customFormat="false" ht="15" hidden="false" customHeight="false" outlineLevel="0" collapsed="false">
      <c r="B59" s="38" t="str">
        <f aca="false">IFERROR(INDEX(Schedule!$C$4:$C$483,MATCH(3003,Schedule!$K$4:$K$483,0)),"")</f>
        <v>Central Maine Power: Payment Plan</v>
      </c>
      <c r="C59" s="39" t="n">
        <f aca="false">IF($B59="","",INDEX(Schedule!$G$4:$G$483,MATCH(3003,Schedule!$K$4:$K$483,0)))</f>
        <v>46259</v>
      </c>
      <c r="D59" s="40" t="str">
        <f aca="false">IF($B59="","",INDEX(Schedule!$D$4:$D$483,MATCH(3003,Schedule!$K$4:$K$483,0)))</f>
        <v>Expense</v>
      </c>
      <c r="E59" s="41" t="n">
        <f aca="false">IF($B59="","",INDEX(Schedule!$E$4:$E$483,MATCH(3003,Schedule!$K$4:$K$483,0)))</f>
        <v>43.87</v>
      </c>
      <c r="F59" s="42"/>
      <c r="G59" s="43" t="str">
        <f aca="false">IF($B59="","",IF($D59="Income",IF($F59&lt;&gt;"",$F59,$E59),""))</f>
        <v/>
      </c>
      <c r="H59" s="44" t="n">
        <f aca="false">IF($B59="","",IF($D59="Income","",IF($F59&lt;&gt;"",$F59,$E59)))</f>
        <v>43.87</v>
      </c>
      <c r="I59" s="45" t="n">
        <f aca="false">IF($B59="","",$I$55+SUM($G$57:$G59)-SUM($H$57:$H59))</f>
        <v>1136.42</v>
      </c>
      <c r="J59" s="46" t="str">
        <f aca="true">IF($B59="","",IF($F59&lt;&gt;"","PAID",IF($C59&lt;TODAY(),"PAST DUE",IF($C59&lt;=TODAY()+7,"DUE","Upcoming"))))</f>
        <v>Upcoming</v>
      </c>
    </row>
    <row r="60" customFormat="false" ht="15" hidden="false" customHeight="false" outlineLevel="0" collapsed="false">
      <c r="B60" s="38" t="str">
        <f aca="false">IFERROR(INDEX(Schedule!$C$4:$C$483,MATCH(3004,Schedule!$K$4:$K$483,0)),"")</f>
        <v>Bruno's Restaurant (paycheck)</v>
      </c>
      <c r="C60" s="39" t="n">
        <f aca="false">IF($B60="","",INDEX(Schedule!$G$4:$G$483,MATCH(3004,Schedule!$K$4:$K$483,0)))</f>
        <v>46260</v>
      </c>
      <c r="D60" s="40" t="str">
        <f aca="false">IF($B60="","",INDEX(Schedule!$D$4:$D$483,MATCH(3004,Schedule!$K$4:$K$483,0)))</f>
        <v>Income</v>
      </c>
      <c r="E60" s="41" t="n">
        <f aca="false">IF($B60="","",INDEX(Schedule!$E$4:$E$483,MATCH(3004,Schedule!$K$4:$K$483,0)))</f>
        <v>90</v>
      </c>
      <c r="F60" s="42"/>
      <c r="G60" s="43" t="n">
        <f aca="false">IF($B60="","",IF($D60="Income",IF($F60&lt;&gt;"",$F60,$E60),""))</f>
        <v>90</v>
      </c>
      <c r="H60" s="44" t="str">
        <f aca="false">IF($B60="","",IF($D60="Income","",IF($F60&lt;&gt;"",$F60,$E60)))</f>
        <v/>
      </c>
      <c r="I60" s="45" t="n">
        <f aca="false">IF($B60="","",$I$55+SUM($G$57:$G60)-SUM($H$57:$H60))</f>
        <v>1226.42</v>
      </c>
      <c r="J60" s="46" t="str">
        <f aca="true">IF($B60="","",IF($F60&lt;&gt;"","PAID",IF($C60&lt;TODAY(),"PAST DUE",IF($C60&lt;=TODAY()+7,"DUE","Upcoming"))))</f>
        <v>Upcoming</v>
      </c>
    </row>
    <row r="61" customFormat="false" ht="15" hidden="false" customHeight="false" outlineLevel="0" collapsed="false">
      <c r="B61" s="38" t="str">
        <f aca="false">IFERROR(INDEX(Schedule!$C$4:$C$483,MATCH(3005,Schedule!$K$4:$K$483,0)),"")</f>
        <v/>
      </c>
      <c r="C61" s="39" t="str">
        <f aca="false">IF($B61="","",INDEX(Schedule!$G$4:$G$483,MATCH(3005,Schedule!$K$4:$K$483,0)))</f>
        <v/>
      </c>
      <c r="D61" s="40" t="str">
        <f aca="false">IF($B61="","",INDEX(Schedule!$D$4:$D$483,MATCH(3005,Schedule!$K$4:$K$483,0)))</f>
        <v/>
      </c>
      <c r="E61" s="41" t="str">
        <f aca="false">IF($B61="","",INDEX(Schedule!$E$4:$E$483,MATCH(3005,Schedule!$K$4:$K$483,0)))</f>
        <v/>
      </c>
      <c r="F61" s="42"/>
      <c r="G61" s="43" t="str">
        <f aca="false">IF($B61="","",IF($D61="Income",IF($F61&lt;&gt;"",$F61,$E61),""))</f>
        <v/>
      </c>
      <c r="H61" s="44" t="str">
        <f aca="false">IF($B61="","",IF($D61="Income","",IF($F61&lt;&gt;"",$F61,$E61)))</f>
        <v/>
      </c>
      <c r="I61" s="45" t="str">
        <f aca="false">IF($B61="","",$I$55+SUM($G$57:$G61)-SUM($H$57:$H61))</f>
        <v/>
      </c>
      <c r="J61" s="46" t="str">
        <f aca="true">IF($B61="","",IF($F61&lt;&gt;"","PAID",IF($C61&lt;TODAY(),"PAST DUE",IF($C61&lt;=TODAY()+7,"DUE","Upcoming"))))</f>
        <v/>
      </c>
    </row>
    <row r="62" customFormat="false" ht="15" hidden="false" customHeight="false" outlineLevel="0" collapsed="false">
      <c r="B62" s="38" t="str">
        <f aca="false">IFERROR(INDEX(Schedule!$C$4:$C$483,MATCH(3006,Schedule!$K$4:$K$483,0)),"")</f>
        <v/>
      </c>
      <c r="C62" s="39" t="str">
        <f aca="false">IF($B62="","",INDEX(Schedule!$G$4:$G$483,MATCH(3006,Schedule!$K$4:$K$483,0)))</f>
        <v/>
      </c>
      <c r="D62" s="40" t="str">
        <f aca="false">IF($B62="","",INDEX(Schedule!$D$4:$D$483,MATCH(3006,Schedule!$K$4:$K$483,0)))</f>
        <v/>
      </c>
      <c r="E62" s="41" t="str">
        <f aca="false">IF($B62="","",INDEX(Schedule!$E$4:$E$483,MATCH(3006,Schedule!$K$4:$K$483,0)))</f>
        <v/>
      </c>
      <c r="F62" s="42"/>
      <c r="G62" s="43" t="str">
        <f aca="false">IF($B62="","",IF($D62="Income",IF($F62&lt;&gt;"",$F62,$E62),""))</f>
        <v/>
      </c>
      <c r="H62" s="44" t="str">
        <f aca="false">IF($B62="","",IF($D62="Income","",IF($F62&lt;&gt;"",$F62,$E62)))</f>
        <v/>
      </c>
      <c r="I62" s="45" t="str">
        <f aca="false">IF($B62="","",$I$55+SUM($G$57:$G62)-SUM($H$57:$H62))</f>
        <v/>
      </c>
      <c r="J62" s="46" t="str">
        <f aca="true">IF($B62="","",IF($F62&lt;&gt;"","PAID",IF($C62&lt;TODAY(),"PAST DUE",IF($C62&lt;=TODAY()+7,"DUE","Upcoming"))))</f>
        <v/>
      </c>
    </row>
    <row r="63" customFormat="false" ht="15" hidden="false" customHeight="false" outlineLevel="0" collapsed="false">
      <c r="B63" s="38" t="str">
        <f aca="false">IFERROR(INDEX(Schedule!$C$4:$C$483,MATCH(3007,Schedule!$K$4:$K$483,0)),"")</f>
        <v/>
      </c>
      <c r="C63" s="39" t="str">
        <f aca="false">IF($B63="","",INDEX(Schedule!$G$4:$G$483,MATCH(3007,Schedule!$K$4:$K$483,0)))</f>
        <v/>
      </c>
      <c r="D63" s="40" t="str">
        <f aca="false">IF($B63="","",INDEX(Schedule!$D$4:$D$483,MATCH(3007,Schedule!$K$4:$K$483,0)))</f>
        <v/>
      </c>
      <c r="E63" s="41" t="str">
        <f aca="false">IF($B63="","",INDEX(Schedule!$E$4:$E$483,MATCH(3007,Schedule!$K$4:$K$483,0)))</f>
        <v/>
      </c>
      <c r="F63" s="42"/>
      <c r="G63" s="43" t="str">
        <f aca="false">IF($B63="","",IF($D63="Income",IF($F63&lt;&gt;"",$F63,$E63),""))</f>
        <v/>
      </c>
      <c r="H63" s="44" t="str">
        <f aca="false">IF($B63="","",IF($D63="Income","",IF($F63&lt;&gt;"",$F63,$E63)))</f>
        <v/>
      </c>
      <c r="I63" s="45" t="str">
        <f aca="false">IF($B63="","",$I$55+SUM($G$57:$G63)-SUM($H$57:$H63))</f>
        <v/>
      </c>
      <c r="J63" s="46" t="str">
        <f aca="true">IF($B63="","",IF($F63&lt;&gt;"","PAID",IF($C63&lt;TODAY(),"PAST DUE",IF($C63&lt;=TODAY()+7,"DUE","Upcoming"))))</f>
        <v/>
      </c>
    </row>
    <row r="64" customFormat="false" ht="15" hidden="false" customHeight="false" outlineLevel="0" collapsed="false">
      <c r="B64" s="38" t="str">
        <f aca="false">IFERROR(INDEX(Schedule!$C$4:$C$483,MATCH(3008,Schedule!$K$4:$K$483,0)),"")</f>
        <v/>
      </c>
      <c r="C64" s="39" t="str">
        <f aca="false">IF($B64="","",INDEX(Schedule!$G$4:$G$483,MATCH(3008,Schedule!$K$4:$K$483,0)))</f>
        <v/>
      </c>
      <c r="D64" s="40" t="str">
        <f aca="false">IF($B64="","",INDEX(Schedule!$D$4:$D$483,MATCH(3008,Schedule!$K$4:$K$483,0)))</f>
        <v/>
      </c>
      <c r="E64" s="41" t="str">
        <f aca="false">IF($B64="","",INDEX(Schedule!$E$4:$E$483,MATCH(3008,Schedule!$K$4:$K$483,0)))</f>
        <v/>
      </c>
      <c r="F64" s="42"/>
      <c r="G64" s="43" t="str">
        <f aca="false">IF($B64="","",IF($D64="Income",IF($F64&lt;&gt;"",$F64,$E64),""))</f>
        <v/>
      </c>
      <c r="H64" s="44" t="str">
        <f aca="false">IF($B64="","",IF($D64="Income","",IF($F64&lt;&gt;"",$F64,$E64)))</f>
        <v/>
      </c>
      <c r="I64" s="45" t="str">
        <f aca="false">IF($B64="","",$I$55+SUM($G$57:$G64)-SUM($H$57:$H64))</f>
        <v/>
      </c>
      <c r="J64" s="46" t="str">
        <f aca="true">IF($B64="","",IF($F64&lt;&gt;"","PAID",IF($C64&lt;TODAY(),"PAST DUE",IF($C64&lt;=TODAY()+7,"DUE","Upcoming"))))</f>
        <v/>
      </c>
    </row>
    <row r="65" customFormat="false" ht="15" hidden="false" customHeight="false" outlineLevel="0" collapsed="false">
      <c r="B65" s="38" t="str">
        <f aca="false">IFERROR(INDEX(Schedule!$C$4:$C$483,MATCH(3009,Schedule!$K$4:$K$483,0)),"")</f>
        <v/>
      </c>
      <c r="C65" s="39" t="str">
        <f aca="false">IF($B65="","",INDEX(Schedule!$G$4:$G$483,MATCH(3009,Schedule!$K$4:$K$483,0)))</f>
        <v/>
      </c>
      <c r="D65" s="40" t="str">
        <f aca="false">IF($B65="","",INDEX(Schedule!$D$4:$D$483,MATCH(3009,Schedule!$K$4:$K$483,0)))</f>
        <v/>
      </c>
      <c r="E65" s="41" t="str">
        <f aca="false">IF($B65="","",INDEX(Schedule!$E$4:$E$483,MATCH(3009,Schedule!$K$4:$K$483,0)))</f>
        <v/>
      </c>
      <c r="F65" s="42"/>
      <c r="G65" s="43" t="str">
        <f aca="false">IF($B65="","",IF($D65="Income",IF($F65&lt;&gt;"",$F65,$E65),""))</f>
        <v/>
      </c>
      <c r="H65" s="44" t="str">
        <f aca="false">IF($B65="","",IF($D65="Income","",IF($F65&lt;&gt;"",$F65,$E65)))</f>
        <v/>
      </c>
      <c r="I65" s="45" t="str">
        <f aca="false">IF($B65="","",$I$55+SUM($G$57:$G65)-SUM($H$57:$H65))</f>
        <v/>
      </c>
      <c r="J65" s="46" t="str">
        <f aca="true">IF($B65="","",IF($F65&lt;&gt;"","PAID",IF($C65&lt;TODAY(),"PAST DUE",IF($C65&lt;=TODAY()+7,"DUE","Upcoming"))))</f>
        <v/>
      </c>
    </row>
    <row r="66" customFormat="false" ht="15" hidden="false" customHeight="false" outlineLevel="0" collapsed="false">
      <c r="B66" s="38" t="str">
        <f aca="false">IFERROR(INDEX(Schedule!$C$4:$C$483,MATCH(3010,Schedule!$K$4:$K$483,0)),"")</f>
        <v/>
      </c>
      <c r="C66" s="39" t="str">
        <f aca="false">IF($B66="","",INDEX(Schedule!$G$4:$G$483,MATCH(3010,Schedule!$K$4:$K$483,0)))</f>
        <v/>
      </c>
      <c r="D66" s="40" t="str">
        <f aca="false">IF($B66="","",INDEX(Schedule!$D$4:$D$483,MATCH(3010,Schedule!$K$4:$K$483,0)))</f>
        <v/>
      </c>
      <c r="E66" s="41" t="str">
        <f aca="false">IF($B66="","",INDEX(Schedule!$E$4:$E$483,MATCH(3010,Schedule!$K$4:$K$483,0)))</f>
        <v/>
      </c>
      <c r="F66" s="42"/>
      <c r="G66" s="43" t="str">
        <f aca="false">IF($B66="","",IF($D66="Income",IF($F66&lt;&gt;"",$F66,$E66),""))</f>
        <v/>
      </c>
      <c r="H66" s="44" t="str">
        <f aca="false">IF($B66="","",IF($D66="Income","",IF($F66&lt;&gt;"",$F66,$E66)))</f>
        <v/>
      </c>
      <c r="I66" s="45" t="str">
        <f aca="false">IF($B66="","",$I$55+SUM($G$57:$G66)-SUM($H$57:$H66))</f>
        <v/>
      </c>
      <c r="J66" s="46" t="str">
        <f aca="true">IF($B66="","",IF($F66&lt;&gt;"","PAID",IF($C66&lt;TODAY(),"PAST DUE",IF($C66&lt;=TODAY()+7,"DUE","Upcoming"))))</f>
        <v/>
      </c>
    </row>
    <row r="67" customFormat="false" ht="15" hidden="false" customHeight="false" outlineLevel="0" collapsed="false">
      <c r="B67" s="47" t="s">
        <v>123</v>
      </c>
      <c r="C67" s="48"/>
      <c r="D67" s="48"/>
      <c r="E67" s="48"/>
      <c r="F67" s="48"/>
      <c r="G67" s="48"/>
      <c r="H67" s="48"/>
      <c r="I67" s="48"/>
      <c r="J67" s="48"/>
    </row>
    <row r="68" customFormat="false" ht="15" hidden="false" customHeight="false" outlineLevel="0" collapsed="false">
      <c r="B68" s="6"/>
      <c r="C68" s="10"/>
      <c r="D68" s="49" t="str">
        <f aca="false">IF($B68="","","Expense")</f>
        <v/>
      </c>
      <c r="E68" s="18"/>
      <c r="F68" s="10"/>
      <c r="G68" s="10"/>
      <c r="H68" s="50" t="str">
        <f aca="false">IF($B68="","",N($E68))</f>
        <v/>
      </c>
      <c r="I68" s="51" t="str">
        <f aca="false">IF($B68="","",$I$55+SUM($G$57:$G68)-SUM($H$57:$H68))</f>
        <v/>
      </c>
      <c r="J68" s="10"/>
    </row>
    <row r="69" customFormat="false" ht="15" hidden="false" customHeight="false" outlineLevel="0" collapsed="false">
      <c r="B69" s="6"/>
      <c r="C69" s="10"/>
      <c r="D69" s="49" t="str">
        <f aca="false">IF($B69="","","Expense")</f>
        <v/>
      </c>
      <c r="E69" s="18"/>
      <c r="F69" s="10"/>
      <c r="G69" s="10"/>
      <c r="H69" s="50" t="str">
        <f aca="false">IF($B69="","",N($E69))</f>
        <v/>
      </c>
      <c r="I69" s="51" t="str">
        <f aca="false">IF($B69="","",$I$55+SUM($G$57:$G69)-SUM($H$57:$H69))</f>
        <v/>
      </c>
      <c r="J69" s="10"/>
    </row>
    <row r="70" customFormat="false" ht="15" hidden="false" customHeight="false" outlineLevel="0" collapsed="false">
      <c r="B70" s="6"/>
      <c r="C70" s="10"/>
      <c r="D70" s="49" t="str">
        <f aca="false">IF($B70="","","Expense")</f>
        <v/>
      </c>
      <c r="E70" s="18"/>
      <c r="F70" s="10"/>
      <c r="G70" s="10"/>
      <c r="H70" s="50" t="str">
        <f aca="false">IF($B70="","",N($E70))</f>
        <v/>
      </c>
      <c r="I70" s="51" t="str">
        <f aca="false">IF($B70="","",$I$55+SUM($G$57:$G70)-SUM($H$57:$H70))</f>
        <v/>
      </c>
      <c r="J70" s="10"/>
    </row>
    <row r="71" customFormat="false" ht="15" hidden="false" customHeight="false" outlineLevel="0" collapsed="false">
      <c r="B71" s="6"/>
      <c r="C71" s="10"/>
      <c r="D71" s="49" t="str">
        <f aca="false">IF($B71="","","Expense")</f>
        <v/>
      </c>
      <c r="E71" s="18"/>
      <c r="F71" s="10"/>
      <c r="G71" s="10"/>
      <c r="H71" s="50" t="str">
        <f aca="false">IF($B71="","",N($E71))</f>
        <v/>
      </c>
      <c r="I71" s="51" t="str">
        <f aca="false">IF($B71="","",$I$55+SUM($G$57:$G71)-SUM($H$57:$H71))</f>
        <v/>
      </c>
      <c r="J71" s="10"/>
    </row>
    <row r="72" customFormat="false" ht="15" hidden="false" customHeight="false" outlineLevel="0" collapsed="false">
      <c r="B72" s="6"/>
      <c r="C72" s="10"/>
      <c r="D72" s="49" t="str">
        <f aca="false">IF($B72="","","Expense")</f>
        <v/>
      </c>
      <c r="E72" s="18"/>
      <c r="F72" s="10"/>
      <c r="G72" s="10"/>
      <c r="H72" s="50" t="str">
        <f aca="false">IF($B72="","",N($E72))</f>
        <v/>
      </c>
      <c r="I72" s="51" t="str">
        <f aca="false">IF($B72="","",$I$55+SUM($G$57:$G72)-SUM($H$57:$H72))</f>
        <v/>
      </c>
      <c r="J72" s="10"/>
    </row>
    <row r="73" customFormat="false" ht="15" hidden="false" customHeight="false" outlineLevel="0" collapsed="false">
      <c r="B73" s="6"/>
      <c r="C73" s="10"/>
      <c r="D73" s="49" t="str">
        <f aca="false">IF($B73="","","Expense")</f>
        <v/>
      </c>
      <c r="E73" s="18"/>
      <c r="F73" s="10"/>
      <c r="G73" s="10"/>
      <c r="H73" s="50" t="str">
        <f aca="false">IF($B73="","",N($E73))</f>
        <v/>
      </c>
      <c r="I73" s="51" t="str">
        <f aca="false">IF($B73="","",$I$55+SUM($G$57:$G73)-SUM($H$57:$H73))</f>
        <v/>
      </c>
      <c r="J73" s="10"/>
    </row>
    <row r="74" customFormat="false" ht="15" hidden="false" customHeight="false" outlineLevel="0" collapsed="false">
      <c r="B74" s="52" t="s">
        <v>126</v>
      </c>
      <c r="C74" s="53"/>
      <c r="D74" s="53"/>
      <c r="E74" s="53"/>
      <c r="F74" s="53"/>
      <c r="G74" s="54" t="n">
        <f aca="false">SUM($G$57:$G$73)</f>
        <v>880</v>
      </c>
      <c r="H74" s="54" t="n">
        <f aca="false">SUM($H$57:$H$73)</f>
        <v>57.57</v>
      </c>
      <c r="I74" s="55" t="n">
        <f aca="false">$I$55+$G$74-$H$74</f>
        <v>1226.42</v>
      </c>
      <c r="J74" s="56" t="str">
        <f aca="false">IF($I$74&lt;0,"SHORTFALL",IF($I$74&lt;$E$7,"TIGHT","OK"))</f>
        <v>OK</v>
      </c>
      <c r="K74" s="25" t="str">
        <f aca="false">"In "&amp;TEXT($G$74,"$#,##0.00")&amp;"   less out "&amp;TEXT($H$74,"$#,##0.00")&amp;"   =  net "&amp;TEXT($G$74-$H$74,"$#,##0.00;-$#,##0.00")</f>
        <v>In $880.00   less out $57.57   =  net $822.43</v>
      </c>
    </row>
    <row r="76" customFormat="false" ht="21.75" hidden="false" customHeight="true" outlineLevel="0" collapsed="false">
      <c r="B76" s="31" t="str">
        <f aca="false">"WEEK 4     "&amp;TEXT($E$6+21,"ddd, mmm d")&amp;"   through   "&amp;TEXT($E$6+21+6,"ddd, mmm d, yyyy")</f>
        <v>WEEK 4     Fri, Aug 28   through   Thu, Sep 3, 2026</v>
      </c>
      <c r="C76" s="32"/>
      <c r="D76" s="32"/>
      <c r="E76" s="32"/>
      <c r="F76" s="32"/>
      <c r="G76" s="33" t="s">
        <v>116</v>
      </c>
      <c r="H76" s="32"/>
      <c r="I76" s="34" t="n">
        <f aca="false">$I$74</f>
        <v>1226.42</v>
      </c>
      <c r="J76" s="32"/>
      <c r="K76" s="28" t="str">
        <f aca="false">IF(COUNTIF(Schedule!$I$4:$I$483,4)&gt;10,"! "&amp;COUNTIF(Schedule!$I$4:$I$483,4)-10&amp;" more transaction(s) fall in this week than there are rows to show them.","")</f>
        <v/>
      </c>
    </row>
    <row r="77" customFormat="false" ht="25.5" hidden="false" customHeight="true" outlineLevel="0" collapsed="false">
      <c r="B77" s="35" t="s">
        <v>117</v>
      </c>
      <c r="C77" s="35" t="s">
        <v>118</v>
      </c>
      <c r="D77" s="35" t="s">
        <v>68</v>
      </c>
      <c r="E77" s="35" t="s">
        <v>119</v>
      </c>
      <c r="F77" s="35" t="s">
        <v>120</v>
      </c>
      <c r="G77" s="36" t="s">
        <v>18</v>
      </c>
      <c r="H77" s="37" t="s">
        <v>20</v>
      </c>
      <c r="I77" s="35" t="s">
        <v>121</v>
      </c>
      <c r="J77" s="35" t="s">
        <v>122</v>
      </c>
    </row>
    <row r="78" customFormat="false" ht="15" hidden="false" customHeight="false" outlineLevel="0" collapsed="false">
      <c r="B78" s="38" t="str">
        <f aca="false">IFERROR(INDEX(Schedule!$C$4:$C$483,MATCH(4001,Schedule!$K$4:$K$483,0)),"")</f>
        <v>Compunnel Software (paycheck)</v>
      </c>
      <c r="C78" s="39" t="n">
        <f aca="false">IF($B78="","",INDEX(Schedule!$G$4:$G$483,MATCH(4001,Schedule!$K$4:$K$483,0)))</f>
        <v>46262</v>
      </c>
      <c r="D78" s="40" t="str">
        <f aca="false">IF($B78="","",INDEX(Schedule!$D$4:$D$483,MATCH(4001,Schedule!$K$4:$K$483,0)))</f>
        <v>Income</v>
      </c>
      <c r="E78" s="41" t="n">
        <f aca="false">IF($B78="","",INDEX(Schedule!$E$4:$E$483,MATCH(4001,Schedule!$K$4:$K$483,0)))</f>
        <v>790</v>
      </c>
      <c r="F78" s="42"/>
      <c r="G78" s="43" t="n">
        <f aca="false">IF($B78="","",IF($D78="Income",IF($F78&lt;&gt;"",$F78,$E78),""))</f>
        <v>790</v>
      </c>
      <c r="H78" s="44" t="str">
        <f aca="false">IF($B78="","",IF($D78="Income","",IF($F78&lt;&gt;"",$F78,$E78)))</f>
        <v/>
      </c>
      <c r="I78" s="45" t="n">
        <f aca="false">IF($B78="","",$I$76+SUM($G$78:$G78)-SUM($H$78:$H78))</f>
        <v>2016.42</v>
      </c>
      <c r="J78" s="46" t="str">
        <f aca="true">IF($B78="","",IF($F78&lt;&gt;"","PAID",IF($C78&lt;TODAY(),"PAST DUE",IF($C78&lt;=TODAY()+7,"DUE","Upcoming"))))</f>
        <v>Upcoming</v>
      </c>
    </row>
    <row r="79" customFormat="false" ht="15" hidden="false" customHeight="false" outlineLevel="0" collapsed="false">
      <c r="B79" s="38" t="str">
        <f aca="false">IFERROR(INDEX(Schedule!$C$4:$C$483,MATCH(4002,Schedule!$K$4:$K$483,0)),"")</f>
        <v>Maine Revenue Services (2)</v>
      </c>
      <c r="C79" s="39" t="n">
        <f aca="false">IF($B79="","",INDEX(Schedule!$G$4:$G$483,MATCH(4002,Schedule!$K$4:$K$483,0)))</f>
        <v>46264</v>
      </c>
      <c r="D79" s="40" t="str">
        <f aca="false">IF($B79="","",INDEX(Schedule!$D$4:$D$483,MATCH(4002,Schedule!$K$4:$K$483,0)))</f>
        <v>Expense</v>
      </c>
      <c r="E79" s="41" t="n">
        <f aca="false">IF($B79="","",INDEX(Schedule!$E$4:$E$483,MATCH(4002,Schedule!$K$4:$K$483,0)))</f>
        <v>150</v>
      </c>
      <c r="F79" s="42"/>
      <c r="G79" s="43" t="str">
        <f aca="false">IF($B79="","",IF($D79="Income",IF($F79&lt;&gt;"",$F79,$E79),""))</f>
        <v/>
      </c>
      <c r="H79" s="44" t="n">
        <f aca="false">IF($B79="","",IF($D79="Income","",IF($F79&lt;&gt;"",$F79,$E79)))</f>
        <v>150</v>
      </c>
      <c r="I79" s="45" t="n">
        <f aca="false">IF($B79="","",$I$76+SUM($G$78:$G79)-SUM($H$78:$H79))</f>
        <v>1866.42</v>
      </c>
      <c r="J79" s="46" t="str">
        <f aca="true">IF($B79="","",IF($F79&lt;&gt;"","PAID",IF($C79&lt;TODAY(),"PAST DUE",IF($C79&lt;=TODAY()+7,"DUE","Upcoming"))))</f>
        <v>Upcoming</v>
      </c>
    </row>
    <row r="80" customFormat="false" ht="15" hidden="false" customHeight="false" outlineLevel="0" collapsed="false">
      <c r="B80" s="38" t="str">
        <f aca="false">IFERROR(INDEX(Schedule!$C$4:$C$483,MATCH(4003,Schedule!$K$4:$K$483,0)),"")</f>
        <v>Patrick Rombalski (rent)</v>
      </c>
      <c r="C80" s="39" t="n">
        <f aca="false">IF($B80="","",INDEX(Schedule!$G$4:$G$483,MATCH(4003,Schedule!$K$4:$K$483,0)))</f>
        <v>46265</v>
      </c>
      <c r="D80" s="40" t="str">
        <f aca="false">IF($B80="","",INDEX(Schedule!$D$4:$D$483,MATCH(4003,Schedule!$K$4:$K$483,0)))</f>
        <v>Expense</v>
      </c>
      <c r="E80" s="41" t="n">
        <f aca="false">IF($B80="","",INDEX(Schedule!$E$4:$E$483,MATCH(4003,Schedule!$K$4:$K$483,0)))</f>
        <v>350</v>
      </c>
      <c r="F80" s="42"/>
      <c r="G80" s="43" t="str">
        <f aca="false">IF($B80="","",IF($D80="Income",IF($F80&lt;&gt;"",$F80,$E80),""))</f>
        <v/>
      </c>
      <c r="H80" s="44" t="n">
        <f aca="false">IF($B80="","",IF($D80="Income","",IF($F80&lt;&gt;"",$F80,$E80)))</f>
        <v>350</v>
      </c>
      <c r="I80" s="45" t="n">
        <f aca="false">IF($B80="","",$I$76+SUM($G$78:$G80)-SUM($H$78:$H80))</f>
        <v>1516.42</v>
      </c>
      <c r="J80" s="46" t="str">
        <f aca="true">IF($B80="","",IF($F80&lt;&gt;"","PAID",IF($C80&lt;TODAY(),"PAST DUE",IF($C80&lt;=TODAY()+7,"DUE","Upcoming"))))</f>
        <v>Upcoming</v>
      </c>
    </row>
    <row r="81" customFormat="false" ht="15" hidden="false" customHeight="false" outlineLevel="0" collapsed="false">
      <c r="B81" s="38" t="str">
        <f aca="false">IFERROR(INDEX(Schedule!$C$4:$C$483,MATCH(4004,Schedule!$K$4:$K$483,0)),"")</f>
        <v>Progressive Insurance</v>
      </c>
      <c r="C81" s="39" t="n">
        <f aca="false">IF($B81="","",INDEX(Schedule!$G$4:$G$483,MATCH(4004,Schedule!$K$4:$K$483,0)))</f>
        <v>46265</v>
      </c>
      <c r="D81" s="40" t="str">
        <f aca="false">IF($B81="","",INDEX(Schedule!$D$4:$D$483,MATCH(4004,Schedule!$K$4:$K$483,0)))</f>
        <v>Expense</v>
      </c>
      <c r="E81" s="41" t="n">
        <f aca="false">IF($B81="","",INDEX(Schedule!$E$4:$E$483,MATCH(4004,Schedule!$K$4:$K$483,0)))</f>
        <v>143.37</v>
      </c>
      <c r="F81" s="42"/>
      <c r="G81" s="43" t="str">
        <f aca="false">IF($B81="","",IF($D81="Income",IF($F81&lt;&gt;"",$F81,$E81),""))</f>
        <v/>
      </c>
      <c r="H81" s="44" t="n">
        <f aca="false">IF($B81="","",IF($D81="Income","",IF($F81&lt;&gt;"",$F81,$E81)))</f>
        <v>143.37</v>
      </c>
      <c r="I81" s="45" t="n">
        <f aca="false">IF($B81="","",$I$76+SUM($G$78:$G81)-SUM($H$78:$H81))</f>
        <v>1373.05</v>
      </c>
      <c r="J81" s="46" t="str">
        <f aca="true">IF($B81="","",IF($F81&lt;&gt;"","PAID",IF($C81&lt;TODAY(),"PAST DUE",IF($C81&lt;=TODAY()+7,"DUE","Upcoming"))))</f>
        <v>Upcoming</v>
      </c>
    </row>
    <row r="82" customFormat="false" ht="15" hidden="false" customHeight="false" outlineLevel="0" collapsed="false">
      <c r="B82" s="38" t="str">
        <f aca="false">IFERROR(INDEX(Schedule!$C$4:$C$483,MATCH(4005,Schedule!$K$4:$K$483,0)),"")</f>
        <v>Bruno's Restaurant (paycheck)</v>
      </c>
      <c r="C82" s="39" t="n">
        <f aca="false">IF($B82="","",INDEX(Schedule!$G$4:$G$483,MATCH(4005,Schedule!$K$4:$K$483,0)))</f>
        <v>46267</v>
      </c>
      <c r="D82" s="40" t="str">
        <f aca="false">IF($B82="","",INDEX(Schedule!$D$4:$D$483,MATCH(4005,Schedule!$K$4:$K$483,0)))</f>
        <v>Income</v>
      </c>
      <c r="E82" s="41" t="n">
        <f aca="false">IF($B82="","",INDEX(Schedule!$E$4:$E$483,MATCH(4005,Schedule!$K$4:$K$483,0)))</f>
        <v>90</v>
      </c>
      <c r="F82" s="42"/>
      <c r="G82" s="43" t="n">
        <f aca="false">IF($B82="","",IF($D82="Income",IF($F82&lt;&gt;"",$F82,$E82),""))</f>
        <v>90</v>
      </c>
      <c r="H82" s="44" t="str">
        <f aca="false">IF($B82="","",IF($D82="Income","",IF($F82&lt;&gt;"",$F82,$E82)))</f>
        <v/>
      </c>
      <c r="I82" s="45" t="n">
        <f aca="false">IF($B82="","",$I$76+SUM($G$78:$G82)-SUM($H$78:$H82))</f>
        <v>1463.05</v>
      </c>
      <c r="J82" s="46" t="str">
        <f aca="true">IF($B82="","",IF($F82&lt;&gt;"","PAID",IF($C82&lt;TODAY(),"PAST DUE",IF($C82&lt;=TODAY()+7,"DUE","Upcoming"))))</f>
        <v>Upcoming</v>
      </c>
    </row>
    <row r="83" customFormat="false" ht="15" hidden="false" customHeight="false" outlineLevel="0" collapsed="false">
      <c r="B83" s="38" t="str">
        <f aca="false">IFERROR(INDEX(Schedule!$C$4:$C$483,MATCH(4006,Schedule!$K$4:$K$483,0)),"")</f>
        <v/>
      </c>
      <c r="C83" s="39" t="str">
        <f aca="false">IF($B83="","",INDEX(Schedule!$G$4:$G$483,MATCH(4006,Schedule!$K$4:$K$483,0)))</f>
        <v/>
      </c>
      <c r="D83" s="40" t="str">
        <f aca="false">IF($B83="","",INDEX(Schedule!$D$4:$D$483,MATCH(4006,Schedule!$K$4:$K$483,0)))</f>
        <v/>
      </c>
      <c r="E83" s="41" t="str">
        <f aca="false">IF($B83="","",INDEX(Schedule!$E$4:$E$483,MATCH(4006,Schedule!$K$4:$K$483,0)))</f>
        <v/>
      </c>
      <c r="F83" s="42"/>
      <c r="G83" s="43" t="str">
        <f aca="false">IF($B83="","",IF($D83="Income",IF($F83&lt;&gt;"",$F83,$E83),""))</f>
        <v/>
      </c>
      <c r="H83" s="44" t="str">
        <f aca="false">IF($B83="","",IF($D83="Income","",IF($F83&lt;&gt;"",$F83,$E83)))</f>
        <v/>
      </c>
      <c r="I83" s="45" t="str">
        <f aca="false">IF($B83="","",$I$76+SUM($G$78:$G83)-SUM($H$78:$H83))</f>
        <v/>
      </c>
      <c r="J83" s="46" t="str">
        <f aca="true">IF($B83="","",IF($F83&lt;&gt;"","PAID",IF($C83&lt;TODAY(),"PAST DUE",IF($C83&lt;=TODAY()+7,"DUE","Upcoming"))))</f>
        <v/>
      </c>
    </row>
    <row r="84" customFormat="false" ht="15" hidden="false" customHeight="false" outlineLevel="0" collapsed="false">
      <c r="B84" s="38" t="str">
        <f aca="false">IFERROR(INDEX(Schedule!$C$4:$C$483,MATCH(4007,Schedule!$K$4:$K$483,0)),"")</f>
        <v/>
      </c>
      <c r="C84" s="39" t="str">
        <f aca="false">IF($B84="","",INDEX(Schedule!$G$4:$G$483,MATCH(4007,Schedule!$K$4:$K$483,0)))</f>
        <v/>
      </c>
      <c r="D84" s="40" t="str">
        <f aca="false">IF($B84="","",INDEX(Schedule!$D$4:$D$483,MATCH(4007,Schedule!$K$4:$K$483,0)))</f>
        <v/>
      </c>
      <c r="E84" s="41" t="str">
        <f aca="false">IF($B84="","",INDEX(Schedule!$E$4:$E$483,MATCH(4007,Schedule!$K$4:$K$483,0)))</f>
        <v/>
      </c>
      <c r="F84" s="42"/>
      <c r="G84" s="43" t="str">
        <f aca="false">IF($B84="","",IF($D84="Income",IF($F84&lt;&gt;"",$F84,$E84),""))</f>
        <v/>
      </c>
      <c r="H84" s="44" t="str">
        <f aca="false">IF($B84="","",IF($D84="Income","",IF($F84&lt;&gt;"",$F84,$E84)))</f>
        <v/>
      </c>
      <c r="I84" s="45" t="str">
        <f aca="false">IF($B84="","",$I$76+SUM($G$78:$G84)-SUM($H$78:$H84))</f>
        <v/>
      </c>
      <c r="J84" s="46" t="str">
        <f aca="true">IF($B84="","",IF($F84&lt;&gt;"","PAID",IF($C84&lt;TODAY(),"PAST DUE",IF($C84&lt;=TODAY()+7,"DUE","Upcoming"))))</f>
        <v/>
      </c>
    </row>
    <row r="85" customFormat="false" ht="15" hidden="false" customHeight="false" outlineLevel="0" collapsed="false">
      <c r="B85" s="38" t="str">
        <f aca="false">IFERROR(INDEX(Schedule!$C$4:$C$483,MATCH(4008,Schedule!$K$4:$K$483,0)),"")</f>
        <v/>
      </c>
      <c r="C85" s="39" t="str">
        <f aca="false">IF($B85="","",INDEX(Schedule!$G$4:$G$483,MATCH(4008,Schedule!$K$4:$K$483,0)))</f>
        <v/>
      </c>
      <c r="D85" s="40" t="str">
        <f aca="false">IF($B85="","",INDEX(Schedule!$D$4:$D$483,MATCH(4008,Schedule!$K$4:$K$483,0)))</f>
        <v/>
      </c>
      <c r="E85" s="41" t="str">
        <f aca="false">IF($B85="","",INDEX(Schedule!$E$4:$E$483,MATCH(4008,Schedule!$K$4:$K$483,0)))</f>
        <v/>
      </c>
      <c r="F85" s="42"/>
      <c r="G85" s="43" t="str">
        <f aca="false">IF($B85="","",IF($D85="Income",IF($F85&lt;&gt;"",$F85,$E85),""))</f>
        <v/>
      </c>
      <c r="H85" s="44" t="str">
        <f aca="false">IF($B85="","",IF($D85="Income","",IF($F85&lt;&gt;"",$F85,$E85)))</f>
        <v/>
      </c>
      <c r="I85" s="45" t="str">
        <f aca="false">IF($B85="","",$I$76+SUM($G$78:$G85)-SUM($H$78:$H85))</f>
        <v/>
      </c>
      <c r="J85" s="46" t="str">
        <f aca="true">IF($B85="","",IF($F85&lt;&gt;"","PAID",IF($C85&lt;TODAY(),"PAST DUE",IF($C85&lt;=TODAY()+7,"DUE","Upcoming"))))</f>
        <v/>
      </c>
    </row>
    <row r="86" customFormat="false" ht="15" hidden="false" customHeight="false" outlineLevel="0" collapsed="false">
      <c r="B86" s="38" t="str">
        <f aca="false">IFERROR(INDEX(Schedule!$C$4:$C$483,MATCH(4009,Schedule!$K$4:$K$483,0)),"")</f>
        <v/>
      </c>
      <c r="C86" s="39" t="str">
        <f aca="false">IF($B86="","",INDEX(Schedule!$G$4:$G$483,MATCH(4009,Schedule!$K$4:$K$483,0)))</f>
        <v/>
      </c>
      <c r="D86" s="40" t="str">
        <f aca="false">IF($B86="","",INDEX(Schedule!$D$4:$D$483,MATCH(4009,Schedule!$K$4:$K$483,0)))</f>
        <v/>
      </c>
      <c r="E86" s="41" t="str">
        <f aca="false">IF($B86="","",INDEX(Schedule!$E$4:$E$483,MATCH(4009,Schedule!$K$4:$K$483,0)))</f>
        <v/>
      </c>
      <c r="F86" s="42"/>
      <c r="G86" s="43" t="str">
        <f aca="false">IF($B86="","",IF($D86="Income",IF($F86&lt;&gt;"",$F86,$E86),""))</f>
        <v/>
      </c>
      <c r="H86" s="44" t="str">
        <f aca="false">IF($B86="","",IF($D86="Income","",IF($F86&lt;&gt;"",$F86,$E86)))</f>
        <v/>
      </c>
      <c r="I86" s="45" t="str">
        <f aca="false">IF($B86="","",$I$76+SUM($G$78:$G86)-SUM($H$78:$H86))</f>
        <v/>
      </c>
      <c r="J86" s="46" t="str">
        <f aca="true">IF($B86="","",IF($F86&lt;&gt;"","PAID",IF($C86&lt;TODAY(),"PAST DUE",IF($C86&lt;=TODAY()+7,"DUE","Upcoming"))))</f>
        <v/>
      </c>
    </row>
    <row r="87" customFormat="false" ht="15" hidden="false" customHeight="false" outlineLevel="0" collapsed="false">
      <c r="B87" s="38" t="str">
        <f aca="false">IFERROR(INDEX(Schedule!$C$4:$C$483,MATCH(4010,Schedule!$K$4:$K$483,0)),"")</f>
        <v/>
      </c>
      <c r="C87" s="39" t="str">
        <f aca="false">IF($B87="","",INDEX(Schedule!$G$4:$G$483,MATCH(4010,Schedule!$K$4:$K$483,0)))</f>
        <v/>
      </c>
      <c r="D87" s="40" t="str">
        <f aca="false">IF($B87="","",INDEX(Schedule!$D$4:$D$483,MATCH(4010,Schedule!$K$4:$K$483,0)))</f>
        <v/>
      </c>
      <c r="E87" s="41" t="str">
        <f aca="false">IF($B87="","",INDEX(Schedule!$E$4:$E$483,MATCH(4010,Schedule!$K$4:$K$483,0)))</f>
        <v/>
      </c>
      <c r="F87" s="42"/>
      <c r="G87" s="43" t="str">
        <f aca="false">IF($B87="","",IF($D87="Income",IF($F87&lt;&gt;"",$F87,$E87),""))</f>
        <v/>
      </c>
      <c r="H87" s="44" t="str">
        <f aca="false">IF($B87="","",IF($D87="Income","",IF($F87&lt;&gt;"",$F87,$E87)))</f>
        <v/>
      </c>
      <c r="I87" s="45" t="str">
        <f aca="false">IF($B87="","",$I$76+SUM($G$78:$G87)-SUM($H$78:$H87))</f>
        <v/>
      </c>
      <c r="J87" s="46" t="str">
        <f aca="true">IF($B87="","",IF($F87&lt;&gt;"","PAID",IF($C87&lt;TODAY(),"PAST DUE",IF($C87&lt;=TODAY()+7,"DUE","Upcoming"))))</f>
        <v/>
      </c>
    </row>
    <row r="88" customFormat="false" ht="15" hidden="false" customHeight="false" outlineLevel="0" collapsed="false">
      <c r="B88" s="47" t="s">
        <v>123</v>
      </c>
      <c r="C88" s="48"/>
      <c r="D88" s="48"/>
      <c r="E88" s="48"/>
      <c r="F88" s="48"/>
      <c r="G88" s="48"/>
      <c r="H88" s="48"/>
      <c r="I88" s="48"/>
      <c r="J88" s="48"/>
    </row>
    <row r="89" customFormat="false" ht="15" hidden="false" customHeight="false" outlineLevel="0" collapsed="false">
      <c r="B89" s="6"/>
      <c r="C89" s="10"/>
      <c r="D89" s="49" t="str">
        <f aca="false">IF($B89="","","Expense")</f>
        <v/>
      </c>
      <c r="E89" s="18"/>
      <c r="F89" s="10"/>
      <c r="G89" s="10"/>
      <c r="H89" s="50" t="str">
        <f aca="false">IF($B89="","",N($E89))</f>
        <v/>
      </c>
      <c r="I89" s="51" t="str">
        <f aca="false">IF($B89="","",$I$76+SUM($G$78:$G89)-SUM($H$78:$H89))</f>
        <v/>
      </c>
      <c r="J89" s="10"/>
    </row>
    <row r="90" customFormat="false" ht="15" hidden="false" customHeight="false" outlineLevel="0" collapsed="false">
      <c r="B90" s="6"/>
      <c r="C90" s="10"/>
      <c r="D90" s="49" t="str">
        <f aca="false">IF($B90="","","Expense")</f>
        <v/>
      </c>
      <c r="E90" s="18"/>
      <c r="F90" s="10"/>
      <c r="G90" s="10"/>
      <c r="H90" s="50" t="str">
        <f aca="false">IF($B90="","",N($E90))</f>
        <v/>
      </c>
      <c r="I90" s="51" t="str">
        <f aca="false">IF($B90="","",$I$76+SUM($G$78:$G90)-SUM($H$78:$H90))</f>
        <v/>
      </c>
      <c r="J90" s="10"/>
    </row>
    <row r="91" customFormat="false" ht="15" hidden="false" customHeight="false" outlineLevel="0" collapsed="false">
      <c r="B91" s="6"/>
      <c r="C91" s="10"/>
      <c r="D91" s="49" t="str">
        <f aca="false">IF($B91="","","Expense")</f>
        <v/>
      </c>
      <c r="E91" s="18"/>
      <c r="F91" s="10"/>
      <c r="G91" s="10"/>
      <c r="H91" s="50" t="str">
        <f aca="false">IF($B91="","",N($E91))</f>
        <v/>
      </c>
      <c r="I91" s="51" t="str">
        <f aca="false">IF($B91="","",$I$76+SUM($G$78:$G91)-SUM($H$78:$H91))</f>
        <v/>
      </c>
      <c r="J91" s="10"/>
    </row>
    <row r="92" customFormat="false" ht="15" hidden="false" customHeight="false" outlineLevel="0" collapsed="false">
      <c r="B92" s="6"/>
      <c r="C92" s="10"/>
      <c r="D92" s="49" t="str">
        <f aca="false">IF($B92="","","Expense")</f>
        <v/>
      </c>
      <c r="E92" s="18"/>
      <c r="F92" s="10"/>
      <c r="G92" s="10"/>
      <c r="H92" s="50" t="str">
        <f aca="false">IF($B92="","",N($E92))</f>
        <v/>
      </c>
      <c r="I92" s="51" t="str">
        <f aca="false">IF($B92="","",$I$76+SUM($G$78:$G92)-SUM($H$78:$H92))</f>
        <v/>
      </c>
      <c r="J92" s="10"/>
    </row>
    <row r="93" customFormat="false" ht="15" hidden="false" customHeight="false" outlineLevel="0" collapsed="false">
      <c r="B93" s="6"/>
      <c r="C93" s="10"/>
      <c r="D93" s="49" t="str">
        <f aca="false">IF($B93="","","Expense")</f>
        <v/>
      </c>
      <c r="E93" s="18"/>
      <c r="F93" s="10"/>
      <c r="G93" s="10"/>
      <c r="H93" s="50" t="str">
        <f aca="false">IF($B93="","",N($E93))</f>
        <v/>
      </c>
      <c r="I93" s="51" t="str">
        <f aca="false">IF($B93="","",$I$76+SUM($G$78:$G93)-SUM($H$78:$H93))</f>
        <v/>
      </c>
      <c r="J93" s="10"/>
    </row>
    <row r="94" customFormat="false" ht="15" hidden="false" customHeight="false" outlineLevel="0" collapsed="false">
      <c r="B94" s="6"/>
      <c r="C94" s="10"/>
      <c r="D94" s="49" t="str">
        <f aca="false">IF($B94="","","Expense")</f>
        <v/>
      </c>
      <c r="E94" s="18"/>
      <c r="F94" s="10"/>
      <c r="G94" s="10"/>
      <c r="H94" s="50" t="str">
        <f aca="false">IF($B94="","",N($E94))</f>
        <v/>
      </c>
      <c r="I94" s="51" t="str">
        <f aca="false">IF($B94="","",$I$76+SUM($G$78:$G94)-SUM($H$78:$H94))</f>
        <v/>
      </c>
      <c r="J94" s="10"/>
    </row>
    <row r="95" customFormat="false" ht="15" hidden="false" customHeight="false" outlineLevel="0" collapsed="false">
      <c r="B95" s="52" t="s">
        <v>127</v>
      </c>
      <c r="C95" s="53"/>
      <c r="D95" s="53"/>
      <c r="E95" s="53"/>
      <c r="F95" s="53"/>
      <c r="G95" s="54" t="n">
        <f aca="false">SUM($G$78:$G$94)</f>
        <v>880</v>
      </c>
      <c r="H95" s="54" t="n">
        <f aca="false">SUM($H$78:$H$94)</f>
        <v>643.37</v>
      </c>
      <c r="I95" s="55" t="n">
        <f aca="false">$I$76+$G$95-$H$95</f>
        <v>1463.05</v>
      </c>
      <c r="J95" s="56" t="str">
        <f aca="false">IF($I$95&lt;0,"SHORTFALL",IF($I$95&lt;$E$7,"TIGHT","OK"))</f>
        <v>OK</v>
      </c>
      <c r="K95" s="25" t="str">
        <f aca="false">"In "&amp;TEXT($G$95,"$#,##0.00")&amp;"   less out "&amp;TEXT($H$95,"$#,##0.00")&amp;"   =  net "&amp;TEXT($G$95-$H$95,"$#,##0.00;-$#,##0.00")</f>
        <v>In $880.00   less out $643.37   =  net $236.63</v>
      </c>
    </row>
    <row r="97" customFormat="false" ht="21.75" hidden="false" customHeight="true" outlineLevel="0" collapsed="false">
      <c r="B97" s="31" t="str">
        <f aca="false">"WEEK 5     "&amp;TEXT($E$6+28,"ddd, mmm d")&amp;"   through   "&amp;TEXT($E$6+28+6,"ddd, mmm d, yyyy")</f>
        <v>WEEK 5     Fri, Sep 4   through   Thu, Sep 10, 2026</v>
      </c>
      <c r="C97" s="32"/>
      <c r="D97" s="32"/>
      <c r="E97" s="32"/>
      <c r="F97" s="32"/>
      <c r="G97" s="33" t="s">
        <v>116</v>
      </c>
      <c r="H97" s="32"/>
      <c r="I97" s="34" t="n">
        <f aca="false">$I$95</f>
        <v>1463.05</v>
      </c>
      <c r="J97" s="32"/>
      <c r="K97" s="28" t="str">
        <f aca="false">IF(COUNTIF(Schedule!$I$4:$I$483,5)&gt;10,"! "&amp;COUNTIF(Schedule!$I$4:$I$483,5)-10&amp;" more transaction(s) fall in this week than there are rows to show them.","")</f>
        <v/>
      </c>
    </row>
    <row r="98" customFormat="false" ht="25.5" hidden="false" customHeight="true" outlineLevel="0" collapsed="false">
      <c r="B98" s="35" t="s">
        <v>117</v>
      </c>
      <c r="C98" s="35" t="s">
        <v>118</v>
      </c>
      <c r="D98" s="35" t="s">
        <v>68</v>
      </c>
      <c r="E98" s="35" t="s">
        <v>119</v>
      </c>
      <c r="F98" s="35" t="s">
        <v>120</v>
      </c>
      <c r="G98" s="36" t="s">
        <v>18</v>
      </c>
      <c r="H98" s="37" t="s">
        <v>20</v>
      </c>
      <c r="I98" s="35" t="s">
        <v>121</v>
      </c>
      <c r="J98" s="35" t="s">
        <v>122</v>
      </c>
    </row>
    <row r="99" customFormat="false" ht="15" hidden="false" customHeight="false" outlineLevel="0" collapsed="false">
      <c r="B99" s="38" t="str">
        <f aca="false">IFERROR(INDEX(Schedule!$C$4:$C$483,MATCH(5001,Schedule!$K$4:$K$483,0)),"")</f>
        <v>Compunnel Software (paycheck)</v>
      </c>
      <c r="C99" s="39" t="n">
        <f aca="false">IF($B99="","",INDEX(Schedule!$G$4:$G$483,MATCH(5001,Schedule!$K$4:$K$483,0)))</f>
        <v>46269</v>
      </c>
      <c r="D99" s="40" t="str">
        <f aca="false">IF($B99="","",INDEX(Schedule!$D$4:$D$483,MATCH(5001,Schedule!$K$4:$K$483,0)))</f>
        <v>Income</v>
      </c>
      <c r="E99" s="41" t="n">
        <f aca="false">IF($B99="","",INDEX(Schedule!$E$4:$E$483,MATCH(5001,Schedule!$K$4:$K$483,0)))</f>
        <v>790</v>
      </c>
      <c r="F99" s="42"/>
      <c r="G99" s="43" t="n">
        <f aca="false">IF($B99="","",IF($D99="Income",IF($F99&lt;&gt;"",$F99,$E99),""))</f>
        <v>790</v>
      </c>
      <c r="H99" s="44" t="str">
        <f aca="false">IF($B99="","",IF($D99="Income","",IF($F99&lt;&gt;"",$F99,$E99)))</f>
        <v/>
      </c>
      <c r="I99" s="45" t="n">
        <f aca="false">IF($B99="","",$I$97+SUM($G$99:$G99)-SUM($H$99:$H99))</f>
        <v>2253.05</v>
      </c>
      <c r="J99" s="46" t="str">
        <f aca="true">IF($B99="","",IF($F99&lt;&gt;"","PAID",IF($C99&lt;TODAY(),"PAST DUE",IF($C99&lt;=TODAY()+7,"DUE","Upcoming"))))</f>
        <v>Upcoming</v>
      </c>
    </row>
    <row r="100" customFormat="false" ht="15" hidden="false" customHeight="false" outlineLevel="0" collapsed="false">
      <c r="B100" s="38" t="str">
        <f aca="false">IFERROR(INDEX(Schedule!$C$4:$C$483,MATCH(5002,Schedule!$K$4:$K$483,0)),"")</f>
        <v>Apple: Claude</v>
      </c>
      <c r="C100" s="39" t="n">
        <f aca="false">IF($B100="","",INDEX(Schedule!$G$4:$G$483,MATCH(5002,Schedule!$K$4:$K$483,0)))</f>
        <v>46269</v>
      </c>
      <c r="D100" s="40" t="str">
        <f aca="false">IF($B100="","",INDEX(Schedule!$D$4:$D$483,MATCH(5002,Schedule!$K$4:$K$483,0)))</f>
        <v>Expense</v>
      </c>
      <c r="E100" s="41" t="n">
        <f aca="false">IF($B100="","",INDEX(Schedule!$E$4:$E$483,MATCH(5002,Schedule!$K$4:$K$483,0)))</f>
        <v>21.1</v>
      </c>
      <c r="F100" s="42"/>
      <c r="G100" s="43" t="str">
        <f aca="false">IF($B100="","",IF($D100="Income",IF($F100&lt;&gt;"",$F100,$E100),""))</f>
        <v/>
      </c>
      <c r="H100" s="44" t="n">
        <f aca="false">IF($B100="","",IF($D100="Income","",IF($F100&lt;&gt;"",$F100,$E100)))</f>
        <v>21.1</v>
      </c>
      <c r="I100" s="45" t="n">
        <f aca="false">IF($B100="","",$I$97+SUM($G$99:$G100)-SUM($H$99:$H100))</f>
        <v>2231.95</v>
      </c>
      <c r="J100" s="46" t="str">
        <f aca="true">IF($B100="","",IF($F100&lt;&gt;"","PAID",IF($C100&lt;TODAY(),"PAST DUE",IF($C100&lt;=TODAY()+7,"DUE","Upcoming"))))</f>
        <v>Upcoming</v>
      </c>
    </row>
    <row r="101" customFormat="false" ht="15" hidden="false" customHeight="false" outlineLevel="0" collapsed="false">
      <c r="B101" s="38" t="str">
        <f aca="false">IFERROR(INDEX(Schedule!$C$4:$C$483,MATCH(5003,Schedule!$K$4:$K$483,0)),"")</f>
        <v>OpenAI</v>
      </c>
      <c r="C101" s="39" t="n">
        <f aca="false">IF($B101="","",INDEX(Schedule!$G$4:$G$483,MATCH(5003,Schedule!$K$4:$K$483,0)))</f>
        <v>46270</v>
      </c>
      <c r="D101" s="40" t="str">
        <f aca="false">IF($B101="","",INDEX(Schedule!$D$4:$D$483,MATCH(5003,Schedule!$K$4:$K$483,0)))</f>
        <v>Expense</v>
      </c>
      <c r="E101" s="41" t="n">
        <f aca="false">IF($B101="","",INDEX(Schedule!$E$4:$E$483,MATCH(5003,Schedule!$K$4:$K$483,0)))</f>
        <v>20</v>
      </c>
      <c r="F101" s="42"/>
      <c r="G101" s="43" t="str">
        <f aca="false">IF($B101="","",IF($D101="Income",IF($F101&lt;&gt;"",$F101,$E101),""))</f>
        <v/>
      </c>
      <c r="H101" s="44" t="n">
        <f aca="false">IF($B101="","",IF($D101="Income","",IF($F101&lt;&gt;"",$F101,$E101)))</f>
        <v>20</v>
      </c>
      <c r="I101" s="45" t="n">
        <f aca="false">IF($B101="","",$I$97+SUM($G$99:$G101)-SUM($H$99:$H101))</f>
        <v>2211.95</v>
      </c>
      <c r="J101" s="46" t="str">
        <f aca="true">IF($B101="","",IF($F101&lt;&gt;"","PAID",IF($C101&lt;TODAY(),"PAST DUE",IF($C101&lt;=TODAY()+7,"DUE","Upcoming"))))</f>
        <v>Upcoming</v>
      </c>
    </row>
    <row r="102" customFormat="false" ht="15" hidden="false" customHeight="false" outlineLevel="0" collapsed="false">
      <c r="B102" s="38" t="str">
        <f aca="false">IFERROR(INDEX(Schedule!$C$4:$C$483,MATCH(5004,Schedule!$K$4:$K$483,0)),"")</f>
        <v>Obsidian</v>
      </c>
      <c r="C102" s="39" t="n">
        <f aca="false">IF($B102="","",INDEX(Schedule!$G$4:$G$483,MATCH(5004,Schedule!$K$4:$K$483,0)))</f>
        <v>46270</v>
      </c>
      <c r="D102" s="40" t="str">
        <f aca="false">IF($B102="","",INDEX(Schedule!$D$4:$D$483,MATCH(5004,Schedule!$K$4:$K$483,0)))</f>
        <v>Expense</v>
      </c>
      <c r="E102" s="41" t="n">
        <f aca="false">IF($B102="","",INDEX(Schedule!$E$4:$E$483,MATCH(5004,Schedule!$K$4:$K$483,0)))</f>
        <v>10</v>
      </c>
      <c r="F102" s="42"/>
      <c r="G102" s="43" t="str">
        <f aca="false">IF($B102="","",IF($D102="Income",IF($F102&lt;&gt;"",$F102,$E102),""))</f>
        <v/>
      </c>
      <c r="H102" s="44" t="n">
        <f aca="false">IF($B102="","",IF($D102="Income","",IF($F102&lt;&gt;"",$F102,$E102)))</f>
        <v>10</v>
      </c>
      <c r="I102" s="45" t="n">
        <f aca="false">IF($B102="","",$I$97+SUM($G$99:$G102)-SUM($H$99:$H102))</f>
        <v>2201.95</v>
      </c>
      <c r="J102" s="46" t="str">
        <f aca="true">IF($B102="","",IF($F102&lt;&gt;"","PAID",IF($C102&lt;TODAY(),"PAST DUE",IF($C102&lt;=TODAY()+7,"DUE","Upcoming"))))</f>
        <v>Upcoming</v>
      </c>
    </row>
    <row r="103" customFormat="false" ht="15" hidden="false" customHeight="false" outlineLevel="0" collapsed="false">
      <c r="B103" s="38" t="str">
        <f aca="false">IFERROR(INDEX(Schedule!$C$4:$C$483,MATCH(5005,Schedule!$K$4:$K$483,0)),"")</f>
        <v>Google One</v>
      </c>
      <c r="C103" s="39" t="n">
        <f aca="false">IF($B103="","",INDEX(Schedule!$G$4:$G$483,MATCH(5005,Schedule!$K$4:$K$483,0)))</f>
        <v>46272</v>
      </c>
      <c r="D103" s="40" t="str">
        <f aca="false">IF($B103="","",INDEX(Schedule!$D$4:$D$483,MATCH(5005,Schedule!$K$4:$K$483,0)))</f>
        <v>Expense</v>
      </c>
      <c r="E103" s="41" t="n">
        <f aca="false">IF($B103="","",INDEX(Schedule!$E$4:$E$483,MATCH(5005,Schedule!$K$4:$K$483,0)))</f>
        <v>4.99</v>
      </c>
      <c r="F103" s="42"/>
      <c r="G103" s="43" t="str">
        <f aca="false">IF($B103="","",IF($D103="Income",IF($F103&lt;&gt;"",$F103,$E103),""))</f>
        <v/>
      </c>
      <c r="H103" s="44" t="n">
        <f aca="false">IF($B103="","",IF($D103="Income","",IF($F103&lt;&gt;"",$F103,$E103)))</f>
        <v>4.99</v>
      </c>
      <c r="I103" s="45" t="n">
        <f aca="false">IF($B103="","",$I$97+SUM($G$99:$G103)-SUM($H$99:$H103))</f>
        <v>2196.96</v>
      </c>
      <c r="J103" s="46" t="str">
        <f aca="true">IF($B103="","",IF($F103&lt;&gt;"","PAID",IF($C103&lt;TODAY(),"PAST DUE",IF($C103&lt;=TODAY()+7,"DUE","Upcoming"))))</f>
        <v>Upcoming</v>
      </c>
    </row>
    <row r="104" customFormat="false" ht="15" hidden="false" customHeight="false" outlineLevel="0" collapsed="false">
      <c r="B104" s="38" t="str">
        <f aca="false">IFERROR(INDEX(Schedule!$C$4:$C$483,MATCH(5006,Schedule!$K$4:$K$483,0)),"")</f>
        <v>Upstart (loan)</v>
      </c>
      <c r="C104" s="39" t="n">
        <f aca="false">IF($B104="","",INDEX(Schedule!$G$4:$G$483,MATCH(5006,Schedule!$K$4:$K$483,0)))</f>
        <v>46272</v>
      </c>
      <c r="D104" s="40" t="str">
        <f aca="false">IF($B104="","",INDEX(Schedule!$D$4:$D$483,MATCH(5006,Schedule!$K$4:$K$483,0)))</f>
        <v>Expense</v>
      </c>
      <c r="E104" s="41" t="n">
        <f aca="false">IF($B104="","",INDEX(Schedule!$E$4:$E$483,MATCH(5006,Schedule!$K$4:$K$483,0)))</f>
        <v>500</v>
      </c>
      <c r="F104" s="42"/>
      <c r="G104" s="43" t="str">
        <f aca="false">IF($B104="","",IF($D104="Income",IF($F104&lt;&gt;"",$F104,$E104),""))</f>
        <v/>
      </c>
      <c r="H104" s="44" t="n">
        <f aca="false">IF($B104="","",IF($D104="Income","",IF($F104&lt;&gt;"",$F104,$E104)))</f>
        <v>500</v>
      </c>
      <c r="I104" s="45" t="n">
        <f aca="false">IF($B104="","",$I$97+SUM($G$99:$G104)-SUM($H$99:$H104))</f>
        <v>1696.96</v>
      </c>
      <c r="J104" s="46" t="str">
        <f aca="true">IF($B104="","",IF($F104&lt;&gt;"","PAID",IF($C104&lt;TODAY(),"PAST DUE",IF($C104&lt;=TODAY()+7,"DUE","Upcoming"))))</f>
        <v>Upcoming</v>
      </c>
    </row>
    <row r="105" customFormat="false" ht="15" hidden="false" customHeight="false" outlineLevel="0" collapsed="false">
      <c r="B105" s="38" t="str">
        <f aca="false">IFERROR(INDEX(Schedule!$C$4:$C$483,MATCH(5007,Schedule!$K$4:$K$483,0)),"")</f>
        <v>Bruno's Restaurant (paycheck)</v>
      </c>
      <c r="C105" s="39" t="n">
        <f aca="false">IF($B105="","",INDEX(Schedule!$G$4:$G$483,MATCH(5007,Schedule!$K$4:$K$483,0)))</f>
        <v>46274</v>
      </c>
      <c r="D105" s="40" t="str">
        <f aca="false">IF($B105="","",INDEX(Schedule!$D$4:$D$483,MATCH(5007,Schedule!$K$4:$K$483,0)))</f>
        <v>Income</v>
      </c>
      <c r="E105" s="41" t="n">
        <f aca="false">IF($B105="","",INDEX(Schedule!$E$4:$E$483,MATCH(5007,Schedule!$K$4:$K$483,0)))</f>
        <v>90</v>
      </c>
      <c r="F105" s="42"/>
      <c r="G105" s="43" t="n">
        <f aca="false">IF($B105="","",IF($D105="Income",IF($F105&lt;&gt;"",$F105,$E105),""))</f>
        <v>90</v>
      </c>
      <c r="H105" s="44" t="str">
        <f aca="false">IF($B105="","",IF($D105="Income","",IF($F105&lt;&gt;"",$F105,$E105)))</f>
        <v/>
      </c>
      <c r="I105" s="45" t="n">
        <f aca="false">IF($B105="","",$I$97+SUM($G$99:$G105)-SUM($H$99:$H105))</f>
        <v>1786.96</v>
      </c>
      <c r="J105" s="46" t="str">
        <f aca="true">IF($B105="","",IF($F105&lt;&gt;"","PAID",IF($C105&lt;TODAY(),"PAST DUE",IF($C105&lt;=TODAY()+7,"DUE","Upcoming"))))</f>
        <v>Upcoming</v>
      </c>
    </row>
    <row r="106" customFormat="false" ht="15" hidden="false" customHeight="false" outlineLevel="0" collapsed="false">
      <c r="B106" s="38" t="str">
        <f aca="false">IFERROR(INDEX(Schedule!$C$4:$C$483,MATCH(5008,Schedule!$K$4:$K$483,0)),"")</f>
        <v>Central Maine Power Co.</v>
      </c>
      <c r="C106" s="39" t="n">
        <f aca="false">IF($B106="","",INDEX(Schedule!$G$4:$G$483,MATCH(5008,Schedule!$K$4:$K$483,0)))</f>
        <v>46275</v>
      </c>
      <c r="D106" s="40" t="str">
        <f aca="false">IF($B106="","",INDEX(Schedule!$D$4:$D$483,MATCH(5008,Schedule!$K$4:$K$483,0)))</f>
        <v>Expense</v>
      </c>
      <c r="E106" s="41" t="n">
        <f aca="false">IF($B106="","",INDEX(Schedule!$E$4:$E$483,MATCH(5008,Schedule!$K$4:$K$483,0)))</f>
        <v>163.5</v>
      </c>
      <c r="F106" s="42"/>
      <c r="G106" s="43" t="str">
        <f aca="false">IF($B106="","",IF($D106="Income",IF($F106&lt;&gt;"",$F106,$E106),""))</f>
        <v/>
      </c>
      <c r="H106" s="44" t="n">
        <f aca="false">IF($B106="","",IF($D106="Income","",IF($F106&lt;&gt;"",$F106,$E106)))</f>
        <v>163.5</v>
      </c>
      <c r="I106" s="45" t="n">
        <f aca="false">IF($B106="","",$I$97+SUM($G$99:$G106)-SUM($H$99:$H106))</f>
        <v>1623.46</v>
      </c>
      <c r="J106" s="46" t="str">
        <f aca="true">IF($B106="","",IF($F106&lt;&gt;"","PAID",IF($C106&lt;TODAY(),"PAST DUE",IF($C106&lt;=TODAY()+7,"DUE","Upcoming"))))</f>
        <v>Upcoming</v>
      </c>
    </row>
    <row r="107" customFormat="false" ht="15" hidden="false" customHeight="false" outlineLevel="0" collapsed="false">
      <c r="B107" s="38" t="str">
        <f aca="false">IFERROR(INDEX(Schedule!$C$4:$C$483,MATCH(5009,Schedule!$K$4:$K$483,0)),"")</f>
        <v/>
      </c>
      <c r="C107" s="39" t="str">
        <f aca="false">IF($B107="","",INDEX(Schedule!$G$4:$G$483,MATCH(5009,Schedule!$K$4:$K$483,0)))</f>
        <v/>
      </c>
      <c r="D107" s="40" t="str">
        <f aca="false">IF($B107="","",INDEX(Schedule!$D$4:$D$483,MATCH(5009,Schedule!$K$4:$K$483,0)))</f>
        <v/>
      </c>
      <c r="E107" s="41" t="str">
        <f aca="false">IF($B107="","",INDEX(Schedule!$E$4:$E$483,MATCH(5009,Schedule!$K$4:$K$483,0)))</f>
        <v/>
      </c>
      <c r="F107" s="42"/>
      <c r="G107" s="43" t="str">
        <f aca="false">IF($B107="","",IF($D107="Income",IF($F107&lt;&gt;"",$F107,$E107),""))</f>
        <v/>
      </c>
      <c r="H107" s="44" t="str">
        <f aca="false">IF($B107="","",IF($D107="Income","",IF($F107&lt;&gt;"",$F107,$E107)))</f>
        <v/>
      </c>
      <c r="I107" s="45" t="str">
        <f aca="false">IF($B107="","",$I$97+SUM($G$99:$G107)-SUM($H$99:$H107))</f>
        <v/>
      </c>
      <c r="J107" s="46" t="str">
        <f aca="true">IF($B107="","",IF($F107&lt;&gt;"","PAID",IF($C107&lt;TODAY(),"PAST DUE",IF($C107&lt;=TODAY()+7,"DUE","Upcoming"))))</f>
        <v/>
      </c>
    </row>
    <row r="108" customFormat="false" ht="15" hidden="false" customHeight="false" outlineLevel="0" collapsed="false">
      <c r="B108" s="38" t="str">
        <f aca="false">IFERROR(INDEX(Schedule!$C$4:$C$483,MATCH(5010,Schedule!$K$4:$K$483,0)),"")</f>
        <v/>
      </c>
      <c r="C108" s="39" t="str">
        <f aca="false">IF($B108="","",INDEX(Schedule!$G$4:$G$483,MATCH(5010,Schedule!$K$4:$K$483,0)))</f>
        <v/>
      </c>
      <c r="D108" s="40" t="str">
        <f aca="false">IF($B108="","",INDEX(Schedule!$D$4:$D$483,MATCH(5010,Schedule!$K$4:$K$483,0)))</f>
        <v/>
      </c>
      <c r="E108" s="41" t="str">
        <f aca="false">IF($B108="","",INDEX(Schedule!$E$4:$E$483,MATCH(5010,Schedule!$K$4:$K$483,0)))</f>
        <v/>
      </c>
      <c r="F108" s="42"/>
      <c r="G108" s="43" t="str">
        <f aca="false">IF($B108="","",IF($D108="Income",IF($F108&lt;&gt;"",$F108,$E108),""))</f>
        <v/>
      </c>
      <c r="H108" s="44" t="str">
        <f aca="false">IF($B108="","",IF($D108="Income","",IF($F108&lt;&gt;"",$F108,$E108)))</f>
        <v/>
      </c>
      <c r="I108" s="45" t="str">
        <f aca="false">IF($B108="","",$I$97+SUM($G$99:$G108)-SUM($H$99:$H108))</f>
        <v/>
      </c>
      <c r="J108" s="46" t="str">
        <f aca="true">IF($B108="","",IF($F108&lt;&gt;"","PAID",IF($C108&lt;TODAY(),"PAST DUE",IF($C108&lt;=TODAY()+7,"DUE","Upcoming"))))</f>
        <v/>
      </c>
    </row>
    <row r="109" customFormat="false" ht="15" hidden="false" customHeight="false" outlineLevel="0" collapsed="false">
      <c r="B109" s="47" t="s">
        <v>123</v>
      </c>
      <c r="C109" s="48"/>
      <c r="D109" s="48"/>
      <c r="E109" s="48"/>
      <c r="F109" s="48"/>
      <c r="G109" s="48"/>
      <c r="H109" s="48"/>
      <c r="I109" s="48"/>
      <c r="J109" s="48"/>
    </row>
    <row r="110" customFormat="false" ht="15" hidden="false" customHeight="false" outlineLevel="0" collapsed="false">
      <c r="B110" s="6"/>
      <c r="C110" s="10"/>
      <c r="D110" s="49" t="str">
        <f aca="false">IF($B110="","","Expense")</f>
        <v/>
      </c>
      <c r="E110" s="18"/>
      <c r="F110" s="10"/>
      <c r="G110" s="10"/>
      <c r="H110" s="50" t="str">
        <f aca="false">IF($B110="","",N($E110))</f>
        <v/>
      </c>
      <c r="I110" s="51" t="str">
        <f aca="false">IF($B110="","",$I$97+SUM($G$99:$G110)-SUM($H$99:$H110))</f>
        <v/>
      </c>
      <c r="J110" s="10"/>
    </row>
    <row r="111" customFormat="false" ht="15" hidden="false" customHeight="false" outlineLevel="0" collapsed="false">
      <c r="B111" s="6"/>
      <c r="C111" s="10"/>
      <c r="D111" s="49" t="str">
        <f aca="false">IF($B111="","","Expense")</f>
        <v/>
      </c>
      <c r="E111" s="18"/>
      <c r="F111" s="10"/>
      <c r="G111" s="10"/>
      <c r="H111" s="50" t="str">
        <f aca="false">IF($B111="","",N($E111))</f>
        <v/>
      </c>
      <c r="I111" s="51" t="str">
        <f aca="false">IF($B111="","",$I$97+SUM($G$99:$G111)-SUM($H$99:$H111))</f>
        <v/>
      </c>
      <c r="J111" s="10"/>
    </row>
    <row r="112" customFormat="false" ht="15" hidden="false" customHeight="false" outlineLevel="0" collapsed="false">
      <c r="B112" s="6"/>
      <c r="C112" s="10"/>
      <c r="D112" s="49" t="str">
        <f aca="false">IF($B112="","","Expense")</f>
        <v/>
      </c>
      <c r="E112" s="18"/>
      <c r="F112" s="10"/>
      <c r="G112" s="10"/>
      <c r="H112" s="50" t="str">
        <f aca="false">IF($B112="","",N($E112))</f>
        <v/>
      </c>
      <c r="I112" s="51" t="str">
        <f aca="false">IF($B112="","",$I$97+SUM($G$99:$G112)-SUM($H$99:$H112))</f>
        <v/>
      </c>
      <c r="J112" s="10"/>
    </row>
    <row r="113" customFormat="false" ht="15" hidden="false" customHeight="false" outlineLevel="0" collapsed="false">
      <c r="B113" s="6"/>
      <c r="C113" s="10"/>
      <c r="D113" s="49" t="str">
        <f aca="false">IF($B113="","","Expense")</f>
        <v/>
      </c>
      <c r="E113" s="18"/>
      <c r="F113" s="10"/>
      <c r="G113" s="10"/>
      <c r="H113" s="50" t="str">
        <f aca="false">IF($B113="","",N($E113))</f>
        <v/>
      </c>
      <c r="I113" s="51" t="str">
        <f aca="false">IF($B113="","",$I$97+SUM($G$99:$G113)-SUM($H$99:$H113))</f>
        <v/>
      </c>
      <c r="J113" s="10"/>
    </row>
    <row r="114" customFormat="false" ht="15" hidden="false" customHeight="false" outlineLevel="0" collapsed="false">
      <c r="B114" s="6"/>
      <c r="C114" s="10"/>
      <c r="D114" s="49" t="str">
        <f aca="false">IF($B114="","","Expense")</f>
        <v/>
      </c>
      <c r="E114" s="18"/>
      <c r="F114" s="10"/>
      <c r="G114" s="10"/>
      <c r="H114" s="50" t="str">
        <f aca="false">IF($B114="","",N($E114))</f>
        <v/>
      </c>
      <c r="I114" s="51" t="str">
        <f aca="false">IF($B114="","",$I$97+SUM($G$99:$G114)-SUM($H$99:$H114))</f>
        <v/>
      </c>
      <c r="J114" s="10"/>
    </row>
    <row r="115" customFormat="false" ht="15" hidden="false" customHeight="false" outlineLevel="0" collapsed="false">
      <c r="B115" s="6"/>
      <c r="C115" s="10"/>
      <c r="D115" s="49" t="str">
        <f aca="false">IF($B115="","","Expense")</f>
        <v/>
      </c>
      <c r="E115" s="18"/>
      <c r="F115" s="10"/>
      <c r="G115" s="10"/>
      <c r="H115" s="50" t="str">
        <f aca="false">IF($B115="","",N($E115))</f>
        <v/>
      </c>
      <c r="I115" s="51" t="str">
        <f aca="false">IF($B115="","",$I$97+SUM($G$99:$G115)-SUM($H$99:$H115))</f>
        <v/>
      </c>
      <c r="J115" s="10"/>
    </row>
    <row r="116" customFormat="false" ht="15" hidden="false" customHeight="false" outlineLevel="0" collapsed="false">
      <c r="B116" s="52" t="s">
        <v>128</v>
      </c>
      <c r="C116" s="53"/>
      <c r="D116" s="53"/>
      <c r="E116" s="53"/>
      <c r="F116" s="53"/>
      <c r="G116" s="54" t="n">
        <f aca="false">SUM($G$99:$G$115)</f>
        <v>880</v>
      </c>
      <c r="H116" s="54" t="n">
        <f aca="false">SUM($H$99:$H$115)</f>
        <v>719.59</v>
      </c>
      <c r="I116" s="55" t="n">
        <f aca="false">$I$97+$G$116-$H$116</f>
        <v>1623.46</v>
      </c>
      <c r="J116" s="56" t="str">
        <f aca="false">IF($I$116&lt;0,"SHORTFALL",IF($I$116&lt;$E$7,"TIGHT","OK"))</f>
        <v>OK</v>
      </c>
      <c r="K116" s="25" t="str">
        <f aca="false">"In "&amp;TEXT($G$116,"$#,##0.00")&amp;"   less out "&amp;TEXT($H$116,"$#,##0.00")&amp;"   =  net "&amp;TEXT($G$116-$H$116,"$#,##0.00;-$#,##0.00")</f>
        <v>In $880.00   less out $719.59   =  net $160.41</v>
      </c>
    </row>
    <row r="118" customFormat="false" ht="21.75" hidden="false" customHeight="true" outlineLevel="0" collapsed="false">
      <c r="B118" s="31" t="str">
        <f aca="false">"WEEK 6     "&amp;TEXT($E$6+35,"ddd, mmm d")&amp;"   through   "&amp;TEXT($E$6+35+6,"ddd, mmm d, yyyy")</f>
        <v>WEEK 6     Fri, Sep 11   through   Thu, Sep 17, 2026</v>
      </c>
      <c r="C118" s="32"/>
      <c r="D118" s="32"/>
      <c r="E118" s="32"/>
      <c r="F118" s="32"/>
      <c r="G118" s="33" t="s">
        <v>116</v>
      </c>
      <c r="H118" s="32"/>
      <c r="I118" s="34" t="n">
        <f aca="false">$I$116</f>
        <v>1623.46</v>
      </c>
      <c r="J118" s="32"/>
      <c r="K118" s="28" t="str">
        <f aca="false">IF(COUNTIF(Schedule!$I$4:$I$483,6)&gt;10,"! "&amp;COUNTIF(Schedule!$I$4:$I$483,6)-10&amp;" more transaction(s) fall in this week than there are rows to show them.","")</f>
        <v/>
      </c>
    </row>
    <row r="119" customFormat="false" ht="25.5" hidden="false" customHeight="true" outlineLevel="0" collapsed="false">
      <c r="B119" s="35" t="s">
        <v>117</v>
      </c>
      <c r="C119" s="35" t="s">
        <v>118</v>
      </c>
      <c r="D119" s="35" t="s">
        <v>68</v>
      </c>
      <c r="E119" s="35" t="s">
        <v>119</v>
      </c>
      <c r="F119" s="35" t="s">
        <v>120</v>
      </c>
      <c r="G119" s="36" t="s">
        <v>18</v>
      </c>
      <c r="H119" s="37" t="s">
        <v>20</v>
      </c>
      <c r="I119" s="35" t="s">
        <v>121</v>
      </c>
      <c r="J119" s="35" t="s">
        <v>122</v>
      </c>
    </row>
    <row r="120" customFormat="false" ht="15" hidden="false" customHeight="false" outlineLevel="0" collapsed="false">
      <c r="B120" s="38" t="str">
        <f aca="false">IFERROR(INDEX(Schedule!$C$4:$C$483,MATCH(6001,Schedule!$K$4:$K$483,0)),"")</f>
        <v>Compunnel Software (paycheck)</v>
      </c>
      <c r="C120" s="39" t="n">
        <f aca="false">IF($B120="","",INDEX(Schedule!$G$4:$G$483,MATCH(6001,Schedule!$K$4:$K$483,0)))</f>
        <v>46276</v>
      </c>
      <c r="D120" s="40" t="str">
        <f aca="false">IF($B120="","",INDEX(Schedule!$D$4:$D$483,MATCH(6001,Schedule!$K$4:$K$483,0)))</f>
        <v>Income</v>
      </c>
      <c r="E120" s="41" t="n">
        <f aca="false">IF($B120="","",INDEX(Schedule!$E$4:$E$483,MATCH(6001,Schedule!$K$4:$K$483,0)))</f>
        <v>790</v>
      </c>
      <c r="F120" s="42"/>
      <c r="G120" s="43" t="n">
        <f aca="false">IF($B120="","",IF($D120="Income",IF($F120&lt;&gt;"",$F120,$E120),""))</f>
        <v>790</v>
      </c>
      <c r="H120" s="44" t="str">
        <f aca="false">IF($B120="","",IF($D120="Income","",IF($F120&lt;&gt;"",$F120,$E120)))</f>
        <v/>
      </c>
      <c r="I120" s="45" t="n">
        <f aca="false">IF($B120="","",$I$118+SUM($G$120:$G120)-SUM($H$120:$H120))</f>
        <v>2413.46</v>
      </c>
      <c r="J120" s="46" t="str">
        <f aca="true">IF($B120="","",IF($F120&lt;&gt;"","PAID",IF($C120&lt;TODAY(),"PAST DUE",IF($C120&lt;=TODAY()+7,"DUE","Upcoming"))))</f>
        <v>Upcoming</v>
      </c>
    </row>
    <row r="121" customFormat="false" ht="15" hidden="false" customHeight="false" outlineLevel="0" collapsed="false">
      <c r="B121" s="38" t="str">
        <f aca="false">IFERROR(INDEX(Schedule!$C$4:$C$483,MATCH(6002,Schedule!$K$4:$K$483,0)),"")</f>
        <v>Apple: iCloud</v>
      </c>
      <c r="C121" s="39" t="n">
        <f aca="false">IF($B121="","",INDEX(Schedule!$G$4:$G$483,MATCH(6002,Schedule!$K$4:$K$483,0)))</f>
        <v>46278</v>
      </c>
      <c r="D121" s="40" t="str">
        <f aca="false">IF($B121="","",INDEX(Schedule!$D$4:$D$483,MATCH(6002,Schedule!$K$4:$K$483,0)))</f>
        <v>Expense</v>
      </c>
      <c r="E121" s="41" t="n">
        <f aca="false">IF($B121="","",INDEX(Schedule!$E$4:$E$483,MATCH(6002,Schedule!$K$4:$K$483,0)))</f>
        <v>2.99</v>
      </c>
      <c r="F121" s="42"/>
      <c r="G121" s="43" t="str">
        <f aca="false">IF($B121="","",IF($D121="Income",IF($F121&lt;&gt;"",$F121,$E121),""))</f>
        <v/>
      </c>
      <c r="H121" s="44" t="n">
        <f aca="false">IF($B121="","",IF($D121="Income","",IF($F121&lt;&gt;"",$F121,$E121)))</f>
        <v>2.99</v>
      </c>
      <c r="I121" s="45" t="n">
        <f aca="false">IF($B121="","",$I$118+SUM($G$120:$G121)-SUM($H$120:$H121))</f>
        <v>2410.47</v>
      </c>
      <c r="J121" s="46" t="str">
        <f aca="true">IF($B121="","",IF($F121&lt;&gt;"","PAID",IF($C121&lt;TODAY(),"PAST DUE",IF($C121&lt;=TODAY()+7,"DUE","Upcoming"))))</f>
        <v>Upcoming</v>
      </c>
    </row>
    <row r="122" customFormat="false" ht="15" hidden="false" customHeight="false" outlineLevel="0" collapsed="false">
      <c r="B122" s="38" t="str">
        <f aca="false">IFERROR(INDEX(Schedule!$C$4:$C$483,MATCH(6003,Schedule!$K$4:$K$483,0)),"")</f>
        <v>Patrick Rombalski (rent)</v>
      </c>
      <c r="C122" s="39" t="n">
        <f aca="false">IF($B122="","",INDEX(Schedule!$G$4:$G$483,MATCH(6003,Schedule!$K$4:$K$483,0)))</f>
        <v>46280</v>
      </c>
      <c r="D122" s="40" t="str">
        <f aca="false">IF($B122="","",INDEX(Schedule!$D$4:$D$483,MATCH(6003,Schedule!$K$4:$K$483,0)))</f>
        <v>Expense</v>
      </c>
      <c r="E122" s="41" t="n">
        <f aca="false">IF($B122="","",INDEX(Schedule!$E$4:$E$483,MATCH(6003,Schedule!$K$4:$K$483,0)))</f>
        <v>350</v>
      </c>
      <c r="F122" s="42"/>
      <c r="G122" s="43" t="str">
        <f aca="false">IF($B122="","",IF($D122="Income",IF($F122&lt;&gt;"",$F122,$E122),""))</f>
        <v/>
      </c>
      <c r="H122" s="44" t="n">
        <f aca="false">IF($B122="","",IF($D122="Income","",IF($F122&lt;&gt;"",$F122,$E122)))</f>
        <v>350</v>
      </c>
      <c r="I122" s="45" t="n">
        <f aca="false">IF($B122="","",$I$118+SUM($G$120:$G122)-SUM($H$120:$H122))</f>
        <v>2060.47</v>
      </c>
      <c r="J122" s="46" t="str">
        <f aca="true">IF($B122="","",IF($F122&lt;&gt;"","PAID",IF($C122&lt;TODAY(),"PAST DUE",IF($C122&lt;=TODAY()+7,"DUE","Upcoming"))))</f>
        <v>Upcoming</v>
      </c>
    </row>
    <row r="123" customFormat="false" ht="15" hidden="false" customHeight="false" outlineLevel="0" collapsed="false">
      <c r="B123" s="38" t="str">
        <f aca="false">IFERROR(INDEX(Schedule!$C$4:$C$483,MATCH(6004,Schedule!$K$4:$K$483,0)),"")</f>
        <v>Bruno's Restaurant (paycheck)</v>
      </c>
      <c r="C123" s="39" t="n">
        <f aca="false">IF($B123="","",INDEX(Schedule!$G$4:$G$483,MATCH(6004,Schedule!$K$4:$K$483,0)))</f>
        <v>46281</v>
      </c>
      <c r="D123" s="40" t="str">
        <f aca="false">IF($B123="","",INDEX(Schedule!$D$4:$D$483,MATCH(6004,Schedule!$K$4:$K$483,0)))</f>
        <v>Income</v>
      </c>
      <c r="E123" s="41" t="n">
        <f aca="false">IF($B123="","",INDEX(Schedule!$E$4:$E$483,MATCH(6004,Schedule!$K$4:$K$483,0)))</f>
        <v>90</v>
      </c>
      <c r="F123" s="42"/>
      <c r="G123" s="43" t="n">
        <f aca="false">IF($B123="","",IF($D123="Income",IF($F123&lt;&gt;"",$F123,$E123),""))</f>
        <v>90</v>
      </c>
      <c r="H123" s="44" t="str">
        <f aca="false">IF($B123="","",IF($D123="Income","",IF($F123&lt;&gt;"",$F123,$E123)))</f>
        <v/>
      </c>
      <c r="I123" s="45" t="n">
        <f aca="false">IF($B123="","",$I$118+SUM($G$120:$G123)-SUM($H$120:$H123))</f>
        <v>2150.47</v>
      </c>
      <c r="J123" s="46" t="str">
        <f aca="true">IF($B123="","",IF($F123&lt;&gt;"","PAID",IF($C123&lt;TODAY(),"PAST DUE",IF($C123&lt;=TODAY()+7,"DUE","Upcoming"))))</f>
        <v>Upcoming</v>
      </c>
    </row>
    <row r="124" customFormat="false" ht="15" hidden="false" customHeight="false" outlineLevel="0" collapsed="false">
      <c r="B124" s="38" t="str">
        <f aca="false">IFERROR(INDEX(Schedule!$C$4:$C$483,MATCH(6005,Schedule!$K$4:$K$483,0)),"")</f>
        <v>Spectrum</v>
      </c>
      <c r="C124" s="39" t="n">
        <f aca="false">IF($B124="","",INDEX(Schedule!$G$4:$G$483,MATCH(6005,Schedule!$K$4:$K$483,0)))</f>
        <v>46281</v>
      </c>
      <c r="D124" s="40" t="str">
        <f aca="false">IF($B124="","",INDEX(Schedule!$D$4:$D$483,MATCH(6005,Schedule!$K$4:$K$483,0)))</f>
        <v>Expense</v>
      </c>
      <c r="E124" s="41" t="n">
        <f aca="false">IF($B124="","",INDEX(Schedule!$E$4:$E$483,MATCH(6005,Schedule!$K$4:$K$483,0)))</f>
        <v>171.1</v>
      </c>
      <c r="F124" s="42"/>
      <c r="G124" s="43" t="str">
        <f aca="false">IF($B124="","",IF($D124="Income",IF($F124&lt;&gt;"",$F124,$E124),""))</f>
        <v/>
      </c>
      <c r="H124" s="44" t="n">
        <f aca="false">IF($B124="","",IF($D124="Income","",IF($F124&lt;&gt;"",$F124,$E124)))</f>
        <v>171.1</v>
      </c>
      <c r="I124" s="45" t="n">
        <f aca="false">IF($B124="","",$I$118+SUM($G$120:$G124)-SUM($H$120:$H124))</f>
        <v>1979.37</v>
      </c>
      <c r="J124" s="46" t="str">
        <f aca="true">IF($B124="","",IF($F124&lt;&gt;"","PAID",IF($C124&lt;TODAY(),"PAST DUE",IF($C124&lt;=TODAY()+7,"DUE","Upcoming"))))</f>
        <v>Upcoming</v>
      </c>
    </row>
    <row r="125" customFormat="false" ht="15" hidden="false" customHeight="false" outlineLevel="0" collapsed="false">
      <c r="B125" s="38" t="str">
        <f aca="false">IFERROR(INDEX(Schedule!$C$4:$C$483,MATCH(6006,Schedule!$K$4:$K$483,0)),"")</f>
        <v>Maine Revenue Services</v>
      </c>
      <c r="C125" s="39" t="n">
        <f aca="false">IF($B125="","",INDEX(Schedule!$G$4:$G$483,MATCH(6006,Schedule!$K$4:$K$483,0)))</f>
        <v>46281</v>
      </c>
      <c r="D125" s="40" t="str">
        <f aca="false">IF($B125="","",INDEX(Schedule!$D$4:$D$483,MATCH(6006,Schedule!$K$4:$K$483,0)))</f>
        <v>Expense</v>
      </c>
      <c r="E125" s="41" t="n">
        <f aca="false">IF($B125="","",INDEX(Schedule!$E$4:$E$483,MATCH(6006,Schedule!$K$4:$K$483,0)))</f>
        <v>45</v>
      </c>
      <c r="F125" s="42"/>
      <c r="G125" s="43" t="str">
        <f aca="false">IF($B125="","",IF($D125="Income",IF($F125&lt;&gt;"",$F125,$E125),""))</f>
        <v/>
      </c>
      <c r="H125" s="44" t="n">
        <f aca="false">IF($B125="","",IF($D125="Income","",IF($F125&lt;&gt;"",$F125,$E125)))</f>
        <v>45</v>
      </c>
      <c r="I125" s="45" t="n">
        <f aca="false">IF($B125="","",$I$118+SUM($G$120:$G125)-SUM($H$120:$H125))</f>
        <v>1934.37</v>
      </c>
      <c r="J125" s="46" t="str">
        <f aca="true">IF($B125="","",IF($F125&lt;&gt;"","PAID",IF($C125&lt;TODAY(),"PAST DUE",IF($C125&lt;=TODAY()+7,"DUE","Upcoming"))))</f>
        <v>Upcoming</v>
      </c>
    </row>
    <row r="126" customFormat="false" ht="15" hidden="false" customHeight="false" outlineLevel="0" collapsed="false">
      <c r="B126" s="38" t="str">
        <f aca="false">IFERROR(INDEX(Schedule!$C$4:$C$483,MATCH(6007,Schedule!$K$4:$K$483,0)),"")</f>
        <v/>
      </c>
      <c r="C126" s="39" t="str">
        <f aca="false">IF($B126="","",INDEX(Schedule!$G$4:$G$483,MATCH(6007,Schedule!$K$4:$K$483,0)))</f>
        <v/>
      </c>
      <c r="D126" s="40" t="str">
        <f aca="false">IF($B126="","",INDEX(Schedule!$D$4:$D$483,MATCH(6007,Schedule!$K$4:$K$483,0)))</f>
        <v/>
      </c>
      <c r="E126" s="41" t="str">
        <f aca="false">IF($B126="","",INDEX(Schedule!$E$4:$E$483,MATCH(6007,Schedule!$K$4:$K$483,0)))</f>
        <v/>
      </c>
      <c r="F126" s="42"/>
      <c r="G126" s="43" t="str">
        <f aca="false">IF($B126="","",IF($D126="Income",IF($F126&lt;&gt;"",$F126,$E126),""))</f>
        <v/>
      </c>
      <c r="H126" s="44" t="str">
        <f aca="false">IF($B126="","",IF($D126="Income","",IF($F126&lt;&gt;"",$F126,$E126)))</f>
        <v/>
      </c>
      <c r="I126" s="45" t="str">
        <f aca="false">IF($B126="","",$I$118+SUM($G$120:$G126)-SUM($H$120:$H126))</f>
        <v/>
      </c>
      <c r="J126" s="46" t="str">
        <f aca="true">IF($B126="","",IF($F126&lt;&gt;"","PAID",IF($C126&lt;TODAY(),"PAST DUE",IF($C126&lt;=TODAY()+7,"DUE","Upcoming"))))</f>
        <v/>
      </c>
    </row>
    <row r="127" customFormat="false" ht="15" hidden="false" customHeight="false" outlineLevel="0" collapsed="false">
      <c r="B127" s="38" t="str">
        <f aca="false">IFERROR(INDEX(Schedule!$C$4:$C$483,MATCH(6008,Schedule!$K$4:$K$483,0)),"")</f>
        <v/>
      </c>
      <c r="C127" s="39" t="str">
        <f aca="false">IF($B127="","",INDEX(Schedule!$G$4:$G$483,MATCH(6008,Schedule!$K$4:$K$483,0)))</f>
        <v/>
      </c>
      <c r="D127" s="40" t="str">
        <f aca="false">IF($B127="","",INDEX(Schedule!$D$4:$D$483,MATCH(6008,Schedule!$K$4:$K$483,0)))</f>
        <v/>
      </c>
      <c r="E127" s="41" t="str">
        <f aca="false">IF($B127="","",INDEX(Schedule!$E$4:$E$483,MATCH(6008,Schedule!$K$4:$K$483,0)))</f>
        <v/>
      </c>
      <c r="F127" s="42"/>
      <c r="G127" s="43" t="str">
        <f aca="false">IF($B127="","",IF($D127="Income",IF($F127&lt;&gt;"",$F127,$E127),""))</f>
        <v/>
      </c>
      <c r="H127" s="44" t="str">
        <f aca="false">IF($B127="","",IF($D127="Income","",IF($F127&lt;&gt;"",$F127,$E127)))</f>
        <v/>
      </c>
      <c r="I127" s="45" t="str">
        <f aca="false">IF($B127="","",$I$118+SUM($G$120:$G127)-SUM($H$120:$H127))</f>
        <v/>
      </c>
      <c r="J127" s="46" t="str">
        <f aca="true">IF($B127="","",IF($F127&lt;&gt;"","PAID",IF($C127&lt;TODAY(),"PAST DUE",IF($C127&lt;=TODAY()+7,"DUE","Upcoming"))))</f>
        <v/>
      </c>
    </row>
    <row r="128" customFormat="false" ht="15" hidden="false" customHeight="false" outlineLevel="0" collapsed="false">
      <c r="B128" s="38" t="str">
        <f aca="false">IFERROR(INDEX(Schedule!$C$4:$C$483,MATCH(6009,Schedule!$K$4:$K$483,0)),"")</f>
        <v/>
      </c>
      <c r="C128" s="39" t="str">
        <f aca="false">IF($B128="","",INDEX(Schedule!$G$4:$G$483,MATCH(6009,Schedule!$K$4:$K$483,0)))</f>
        <v/>
      </c>
      <c r="D128" s="40" t="str">
        <f aca="false">IF($B128="","",INDEX(Schedule!$D$4:$D$483,MATCH(6009,Schedule!$K$4:$K$483,0)))</f>
        <v/>
      </c>
      <c r="E128" s="41" t="str">
        <f aca="false">IF($B128="","",INDEX(Schedule!$E$4:$E$483,MATCH(6009,Schedule!$K$4:$K$483,0)))</f>
        <v/>
      </c>
      <c r="F128" s="42"/>
      <c r="G128" s="43" t="str">
        <f aca="false">IF($B128="","",IF($D128="Income",IF($F128&lt;&gt;"",$F128,$E128),""))</f>
        <v/>
      </c>
      <c r="H128" s="44" t="str">
        <f aca="false">IF($B128="","",IF($D128="Income","",IF($F128&lt;&gt;"",$F128,$E128)))</f>
        <v/>
      </c>
      <c r="I128" s="45" t="str">
        <f aca="false">IF($B128="","",$I$118+SUM($G$120:$G128)-SUM($H$120:$H128))</f>
        <v/>
      </c>
      <c r="J128" s="46" t="str">
        <f aca="true">IF($B128="","",IF($F128&lt;&gt;"","PAID",IF($C128&lt;TODAY(),"PAST DUE",IF($C128&lt;=TODAY()+7,"DUE","Upcoming"))))</f>
        <v/>
      </c>
    </row>
    <row r="129" customFormat="false" ht="15" hidden="false" customHeight="false" outlineLevel="0" collapsed="false">
      <c r="B129" s="38" t="str">
        <f aca="false">IFERROR(INDEX(Schedule!$C$4:$C$483,MATCH(6010,Schedule!$K$4:$K$483,0)),"")</f>
        <v/>
      </c>
      <c r="C129" s="39" t="str">
        <f aca="false">IF($B129="","",INDEX(Schedule!$G$4:$G$483,MATCH(6010,Schedule!$K$4:$K$483,0)))</f>
        <v/>
      </c>
      <c r="D129" s="40" t="str">
        <f aca="false">IF($B129="","",INDEX(Schedule!$D$4:$D$483,MATCH(6010,Schedule!$K$4:$K$483,0)))</f>
        <v/>
      </c>
      <c r="E129" s="41" t="str">
        <f aca="false">IF($B129="","",INDEX(Schedule!$E$4:$E$483,MATCH(6010,Schedule!$K$4:$K$483,0)))</f>
        <v/>
      </c>
      <c r="F129" s="42"/>
      <c r="G129" s="43" t="str">
        <f aca="false">IF($B129="","",IF($D129="Income",IF($F129&lt;&gt;"",$F129,$E129),""))</f>
        <v/>
      </c>
      <c r="H129" s="44" t="str">
        <f aca="false">IF($B129="","",IF($D129="Income","",IF($F129&lt;&gt;"",$F129,$E129)))</f>
        <v/>
      </c>
      <c r="I129" s="45" t="str">
        <f aca="false">IF($B129="","",$I$118+SUM($G$120:$G129)-SUM($H$120:$H129))</f>
        <v/>
      </c>
      <c r="J129" s="46" t="str">
        <f aca="true">IF($B129="","",IF($F129&lt;&gt;"","PAID",IF($C129&lt;TODAY(),"PAST DUE",IF($C129&lt;=TODAY()+7,"DUE","Upcoming"))))</f>
        <v/>
      </c>
    </row>
    <row r="130" customFormat="false" ht="15" hidden="false" customHeight="false" outlineLevel="0" collapsed="false">
      <c r="B130" s="47" t="s">
        <v>123</v>
      </c>
      <c r="C130" s="48"/>
      <c r="D130" s="48"/>
      <c r="E130" s="48"/>
      <c r="F130" s="48"/>
      <c r="G130" s="48"/>
      <c r="H130" s="48"/>
      <c r="I130" s="48"/>
      <c r="J130" s="48"/>
    </row>
    <row r="131" customFormat="false" ht="15" hidden="false" customHeight="false" outlineLevel="0" collapsed="false">
      <c r="B131" s="6"/>
      <c r="C131" s="10"/>
      <c r="D131" s="49" t="str">
        <f aca="false">IF($B131="","","Expense")</f>
        <v/>
      </c>
      <c r="E131" s="18"/>
      <c r="F131" s="10"/>
      <c r="G131" s="10"/>
      <c r="H131" s="50" t="str">
        <f aca="false">IF($B131="","",N($E131))</f>
        <v/>
      </c>
      <c r="I131" s="51" t="str">
        <f aca="false">IF($B131="","",$I$118+SUM($G$120:$G131)-SUM($H$120:$H131))</f>
        <v/>
      </c>
      <c r="J131" s="10"/>
    </row>
    <row r="132" customFormat="false" ht="15" hidden="false" customHeight="false" outlineLevel="0" collapsed="false">
      <c r="B132" s="6"/>
      <c r="C132" s="10"/>
      <c r="D132" s="49" t="str">
        <f aca="false">IF($B132="","","Expense")</f>
        <v/>
      </c>
      <c r="E132" s="18"/>
      <c r="F132" s="10"/>
      <c r="G132" s="10"/>
      <c r="H132" s="50" t="str">
        <f aca="false">IF($B132="","",N($E132))</f>
        <v/>
      </c>
      <c r="I132" s="51" t="str">
        <f aca="false">IF($B132="","",$I$118+SUM($G$120:$G132)-SUM($H$120:$H132))</f>
        <v/>
      </c>
      <c r="J132" s="10"/>
    </row>
    <row r="133" customFormat="false" ht="15" hidden="false" customHeight="false" outlineLevel="0" collapsed="false">
      <c r="B133" s="6"/>
      <c r="C133" s="10"/>
      <c r="D133" s="49" t="str">
        <f aca="false">IF($B133="","","Expense")</f>
        <v/>
      </c>
      <c r="E133" s="18"/>
      <c r="F133" s="10"/>
      <c r="G133" s="10"/>
      <c r="H133" s="50" t="str">
        <f aca="false">IF($B133="","",N($E133))</f>
        <v/>
      </c>
      <c r="I133" s="51" t="str">
        <f aca="false">IF($B133="","",$I$118+SUM($G$120:$G133)-SUM($H$120:$H133))</f>
        <v/>
      </c>
      <c r="J133" s="10"/>
    </row>
    <row r="134" customFormat="false" ht="15" hidden="false" customHeight="false" outlineLevel="0" collapsed="false">
      <c r="B134" s="6"/>
      <c r="C134" s="10"/>
      <c r="D134" s="49" t="str">
        <f aca="false">IF($B134="","","Expense")</f>
        <v/>
      </c>
      <c r="E134" s="18"/>
      <c r="F134" s="10"/>
      <c r="G134" s="10"/>
      <c r="H134" s="50" t="str">
        <f aca="false">IF($B134="","",N($E134))</f>
        <v/>
      </c>
      <c r="I134" s="51" t="str">
        <f aca="false">IF($B134="","",$I$118+SUM($G$120:$G134)-SUM($H$120:$H134))</f>
        <v/>
      </c>
      <c r="J134" s="10"/>
    </row>
    <row r="135" customFormat="false" ht="15" hidden="false" customHeight="false" outlineLevel="0" collapsed="false">
      <c r="B135" s="6"/>
      <c r="C135" s="10"/>
      <c r="D135" s="49" t="str">
        <f aca="false">IF($B135="","","Expense")</f>
        <v/>
      </c>
      <c r="E135" s="18"/>
      <c r="F135" s="10"/>
      <c r="G135" s="10"/>
      <c r="H135" s="50" t="str">
        <f aca="false">IF($B135="","",N($E135))</f>
        <v/>
      </c>
      <c r="I135" s="51" t="str">
        <f aca="false">IF($B135="","",$I$118+SUM($G$120:$G135)-SUM($H$120:$H135))</f>
        <v/>
      </c>
      <c r="J135" s="10"/>
    </row>
    <row r="136" customFormat="false" ht="15" hidden="false" customHeight="false" outlineLevel="0" collapsed="false">
      <c r="B136" s="6"/>
      <c r="C136" s="10"/>
      <c r="D136" s="49" t="str">
        <f aca="false">IF($B136="","","Expense")</f>
        <v/>
      </c>
      <c r="E136" s="18"/>
      <c r="F136" s="10"/>
      <c r="G136" s="10"/>
      <c r="H136" s="50" t="str">
        <f aca="false">IF($B136="","",N($E136))</f>
        <v/>
      </c>
      <c r="I136" s="51" t="str">
        <f aca="false">IF($B136="","",$I$118+SUM($G$120:$G136)-SUM($H$120:$H136))</f>
        <v/>
      </c>
      <c r="J136" s="10"/>
    </row>
    <row r="137" customFormat="false" ht="15" hidden="false" customHeight="false" outlineLevel="0" collapsed="false">
      <c r="B137" s="52" t="s">
        <v>129</v>
      </c>
      <c r="C137" s="53"/>
      <c r="D137" s="53"/>
      <c r="E137" s="53"/>
      <c r="F137" s="53"/>
      <c r="G137" s="54" t="n">
        <f aca="false">SUM($G$120:$G$136)</f>
        <v>880</v>
      </c>
      <c r="H137" s="54" t="n">
        <f aca="false">SUM($H$120:$H$136)</f>
        <v>569.09</v>
      </c>
      <c r="I137" s="55" t="n">
        <f aca="false">$I$118+$G$137-$H$137</f>
        <v>1934.37</v>
      </c>
      <c r="J137" s="56" t="str">
        <f aca="false">IF($I$137&lt;0,"SHORTFALL",IF($I$137&lt;$E$7,"TIGHT","OK"))</f>
        <v>OK</v>
      </c>
      <c r="K137" s="25" t="str">
        <f aca="false">"In "&amp;TEXT($G$137,"$#,##0.00")&amp;"   less out "&amp;TEXT($H$137,"$#,##0.00")&amp;"   =  net "&amp;TEXT($G$137-$H$137,"$#,##0.00;-$#,##0.00")</f>
        <v>In $880.00   less out $569.09   =  net $310.91</v>
      </c>
    </row>
    <row r="139" customFormat="false" ht="21.75" hidden="false" customHeight="true" outlineLevel="0" collapsed="false">
      <c r="B139" s="31" t="str">
        <f aca="false">"WEEK 7     "&amp;TEXT($E$6+42,"ddd, mmm d")&amp;"   through   "&amp;TEXT($E$6+42+6,"ddd, mmm d, yyyy")</f>
        <v>WEEK 7     Fri, Sep 18   through   Thu, Sep 24, 2026</v>
      </c>
      <c r="C139" s="32"/>
      <c r="D139" s="32"/>
      <c r="E139" s="32"/>
      <c r="F139" s="32"/>
      <c r="G139" s="33" t="s">
        <v>116</v>
      </c>
      <c r="H139" s="32"/>
      <c r="I139" s="34" t="n">
        <f aca="false">$I$137</f>
        <v>1934.37</v>
      </c>
      <c r="J139" s="32"/>
      <c r="K139" s="28" t="str">
        <f aca="false">IF(COUNTIF(Schedule!$I$4:$I$483,7)&gt;10,"! "&amp;COUNTIF(Schedule!$I$4:$I$483,7)-10&amp;" more transaction(s) fall in this week than there are rows to show them.","")</f>
        <v/>
      </c>
    </row>
    <row r="140" customFormat="false" ht="25.5" hidden="false" customHeight="true" outlineLevel="0" collapsed="false">
      <c r="B140" s="35" t="s">
        <v>117</v>
      </c>
      <c r="C140" s="35" t="s">
        <v>118</v>
      </c>
      <c r="D140" s="35" t="s">
        <v>68</v>
      </c>
      <c r="E140" s="35" t="s">
        <v>119</v>
      </c>
      <c r="F140" s="35" t="s">
        <v>120</v>
      </c>
      <c r="G140" s="36" t="s">
        <v>18</v>
      </c>
      <c r="H140" s="37" t="s">
        <v>20</v>
      </c>
      <c r="I140" s="35" t="s">
        <v>121</v>
      </c>
      <c r="J140" s="35" t="s">
        <v>122</v>
      </c>
    </row>
    <row r="141" customFormat="false" ht="15" hidden="false" customHeight="false" outlineLevel="0" collapsed="false">
      <c r="B141" s="38" t="str">
        <f aca="false">IFERROR(INDEX(Schedule!$C$4:$C$483,MATCH(7001,Schedule!$K$4:$K$483,0)),"")</f>
        <v>Compunnel Software (paycheck)</v>
      </c>
      <c r="C141" s="39" t="n">
        <f aca="false">IF($B141="","",INDEX(Schedule!$G$4:$G$483,MATCH(7001,Schedule!$K$4:$K$483,0)))</f>
        <v>46283</v>
      </c>
      <c r="D141" s="40" t="str">
        <f aca="false">IF($B141="","",INDEX(Schedule!$D$4:$D$483,MATCH(7001,Schedule!$K$4:$K$483,0)))</f>
        <v>Income</v>
      </c>
      <c r="E141" s="41" t="n">
        <f aca="false">IF($B141="","",INDEX(Schedule!$E$4:$E$483,MATCH(7001,Schedule!$K$4:$K$483,0)))</f>
        <v>790</v>
      </c>
      <c r="F141" s="42"/>
      <c r="G141" s="43" t="n">
        <f aca="false">IF($B141="","",IF($D141="Income",IF($F141&lt;&gt;"",$F141,$E141),""))</f>
        <v>790</v>
      </c>
      <c r="H141" s="44" t="str">
        <f aca="false">IF($B141="","",IF($D141="Income","",IF($F141&lt;&gt;"",$F141,$E141)))</f>
        <v/>
      </c>
      <c r="I141" s="45" t="n">
        <f aca="false">IF($B141="","",$I$139+SUM($G$141:$G141)-SUM($H$141:$H141))</f>
        <v>2724.37</v>
      </c>
      <c r="J141" s="46" t="str">
        <f aca="true">IF($B141="","",IF($F141&lt;&gt;"","PAID",IF($C141&lt;TODAY(),"PAST DUE",IF($C141&lt;=TODAY()+7,"DUE","Upcoming"))))</f>
        <v>Upcoming</v>
      </c>
    </row>
    <row r="142" customFormat="false" ht="15" hidden="false" customHeight="false" outlineLevel="0" collapsed="false">
      <c r="B142" s="38" t="str">
        <f aca="false">IFERROR(INDEX(Schedule!$C$4:$C$483,MATCH(7002,Schedule!$K$4:$K$483,0)),"")</f>
        <v>Metal Copy</v>
      </c>
      <c r="C142" s="39" t="n">
        <f aca="false">IF($B142="","",INDEX(Schedule!$G$4:$G$483,MATCH(7002,Schedule!$K$4:$K$483,0)))</f>
        <v>46283</v>
      </c>
      <c r="D142" s="40" t="str">
        <f aca="false">IF($B142="","",INDEX(Schedule!$D$4:$D$483,MATCH(7002,Schedule!$K$4:$K$483,0)))</f>
        <v>Expense</v>
      </c>
      <c r="E142" s="41" t="n">
        <f aca="false">IF($B142="","",INDEX(Schedule!$E$4:$E$483,MATCH(7002,Schedule!$K$4:$K$483,0)))</f>
        <v>16.99</v>
      </c>
      <c r="F142" s="42"/>
      <c r="G142" s="43" t="str">
        <f aca="false">IF($B142="","",IF($D142="Income",IF($F142&lt;&gt;"",$F142,$E142),""))</f>
        <v/>
      </c>
      <c r="H142" s="44" t="n">
        <f aca="false">IF($B142="","",IF($D142="Income","",IF($F142&lt;&gt;"",$F142,$E142)))</f>
        <v>16.99</v>
      </c>
      <c r="I142" s="45" t="n">
        <f aca="false">IF($B142="","",$I$139+SUM($G$141:$G142)-SUM($H$141:$H142))</f>
        <v>2707.38</v>
      </c>
      <c r="J142" s="46" t="str">
        <f aca="true">IF($B142="","",IF($F142&lt;&gt;"","PAID",IF($C142&lt;TODAY(),"PAST DUE",IF($C142&lt;=TODAY()+7,"DUE","Upcoming"))))</f>
        <v>Upcoming</v>
      </c>
    </row>
    <row r="143" customFormat="false" ht="15" hidden="false" customHeight="false" outlineLevel="0" collapsed="false">
      <c r="B143" s="38" t="str">
        <f aca="false">IFERROR(INDEX(Schedule!$C$4:$C$483,MATCH(7003,Schedule!$K$4:$K$483,0)),"")</f>
        <v>Bruno's Restaurant (paycheck)</v>
      </c>
      <c r="C143" s="39" t="n">
        <f aca="false">IF($B143="","",INDEX(Schedule!$G$4:$G$483,MATCH(7003,Schedule!$K$4:$K$483,0)))</f>
        <v>46288</v>
      </c>
      <c r="D143" s="40" t="str">
        <f aca="false">IF($B143="","",INDEX(Schedule!$D$4:$D$483,MATCH(7003,Schedule!$K$4:$K$483,0)))</f>
        <v>Income</v>
      </c>
      <c r="E143" s="41" t="n">
        <f aca="false">IF($B143="","",INDEX(Schedule!$E$4:$E$483,MATCH(7003,Schedule!$K$4:$K$483,0)))</f>
        <v>90</v>
      </c>
      <c r="F143" s="42"/>
      <c r="G143" s="43" t="n">
        <f aca="false">IF($B143="","",IF($D143="Income",IF($F143&lt;&gt;"",$F143,$E143),""))</f>
        <v>90</v>
      </c>
      <c r="H143" s="44" t="str">
        <f aca="false">IF($B143="","",IF($D143="Income","",IF($F143&lt;&gt;"",$F143,$E143)))</f>
        <v/>
      </c>
      <c r="I143" s="45" t="n">
        <f aca="false">IF($B143="","",$I$139+SUM($G$141:$G143)-SUM($H$141:$H143))</f>
        <v>2797.38</v>
      </c>
      <c r="J143" s="46" t="str">
        <f aca="true">IF($B143="","",IF($F143&lt;&gt;"","PAID",IF($C143&lt;TODAY(),"PAST DUE",IF($C143&lt;=TODAY()+7,"DUE","Upcoming"))))</f>
        <v>Upcoming</v>
      </c>
    </row>
    <row r="144" customFormat="false" ht="15" hidden="false" customHeight="false" outlineLevel="0" collapsed="false">
      <c r="B144" s="38" t="str">
        <f aca="false">IFERROR(INDEX(Schedule!$C$4:$C$483,MATCH(7004,Schedule!$K$4:$K$483,0)),"")</f>
        <v/>
      </c>
      <c r="C144" s="39" t="str">
        <f aca="false">IF($B144="","",INDEX(Schedule!$G$4:$G$483,MATCH(7004,Schedule!$K$4:$K$483,0)))</f>
        <v/>
      </c>
      <c r="D144" s="40" t="str">
        <f aca="false">IF($B144="","",INDEX(Schedule!$D$4:$D$483,MATCH(7004,Schedule!$K$4:$K$483,0)))</f>
        <v/>
      </c>
      <c r="E144" s="41" t="str">
        <f aca="false">IF($B144="","",INDEX(Schedule!$E$4:$E$483,MATCH(7004,Schedule!$K$4:$K$483,0)))</f>
        <v/>
      </c>
      <c r="F144" s="42"/>
      <c r="G144" s="43" t="str">
        <f aca="false">IF($B144="","",IF($D144="Income",IF($F144&lt;&gt;"",$F144,$E144),""))</f>
        <v/>
      </c>
      <c r="H144" s="44" t="str">
        <f aca="false">IF($B144="","",IF($D144="Income","",IF($F144&lt;&gt;"",$F144,$E144)))</f>
        <v/>
      </c>
      <c r="I144" s="45" t="str">
        <f aca="false">IF($B144="","",$I$139+SUM($G$141:$G144)-SUM($H$141:$H144))</f>
        <v/>
      </c>
      <c r="J144" s="46" t="str">
        <f aca="true">IF($B144="","",IF($F144&lt;&gt;"","PAID",IF($C144&lt;TODAY(),"PAST DUE",IF($C144&lt;=TODAY()+7,"DUE","Upcoming"))))</f>
        <v/>
      </c>
    </row>
    <row r="145" customFormat="false" ht="15" hidden="false" customHeight="false" outlineLevel="0" collapsed="false">
      <c r="B145" s="38" t="str">
        <f aca="false">IFERROR(INDEX(Schedule!$C$4:$C$483,MATCH(7005,Schedule!$K$4:$K$483,0)),"")</f>
        <v/>
      </c>
      <c r="C145" s="39" t="str">
        <f aca="false">IF($B145="","",INDEX(Schedule!$G$4:$G$483,MATCH(7005,Schedule!$K$4:$K$483,0)))</f>
        <v/>
      </c>
      <c r="D145" s="40" t="str">
        <f aca="false">IF($B145="","",INDEX(Schedule!$D$4:$D$483,MATCH(7005,Schedule!$K$4:$K$483,0)))</f>
        <v/>
      </c>
      <c r="E145" s="41" t="str">
        <f aca="false">IF($B145="","",INDEX(Schedule!$E$4:$E$483,MATCH(7005,Schedule!$K$4:$K$483,0)))</f>
        <v/>
      </c>
      <c r="F145" s="42"/>
      <c r="G145" s="43" t="str">
        <f aca="false">IF($B145="","",IF($D145="Income",IF($F145&lt;&gt;"",$F145,$E145),""))</f>
        <v/>
      </c>
      <c r="H145" s="44" t="str">
        <f aca="false">IF($B145="","",IF($D145="Income","",IF($F145&lt;&gt;"",$F145,$E145)))</f>
        <v/>
      </c>
      <c r="I145" s="45" t="str">
        <f aca="false">IF($B145="","",$I$139+SUM($G$141:$G145)-SUM($H$141:$H145))</f>
        <v/>
      </c>
      <c r="J145" s="46" t="str">
        <f aca="true">IF($B145="","",IF($F145&lt;&gt;"","PAID",IF($C145&lt;TODAY(),"PAST DUE",IF($C145&lt;=TODAY()+7,"DUE","Upcoming"))))</f>
        <v/>
      </c>
    </row>
    <row r="146" customFormat="false" ht="15" hidden="false" customHeight="false" outlineLevel="0" collapsed="false">
      <c r="B146" s="38" t="str">
        <f aca="false">IFERROR(INDEX(Schedule!$C$4:$C$483,MATCH(7006,Schedule!$K$4:$K$483,0)),"")</f>
        <v/>
      </c>
      <c r="C146" s="39" t="str">
        <f aca="false">IF($B146="","",INDEX(Schedule!$G$4:$G$483,MATCH(7006,Schedule!$K$4:$K$483,0)))</f>
        <v/>
      </c>
      <c r="D146" s="40" t="str">
        <f aca="false">IF($B146="","",INDEX(Schedule!$D$4:$D$483,MATCH(7006,Schedule!$K$4:$K$483,0)))</f>
        <v/>
      </c>
      <c r="E146" s="41" t="str">
        <f aca="false">IF($B146="","",INDEX(Schedule!$E$4:$E$483,MATCH(7006,Schedule!$K$4:$K$483,0)))</f>
        <v/>
      </c>
      <c r="F146" s="42"/>
      <c r="G146" s="43" t="str">
        <f aca="false">IF($B146="","",IF($D146="Income",IF($F146&lt;&gt;"",$F146,$E146),""))</f>
        <v/>
      </c>
      <c r="H146" s="44" t="str">
        <f aca="false">IF($B146="","",IF($D146="Income","",IF($F146&lt;&gt;"",$F146,$E146)))</f>
        <v/>
      </c>
      <c r="I146" s="45" t="str">
        <f aca="false">IF($B146="","",$I$139+SUM($G$141:$G146)-SUM($H$141:$H146))</f>
        <v/>
      </c>
      <c r="J146" s="46" t="str">
        <f aca="true">IF($B146="","",IF($F146&lt;&gt;"","PAID",IF($C146&lt;TODAY(),"PAST DUE",IF($C146&lt;=TODAY()+7,"DUE","Upcoming"))))</f>
        <v/>
      </c>
    </row>
    <row r="147" customFormat="false" ht="15" hidden="false" customHeight="false" outlineLevel="0" collapsed="false">
      <c r="B147" s="38" t="str">
        <f aca="false">IFERROR(INDEX(Schedule!$C$4:$C$483,MATCH(7007,Schedule!$K$4:$K$483,0)),"")</f>
        <v/>
      </c>
      <c r="C147" s="39" t="str">
        <f aca="false">IF($B147="","",INDEX(Schedule!$G$4:$G$483,MATCH(7007,Schedule!$K$4:$K$483,0)))</f>
        <v/>
      </c>
      <c r="D147" s="40" t="str">
        <f aca="false">IF($B147="","",INDEX(Schedule!$D$4:$D$483,MATCH(7007,Schedule!$K$4:$K$483,0)))</f>
        <v/>
      </c>
      <c r="E147" s="41" t="str">
        <f aca="false">IF($B147="","",INDEX(Schedule!$E$4:$E$483,MATCH(7007,Schedule!$K$4:$K$483,0)))</f>
        <v/>
      </c>
      <c r="F147" s="42"/>
      <c r="G147" s="43" t="str">
        <f aca="false">IF($B147="","",IF($D147="Income",IF($F147&lt;&gt;"",$F147,$E147),""))</f>
        <v/>
      </c>
      <c r="H147" s="44" t="str">
        <f aca="false">IF($B147="","",IF($D147="Income","",IF($F147&lt;&gt;"",$F147,$E147)))</f>
        <v/>
      </c>
      <c r="I147" s="45" t="str">
        <f aca="false">IF($B147="","",$I$139+SUM($G$141:$G147)-SUM($H$141:$H147))</f>
        <v/>
      </c>
      <c r="J147" s="46" t="str">
        <f aca="true">IF($B147="","",IF($F147&lt;&gt;"","PAID",IF($C147&lt;TODAY(),"PAST DUE",IF($C147&lt;=TODAY()+7,"DUE","Upcoming"))))</f>
        <v/>
      </c>
    </row>
    <row r="148" customFormat="false" ht="15" hidden="false" customHeight="false" outlineLevel="0" collapsed="false">
      <c r="B148" s="38" t="str">
        <f aca="false">IFERROR(INDEX(Schedule!$C$4:$C$483,MATCH(7008,Schedule!$K$4:$K$483,0)),"")</f>
        <v/>
      </c>
      <c r="C148" s="39" t="str">
        <f aca="false">IF($B148="","",INDEX(Schedule!$G$4:$G$483,MATCH(7008,Schedule!$K$4:$K$483,0)))</f>
        <v/>
      </c>
      <c r="D148" s="40" t="str">
        <f aca="false">IF($B148="","",INDEX(Schedule!$D$4:$D$483,MATCH(7008,Schedule!$K$4:$K$483,0)))</f>
        <v/>
      </c>
      <c r="E148" s="41" t="str">
        <f aca="false">IF($B148="","",INDEX(Schedule!$E$4:$E$483,MATCH(7008,Schedule!$K$4:$K$483,0)))</f>
        <v/>
      </c>
      <c r="F148" s="42"/>
      <c r="G148" s="43" t="str">
        <f aca="false">IF($B148="","",IF($D148="Income",IF($F148&lt;&gt;"",$F148,$E148),""))</f>
        <v/>
      </c>
      <c r="H148" s="44" t="str">
        <f aca="false">IF($B148="","",IF($D148="Income","",IF($F148&lt;&gt;"",$F148,$E148)))</f>
        <v/>
      </c>
      <c r="I148" s="45" t="str">
        <f aca="false">IF($B148="","",$I$139+SUM($G$141:$G148)-SUM($H$141:$H148))</f>
        <v/>
      </c>
      <c r="J148" s="46" t="str">
        <f aca="true">IF($B148="","",IF($F148&lt;&gt;"","PAID",IF($C148&lt;TODAY(),"PAST DUE",IF($C148&lt;=TODAY()+7,"DUE","Upcoming"))))</f>
        <v/>
      </c>
    </row>
    <row r="149" customFormat="false" ht="15" hidden="false" customHeight="false" outlineLevel="0" collapsed="false">
      <c r="B149" s="38" t="str">
        <f aca="false">IFERROR(INDEX(Schedule!$C$4:$C$483,MATCH(7009,Schedule!$K$4:$K$483,0)),"")</f>
        <v/>
      </c>
      <c r="C149" s="39" t="str">
        <f aca="false">IF($B149="","",INDEX(Schedule!$G$4:$G$483,MATCH(7009,Schedule!$K$4:$K$483,0)))</f>
        <v/>
      </c>
      <c r="D149" s="40" t="str">
        <f aca="false">IF($B149="","",INDEX(Schedule!$D$4:$D$483,MATCH(7009,Schedule!$K$4:$K$483,0)))</f>
        <v/>
      </c>
      <c r="E149" s="41" t="str">
        <f aca="false">IF($B149="","",INDEX(Schedule!$E$4:$E$483,MATCH(7009,Schedule!$K$4:$K$483,0)))</f>
        <v/>
      </c>
      <c r="F149" s="42"/>
      <c r="G149" s="43" t="str">
        <f aca="false">IF($B149="","",IF($D149="Income",IF($F149&lt;&gt;"",$F149,$E149),""))</f>
        <v/>
      </c>
      <c r="H149" s="44" t="str">
        <f aca="false">IF($B149="","",IF($D149="Income","",IF($F149&lt;&gt;"",$F149,$E149)))</f>
        <v/>
      </c>
      <c r="I149" s="45" t="str">
        <f aca="false">IF($B149="","",$I$139+SUM($G$141:$G149)-SUM($H$141:$H149))</f>
        <v/>
      </c>
      <c r="J149" s="46" t="str">
        <f aca="true">IF($B149="","",IF($F149&lt;&gt;"","PAID",IF($C149&lt;TODAY(),"PAST DUE",IF($C149&lt;=TODAY()+7,"DUE","Upcoming"))))</f>
        <v/>
      </c>
    </row>
    <row r="150" customFormat="false" ht="15" hidden="false" customHeight="false" outlineLevel="0" collapsed="false">
      <c r="B150" s="38" t="str">
        <f aca="false">IFERROR(INDEX(Schedule!$C$4:$C$483,MATCH(7010,Schedule!$K$4:$K$483,0)),"")</f>
        <v/>
      </c>
      <c r="C150" s="39" t="str">
        <f aca="false">IF($B150="","",INDEX(Schedule!$G$4:$G$483,MATCH(7010,Schedule!$K$4:$K$483,0)))</f>
        <v/>
      </c>
      <c r="D150" s="40" t="str">
        <f aca="false">IF($B150="","",INDEX(Schedule!$D$4:$D$483,MATCH(7010,Schedule!$K$4:$K$483,0)))</f>
        <v/>
      </c>
      <c r="E150" s="41" t="str">
        <f aca="false">IF($B150="","",INDEX(Schedule!$E$4:$E$483,MATCH(7010,Schedule!$K$4:$K$483,0)))</f>
        <v/>
      </c>
      <c r="F150" s="42"/>
      <c r="G150" s="43" t="str">
        <f aca="false">IF($B150="","",IF($D150="Income",IF($F150&lt;&gt;"",$F150,$E150),""))</f>
        <v/>
      </c>
      <c r="H150" s="44" t="str">
        <f aca="false">IF($B150="","",IF($D150="Income","",IF($F150&lt;&gt;"",$F150,$E150)))</f>
        <v/>
      </c>
      <c r="I150" s="45" t="str">
        <f aca="false">IF($B150="","",$I$139+SUM($G$141:$G150)-SUM($H$141:$H150))</f>
        <v/>
      </c>
      <c r="J150" s="46" t="str">
        <f aca="true">IF($B150="","",IF($F150&lt;&gt;"","PAID",IF($C150&lt;TODAY(),"PAST DUE",IF($C150&lt;=TODAY()+7,"DUE","Upcoming"))))</f>
        <v/>
      </c>
    </row>
    <row r="151" customFormat="false" ht="15" hidden="false" customHeight="false" outlineLevel="0" collapsed="false">
      <c r="B151" s="47" t="s">
        <v>123</v>
      </c>
      <c r="C151" s="48"/>
      <c r="D151" s="48"/>
      <c r="E151" s="48"/>
      <c r="F151" s="48"/>
      <c r="G151" s="48"/>
      <c r="H151" s="48"/>
      <c r="I151" s="48"/>
      <c r="J151" s="48"/>
    </row>
    <row r="152" customFormat="false" ht="15" hidden="false" customHeight="false" outlineLevel="0" collapsed="false">
      <c r="B152" s="6"/>
      <c r="C152" s="10"/>
      <c r="D152" s="49" t="str">
        <f aca="false">IF($B152="","","Expense")</f>
        <v/>
      </c>
      <c r="E152" s="18"/>
      <c r="F152" s="10"/>
      <c r="G152" s="10"/>
      <c r="H152" s="50" t="str">
        <f aca="false">IF($B152="","",N($E152))</f>
        <v/>
      </c>
      <c r="I152" s="51" t="str">
        <f aca="false">IF($B152="","",$I$139+SUM($G$141:$G152)-SUM($H$141:$H152))</f>
        <v/>
      </c>
      <c r="J152" s="10"/>
    </row>
    <row r="153" customFormat="false" ht="15" hidden="false" customHeight="false" outlineLevel="0" collapsed="false">
      <c r="B153" s="6"/>
      <c r="C153" s="10"/>
      <c r="D153" s="49" t="str">
        <f aca="false">IF($B153="","","Expense")</f>
        <v/>
      </c>
      <c r="E153" s="18"/>
      <c r="F153" s="10"/>
      <c r="G153" s="10"/>
      <c r="H153" s="50" t="str">
        <f aca="false">IF($B153="","",N($E153))</f>
        <v/>
      </c>
      <c r="I153" s="51" t="str">
        <f aca="false">IF($B153="","",$I$139+SUM($G$141:$G153)-SUM($H$141:$H153))</f>
        <v/>
      </c>
      <c r="J153" s="10"/>
    </row>
    <row r="154" customFormat="false" ht="15" hidden="false" customHeight="false" outlineLevel="0" collapsed="false">
      <c r="B154" s="6"/>
      <c r="C154" s="10"/>
      <c r="D154" s="49" t="str">
        <f aca="false">IF($B154="","","Expense")</f>
        <v/>
      </c>
      <c r="E154" s="18"/>
      <c r="F154" s="10"/>
      <c r="G154" s="10"/>
      <c r="H154" s="50" t="str">
        <f aca="false">IF($B154="","",N($E154))</f>
        <v/>
      </c>
      <c r="I154" s="51" t="str">
        <f aca="false">IF($B154="","",$I$139+SUM($G$141:$G154)-SUM($H$141:$H154))</f>
        <v/>
      </c>
      <c r="J154" s="10"/>
    </row>
    <row r="155" customFormat="false" ht="15" hidden="false" customHeight="false" outlineLevel="0" collapsed="false">
      <c r="B155" s="6"/>
      <c r="C155" s="10"/>
      <c r="D155" s="49" t="str">
        <f aca="false">IF($B155="","","Expense")</f>
        <v/>
      </c>
      <c r="E155" s="18"/>
      <c r="F155" s="10"/>
      <c r="G155" s="10"/>
      <c r="H155" s="50" t="str">
        <f aca="false">IF($B155="","",N($E155))</f>
        <v/>
      </c>
      <c r="I155" s="51" t="str">
        <f aca="false">IF($B155="","",$I$139+SUM($G$141:$G155)-SUM($H$141:$H155))</f>
        <v/>
      </c>
      <c r="J155" s="10"/>
    </row>
    <row r="156" customFormat="false" ht="15" hidden="false" customHeight="false" outlineLevel="0" collapsed="false">
      <c r="B156" s="6"/>
      <c r="C156" s="10"/>
      <c r="D156" s="49" t="str">
        <f aca="false">IF($B156="","","Expense")</f>
        <v/>
      </c>
      <c r="E156" s="18"/>
      <c r="F156" s="10"/>
      <c r="G156" s="10"/>
      <c r="H156" s="50" t="str">
        <f aca="false">IF($B156="","",N($E156))</f>
        <v/>
      </c>
      <c r="I156" s="51" t="str">
        <f aca="false">IF($B156="","",$I$139+SUM($G$141:$G156)-SUM($H$141:$H156))</f>
        <v/>
      </c>
      <c r="J156" s="10"/>
    </row>
    <row r="157" customFormat="false" ht="15" hidden="false" customHeight="false" outlineLevel="0" collapsed="false">
      <c r="B157" s="6"/>
      <c r="C157" s="10"/>
      <c r="D157" s="49" t="str">
        <f aca="false">IF($B157="","","Expense")</f>
        <v/>
      </c>
      <c r="E157" s="18"/>
      <c r="F157" s="10"/>
      <c r="G157" s="10"/>
      <c r="H157" s="50" t="str">
        <f aca="false">IF($B157="","",N($E157))</f>
        <v/>
      </c>
      <c r="I157" s="51" t="str">
        <f aca="false">IF($B157="","",$I$139+SUM($G$141:$G157)-SUM($H$141:$H157))</f>
        <v/>
      </c>
      <c r="J157" s="10"/>
    </row>
    <row r="158" customFormat="false" ht="15" hidden="false" customHeight="false" outlineLevel="0" collapsed="false">
      <c r="B158" s="52" t="s">
        <v>130</v>
      </c>
      <c r="C158" s="53"/>
      <c r="D158" s="53"/>
      <c r="E158" s="53"/>
      <c r="F158" s="53"/>
      <c r="G158" s="54" t="n">
        <f aca="false">SUM($G$141:$G$157)</f>
        <v>880</v>
      </c>
      <c r="H158" s="54" t="n">
        <f aca="false">SUM($H$141:$H$157)</f>
        <v>16.99</v>
      </c>
      <c r="I158" s="55" t="n">
        <f aca="false">$I$139+$G$158-$H$158</f>
        <v>2797.38</v>
      </c>
      <c r="J158" s="56" t="str">
        <f aca="false">IF($I$158&lt;0,"SHORTFALL",IF($I$158&lt;$E$7,"TIGHT","OK"))</f>
        <v>OK</v>
      </c>
      <c r="K158" s="25" t="str">
        <f aca="false">"In "&amp;TEXT($G$158,"$#,##0.00")&amp;"   less out "&amp;TEXT($H$158,"$#,##0.00")&amp;"   =  net "&amp;TEXT($G$158-$H$158,"$#,##0.00;-$#,##0.00")</f>
        <v>In $880.00   less out $16.99   =  net $863.01</v>
      </c>
    </row>
    <row r="160" customFormat="false" ht="21.75" hidden="false" customHeight="true" outlineLevel="0" collapsed="false">
      <c r="B160" s="31" t="str">
        <f aca="false">"WEEK 8     "&amp;TEXT($E$6+49,"ddd, mmm d")&amp;"   through   "&amp;TEXT($E$6+49+6,"ddd, mmm d, yyyy")</f>
        <v>WEEK 8     Fri, Sep 25   through   Thu, Oct 1, 2026</v>
      </c>
      <c r="C160" s="32"/>
      <c r="D160" s="32"/>
      <c r="E160" s="32"/>
      <c r="F160" s="32"/>
      <c r="G160" s="33" t="s">
        <v>116</v>
      </c>
      <c r="H160" s="32"/>
      <c r="I160" s="34" t="n">
        <f aca="false">$I$158</f>
        <v>2797.38</v>
      </c>
      <c r="J160" s="32"/>
      <c r="K160" s="28" t="str">
        <f aca="false">IF(COUNTIF(Schedule!$I$4:$I$483,8)&gt;10,"! "&amp;COUNTIF(Schedule!$I$4:$I$483,8)-10&amp;" more transaction(s) fall in this week than there are rows to show them.","")</f>
        <v/>
      </c>
    </row>
    <row r="161" customFormat="false" ht="25.5" hidden="false" customHeight="true" outlineLevel="0" collapsed="false">
      <c r="B161" s="35" t="s">
        <v>117</v>
      </c>
      <c r="C161" s="35" t="s">
        <v>118</v>
      </c>
      <c r="D161" s="35" t="s">
        <v>68</v>
      </c>
      <c r="E161" s="35" t="s">
        <v>119</v>
      </c>
      <c r="F161" s="35" t="s">
        <v>120</v>
      </c>
      <c r="G161" s="36" t="s">
        <v>18</v>
      </c>
      <c r="H161" s="37" t="s">
        <v>20</v>
      </c>
      <c r="I161" s="35" t="s">
        <v>121</v>
      </c>
      <c r="J161" s="35" t="s">
        <v>122</v>
      </c>
    </row>
    <row r="162" customFormat="false" ht="15" hidden="false" customHeight="false" outlineLevel="0" collapsed="false">
      <c r="B162" s="38" t="str">
        <f aca="false">IFERROR(INDEX(Schedule!$C$4:$C$483,MATCH(8001,Schedule!$K$4:$K$483,0)),"")</f>
        <v>Compunnel Software (paycheck)</v>
      </c>
      <c r="C162" s="39" t="n">
        <f aca="false">IF($B162="","",INDEX(Schedule!$G$4:$G$483,MATCH(8001,Schedule!$K$4:$K$483,0)))</f>
        <v>46290</v>
      </c>
      <c r="D162" s="40" t="str">
        <f aca="false">IF($B162="","",INDEX(Schedule!$D$4:$D$483,MATCH(8001,Schedule!$K$4:$K$483,0)))</f>
        <v>Income</v>
      </c>
      <c r="E162" s="41" t="n">
        <f aca="false">IF($B162="","",INDEX(Schedule!$E$4:$E$483,MATCH(8001,Schedule!$K$4:$K$483,0)))</f>
        <v>790</v>
      </c>
      <c r="F162" s="42"/>
      <c r="G162" s="43" t="n">
        <f aca="false">IF($B162="","",IF($D162="Income",IF($F162&lt;&gt;"",$F162,$E162),""))</f>
        <v>790</v>
      </c>
      <c r="H162" s="44" t="str">
        <f aca="false">IF($B162="","",IF($D162="Income","",IF($F162&lt;&gt;"",$F162,$E162)))</f>
        <v/>
      </c>
      <c r="I162" s="45" t="n">
        <f aca="false">IF($B162="","",$I$160+SUM($G$162:$G162)-SUM($H$162:$H162))</f>
        <v>3587.38</v>
      </c>
      <c r="J162" s="46" t="str">
        <f aca="true">IF($B162="","",IF($F162&lt;&gt;"","PAID",IF($C162&lt;TODAY(),"PAST DUE",IF($C162&lt;=TODAY()+7,"DUE","Upcoming"))))</f>
        <v>Upcoming</v>
      </c>
    </row>
    <row r="163" customFormat="false" ht="15" hidden="false" customHeight="false" outlineLevel="0" collapsed="false">
      <c r="B163" s="38" t="str">
        <f aca="false">IFERROR(INDEX(Schedule!$C$4:$C$483,MATCH(8002,Schedule!$K$4:$K$483,0)),"")</f>
        <v>Microsoft</v>
      </c>
      <c r="C163" s="39" t="n">
        <f aca="false">IF($B163="","",INDEX(Schedule!$G$4:$G$483,MATCH(8002,Schedule!$K$4:$K$483,0)))</f>
        <v>46290</v>
      </c>
      <c r="D163" s="40" t="str">
        <f aca="false">IF($B163="","",INDEX(Schedule!$D$4:$D$483,MATCH(8002,Schedule!$K$4:$K$483,0)))</f>
        <v>Expense</v>
      </c>
      <c r="E163" s="41" t="n">
        <f aca="false">IF($B163="","",INDEX(Schedule!$E$4:$E$483,MATCH(8002,Schedule!$K$4:$K$483,0)))</f>
        <v>13.7</v>
      </c>
      <c r="F163" s="42"/>
      <c r="G163" s="43" t="str">
        <f aca="false">IF($B163="","",IF($D163="Income",IF($F163&lt;&gt;"",$F163,$E163),""))</f>
        <v/>
      </c>
      <c r="H163" s="44" t="n">
        <f aca="false">IF($B163="","",IF($D163="Income","",IF($F163&lt;&gt;"",$F163,$E163)))</f>
        <v>13.7</v>
      </c>
      <c r="I163" s="45" t="n">
        <f aca="false">IF($B163="","",$I$160+SUM($G$162:$G163)-SUM($H$162:$H163))</f>
        <v>3573.68</v>
      </c>
      <c r="J163" s="46" t="str">
        <f aca="true">IF($B163="","",IF($F163&lt;&gt;"","PAID",IF($C163&lt;TODAY(),"PAST DUE",IF($C163&lt;=TODAY()+7,"DUE","Upcoming"))))</f>
        <v>Upcoming</v>
      </c>
    </row>
    <row r="164" customFormat="false" ht="15" hidden="false" customHeight="false" outlineLevel="0" collapsed="false">
      <c r="B164" s="38" t="str">
        <f aca="false">IFERROR(INDEX(Schedule!$C$4:$C$483,MATCH(8003,Schedule!$K$4:$K$483,0)),"")</f>
        <v>Central Maine Power: Payment Plan</v>
      </c>
      <c r="C164" s="39" t="n">
        <f aca="false">IF($B164="","",INDEX(Schedule!$G$4:$G$483,MATCH(8003,Schedule!$K$4:$K$483,0)))</f>
        <v>46290</v>
      </c>
      <c r="D164" s="40" t="str">
        <f aca="false">IF($B164="","",INDEX(Schedule!$D$4:$D$483,MATCH(8003,Schedule!$K$4:$K$483,0)))</f>
        <v>Expense</v>
      </c>
      <c r="E164" s="41" t="n">
        <f aca="false">IF($B164="","",INDEX(Schedule!$E$4:$E$483,MATCH(8003,Schedule!$K$4:$K$483,0)))</f>
        <v>43.87</v>
      </c>
      <c r="F164" s="42"/>
      <c r="G164" s="43" t="str">
        <f aca="false">IF($B164="","",IF($D164="Income",IF($F164&lt;&gt;"",$F164,$E164),""))</f>
        <v/>
      </c>
      <c r="H164" s="44" t="n">
        <f aca="false">IF($B164="","",IF($D164="Income","",IF($F164&lt;&gt;"",$F164,$E164)))</f>
        <v>43.87</v>
      </c>
      <c r="I164" s="45" t="n">
        <f aca="false">IF($B164="","",$I$160+SUM($G$162:$G164)-SUM($H$162:$H164))</f>
        <v>3529.81</v>
      </c>
      <c r="J164" s="46" t="str">
        <f aca="true">IF($B164="","",IF($F164&lt;&gt;"","PAID",IF($C164&lt;TODAY(),"PAST DUE",IF($C164&lt;=TODAY()+7,"DUE","Upcoming"))))</f>
        <v>Upcoming</v>
      </c>
    </row>
    <row r="165" customFormat="false" ht="15" hidden="false" customHeight="false" outlineLevel="0" collapsed="false">
      <c r="B165" s="38" t="str">
        <f aca="false">IFERROR(INDEX(Schedule!$C$4:$C$483,MATCH(8004,Schedule!$K$4:$K$483,0)),"")</f>
        <v>Bruno's Restaurant (paycheck)</v>
      </c>
      <c r="C165" s="39" t="n">
        <f aca="false">IF($B165="","",INDEX(Schedule!$G$4:$G$483,MATCH(8004,Schedule!$K$4:$K$483,0)))</f>
        <v>46295</v>
      </c>
      <c r="D165" s="40" t="str">
        <f aca="false">IF($B165="","",INDEX(Schedule!$D$4:$D$483,MATCH(8004,Schedule!$K$4:$K$483,0)))</f>
        <v>Income</v>
      </c>
      <c r="E165" s="41" t="n">
        <f aca="false">IF($B165="","",INDEX(Schedule!$E$4:$E$483,MATCH(8004,Schedule!$K$4:$K$483,0)))</f>
        <v>90</v>
      </c>
      <c r="F165" s="42"/>
      <c r="G165" s="43" t="n">
        <f aca="false">IF($B165="","",IF($D165="Income",IF($F165&lt;&gt;"",$F165,$E165),""))</f>
        <v>90</v>
      </c>
      <c r="H165" s="44" t="str">
        <f aca="false">IF($B165="","",IF($D165="Income","",IF($F165&lt;&gt;"",$F165,$E165)))</f>
        <v/>
      </c>
      <c r="I165" s="45" t="n">
        <f aca="false">IF($B165="","",$I$160+SUM($G$162:$G165)-SUM($H$162:$H165))</f>
        <v>3619.81</v>
      </c>
      <c r="J165" s="46" t="str">
        <f aca="true">IF($B165="","",IF($F165&lt;&gt;"","PAID",IF($C165&lt;TODAY(),"PAST DUE",IF($C165&lt;=TODAY()+7,"DUE","Upcoming"))))</f>
        <v>Upcoming</v>
      </c>
    </row>
    <row r="166" customFormat="false" ht="15" hidden="false" customHeight="false" outlineLevel="0" collapsed="false">
      <c r="B166" s="38" t="str">
        <f aca="false">IFERROR(INDEX(Schedule!$C$4:$C$483,MATCH(8005,Schedule!$K$4:$K$483,0)),"")</f>
        <v>Patrick Rombalski (rent)</v>
      </c>
      <c r="C166" s="39" t="n">
        <f aca="false">IF($B166="","",INDEX(Schedule!$G$4:$G$483,MATCH(8005,Schedule!$K$4:$K$483,0)))</f>
        <v>46295</v>
      </c>
      <c r="D166" s="40" t="str">
        <f aca="false">IF($B166="","",INDEX(Schedule!$D$4:$D$483,MATCH(8005,Schedule!$K$4:$K$483,0)))</f>
        <v>Expense</v>
      </c>
      <c r="E166" s="41" t="n">
        <f aca="false">IF($B166="","",INDEX(Schedule!$E$4:$E$483,MATCH(8005,Schedule!$K$4:$K$483,0)))</f>
        <v>350</v>
      </c>
      <c r="F166" s="42"/>
      <c r="G166" s="43" t="str">
        <f aca="false">IF($B166="","",IF($D166="Income",IF($F166&lt;&gt;"",$F166,$E166),""))</f>
        <v/>
      </c>
      <c r="H166" s="44" t="n">
        <f aca="false">IF($B166="","",IF($D166="Income","",IF($F166&lt;&gt;"",$F166,$E166)))</f>
        <v>350</v>
      </c>
      <c r="I166" s="45" t="n">
        <f aca="false">IF($B166="","",$I$160+SUM($G$162:$G166)-SUM($H$162:$H166))</f>
        <v>3269.81</v>
      </c>
      <c r="J166" s="46" t="str">
        <f aca="true">IF($B166="","",IF($F166&lt;&gt;"","PAID",IF($C166&lt;TODAY(),"PAST DUE",IF($C166&lt;=TODAY()+7,"DUE","Upcoming"))))</f>
        <v>Upcoming</v>
      </c>
    </row>
    <row r="167" customFormat="false" ht="15" hidden="false" customHeight="false" outlineLevel="0" collapsed="false">
      <c r="B167" s="38" t="str">
        <f aca="false">IFERROR(INDEX(Schedule!$C$4:$C$483,MATCH(8006,Schedule!$K$4:$K$483,0)),"")</f>
        <v>Maine Revenue Services (2)</v>
      </c>
      <c r="C167" s="39" t="n">
        <f aca="false">IF($B167="","",INDEX(Schedule!$G$4:$G$483,MATCH(8006,Schedule!$K$4:$K$483,0)))</f>
        <v>46295</v>
      </c>
      <c r="D167" s="40" t="str">
        <f aca="false">IF($B167="","",INDEX(Schedule!$D$4:$D$483,MATCH(8006,Schedule!$K$4:$K$483,0)))</f>
        <v>Expense</v>
      </c>
      <c r="E167" s="41" t="n">
        <f aca="false">IF($B167="","",INDEX(Schedule!$E$4:$E$483,MATCH(8006,Schedule!$K$4:$K$483,0)))</f>
        <v>150</v>
      </c>
      <c r="F167" s="42"/>
      <c r="G167" s="43" t="str">
        <f aca="false">IF($B167="","",IF($D167="Income",IF($F167&lt;&gt;"",$F167,$E167),""))</f>
        <v/>
      </c>
      <c r="H167" s="44" t="n">
        <f aca="false">IF($B167="","",IF($D167="Income","",IF($F167&lt;&gt;"",$F167,$E167)))</f>
        <v>150</v>
      </c>
      <c r="I167" s="45" t="n">
        <f aca="false">IF($B167="","",$I$160+SUM($G$162:$G167)-SUM($H$162:$H167))</f>
        <v>3119.81</v>
      </c>
      <c r="J167" s="46" t="str">
        <f aca="true">IF($B167="","",IF($F167&lt;&gt;"","PAID",IF($C167&lt;TODAY(),"PAST DUE",IF($C167&lt;=TODAY()+7,"DUE","Upcoming"))))</f>
        <v>Upcoming</v>
      </c>
    </row>
    <row r="168" customFormat="false" ht="15" hidden="false" customHeight="false" outlineLevel="0" collapsed="false">
      <c r="B168" s="38" t="str">
        <f aca="false">IFERROR(INDEX(Schedule!$C$4:$C$483,MATCH(8007,Schedule!$K$4:$K$483,0)),"")</f>
        <v>Progressive Insurance</v>
      </c>
      <c r="C168" s="39" t="n">
        <f aca="false">IF($B168="","",INDEX(Schedule!$G$4:$G$483,MATCH(8007,Schedule!$K$4:$K$483,0)))</f>
        <v>46295</v>
      </c>
      <c r="D168" s="40" t="str">
        <f aca="false">IF($B168="","",INDEX(Schedule!$D$4:$D$483,MATCH(8007,Schedule!$K$4:$K$483,0)))</f>
        <v>Expense</v>
      </c>
      <c r="E168" s="41" t="n">
        <f aca="false">IF($B168="","",INDEX(Schedule!$E$4:$E$483,MATCH(8007,Schedule!$K$4:$K$483,0)))</f>
        <v>143.37</v>
      </c>
      <c r="F168" s="42"/>
      <c r="G168" s="43" t="str">
        <f aca="false">IF($B168="","",IF($D168="Income",IF($F168&lt;&gt;"",$F168,$E168),""))</f>
        <v/>
      </c>
      <c r="H168" s="44" t="n">
        <f aca="false">IF($B168="","",IF($D168="Income","",IF($F168&lt;&gt;"",$F168,$E168)))</f>
        <v>143.37</v>
      </c>
      <c r="I168" s="45" t="n">
        <f aca="false">IF($B168="","",$I$160+SUM($G$162:$G168)-SUM($H$162:$H168))</f>
        <v>2976.44</v>
      </c>
      <c r="J168" s="46" t="str">
        <f aca="true">IF($B168="","",IF($F168&lt;&gt;"","PAID",IF($C168&lt;TODAY(),"PAST DUE",IF($C168&lt;=TODAY()+7,"DUE","Upcoming"))))</f>
        <v>Upcoming</v>
      </c>
    </row>
    <row r="169" customFormat="false" ht="15" hidden="false" customHeight="false" outlineLevel="0" collapsed="false">
      <c r="B169" s="38" t="str">
        <f aca="false">IFERROR(INDEX(Schedule!$C$4:$C$483,MATCH(8008,Schedule!$K$4:$K$483,0)),"")</f>
        <v/>
      </c>
      <c r="C169" s="39" t="str">
        <f aca="false">IF($B169="","",INDEX(Schedule!$G$4:$G$483,MATCH(8008,Schedule!$K$4:$K$483,0)))</f>
        <v/>
      </c>
      <c r="D169" s="40" t="str">
        <f aca="false">IF($B169="","",INDEX(Schedule!$D$4:$D$483,MATCH(8008,Schedule!$K$4:$K$483,0)))</f>
        <v/>
      </c>
      <c r="E169" s="41" t="str">
        <f aca="false">IF($B169="","",INDEX(Schedule!$E$4:$E$483,MATCH(8008,Schedule!$K$4:$K$483,0)))</f>
        <v/>
      </c>
      <c r="F169" s="42"/>
      <c r="G169" s="43" t="str">
        <f aca="false">IF($B169="","",IF($D169="Income",IF($F169&lt;&gt;"",$F169,$E169),""))</f>
        <v/>
      </c>
      <c r="H169" s="44" t="str">
        <f aca="false">IF($B169="","",IF($D169="Income","",IF($F169&lt;&gt;"",$F169,$E169)))</f>
        <v/>
      </c>
      <c r="I169" s="45" t="str">
        <f aca="false">IF($B169="","",$I$160+SUM($G$162:$G169)-SUM($H$162:$H169))</f>
        <v/>
      </c>
      <c r="J169" s="46" t="str">
        <f aca="true">IF($B169="","",IF($F169&lt;&gt;"","PAID",IF($C169&lt;TODAY(),"PAST DUE",IF($C169&lt;=TODAY()+7,"DUE","Upcoming"))))</f>
        <v/>
      </c>
    </row>
    <row r="170" customFormat="false" ht="15" hidden="false" customHeight="false" outlineLevel="0" collapsed="false">
      <c r="B170" s="38" t="str">
        <f aca="false">IFERROR(INDEX(Schedule!$C$4:$C$483,MATCH(8009,Schedule!$K$4:$K$483,0)),"")</f>
        <v/>
      </c>
      <c r="C170" s="39" t="str">
        <f aca="false">IF($B170="","",INDEX(Schedule!$G$4:$G$483,MATCH(8009,Schedule!$K$4:$K$483,0)))</f>
        <v/>
      </c>
      <c r="D170" s="40" t="str">
        <f aca="false">IF($B170="","",INDEX(Schedule!$D$4:$D$483,MATCH(8009,Schedule!$K$4:$K$483,0)))</f>
        <v/>
      </c>
      <c r="E170" s="41" t="str">
        <f aca="false">IF($B170="","",INDEX(Schedule!$E$4:$E$483,MATCH(8009,Schedule!$K$4:$K$483,0)))</f>
        <v/>
      </c>
      <c r="F170" s="42"/>
      <c r="G170" s="43" t="str">
        <f aca="false">IF($B170="","",IF($D170="Income",IF($F170&lt;&gt;"",$F170,$E170),""))</f>
        <v/>
      </c>
      <c r="H170" s="44" t="str">
        <f aca="false">IF($B170="","",IF($D170="Income","",IF($F170&lt;&gt;"",$F170,$E170)))</f>
        <v/>
      </c>
      <c r="I170" s="45" t="str">
        <f aca="false">IF($B170="","",$I$160+SUM($G$162:$G170)-SUM($H$162:$H170))</f>
        <v/>
      </c>
      <c r="J170" s="46" t="str">
        <f aca="true">IF($B170="","",IF($F170&lt;&gt;"","PAID",IF($C170&lt;TODAY(),"PAST DUE",IF($C170&lt;=TODAY()+7,"DUE","Upcoming"))))</f>
        <v/>
      </c>
    </row>
    <row r="171" customFormat="false" ht="15" hidden="false" customHeight="false" outlineLevel="0" collapsed="false">
      <c r="B171" s="38" t="str">
        <f aca="false">IFERROR(INDEX(Schedule!$C$4:$C$483,MATCH(8010,Schedule!$K$4:$K$483,0)),"")</f>
        <v/>
      </c>
      <c r="C171" s="39" t="str">
        <f aca="false">IF($B171="","",INDEX(Schedule!$G$4:$G$483,MATCH(8010,Schedule!$K$4:$K$483,0)))</f>
        <v/>
      </c>
      <c r="D171" s="40" t="str">
        <f aca="false">IF($B171="","",INDEX(Schedule!$D$4:$D$483,MATCH(8010,Schedule!$K$4:$K$483,0)))</f>
        <v/>
      </c>
      <c r="E171" s="41" t="str">
        <f aca="false">IF($B171="","",INDEX(Schedule!$E$4:$E$483,MATCH(8010,Schedule!$K$4:$K$483,0)))</f>
        <v/>
      </c>
      <c r="F171" s="42"/>
      <c r="G171" s="43" t="str">
        <f aca="false">IF($B171="","",IF($D171="Income",IF($F171&lt;&gt;"",$F171,$E171),""))</f>
        <v/>
      </c>
      <c r="H171" s="44" t="str">
        <f aca="false">IF($B171="","",IF($D171="Income","",IF($F171&lt;&gt;"",$F171,$E171)))</f>
        <v/>
      </c>
      <c r="I171" s="45" t="str">
        <f aca="false">IF($B171="","",$I$160+SUM($G$162:$G171)-SUM($H$162:$H171))</f>
        <v/>
      </c>
      <c r="J171" s="46" t="str">
        <f aca="true">IF($B171="","",IF($F171&lt;&gt;"","PAID",IF($C171&lt;TODAY(),"PAST DUE",IF($C171&lt;=TODAY()+7,"DUE","Upcoming"))))</f>
        <v/>
      </c>
    </row>
    <row r="172" customFormat="false" ht="15" hidden="false" customHeight="false" outlineLevel="0" collapsed="false">
      <c r="B172" s="47" t="s">
        <v>123</v>
      </c>
      <c r="C172" s="48"/>
      <c r="D172" s="48"/>
      <c r="E172" s="48"/>
      <c r="F172" s="48"/>
      <c r="G172" s="48"/>
      <c r="H172" s="48"/>
      <c r="I172" s="48"/>
      <c r="J172" s="48"/>
    </row>
    <row r="173" customFormat="false" ht="15" hidden="false" customHeight="false" outlineLevel="0" collapsed="false">
      <c r="B173" s="6"/>
      <c r="C173" s="10"/>
      <c r="D173" s="49" t="str">
        <f aca="false">IF($B173="","","Expense")</f>
        <v/>
      </c>
      <c r="E173" s="18"/>
      <c r="F173" s="10"/>
      <c r="G173" s="10"/>
      <c r="H173" s="50" t="str">
        <f aca="false">IF($B173="","",N($E173))</f>
        <v/>
      </c>
      <c r="I173" s="51" t="str">
        <f aca="false">IF($B173="","",$I$160+SUM($G$162:$G173)-SUM($H$162:$H173))</f>
        <v/>
      </c>
      <c r="J173" s="10"/>
    </row>
    <row r="174" customFormat="false" ht="15" hidden="false" customHeight="false" outlineLevel="0" collapsed="false">
      <c r="B174" s="6"/>
      <c r="C174" s="10"/>
      <c r="D174" s="49" t="str">
        <f aca="false">IF($B174="","","Expense")</f>
        <v/>
      </c>
      <c r="E174" s="18"/>
      <c r="F174" s="10"/>
      <c r="G174" s="10"/>
      <c r="H174" s="50" t="str">
        <f aca="false">IF($B174="","",N($E174))</f>
        <v/>
      </c>
      <c r="I174" s="51" t="str">
        <f aca="false">IF($B174="","",$I$160+SUM($G$162:$G174)-SUM($H$162:$H174))</f>
        <v/>
      </c>
      <c r="J174" s="10"/>
    </row>
    <row r="175" customFormat="false" ht="15" hidden="false" customHeight="false" outlineLevel="0" collapsed="false">
      <c r="B175" s="6"/>
      <c r="C175" s="10"/>
      <c r="D175" s="49" t="str">
        <f aca="false">IF($B175="","","Expense")</f>
        <v/>
      </c>
      <c r="E175" s="18"/>
      <c r="F175" s="10"/>
      <c r="G175" s="10"/>
      <c r="H175" s="50" t="str">
        <f aca="false">IF($B175="","",N($E175))</f>
        <v/>
      </c>
      <c r="I175" s="51" t="str">
        <f aca="false">IF($B175="","",$I$160+SUM($G$162:$G175)-SUM($H$162:$H175))</f>
        <v/>
      </c>
      <c r="J175" s="10"/>
    </row>
    <row r="176" customFormat="false" ht="15" hidden="false" customHeight="false" outlineLevel="0" collapsed="false">
      <c r="B176" s="6"/>
      <c r="C176" s="10"/>
      <c r="D176" s="49" t="str">
        <f aca="false">IF($B176="","","Expense")</f>
        <v/>
      </c>
      <c r="E176" s="18"/>
      <c r="F176" s="10"/>
      <c r="G176" s="10"/>
      <c r="H176" s="50" t="str">
        <f aca="false">IF($B176="","",N($E176))</f>
        <v/>
      </c>
      <c r="I176" s="51" t="str">
        <f aca="false">IF($B176="","",$I$160+SUM($G$162:$G176)-SUM($H$162:$H176))</f>
        <v/>
      </c>
      <c r="J176" s="10"/>
    </row>
    <row r="177" customFormat="false" ht="15" hidden="false" customHeight="false" outlineLevel="0" collapsed="false">
      <c r="B177" s="6"/>
      <c r="C177" s="10"/>
      <c r="D177" s="49" t="str">
        <f aca="false">IF($B177="","","Expense")</f>
        <v/>
      </c>
      <c r="E177" s="18"/>
      <c r="F177" s="10"/>
      <c r="G177" s="10"/>
      <c r="H177" s="50" t="str">
        <f aca="false">IF($B177="","",N($E177))</f>
        <v/>
      </c>
      <c r="I177" s="51" t="str">
        <f aca="false">IF($B177="","",$I$160+SUM($G$162:$G177)-SUM($H$162:$H177))</f>
        <v/>
      </c>
      <c r="J177" s="10"/>
    </row>
    <row r="178" customFormat="false" ht="15" hidden="false" customHeight="false" outlineLevel="0" collapsed="false">
      <c r="B178" s="6"/>
      <c r="C178" s="10"/>
      <c r="D178" s="49" t="str">
        <f aca="false">IF($B178="","","Expense")</f>
        <v/>
      </c>
      <c r="E178" s="18"/>
      <c r="F178" s="10"/>
      <c r="G178" s="10"/>
      <c r="H178" s="50" t="str">
        <f aca="false">IF($B178="","",N($E178))</f>
        <v/>
      </c>
      <c r="I178" s="51" t="str">
        <f aca="false">IF($B178="","",$I$160+SUM($G$162:$G178)-SUM($H$162:$H178))</f>
        <v/>
      </c>
      <c r="J178" s="10"/>
    </row>
    <row r="179" customFormat="false" ht="15" hidden="false" customHeight="false" outlineLevel="0" collapsed="false">
      <c r="B179" s="52" t="s">
        <v>131</v>
      </c>
      <c r="C179" s="53"/>
      <c r="D179" s="53"/>
      <c r="E179" s="53"/>
      <c r="F179" s="53"/>
      <c r="G179" s="54" t="n">
        <f aca="false">SUM($G$162:$G$178)</f>
        <v>880</v>
      </c>
      <c r="H179" s="54" t="n">
        <f aca="false">SUM($H$162:$H$178)</f>
        <v>700.94</v>
      </c>
      <c r="I179" s="55" t="n">
        <f aca="false">$I$160+$G$179-$H$179</f>
        <v>2976.44</v>
      </c>
      <c r="J179" s="56" t="str">
        <f aca="false">IF($I$179&lt;0,"SHORTFALL",IF($I$179&lt;$E$7,"TIGHT","OK"))</f>
        <v>OK</v>
      </c>
      <c r="K179" s="25" t="str">
        <f aca="false">"In "&amp;TEXT($G$179,"$#,##0.00")&amp;"   less out "&amp;TEXT($H$179,"$#,##0.00")&amp;"   =  net "&amp;TEXT($G$179-$H$179,"$#,##0.00;-$#,##0.00")</f>
        <v>In $880.00   less out $700.94   =  net $179.06</v>
      </c>
    </row>
    <row r="181" customFormat="false" ht="21.75" hidden="false" customHeight="true" outlineLevel="0" collapsed="false">
      <c r="B181" s="31" t="str">
        <f aca="false">"WEEK 9     "&amp;TEXT($E$6+56,"ddd, mmm d")&amp;"   through   "&amp;TEXT($E$6+56+6,"ddd, mmm d, yyyy")</f>
        <v>WEEK 9     Fri, Oct 2   through   Thu, Oct 8, 2026</v>
      </c>
      <c r="C181" s="32"/>
      <c r="D181" s="32"/>
      <c r="E181" s="32"/>
      <c r="F181" s="32"/>
      <c r="G181" s="33" t="s">
        <v>116</v>
      </c>
      <c r="H181" s="32"/>
      <c r="I181" s="34" t="n">
        <f aca="false">$I$179</f>
        <v>2976.44</v>
      </c>
      <c r="J181" s="32"/>
      <c r="K181" s="28" t="str">
        <f aca="false">IF(COUNTIF(Schedule!$I$4:$I$483,9)&gt;10,"! "&amp;COUNTIF(Schedule!$I$4:$I$483,9)-10&amp;" more transaction(s) fall in this week than there are rows to show them.","")</f>
        <v/>
      </c>
    </row>
    <row r="182" customFormat="false" ht="25.5" hidden="false" customHeight="true" outlineLevel="0" collapsed="false">
      <c r="B182" s="35" t="s">
        <v>117</v>
      </c>
      <c r="C182" s="35" t="s">
        <v>118</v>
      </c>
      <c r="D182" s="35" t="s">
        <v>68</v>
      </c>
      <c r="E182" s="35" t="s">
        <v>119</v>
      </c>
      <c r="F182" s="35" t="s">
        <v>120</v>
      </c>
      <c r="G182" s="36" t="s">
        <v>18</v>
      </c>
      <c r="H182" s="37" t="s">
        <v>20</v>
      </c>
      <c r="I182" s="35" t="s">
        <v>121</v>
      </c>
      <c r="J182" s="35" t="s">
        <v>122</v>
      </c>
    </row>
    <row r="183" customFormat="false" ht="15" hidden="false" customHeight="false" outlineLevel="0" collapsed="false">
      <c r="B183" s="38" t="str">
        <f aca="false">IFERROR(INDEX(Schedule!$C$4:$C$483,MATCH(9001,Schedule!$K$4:$K$483,0)),"")</f>
        <v>Compunnel Software (paycheck)</v>
      </c>
      <c r="C183" s="39" t="n">
        <f aca="false">IF($B183="","",INDEX(Schedule!$G$4:$G$483,MATCH(9001,Schedule!$K$4:$K$483,0)))</f>
        <v>46297</v>
      </c>
      <c r="D183" s="40" t="str">
        <f aca="false">IF($B183="","",INDEX(Schedule!$D$4:$D$483,MATCH(9001,Schedule!$K$4:$K$483,0)))</f>
        <v>Income</v>
      </c>
      <c r="E183" s="41" t="n">
        <f aca="false">IF($B183="","",INDEX(Schedule!$E$4:$E$483,MATCH(9001,Schedule!$K$4:$K$483,0)))</f>
        <v>790</v>
      </c>
      <c r="F183" s="42"/>
      <c r="G183" s="43" t="n">
        <f aca="false">IF($B183="","",IF($D183="Income",IF($F183&lt;&gt;"",$F183,$E183),""))</f>
        <v>790</v>
      </c>
      <c r="H183" s="44" t="str">
        <f aca="false">IF($B183="","",IF($D183="Income","",IF($F183&lt;&gt;"",$F183,$E183)))</f>
        <v/>
      </c>
      <c r="I183" s="45" t="n">
        <f aca="false">IF($B183="","",$I$181+SUM($G$183:$G183)-SUM($H$183:$H183))</f>
        <v>3766.44</v>
      </c>
      <c r="J183" s="46" t="str">
        <f aca="true">IF($B183="","",IF($F183&lt;&gt;"","PAID",IF($C183&lt;TODAY(),"PAST DUE",IF($C183&lt;=TODAY()+7,"DUE","Upcoming"))))</f>
        <v>Upcoming</v>
      </c>
    </row>
    <row r="184" customFormat="false" ht="15" hidden="false" customHeight="false" outlineLevel="0" collapsed="false">
      <c r="B184" s="38" t="str">
        <f aca="false">IFERROR(INDEX(Schedule!$C$4:$C$483,MATCH(9002,Schedule!$K$4:$K$483,0)),"")</f>
        <v>Apple: Claude</v>
      </c>
      <c r="C184" s="39" t="n">
        <f aca="false">IF($B184="","",INDEX(Schedule!$G$4:$G$483,MATCH(9002,Schedule!$K$4:$K$483,0)))</f>
        <v>46299</v>
      </c>
      <c r="D184" s="40" t="str">
        <f aca="false">IF($B184="","",INDEX(Schedule!$D$4:$D$483,MATCH(9002,Schedule!$K$4:$K$483,0)))</f>
        <v>Expense</v>
      </c>
      <c r="E184" s="41" t="n">
        <f aca="false">IF($B184="","",INDEX(Schedule!$E$4:$E$483,MATCH(9002,Schedule!$K$4:$K$483,0)))</f>
        <v>21.1</v>
      </c>
      <c r="F184" s="42"/>
      <c r="G184" s="43" t="str">
        <f aca="false">IF($B184="","",IF($D184="Income",IF($F184&lt;&gt;"",$F184,$E184),""))</f>
        <v/>
      </c>
      <c r="H184" s="44" t="n">
        <f aca="false">IF($B184="","",IF($D184="Income","",IF($F184&lt;&gt;"",$F184,$E184)))</f>
        <v>21.1</v>
      </c>
      <c r="I184" s="45" t="n">
        <f aca="false">IF($B184="","",$I$181+SUM($G$183:$G184)-SUM($H$183:$H184))</f>
        <v>3745.34</v>
      </c>
      <c r="J184" s="46" t="str">
        <f aca="true">IF($B184="","",IF($F184&lt;&gt;"","PAID",IF($C184&lt;TODAY(),"PAST DUE",IF($C184&lt;=TODAY()+7,"DUE","Upcoming"))))</f>
        <v>Upcoming</v>
      </c>
    </row>
    <row r="185" customFormat="false" ht="15" hidden="false" customHeight="false" outlineLevel="0" collapsed="false">
      <c r="B185" s="38" t="str">
        <f aca="false">IFERROR(INDEX(Schedule!$C$4:$C$483,MATCH(9003,Schedule!$K$4:$K$483,0)),"")</f>
        <v>OpenAI</v>
      </c>
      <c r="C185" s="39" t="n">
        <f aca="false">IF($B185="","",INDEX(Schedule!$G$4:$G$483,MATCH(9003,Schedule!$K$4:$K$483,0)))</f>
        <v>46300</v>
      </c>
      <c r="D185" s="40" t="str">
        <f aca="false">IF($B185="","",INDEX(Schedule!$D$4:$D$483,MATCH(9003,Schedule!$K$4:$K$483,0)))</f>
        <v>Expense</v>
      </c>
      <c r="E185" s="41" t="n">
        <f aca="false">IF($B185="","",INDEX(Schedule!$E$4:$E$483,MATCH(9003,Schedule!$K$4:$K$483,0)))</f>
        <v>20</v>
      </c>
      <c r="F185" s="42"/>
      <c r="G185" s="43" t="str">
        <f aca="false">IF($B185="","",IF($D185="Income",IF($F185&lt;&gt;"",$F185,$E185),""))</f>
        <v/>
      </c>
      <c r="H185" s="44" t="n">
        <f aca="false">IF($B185="","",IF($D185="Income","",IF($F185&lt;&gt;"",$F185,$E185)))</f>
        <v>20</v>
      </c>
      <c r="I185" s="45" t="n">
        <f aca="false">IF($B185="","",$I$181+SUM($G$183:$G185)-SUM($H$183:$H185))</f>
        <v>3725.34</v>
      </c>
      <c r="J185" s="46" t="str">
        <f aca="true">IF($B185="","",IF($F185&lt;&gt;"","PAID",IF($C185&lt;TODAY(),"PAST DUE",IF($C185&lt;=TODAY()+7,"DUE","Upcoming"))))</f>
        <v>Upcoming</v>
      </c>
    </row>
    <row r="186" customFormat="false" ht="15" hidden="false" customHeight="false" outlineLevel="0" collapsed="false">
      <c r="B186" s="38" t="str">
        <f aca="false">IFERROR(INDEX(Schedule!$C$4:$C$483,MATCH(9004,Schedule!$K$4:$K$483,0)),"")</f>
        <v>Obsidian</v>
      </c>
      <c r="C186" s="39" t="n">
        <f aca="false">IF($B186="","",INDEX(Schedule!$G$4:$G$483,MATCH(9004,Schedule!$K$4:$K$483,0)))</f>
        <v>46300</v>
      </c>
      <c r="D186" s="40" t="str">
        <f aca="false">IF($B186="","",INDEX(Schedule!$D$4:$D$483,MATCH(9004,Schedule!$K$4:$K$483,0)))</f>
        <v>Expense</v>
      </c>
      <c r="E186" s="41" t="n">
        <f aca="false">IF($B186="","",INDEX(Schedule!$E$4:$E$483,MATCH(9004,Schedule!$K$4:$K$483,0)))</f>
        <v>10</v>
      </c>
      <c r="F186" s="42"/>
      <c r="G186" s="43" t="str">
        <f aca="false">IF($B186="","",IF($D186="Income",IF($F186&lt;&gt;"",$F186,$E186),""))</f>
        <v/>
      </c>
      <c r="H186" s="44" t="n">
        <f aca="false">IF($B186="","",IF($D186="Income","",IF($F186&lt;&gt;"",$F186,$E186)))</f>
        <v>10</v>
      </c>
      <c r="I186" s="45" t="n">
        <f aca="false">IF($B186="","",$I$181+SUM($G$183:$G186)-SUM($H$183:$H186))</f>
        <v>3715.34</v>
      </c>
      <c r="J186" s="46" t="str">
        <f aca="true">IF($B186="","",IF($F186&lt;&gt;"","PAID",IF($C186&lt;TODAY(),"PAST DUE",IF($C186&lt;=TODAY()+7,"DUE","Upcoming"))))</f>
        <v>Upcoming</v>
      </c>
    </row>
    <row r="187" customFormat="false" ht="15" hidden="false" customHeight="false" outlineLevel="0" collapsed="false">
      <c r="B187" s="38" t="str">
        <f aca="false">IFERROR(INDEX(Schedule!$C$4:$C$483,MATCH(9005,Schedule!$K$4:$K$483,0)),"")</f>
        <v>Bruno's Restaurant (paycheck)</v>
      </c>
      <c r="C187" s="39" t="n">
        <f aca="false">IF($B187="","",INDEX(Schedule!$G$4:$G$483,MATCH(9005,Schedule!$K$4:$K$483,0)))</f>
        <v>46302</v>
      </c>
      <c r="D187" s="40" t="str">
        <f aca="false">IF($B187="","",INDEX(Schedule!$D$4:$D$483,MATCH(9005,Schedule!$K$4:$K$483,0)))</f>
        <v>Income</v>
      </c>
      <c r="E187" s="41" t="n">
        <f aca="false">IF($B187="","",INDEX(Schedule!$E$4:$E$483,MATCH(9005,Schedule!$K$4:$K$483,0)))</f>
        <v>90</v>
      </c>
      <c r="F187" s="42"/>
      <c r="G187" s="43" t="n">
        <f aca="false">IF($B187="","",IF($D187="Income",IF($F187&lt;&gt;"",$F187,$E187),""))</f>
        <v>90</v>
      </c>
      <c r="H187" s="44" t="str">
        <f aca="false">IF($B187="","",IF($D187="Income","",IF($F187&lt;&gt;"",$F187,$E187)))</f>
        <v/>
      </c>
      <c r="I187" s="45" t="n">
        <f aca="false">IF($B187="","",$I$181+SUM($G$183:$G187)-SUM($H$183:$H187))</f>
        <v>3805.34</v>
      </c>
      <c r="J187" s="46" t="str">
        <f aca="true">IF($B187="","",IF($F187&lt;&gt;"","PAID",IF($C187&lt;TODAY(),"PAST DUE",IF($C187&lt;=TODAY()+7,"DUE","Upcoming"))))</f>
        <v>Upcoming</v>
      </c>
    </row>
    <row r="188" customFormat="false" ht="15" hidden="false" customHeight="false" outlineLevel="0" collapsed="false">
      <c r="B188" s="38" t="str">
        <f aca="false">IFERROR(INDEX(Schedule!$C$4:$C$483,MATCH(9006,Schedule!$K$4:$K$483,0)),"")</f>
        <v>Google One</v>
      </c>
      <c r="C188" s="39" t="n">
        <f aca="false">IF($B188="","",INDEX(Schedule!$G$4:$G$483,MATCH(9006,Schedule!$K$4:$K$483,0)))</f>
        <v>46302</v>
      </c>
      <c r="D188" s="40" t="str">
        <f aca="false">IF($B188="","",INDEX(Schedule!$D$4:$D$483,MATCH(9006,Schedule!$K$4:$K$483,0)))</f>
        <v>Expense</v>
      </c>
      <c r="E188" s="41" t="n">
        <f aca="false">IF($B188="","",INDEX(Schedule!$E$4:$E$483,MATCH(9006,Schedule!$K$4:$K$483,0)))</f>
        <v>4.99</v>
      </c>
      <c r="F188" s="42"/>
      <c r="G188" s="43" t="str">
        <f aca="false">IF($B188="","",IF($D188="Income",IF($F188&lt;&gt;"",$F188,$E188),""))</f>
        <v/>
      </c>
      <c r="H188" s="44" t="n">
        <f aca="false">IF($B188="","",IF($D188="Income","",IF($F188&lt;&gt;"",$F188,$E188)))</f>
        <v>4.99</v>
      </c>
      <c r="I188" s="45" t="n">
        <f aca="false">IF($B188="","",$I$181+SUM($G$183:$G188)-SUM($H$183:$H188))</f>
        <v>3800.35</v>
      </c>
      <c r="J188" s="46" t="str">
        <f aca="true">IF($B188="","",IF($F188&lt;&gt;"","PAID",IF($C188&lt;TODAY(),"PAST DUE",IF($C188&lt;=TODAY()+7,"DUE","Upcoming"))))</f>
        <v>Upcoming</v>
      </c>
    </row>
    <row r="189" customFormat="false" ht="15" hidden="false" customHeight="false" outlineLevel="0" collapsed="false">
      <c r="B189" s="38" t="str">
        <f aca="false">IFERROR(INDEX(Schedule!$C$4:$C$483,MATCH(9007,Schedule!$K$4:$K$483,0)),"")</f>
        <v>Upstart (loan)</v>
      </c>
      <c r="C189" s="39" t="n">
        <f aca="false">IF($B189="","",INDEX(Schedule!$G$4:$G$483,MATCH(9007,Schedule!$K$4:$K$483,0)))</f>
        <v>46302</v>
      </c>
      <c r="D189" s="40" t="str">
        <f aca="false">IF($B189="","",INDEX(Schedule!$D$4:$D$483,MATCH(9007,Schedule!$K$4:$K$483,0)))</f>
        <v>Expense</v>
      </c>
      <c r="E189" s="41" t="n">
        <f aca="false">IF($B189="","",INDEX(Schedule!$E$4:$E$483,MATCH(9007,Schedule!$K$4:$K$483,0)))</f>
        <v>500</v>
      </c>
      <c r="F189" s="42"/>
      <c r="G189" s="43" t="str">
        <f aca="false">IF($B189="","",IF($D189="Income",IF($F189&lt;&gt;"",$F189,$E189),""))</f>
        <v/>
      </c>
      <c r="H189" s="44" t="n">
        <f aca="false">IF($B189="","",IF($D189="Income","",IF($F189&lt;&gt;"",$F189,$E189)))</f>
        <v>500</v>
      </c>
      <c r="I189" s="45" t="n">
        <f aca="false">IF($B189="","",$I$181+SUM($G$183:$G189)-SUM($H$183:$H189))</f>
        <v>3300.35</v>
      </c>
      <c r="J189" s="46" t="str">
        <f aca="true">IF($B189="","",IF($F189&lt;&gt;"","PAID",IF($C189&lt;TODAY(),"PAST DUE",IF($C189&lt;=TODAY()+7,"DUE","Upcoming"))))</f>
        <v>Upcoming</v>
      </c>
    </row>
    <row r="190" customFormat="false" ht="15" hidden="false" customHeight="false" outlineLevel="0" collapsed="false">
      <c r="B190" s="38" t="str">
        <f aca="false">IFERROR(INDEX(Schedule!$C$4:$C$483,MATCH(9008,Schedule!$K$4:$K$483,0)),"")</f>
        <v/>
      </c>
      <c r="C190" s="39" t="str">
        <f aca="false">IF($B190="","",INDEX(Schedule!$G$4:$G$483,MATCH(9008,Schedule!$K$4:$K$483,0)))</f>
        <v/>
      </c>
      <c r="D190" s="40" t="str">
        <f aca="false">IF($B190="","",INDEX(Schedule!$D$4:$D$483,MATCH(9008,Schedule!$K$4:$K$483,0)))</f>
        <v/>
      </c>
      <c r="E190" s="41" t="str">
        <f aca="false">IF($B190="","",INDEX(Schedule!$E$4:$E$483,MATCH(9008,Schedule!$K$4:$K$483,0)))</f>
        <v/>
      </c>
      <c r="F190" s="42"/>
      <c r="G190" s="43" t="str">
        <f aca="false">IF($B190="","",IF($D190="Income",IF($F190&lt;&gt;"",$F190,$E190),""))</f>
        <v/>
      </c>
      <c r="H190" s="44" t="str">
        <f aca="false">IF($B190="","",IF($D190="Income","",IF($F190&lt;&gt;"",$F190,$E190)))</f>
        <v/>
      </c>
      <c r="I190" s="45" t="str">
        <f aca="false">IF($B190="","",$I$181+SUM($G$183:$G190)-SUM($H$183:$H190))</f>
        <v/>
      </c>
      <c r="J190" s="46" t="str">
        <f aca="true">IF($B190="","",IF($F190&lt;&gt;"","PAID",IF($C190&lt;TODAY(),"PAST DUE",IF($C190&lt;=TODAY()+7,"DUE","Upcoming"))))</f>
        <v/>
      </c>
    </row>
    <row r="191" customFormat="false" ht="15" hidden="false" customHeight="false" outlineLevel="0" collapsed="false">
      <c r="B191" s="38" t="str">
        <f aca="false">IFERROR(INDEX(Schedule!$C$4:$C$483,MATCH(9009,Schedule!$K$4:$K$483,0)),"")</f>
        <v/>
      </c>
      <c r="C191" s="39" t="str">
        <f aca="false">IF($B191="","",INDEX(Schedule!$G$4:$G$483,MATCH(9009,Schedule!$K$4:$K$483,0)))</f>
        <v/>
      </c>
      <c r="D191" s="40" t="str">
        <f aca="false">IF($B191="","",INDEX(Schedule!$D$4:$D$483,MATCH(9009,Schedule!$K$4:$K$483,0)))</f>
        <v/>
      </c>
      <c r="E191" s="41" t="str">
        <f aca="false">IF($B191="","",INDEX(Schedule!$E$4:$E$483,MATCH(9009,Schedule!$K$4:$K$483,0)))</f>
        <v/>
      </c>
      <c r="F191" s="42"/>
      <c r="G191" s="43" t="str">
        <f aca="false">IF($B191="","",IF($D191="Income",IF($F191&lt;&gt;"",$F191,$E191),""))</f>
        <v/>
      </c>
      <c r="H191" s="44" t="str">
        <f aca="false">IF($B191="","",IF($D191="Income","",IF($F191&lt;&gt;"",$F191,$E191)))</f>
        <v/>
      </c>
      <c r="I191" s="45" t="str">
        <f aca="false">IF($B191="","",$I$181+SUM($G$183:$G191)-SUM($H$183:$H191))</f>
        <v/>
      </c>
      <c r="J191" s="46" t="str">
        <f aca="true">IF($B191="","",IF($F191&lt;&gt;"","PAID",IF($C191&lt;TODAY(),"PAST DUE",IF($C191&lt;=TODAY()+7,"DUE","Upcoming"))))</f>
        <v/>
      </c>
    </row>
    <row r="192" customFormat="false" ht="15" hidden="false" customHeight="false" outlineLevel="0" collapsed="false">
      <c r="B192" s="38" t="str">
        <f aca="false">IFERROR(INDEX(Schedule!$C$4:$C$483,MATCH(9010,Schedule!$K$4:$K$483,0)),"")</f>
        <v/>
      </c>
      <c r="C192" s="39" t="str">
        <f aca="false">IF($B192="","",INDEX(Schedule!$G$4:$G$483,MATCH(9010,Schedule!$K$4:$K$483,0)))</f>
        <v/>
      </c>
      <c r="D192" s="40" t="str">
        <f aca="false">IF($B192="","",INDEX(Schedule!$D$4:$D$483,MATCH(9010,Schedule!$K$4:$K$483,0)))</f>
        <v/>
      </c>
      <c r="E192" s="41" t="str">
        <f aca="false">IF($B192="","",INDEX(Schedule!$E$4:$E$483,MATCH(9010,Schedule!$K$4:$K$483,0)))</f>
        <v/>
      </c>
      <c r="F192" s="42"/>
      <c r="G192" s="43" t="str">
        <f aca="false">IF($B192="","",IF($D192="Income",IF($F192&lt;&gt;"",$F192,$E192),""))</f>
        <v/>
      </c>
      <c r="H192" s="44" t="str">
        <f aca="false">IF($B192="","",IF($D192="Income","",IF($F192&lt;&gt;"",$F192,$E192)))</f>
        <v/>
      </c>
      <c r="I192" s="45" t="str">
        <f aca="false">IF($B192="","",$I$181+SUM($G$183:$G192)-SUM($H$183:$H192))</f>
        <v/>
      </c>
      <c r="J192" s="46" t="str">
        <f aca="true">IF($B192="","",IF($F192&lt;&gt;"","PAID",IF($C192&lt;TODAY(),"PAST DUE",IF($C192&lt;=TODAY()+7,"DUE","Upcoming"))))</f>
        <v/>
      </c>
    </row>
    <row r="193" customFormat="false" ht="15" hidden="false" customHeight="false" outlineLevel="0" collapsed="false">
      <c r="B193" s="47" t="s">
        <v>123</v>
      </c>
      <c r="C193" s="48"/>
      <c r="D193" s="48"/>
      <c r="E193" s="48"/>
      <c r="F193" s="48"/>
      <c r="G193" s="48"/>
      <c r="H193" s="48"/>
      <c r="I193" s="48"/>
      <c r="J193" s="48"/>
    </row>
    <row r="194" customFormat="false" ht="15" hidden="false" customHeight="false" outlineLevel="0" collapsed="false">
      <c r="B194" s="6"/>
      <c r="C194" s="10"/>
      <c r="D194" s="49" t="str">
        <f aca="false">IF($B194="","","Expense")</f>
        <v/>
      </c>
      <c r="E194" s="18"/>
      <c r="F194" s="10"/>
      <c r="G194" s="10"/>
      <c r="H194" s="50" t="str">
        <f aca="false">IF($B194="","",N($E194))</f>
        <v/>
      </c>
      <c r="I194" s="51" t="str">
        <f aca="false">IF($B194="","",$I$181+SUM($G$183:$G194)-SUM($H$183:$H194))</f>
        <v/>
      </c>
      <c r="J194" s="10"/>
    </row>
    <row r="195" customFormat="false" ht="15" hidden="false" customHeight="false" outlineLevel="0" collapsed="false">
      <c r="B195" s="6"/>
      <c r="C195" s="10"/>
      <c r="D195" s="49" t="str">
        <f aca="false">IF($B195="","","Expense")</f>
        <v/>
      </c>
      <c r="E195" s="18"/>
      <c r="F195" s="10"/>
      <c r="G195" s="10"/>
      <c r="H195" s="50" t="str">
        <f aca="false">IF($B195="","",N($E195))</f>
        <v/>
      </c>
      <c r="I195" s="51" t="str">
        <f aca="false">IF($B195="","",$I$181+SUM($G$183:$G195)-SUM($H$183:$H195))</f>
        <v/>
      </c>
      <c r="J195" s="10"/>
    </row>
    <row r="196" customFormat="false" ht="15" hidden="false" customHeight="false" outlineLevel="0" collapsed="false">
      <c r="B196" s="6"/>
      <c r="C196" s="10"/>
      <c r="D196" s="49" t="str">
        <f aca="false">IF($B196="","","Expense")</f>
        <v/>
      </c>
      <c r="E196" s="18"/>
      <c r="F196" s="10"/>
      <c r="G196" s="10"/>
      <c r="H196" s="50" t="str">
        <f aca="false">IF($B196="","",N($E196))</f>
        <v/>
      </c>
      <c r="I196" s="51" t="str">
        <f aca="false">IF($B196="","",$I$181+SUM($G$183:$G196)-SUM($H$183:$H196))</f>
        <v/>
      </c>
      <c r="J196" s="10"/>
    </row>
    <row r="197" customFormat="false" ht="15" hidden="false" customHeight="false" outlineLevel="0" collapsed="false">
      <c r="B197" s="6"/>
      <c r="C197" s="10"/>
      <c r="D197" s="49" t="str">
        <f aca="false">IF($B197="","","Expense")</f>
        <v/>
      </c>
      <c r="E197" s="18"/>
      <c r="F197" s="10"/>
      <c r="G197" s="10"/>
      <c r="H197" s="50" t="str">
        <f aca="false">IF($B197="","",N($E197))</f>
        <v/>
      </c>
      <c r="I197" s="51" t="str">
        <f aca="false">IF($B197="","",$I$181+SUM($G$183:$G197)-SUM($H$183:$H197))</f>
        <v/>
      </c>
      <c r="J197" s="10"/>
    </row>
    <row r="198" customFormat="false" ht="15" hidden="false" customHeight="false" outlineLevel="0" collapsed="false">
      <c r="B198" s="6"/>
      <c r="C198" s="10"/>
      <c r="D198" s="49" t="str">
        <f aca="false">IF($B198="","","Expense")</f>
        <v/>
      </c>
      <c r="E198" s="18"/>
      <c r="F198" s="10"/>
      <c r="G198" s="10"/>
      <c r="H198" s="50" t="str">
        <f aca="false">IF($B198="","",N($E198))</f>
        <v/>
      </c>
      <c r="I198" s="51" t="str">
        <f aca="false">IF($B198="","",$I$181+SUM($G$183:$G198)-SUM($H$183:$H198))</f>
        <v/>
      </c>
      <c r="J198" s="10"/>
    </row>
    <row r="199" customFormat="false" ht="15" hidden="false" customHeight="false" outlineLevel="0" collapsed="false">
      <c r="B199" s="6"/>
      <c r="C199" s="10"/>
      <c r="D199" s="49" t="str">
        <f aca="false">IF($B199="","","Expense")</f>
        <v/>
      </c>
      <c r="E199" s="18"/>
      <c r="F199" s="10"/>
      <c r="G199" s="10"/>
      <c r="H199" s="50" t="str">
        <f aca="false">IF($B199="","",N($E199))</f>
        <v/>
      </c>
      <c r="I199" s="51" t="str">
        <f aca="false">IF($B199="","",$I$181+SUM($G$183:$G199)-SUM($H$183:$H199))</f>
        <v/>
      </c>
      <c r="J199" s="10"/>
    </row>
    <row r="200" customFormat="false" ht="15" hidden="false" customHeight="false" outlineLevel="0" collapsed="false">
      <c r="B200" s="52" t="s">
        <v>132</v>
      </c>
      <c r="C200" s="53"/>
      <c r="D200" s="53"/>
      <c r="E200" s="53"/>
      <c r="F200" s="53"/>
      <c r="G200" s="54" t="n">
        <f aca="false">SUM($G$183:$G$199)</f>
        <v>880</v>
      </c>
      <c r="H200" s="54" t="n">
        <f aca="false">SUM($H$183:$H$199)</f>
        <v>556.09</v>
      </c>
      <c r="I200" s="55" t="n">
        <f aca="false">$I$181+$G$200-$H$200</f>
        <v>3300.35</v>
      </c>
      <c r="J200" s="56" t="str">
        <f aca="false">IF($I$200&lt;0,"SHORTFALL",IF($I$200&lt;$E$7,"TIGHT","OK"))</f>
        <v>OK</v>
      </c>
      <c r="K200" s="25" t="str">
        <f aca="false">"In "&amp;TEXT($G$200,"$#,##0.00")&amp;"   less out "&amp;TEXT($H$200,"$#,##0.00")&amp;"   =  net "&amp;TEXT($G$200-$H$200,"$#,##0.00;-$#,##0.00")</f>
        <v>In $880.00   less out $556.09   =  net $323.91</v>
      </c>
    </row>
    <row r="202" customFormat="false" ht="21.75" hidden="false" customHeight="true" outlineLevel="0" collapsed="false">
      <c r="B202" s="31" t="str">
        <f aca="false">"WEEK 10     "&amp;TEXT($E$6+63,"ddd, mmm d")&amp;"   through   "&amp;TEXT($E$6+63+6,"ddd, mmm d, yyyy")</f>
        <v>WEEK 10     Fri, Oct 9   through   Thu, Oct 15, 2026</v>
      </c>
      <c r="C202" s="32"/>
      <c r="D202" s="32"/>
      <c r="E202" s="32"/>
      <c r="F202" s="32"/>
      <c r="G202" s="33" t="s">
        <v>116</v>
      </c>
      <c r="H202" s="32"/>
      <c r="I202" s="34" t="n">
        <f aca="false">$I$200</f>
        <v>3300.35</v>
      </c>
      <c r="J202" s="32"/>
      <c r="K202" s="28" t="str">
        <f aca="false">IF(COUNTIF(Schedule!$I$4:$I$483,10)&gt;10,"! "&amp;COUNTIF(Schedule!$I$4:$I$483,10)-10&amp;" more transaction(s) fall in this week than there are rows to show them.","")</f>
        <v/>
      </c>
    </row>
    <row r="203" customFormat="false" ht="25.5" hidden="false" customHeight="true" outlineLevel="0" collapsed="false">
      <c r="B203" s="35" t="s">
        <v>117</v>
      </c>
      <c r="C203" s="35" t="s">
        <v>118</v>
      </c>
      <c r="D203" s="35" t="s">
        <v>68</v>
      </c>
      <c r="E203" s="35" t="s">
        <v>119</v>
      </c>
      <c r="F203" s="35" t="s">
        <v>120</v>
      </c>
      <c r="G203" s="36" t="s">
        <v>18</v>
      </c>
      <c r="H203" s="37" t="s">
        <v>20</v>
      </c>
      <c r="I203" s="35" t="s">
        <v>121</v>
      </c>
      <c r="J203" s="35" t="s">
        <v>122</v>
      </c>
    </row>
    <row r="204" customFormat="false" ht="15" hidden="false" customHeight="false" outlineLevel="0" collapsed="false">
      <c r="B204" s="38" t="str">
        <f aca="false">IFERROR(INDEX(Schedule!$C$4:$C$483,MATCH(10001,Schedule!$K$4:$K$483,0)),"")</f>
        <v>Compunnel Software (paycheck)</v>
      </c>
      <c r="C204" s="39" t="n">
        <f aca="false">IF($B204="","",INDEX(Schedule!$G$4:$G$483,MATCH(10001,Schedule!$K$4:$K$483,0)))</f>
        <v>46304</v>
      </c>
      <c r="D204" s="40" t="str">
        <f aca="false">IF($B204="","",INDEX(Schedule!$D$4:$D$483,MATCH(10001,Schedule!$K$4:$K$483,0)))</f>
        <v>Income</v>
      </c>
      <c r="E204" s="41" t="n">
        <f aca="false">IF($B204="","",INDEX(Schedule!$E$4:$E$483,MATCH(10001,Schedule!$K$4:$K$483,0)))</f>
        <v>790</v>
      </c>
      <c r="F204" s="42"/>
      <c r="G204" s="43" t="n">
        <f aca="false">IF($B204="","",IF($D204="Income",IF($F204&lt;&gt;"",$F204,$E204),""))</f>
        <v>790</v>
      </c>
      <c r="H204" s="44" t="str">
        <f aca="false">IF($B204="","",IF($D204="Income","",IF($F204&lt;&gt;"",$F204,$E204)))</f>
        <v/>
      </c>
      <c r="I204" s="45" t="n">
        <f aca="false">IF($B204="","",$I$202+SUM($G$204:$G204)-SUM($H$204:$H204))</f>
        <v>4090.35</v>
      </c>
      <c r="J204" s="46" t="str">
        <f aca="true">IF($B204="","",IF($F204&lt;&gt;"","PAID",IF($C204&lt;TODAY(),"PAST DUE",IF($C204&lt;=TODAY()+7,"DUE","Upcoming"))))</f>
        <v>Upcoming</v>
      </c>
    </row>
    <row r="205" customFormat="false" ht="15" hidden="false" customHeight="false" outlineLevel="0" collapsed="false">
      <c r="B205" s="38" t="str">
        <f aca="false">IFERROR(INDEX(Schedule!$C$4:$C$483,MATCH(10002,Schedule!$K$4:$K$483,0)),"")</f>
        <v>Central Maine Power Co.</v>
      </c>
      <c r="C205" s="39" t="n">
        <f aca="false">IF($B205="","",INDEX(Schedule!$G$4:$G$483,MATCH(10002,Schedule!$K$4:$K$483,0)))</f>
        <v>46305</v>
      </c>
      <c r="D205" s="40" t="str">
        <f aca="false">IF($B205="","",INDEX(Schedule!$D$4:$D$483,MATCH(10002,Schedule!$K$4:$K$483,0)))</f>
        <v>Expense</v>
      </c>
      <c r="E205" s="41" t="n">
        <f aca="false">IF($B205="","",INDEX(Schedule!$E$4:$E$483,MATCH(10002,Schedule!$K$4:$K$483,0)))</f>
        <v>163.5</v>
      </c>
      <c r="F205" s="42"/>
      <c r="G205" s="43" t="str">
        <f aca="false">IF($B205="","",IF($D205="Income",IF($F205&lt;&gt;"",$F205,$E205),""))</f>
        <v/>
      </c>
      <c r="H205" s="44" t="n">
        <f aca="false">IF($B205="","",IF($D205="Income","",IF($F205&lt;&gt;"",$F205,$E205)))</f>
        <v>163.5</v>
      </c>
      <c r="I205" s="45" t="n">
        <f aca="false">IF($B205="","",$I$202+SUM($G$204:$G205)-SUM($H$204:$H205))</f>
        <v>3926.85</v>
      </c>
      <c r="J205" s="46" t="str">
        <f aca="true">IF($B205="","",IF($F205&lt;&gt;"","PAID",IF($C205&lt;TODAY(),"PAST DUE",IF($C205&lt;=TODAY()+7,"DUE","Upcoming"))))</f>
        <v>Upcoming</v>
      </c>
    </row>
    <row r="206" customFormat="false" ht="15" hidden="false" customHeight="false" outlineLevel="0" collapsed="false">
      <c r="B206" s="38" t="str">
        <f aca="false">IFERROR(INDEX(Schedule!$C$4:$C$483,MATCH(10003,Schedule!$K$4:$K$483,0)),"")</f>
        <v>Apple: iCloud</v>
      </c>
      <c r="C206" s="39" t="n">
        <f aca="false">IF($B206="","",INDEX(Schedule!$G$4:$G$483,MATCH(10003,Schedule!$K$4:$K$483,0)))</f>
        <v>46308</v>
      </c>
      <c r="D206" s="40" t="str">
        <f aca="false">IF($B206="","",INDEX(Schedule!$D$4:$D$483,MATCH(10003,Schedule!$K$4:$K$483,0)))</f>
        <v>Expense</v>
      </c>
      <c r="E206" s="41" t="n">
        <f aca="false">IF($B206="","",INDEX(Schedule!$E$4:$E$483,MATCH(10003,Schedule!$K$4:$K$483,0)))</f>
        <v>2.99</v>
      </c>
      <c r="F206" s="42"/>
      <c r="G206" s="43" t="str">
        <f aca="false">IF($B206="","",IF($D206="Income",IF($F206&lt;&gt;"",$F206,$E206),""))</f>
        <v/>
      </c>
      <c r="H206" s="44" t="n">
        <f aca="false">IF($B206="","",IF($D206="Income","",IF($F206&lt;&gt;"",$F206,$E206)))</f>
        <v>2.99</v>
      </c>
      <c r="I206" s="45" t="n">
        <f aca="false">IF($B206="","",$I$202+SUM($G$204:$G206)-SUM($H$204:$H206))</f>
        <v>3923.86</v>
      </c>
      <c r="J206" s="46" t="str">
        <f aca="true">IF($B206="","",IF($F206&lt;&gt;"","PAID",IF($C206&lt;TODAY(),"PAST DUE",IF($C206&lt;=TODAY()+7,"DUE","Upcoming"))))</f>
        <v>Upcoming</v>
      </c>
    </row>
    <row r="207" customFormat="false" ht="15" hidden="false" customHeight="false" outlineLevel="0" collapsed="false">
      <c r="B207" s="38" t="str">
        <f aca="false">IFERROR(INDEX(Schedule!$C$4:$C$483,MATCH(10004,Schedule!$K$4:$K$483,0)),"")</f>
        <v>Bruno's Restaurant (paycheck)</v>
      </c>
      <c r="C207" s="39" t="n">
        <f aca="false">IF($B207="","",INDEX(Schedule!$G$4:$G$483,MATCH(10004,Schedule!$K$4:$K$483,0)))</f>
        <v>46309</v>
      </c>
      <c r="D207" s="40" t="str">
        <f aca="false">IF($B207="","",INDEX(Schedule!$D$4:$D$483,MATCH(10004,Schedule!$K$4:$K$483,0)))</f>
        <v>Income</v>
      </c>
      <c r="E207" s="41" t="n">
        <f aca="false">IF($B207="","",INDEX(Schedule!$E$4:$E$483,MATCH(10004,Schedule!$K$4:$K$483,0)))</f>
        <v>90</v>
      </c>
      <c r="F207" s="42"/>
      <c r="G207" s="43" t="n">
        <f aca="false">IF($B207="","",IF($D207="Income",IF($F207&lt;&gt;"",$F207,$E207),""))</f>
        <v>90</v>
      </c>
      <c r="H207" s="44" t="str">
        <f aca="false">IF($B207="","",IF($D207="Income","",IF($F207&lt;&gt;"",$F207,$E207)))</f>
        <v/>
      </c>
      <c r="I207" s="45" t="n">
        <f aca="false">IF($B207="","",$I$202+SUM($G$204:$G207)-SUM($H$204:$H207))</f>
        <v>4013.86</v>
      </c>
      <c r="J207" s="46" t="str">
        <f aca="true">IF($B207="","",IF($F207&lt;&gt;"","PAID",IF($C207&lt;TODAY(),"PAST DUE",IF($C207&lt;=TODAY()+7,"DUE","Upcoming"))))</f>
        <v>Upcoming</v>
      </c>
    </row>
    <row r="208" customFormat="false" ht="15" hidden="false" customHeight="false" outlineLevel="0" collapsed="false">
      <c r="B208" s="38" t="str">
        <f aca="false">IFERROR(INDEX(Schedule!$C$4:$C$483,MATCH(10005,Schedule!$K$4:$K$483,0)),"")</f>
        <v>Patrick Rombalski (rent)</v>
      </c>
      <c r="C208" s="39" t="n">
        <f aca="false">IF($B208="","",INDEX(Schedule!$G$4:$G$483,MATCH(10005,Schedule!$K$4:$K$483,0)))</f>
        <v>46310</v>
      </c>
      <c r="D208" s="40" t="str">
        <f aca="false">IF($B208="","",INDEX(Schedule!$D$4:$D$483,MATCH(10005,Schedule!$K$4:$K$483,0)))</f>
        <v>Expense</v>
      </c>
      <c r="E208" s="41" t="n">
        <f aca="false">IF($B208="","",INDEX(Schedule!$E$4:$E$483,MATCH(10005,Schedule!$K$4:$K$483,0)))</f>
        <v>350</v>
      </c>
      <c r="F208" s="42"/>
      <c r="G208" s="43" t="str">
        <f aca="false">IF($B208="","",IF($D208="Income",IF($F208&lt;&gt;"",$F208,$E208),""))</f>
        <v/>
      </c>
      <c r="H208" s="44" t="n">
        <f aca="false">IF($B208="","",IF($D208="Income","",IF($F208&lt;&gt;"",$F208,$E208)))</f>
        <v>350</v>
      </c>
      <c r="I208" s="45" t="n">
        <f aca="false">IF($B208="","",$I$202+SUM($G$204:$G208)-SUM($H$204:$H208))</f>
        <v>3663.86</v>
      </c>
      <c r="J208" s="46" t="str">
        <f aca="true">IF($B208="","",IF($F208&lt;&gt;"","PAID",IF($C208&lt;TODAY(),"PAST DUE",IF($C208&lt;=TODAY()+7,"DUE","Upcoming"))))</f>
        <v>Upcoming</v>
      </c>
    </row>
    <row r="209" customFormat="false" ht="15" hidden="false" customHeight="false" outlineLevel="0" collapsed="false">
      <c r="B209" s="38" t="str">
        <f aca="false">IFERROR(INDEX(Schedule!$C$4:$C$483,MATCH(10006,Schedule!$K$4:$K$483,0)),"")</f>
        <v/>
      </c>
      <c r="C209" s="39" t="str">
        <f aca="false">IF($B209="","",INDEX(Schedule!$G$4:$G$483,MATCH(10006,Schedule!$K$4:$K$483,0)))</f>
        <v/>
      </c>
      <c r="D209" s="40" t="str">
        <f aca="false">IF($B209="","",INDEX(Schedule!$D$4:$D$483,MATCH(10006,Schedule!$K$4:$K$483,0)))</f>
        <v/>
      </c>
      <c r="E209" s="41" t="str">
        <f aca="false">IF($B209="","",INDEX(Schedule!$E$4:$E$483,MATCH(10006,Schedule!$K$4:$K$483,0)))</f>
        <v/>
      </c>
      <c r="F209" s="42"/>
      <c r="G209" s="43" t="str">
        <f aca="false">IF($B209="","",IF($D209="Income",IF($F209&lt;&gt;"",$F209,$E209),""))</f>
        <v/>
      </c>
      <c r="H209" s="44" t="str">
        <f aca="false">IF($B209="","",IF($D209="Income","",IF($F209&lt;&gt;"",$F209,$E209)))</f>
        <v/>
      </c>
      <c r="I209" s="45" t="str">
        <f aca="false">IF($B209="","",$I$202+SUM($G$204:$G209)-SUM($H$204:$H209))</f>
        <v/>
      </c>
      <c r="J209" s="46" t="str">
        <f aca="true">IF($B209="","",IF($F209&lt;&gt;"","PAID",IF($C209&lt;TODAY(),"PAST DUE",IF($C209&lt;=TODAY()+7,"DUE","Upcoming"))))</f>
        <v/>
      </c>
    </row>
    <row r="210" customFormat="false" ht="15" hidden="false" customHeight="false" outlineLevel="0" collapsed="false">
      <c r="B210" s="38" t="str">
        <f aca="false">IFERROR(INDEX(Schedule!$C$4:$C$483,MATCH(10007,Schedule!$K$4:$K$483,0)),"")</f>
        <v/>
      </c>
      <c r="C210" s="39" t="str">
        <f aca="false">IF($B210="","",INDEX(Schedule!$G$4:$G$483,MATCH(10007,Schedule!$K$4:$K$483,0)))</f>
        <v/>
      </c>
      <c r="D210" s="40" t="str">
        <f aca="false">IF($B210="","",INDEX(Schedule!$D$4:$D$483,MATCH(10007,Schedule!$K$4:$K$483,0)))</f>
        <v/>
      </c>
      <c r="E210" s="41" t="str">
        <f aca="false">IF($B210="","",INDEX(Schedule!$E$4:$E$483,MATCH(10007,Schedule!$K$4:$K$483,0)))</f>
        <v/>
      </c>
      <c r="F210" s="42"/>
      <c r="G210" s="43" t="str">
        <f aca="false">IF($B210="","",IF($D210="Income",IF($F210&lt;&gt;"",$F210,$E210),""))</f>
        <v/>
      </c>
      <c r="H210" s="44" t="str">
        <f aca="false">IF($B210="","",IF($D210="Income","",IF($F210&lt;&gt;"",$F210,$E210)))</f>
        <v/>
      </c>
      <c r="I210" s="45" t="str">
        <f aca="false">IF($B210="","",$I$202+SUM($G$204:$G210)-SUM($H$204:$H210))</f>
        <v/>
      </c>
      <c r="J210" s="46" t="str">
        <f aca="true">IF($B210="","",IF($F210&lt;&gt;"","PAID",IF($C210&lt;TODAY(),"PAST DUE",IF($C210&lt;=TODAY()+7,"DUE","Upcoming"))))</f>
        <v/>
      </c>
    </row>
    <row r="211" customFormat="false" ht="15" hidden="false" customHeight="false" outlineLevel="0" collapsed="false">
      <c r="B211" s="38" t="str">
        <f aca="false">IFERROR(INDEX(Schedule!$C$4:$C$483,MATCH(10008,Schedule!$K$4:$K$483,0)),"")</f>
        <v/>
      </c>
      <c r="C211" s="39" t="str">
        <f aca="false">IF($B211="","",INDEX(Schedule!$G$4:$G$483,MATCH(10008,Schedule!$K$4:$K$483,0)))</f>
        <v/>
      </c>
      <c r="D211" s="40" t="str">
        <f aca="false">IF($B211="","",INDEX(Schedule!$D$4:$D$483,MATCH(10008,Schedule!$K$4:$K$483,0)))</f>
        <v/>
      </c>
      <c r="E211" s="41" t="str">
        <f aca="false">IF($B211="","",INDEX(Schedule!$E$4:$E$483,MATCH(10008,Schedule!$K$4:$K$483,0)))</f>
        <v/>
      </c>
      <c r="F211" s="42"/>
      <c r="G211" s="43" t="str">
        <f aca="false">IF($B211="","",IF($D211="Income",IF($F211&lt;&gt;"",$F211,$E211),""))</f>
        <v/>
      </c>
      <c r="H211" s="44" t="str">
        <f aca="false">IF($B211="","",IF($D211="Income","",IF($F211&lt;&gt;"",$F211,$E211)))</f>
        <v/>
      </c>
      <c r="I211" s="45" t="str">
        <f aca="false">IF($B211="","",$I$202+SUM($G$204:$G211)-SUM($H$204:$H211))</f>
        <v/>
      </c>
      <c r="J211" s="46" t="str">
        <f aca="true">IF($B211="","",IF($F211&lt;&gt;"","PAID",IF($C211&lt;TODAY(),"PAST DUE",IF($C211&lt;=TODAY()+7,"DUE","Upcoming"))))</f>
        <v/>
      </c>
    </row>
    <row r="212" customFormat="false" ht="15" hidden="false" customHeight="false" outlineLevel="0" collapsed="false">
      <c r="B212" s="38" t="str">
        <f aca="false">IFERROR(INDEX(Schedule!$C$4:$C$483,MATCH(10009,Schedule!$K$4:$K$483,0)),"")</f>
        <v/>
      </c>
      <c r="C212" s="39" t="str">
        <f aca="false">IF($B212="","",INDEX(Schedule!$G$4:$G$483,MATCH(10009,Schedule!$K$4:$K$483,0)))</f>
        <v/>
      </c>
      <c r="D212" s="40" t="str">
        <f aca="false">IF($B212="","",INDEX(Schedule!$D$4:$D$483,MATCH(10009,Schedule!$K$4:$K$483,0)))</f>
        <v/>
      </c>
      <c r="E212" s="41" t="str">
        <f aca="false">IF($B212="","",INDEX(Schedule!$E$4:$E$483,MATCH(10009,Schedule!$K$4:$K$483,0)))</f>
        <v/>
      </c>
      <c r="F212" s="42"/>
      <c r="G212" s="43" t="str">
        <f aca="false">IF($B212="","",IF($D212="Income",IF($F212&lt;&gt;"",$F212,$E212),""))</f>
        <v/>
      </c>
      <c r="H212" s="44" t="str">
        <f aca="false">IF($B212="","",IF($D212="Income","",IF($F212&lt;&gt;"",$F212,$E212)))</f>
        <v/>
      </c>
      <c r="I212" s="45" t="str">
        <f aca="false">IF($B212="","",$I$202+SUM($G$204:$G212)-SUM($H$204:$H212))</f>
        <v/>
      </c>
      <c r="J212" s="46" t="str">
        <f aca="true">IF($B212="","",IF($F212&lt;&gt;"","PAID",IF($C212&lt;TODAY(),"PAST DUE",IF($C212&lt;=TODAY()+7,"DUE","Upcoming"))))</f>
        <v/>
      </c>
    </row>
    <row r="213" customFormat="false" ht="15" hidden="false" customHeight="false" outlineLevel="0" collapsed="false">
      <c r="B213" s="38" t="str">
        <f aca="false">IFERROR(INDEX(Schedule!$C$4:$C$483,MATCH(10010,Schedule!$K$4:$K$483,0)),"")</f>
        <v/>
      </c>
      <c r="C213" s="39" t="str">
        <f aca="false">IF($B213="","",INDEX(Schedule!$G$4:$G$483,MATCH(10010,Schedule!$K$4:$K$483,0)))</f>
        <v/>
      </c>
      <c r="D213" s="40" t="str">
        <f aca="false">IF($B213="","",INDEX(Schedule!$D$4:$D$483,MATCH(10010,Schedule!$K$4:$K$483,0)))</f>
        <v/>
      </c>
      <c r="E213" s="41" t="str">
        <f aca="false">IF($B213="","",INDEX(Schedule!$E$4:$E$483,MATCH(10010,Schedule!$K$4:$K$483,0)))</f>
        <v/>
      </c>
      <c r="F213" s="42"/>
      <c r="G213" s="43" t="str">
        <f aca="false">IF($B213="","",IF($D213="Income",IF($F213&lt;&gt;"",$F213,$E213),""))</f>
        <v/>
      </c>
      <c r="H213" s="44" t="str">
        <f aca="false">IF($B213="","",IF($D213="Income","",IF($F213&lt;&gt;"",$F213,$E213)))</f>
        <v/>
      </c>
      <c r="I213" s="45" t="str">
        <f aca="false">IF($B213="","",$I$202+SUM($G$204:$G213)-SUM($H$204:$H213))</f>
        <v/>
      </c>
      <c r="J213" s="46" t="str">
        <f aca="true">IF($B213="","",IF($F213&lt;&gt;"","PAID",IF($C213&lt;TODAY(),"PAST DUE",IF($C213&lt;=TODAY()+7,"DUE","Upcoming"))))</f>
        <v/>
      </c>
    </row>
    <row r="214" customFormat="false" ht="15" hidden="false" customHeight="false" outlineLevel="0" collapsed="false">
      <c r="B214" s="47" t="s">
        <v>123</v>
      </c>
      <c r="C214" s="48"/>
      <c r="D214" s="48"/>
      <c r="E214" s="48"/>
      <c r="F214" s="48"/>
      <c r="G214" s="48"/>
      <c r="H214" s="48"/>
      <c r="I214" s="48"/>
      <c r="J214" s="48"/>
    </row>
    <row r="215" customFormat="false" ht="15" hidden="false" customHeight="false" outlineLevel="0" collapsed="false">
      <c r="B215" s="6"/>
      <c r="C215" s="10"/>
      <c r="D215" s="49" t="str">
        <f aca="false">IF($B215="","","Expense")</f>
        <v/>
      </c>
      <c r="E215" s="18"/>
      <c r="F215" s="10"/>
      <c r="G215" s="10"/>
      <c r="H215" s="50" t="str">
        <f aca="false">IF($B215="","",N($E215))</f>
        <v/>
      </c>
      <c r="I215" s="51" t="str">
        <f aca="false">IF($B215="","",$I$202+SUM($G$204:$G215)-SUM($H$204:$H215))</f>
        <v/>
      </c>
      <c r="J215" s="10"/>
    </row>
    <row r="216" customFormat="false" ht="15" hidden="false" customHeight="false" outlineLevel="0" collapsed="false">
      <c r="B216" s="6"/>
      <c r="C216" s="10"/>
      <c r="D216" s="49" t="str">
        <f aca="false">IF($B216="","","Expense")</f>
        <v/>
      </c>
      <c r="E216" s="18"/>
      <c r="F216" s="10"/>
      <c r="G216" s="10"/>
      <c r="H216" s="50" t="str">
        <f aca="false">IF($B216="","",N($E216))</f>
        <v/>
      </c>
      <c r="I216" s="51" t="str">
        <f aca="false">IF($B216="","",$I$202+SUM($G$204:$G216)-SUM($H$204:$H216))</f>
        <v/>
      </c>
      <c r="J216" s="10"/>
    </row>
    <row r="217" customFormat="false" ht="15" hidden="false" customHeight="false" outlineLevel="0" collapsed="false">
      <c r="B217" s="6"/>
      <c r="C217" s="10"/>
      <c r="D217" s="49" t="str">
        <f aca="false">IF($B217="","","Expense")</f>
        <v/>
      </c>
      <c r="E217" s="18"/>
      <c r="F217" s="10"/>
      <c r="G217" s="10"/>
      <c r="H217" s="50" t="str">
        <f aca="false">IF($B217="","",N($E217))</f>
        <v/>
      </c>
      <c r="I217" s="51" t="str">
        <f aca="false">IF($B217="","",$I$202+SUM($G$204:$G217)-SUM($H$204:$H217))</f>
        <v/>
      </c>
      <c r="J217" s="10"/>
    </row>
    <row r="218" customFormat="false" ht="15" hidden="false" customHeight="false" outlineLevel="0" collapsed="false">
      <c r="B218" s="6"/>
      <c r="C218" s="10"/>
      <c r="D218" s="49" t="str">
        <f aca="false">IF($B218="","","Expense")</f>
        <v/>
      </c>
      <c r="E218" s="18"/>
      <c r="F218" s="10"/>
      <c r="G218" s="10"/>
      <c r="H218" s="50" t="str">
        <f aca="false">IF($B218="","",N($E218))</f>
        <v/>
      </c>
      <c r="I218" s="51" t="str">
        <f aca="false">IF($B218="","",$I$202+SUM($G$204:$G218)-SUM($H$204:$H218))</f>
        <v/>
      </c>
      <c r="J218" s="10"/>
    </row>
    <row r="219" customFormat="false" ht="15" hidden="false" customHeight="false" outlineLevel="0" collapsed="false">
      <c r="B219" s="6"/>
      <c r="C219" s="10"/>
      <c r="D219" s="49" t="str">
        <f aca="false">IF($B219="","","Expense")</f>
        <v/>
      </c>
      <c r="E219" s="18"/>
      <c r="F219" s="10"/>
      <c r="G219" s="10"/>
      <c r="H219" s="50" t="str">
        <f aca="false">IF($B219="","",N($E219))</f>
        <v/>
      </c>
      <c r="I219" s="51" t="str">
        <f aca="false">IF($B219="","",$I$202+SUM($G$204:$G219)-SUM($H$204:$H219))</f>
        <v/>
      </c>
      <c r="J219" s="10"/>
    </row>
    <row r="220" customFormat="false" ht="15" hidden="false" customHeight="false" outlineLevel="0" collapsed="false">
      <c r="B220" s="6"/>
      <c r="C220" s="10"/>
      <c r="D220" s="49" t="str">
        <f aca="false">IF($B220="","","Expense")</f>
        <v/>
      </c>
      <c r="E220" s="18"/>
      <c r="F220" s="10"/>
      <c r="G220" s="10"/>
      <c r="H220" s="50" t="str">
        <f aca="false">IF($B220="","",N($E220))</f>
        <v/>
      </c>
      <c r="I220" s="51" t="str">
        <f aca="false">IF($B220="","",$I$202+SUM($G$204:$G220)-SUM($H$204:$H220))</f>
        <v/>
      </c>
      <c r="J220" s="10"/>
    </row>
    <row r="221" customFormat="false" ht="15" hidden="false" customHeight="false" outlineLevel="0" collapsed="false">
      <c r="B221" s="52" t="s">
        <v>133</v>
      </c>
      <c r="C221" s="53"/>
      <c r="D221" s="53"/>
      <c r="E221" s="53"/>
      <c r="F221" s="53"/>
      <c r="G221" s="54" t="n">
        <f aca="false">SUM($G$204:$G$220)</f>
        <v>880</v>
      </c>
      <c r="H221" s="54" t="n">
        <f aca="false">SUM($H$204:$H$220)</f>
        <v>516.49</v>
      </c>
      <c r="I221" s="55" t="n">
        <f aca="false">$I$202+$G$221-$H$221</f>
        <v>3663.86</v>
      </c>
      <c r="J221" s="56" t="str">
        <f aca="false">IF($I$221&lt;0,"SHORTFALL",IF($I$221&lt;$E$7,"TIGHT","OK"))</f>
        <v>OK</v>
      </c>
      <c r="K221" s="25" t="str">
        <f aca="false">"In "&amp;TEXT($G$221,"$#,##0.00")&amp;"   less out "&amp;TEXT($H$221,"$#,##0.00")&amp;"   =  net "&amp;TEXT($G$221-$H$221,"$#,##0.00;-$#,##0.00")</f>
        <v>In $880.00   less out $516.49   =  net $363.51</v>
      </c>
    </row>
    <row r="223" customFormat="false" ht="21.75" hidden="false" customHeight="true" outlineLevel="0" collapsed="false">
      <c r="B223" s="31" t="str">
        <f aca="false">"WEEK 11     "&amp;TEXT($E$6+70,"ddd, mmm d")&amp;"   through   "&amp;TEXT($E$6+70+6,"ddd, mmm d, yyyy")</f>
        <v>WEEK 11     Fri, Oct 16   through   Thu, Oct 22, 2026</v>
      </c>
      <c r="C223" s="32"/>
      <c r="D223" s="32"/>
      <c r="E223" s="32"/>
      <c r="F223" s="32"/>
      <c r="G223" s="33" t="s">
        <v>116</v>
      </c>
      <c r="H223" s="32"/>
      <c r="I223" s="34" t="n">
        <f aca="false">$I$221</f>
        <v>3663.86</v>
      </c>
      <c r="J223" s="32"/>
      <c r="K223" s="28" t="str">
        <f aca="false">IF(COUNTIF(Schedule!$I$4:$I$483,11)&gt;10,"! "&amp;COUNTIF(Schedule!$I$4:$I$483,11)-10&amp;" more transaction(s) fall in this week than there are rows to show them.","")</f>
        <v/>
      </c>
    </row>
    <row r="224" customFormat="false" ht="25.5" hidden="false" customHeight="true" outlineLevel="0" collapsed="false">
      <c r="B224" s="35" t="s">
        <v>117</v>
      </c>
      <c r="C224" s="35" t="s">
        <v>118</v>
      </c>
      <c r="D224" s="35" t="s">
        <v>68</v>
      </c>
      <c r="E224" s="35" t="s">
        <v>119</v>
      </c>
      <c r="F224" s="35" t="s">
        <v>120</v>
      </c>
      <c r="G224" s="36" t="s">
        <v>18</v>
      </c>
      <c r="H224" s="37" t="s">
        <v>20</v>
      </c>
      <c r="I224" s="35" t="s">
        <v>121</v>
      </c>
      <c r="J224" s="35" t="s">
        <v>122</v>
      </c>
    </row>
    <row r="225" customFormat="false" ht="15" hidden="false" customHeight="false" outlineLevel="0" collapsed="false">
      <c r="B225" s="38" t="str">
        <f aca="false">IFERROR(INDEX(Schedule!$C$4:$C$483,MATCH(11001,Schedule!$K$4:$K$483,0)),"")</f>
        <v>Compunnel Software (paycheck)</v>
      </c>
      <c r="C225" s="39" t="n">
        <f aca="false">IF($B225="","",INDEX(Schedule!$G$4:$G$483,MATCH(11001,Schedule!$K$4:$K$483,0)))</f>
        <v>46311</v>
      </c>
      <c r="D225" s="40" t="str">
        <f aca="false">IF($B225="","",INDEX(Schedule!$D$4:$D$483,MATCH(11001,Schedule!$K$4:$K$483,0)))</f>
        <v>Income</v>
      </c>
      <c r="E225" s="41" t="n">
        <f aca="false">IF($B225="","",INDEX(Schedule!$E$4:$E$483,MATCH(11001,Schedule!$K$4:$K$483,0)))</f>
        <v>790</v>
      </c>
      <c r="F225" s="42"/>
      <c r="G225" s="43" t="n">
        <f aca="false">IF($B225="","",IF($D225="Income",IF($F225&lt;&gt;"",$F225,$E225),""))</f>
        <v>790</v>
      </c>
      <c r="H225" s="44" t="str">
        <f aca="false">IF($B225="","",IF($D225="Income","",IF($F225&lt;&gt;"",$F225,$E225)))</f>
        <v/>
      </c>
      <c r="I225" s="45" t="n">
        <f aca="false">IF($B225="","",$I$223+SUM($G$225:$G225)-SUM($H$225:$H225))</f>
        <v>4453.86</v>
      </c>
      <c r="J225" s="46" t="str">
        <f aca="true">IF($B225="","",IF($F225&lt;&gt;"","PAID",IF($C225&lt;TODAY(),"PAST DUE",IF($C225&lt;=TODAY()+7,"DUE","Upcoming"))))</f>
        <v>Upcoming</v>
      </c>
    </row>
    <row r="226" customFormat="false" ht="15" hidden="false" customHeight="false" outlineLevel="0" collapsed="false">
      <c r="B226" s="38" t="str">
        <f aca="false">IFERROR(INDEX(Schedule!$C$4:$C$483,MATCH(11002,Schedule!$K$4:$K$483,0)),"")</f>
        <v>Spectrum</v>
      </c>
      <c r="C226" s="39" t="n">
        <f aca="false">IF($B226="","",INDEX(Schedule!$G$4:$G$483,MATCH(11002,Schedule!$K$4:$K$483,0)))</f>
        <v>46311</v>
      </c>
      <c r="D226" s="40" t="str">
        <f aca="false">IF($B226="","",INDEX(Schedule!$D$4:$D$483,MATCH(11002,Schedule!$K$4:$K$483,0)))</f>
        <v>Expense</v>
      </c>
      <c r="E226" s="41" t="n">
        <f aca="false">IF($B226="","",INDEX(Schedule!$E$4:$E$483,MATCH(11002,Schedule!$K$4:$K$483,0)))</f>
        <v>171.1</v>
      </c>
      <c r="F226" s="42"/>
      <c r="G226" s="43" t="str">
        <f aca="false">IF($B226="","",IF($D226="Income",IF($F226&lt;&gt;"",$F226,$E226),""))</f>
        <v/>
      </c>
      <c r="H226" s="44" t="n">
        <f aca="false">IF($B226="","",IF($D226="Income","",IF($F226&lt;&gt;"",$F226,$E226)))</f>
        <v>171.1</v>
      </c>
      <c r="I226" s="45" t="n">
        <f aca="false">IF($B226="","",$I$223+SUM($G$225:$G226)-SUM($H$225:$H226))</f>
        <v>4282.76</v>
      </c>
      <c r="J226" s="46" t="str">
        <f aca="true">IF($B226="","",IF($F226&lt;&gt;"","PAID",IF($C226&lt;TODAY(),"PAST DUE",IF($C226&lt;=TODAY()+7,"DUE","Upcoming"))))</f>
        <v>Upcoming</v>
      </c>
    </row>
    <row r="227" customFormat="false" ht="15" hidden="false" customHeight="false" outlineLevel="0" collapsed="false">
      <c r="B227" s="38" t="str">
        <f aca="false">IFERROR(INDEX(Schedule!$C$4:$C$483,MATCH(11003,Schedule!$K$4:$K$483,0)),"")</f>
        <v>Maine Revenue Services</v>
      </c>
      <c r="C227" s="39" t="n">
        <f aca="false">IF($B227="","",INDEX(Schedule!$G$4:$G$483,MATCH(11003,Schedule!$K$4:$K$483,0)))</f>
        <v>46311</v>
      </c>
      <c r="D227" s="40" t="str">
        <f aca="false">IF($B227="","",INDEX(Schedule!$D$4:$D$483,MATCH(11003,Schedule!$K$4:$K$483,0)))</f>
        <v>Expense</v>
      </c>
      <c r="E227" s="41" t="n">
        <f aca="false">IF($B227="","",INDEX(Schedule!$E$4:$E$483,MATCH(11003,Schedule!$K$4:$K$483,0)))</f>
        <v>45</v>
      </c>
      <c r="F227" s="42"/>
      <c r="G227" s="43" t="str">
        <f aca="false">IF($B227="","",IF($D227="Income",IF($F227&lt;&gt;"",$F227,$E227),""))</f>
        <v/>
      </c>
      <c r="H227" s="44" t="n">
        <f aca="false">IF($B227="","",IF($D227="Income","",IF($F227&lt;&gt;"",$F227,$E227)))</f>
        <v>45</v>
      </c>
      <c r="I227" s="45" t="n">
        <f aca="false">IF($B227="","",$I$223+SUM($G$225:$G227)-SUM($H$225:$H227))</f>
        <v>4237.76</v>
      </c>
      <c r="J227" s="46" t="str">
        <f aca="true">IF($B227="","",IF($F227&lt;&gt;"","PAID",IF($C227&lt;TODAY(),"PAST DUE",IF($C227&lt;=TODAY()+7,"DUE","Upcoming"))))</f>
        <v>Upcoming</v>
      </c>
    </row>
    <row r="228" customFormat="false" ht="15" hidden="false" customHeight="false" outlineLevel="0" collapsed="false">
      <c r="B228" s="38" t="str">
        <f aca="false">IFERROR(INDEX(Schedule!$C$4:$C$483,MATCH(11004,Schedule!$K$4:$K$483,0)),"")</f>
        <v>Metal Copy</v>
      </c>
      <c r="C228" s="39" t="n">
        <f aca="false">IF($B228="","",INDEX(Schedule!$G$4:$G$483,MATCH(11004,Schedule!$K$4:$K$483,0)))</f>
        <v>46313</v>
      </c>
      <c r="D228" s="40" t="str">
        <f aca="false">IF($B228="","",INDEX(Schedule!$D$4:$D$483,MATCH(11004,Schedule!$K$4:$K$483,0)))</f>
        <v>Expense</v>
      </c>
      <c r="E228" s="41" t="n">
        <f aca="false">IF($B228="","",INDEX(Schedule!$E$4:$E$483,MATCH(11004,Schedule!$K$4:$K$483,0)))</f>
        <v>16.99</v>
      </c>
      <c r="F228" s="42"/>
      <c r="G228" s="43" t="str">
        <f aca="false">IF($B228="","",IF($D228="Income",IF($F228&lt;&gt;"",$F228,$E228),""))</f>
        <v/>
      </c>
      <c r="H228" s="44" t="n">
        <f aca="false">IF($B228="","",IF($D228="Income","",IF($F228&lt;&gt;"",$F228,$E228)))</f>
        <v>16.99</v>
      </c>
      <c r="I228" s="45" t="n">
        <f aca="false">IF($B228="","",$I$223+SUM($G$225:$G228)-SUM($H$225:$H228))</f>
        <v>4220.77</v>
      </c>
      <c r="J228" s="46" t="str">
        <f aca="true">IF($B228="","",IF($F228&lt;&gt;"","PAID",IF($C228&lt;TODAY(),"PAST DUE",IF($C228&lt;=TODAY()+7,"DUE","Upcoming"))))</f>
        <v>Upcoming</v>
      </c>
    </row>
    <row r="229" customFormat="false" ht="15" hidden="false" customHeight="false" outlineLevel="0" collapsed="false">
      <c r="B229" s="38" t="str">
        <f aca="false">IFERROR(INDEX(Schedule!$C$4:$C$483,MATCH(11005,Schedule!$K$4:$K$483,0)),"")</f>
        <v>Bruno's Restaurant (paycheck)</v>
      </c>
      <c r="C229" s="39" t="n">
        <f aca="false">IF($B229="","",INDEX(Schedule!$G$4:$G$483,MATCH(11005,Schedule!$K$4:$K$483,0)))</f>
        <v>46316</v>
      </c>
      <c r="D229" s="40" t="str">
        <f aca="false">IF($B229="","",INDEX(Schedule!$D$4:$D$483,MATCH(11005,Schedule!$K$4:$K$483,0)))</f>
        <v>Income</v>
      </c>
      <c r="E229" s="41" t="n">
        <f aca="false">IF($B229="","",INDEX(Schedule!$E$4:$E$483,MATCH(11005,Schedule!$K$4:$K$483,0)))</f>
        <v>90</v>
      </c>
      <c r="F229" s="42"/>
      <c r="G229" s="43" t="n">
        <f aca="false">IF($B229="","",IF($D229="Income",IF($F229&lt;&gt;"",$F229,$E229),""))</f>
        <v>90</v>
      </c>
      <c r="H229" s="44" t="str">
        <f aca="false">IF($B229="","",IF($D229="Income","",IF($F229&lt;&gt;"",$F229,$E229)))</f>
        <v/>
      </c>
      <c r="I229" s="45" t="n">
        <f aca="false">IF($B229="","",$I$223+SUM($G$225:$G229)-SUM($H$225:$H229))</f>
        <v>4310.77</v>
      </c>
      <c r="J229" s="46" t="str">
        <f aca="true">IF($B229="","",IF($F229&lt;&gt;"","PAID",IF($C229&lt;TODAY(),"PAST DUE",IF($C229&lt;=TODAY()+7,"DUE","Upcoming"))))</f>
        <v>Upcoming</v>
      </c>
    </row>
    <row r="230" customFormat="false" ht="15" hidden="false" customHeight="false" outlineLevel="0" collapsed="false">
      <c r="B230" s="38" t="str">
        <f aca="false">IFERROR(INDEX(Schedule!$C$4:$C$483,MATCH(11006,Schedule!$K$4:$K$483,0)),"")</f>
        <v/>
      </c>
      <c r="C230" s="39" t="str">
        <f aca="false">IF($B230="","",INDEX(Schedule!$G$4:$G$483,MATCH(11006,Schedule!$K$4:$K$483,0)))</f>
        <v/>
      </c>
      <c r="D230" s="40" t="str">
        <f aca="false">IF($B230="","",INDEX(Schedule!$D$4:$D$483,MATCH(11006,Schedule!$K$4:$K$483,0)))</f>
        <v/>
      </c>
      <c r="E230" s="41" t="str">
        <f aca="false">IF($B230="","",INDEX(Schedule!$E$4:$E$483,MATCH(11006,Schedule!$K$4:$K$483,0)))</f>
        <v/>
      </c>
      <c r="F230" s="42"/>
      <c r="G230" s="43" t="str">
        <f aca="false">IF($B230="","",IF($D230="Income",IF($F230&lt;&gt;"",$F230,$E230),""))</f>
        <v/>
      </c>
      <c r="H230" s="44" t="str">
        <f aca="false">IF($B230="","",IF($D230="Income","",IF($F230&lt;&gt;"",$F230,$E230)))</f>
        <v/>
      </c>
      <c r="I230" s="45" t="str">
        <f aca="false">IF($B230="","",$I$223+SUM($G$225:$G230)-SUM($H$225:$H230))</f>
        <v/>
      </c>
      <c r="J230" s="46" t="str">
        <f aca="true">IF($B230="","",IF($F230&lt;&gt;"","PAID",IF($C230&lt;TODAY(),"PAST DUE",IF($C230&lt;=TODAY()+7,"DUE","Upcoming"))))</f>
        <v/>
      </c>
    </row>
    <row r="231" customFormat="false" ht="15" hidden="false" customHeight="false" outlineLevel="0" collapsed="false">
      <c r="B231" s="38" t="str">
        <f aca="false">IFERROR(INDEX(Schedule!$C$4:$C$483,MATCH(11007,Schedule!$K$4:$K$483,0)),"")</f>
        <v/>
      </c>
      <c r="C231" s="39" t="str">
        <f aca="false">IF($B231="","",INDEX(Schedule!$G$4:$G$483,MATCH(11007,Schedule!$K$4:$K$483,0)))</f>
        <v/>
      </c>
      <c r="D231" s="40" t="str">
        <f aca="false">IF($B231="","",INDEX(Schedule!$D$4:$D$483,MATCH(11007,Schedule!$K$4:$K$483,0)))</f>
        <v/>
      </c>
      <c r="E231" s="41" t="str">
        <f aca="false">IF($B231="","",INDEX(Schedule!$E$4:$E$483,MATCH(11007,Schedule!$K$4:$K$483,0)))</f>
        <v/>
      </c>
      <c r="F231" s="42"/>
      <c r="G231" s="43" t="str">
        <f aca="false">IF($B231="","",IF($D231="Income",IF($F231&lt;&gt;"",$F231,$E231),""))</f>
        <v/>
      </c>
      <c r="H231" s="44" t="str">
        <f aca="false">IF($B231="","",IF($D231="Income","",IF($F231&lt;&gt;"",$F231,$E231)))</f>
        <v/>
      </c>
      <c r="I231" s="45" t="str">
        <f aca="false">IF($B231="","",$I$223+SUM($G$225:$G231)-SUM($H$225:$H231))</f>
        <v/>
      </c>
      <c r="J231" s="46" t="str">
        <f aca="true">IF($B231="","",IF($F231&lt;&gt;"","PAID",IF($C231&lt;TODAY(),"PAST DUE",IF($C231&lt;=TODAY()+7,"DUE","Upcoming"))))</f>
        <v/>
      </c>
    </row>
    <row r="232" customFormat="false" ht="15" hidden="false" customHeight="false" outlineLevel="0" collapsed="false">
      <c r="B232" s="38" t="str">
        <f aca="false">IFERROR(INDEX(Schedule!$C$4:$C$483,MATCH(11008,Schedule!$K$4:$K$483,0)),"")</f>
        <v/>
      </c>
      <c r="C232" s="39" t="str">
        <f aca="false">IF($B232="","",INDEX(Schedule!$G$4:$G$483,MATCH(11008,Schedule!$K$4:$K$483,0)))</f>
        <v/>
      </c>
      <c r="D232" s="40" t="str">
        <f aca="false">IF($B232="","",INDEX(Schedule!$D$4:$D$483,MATCH(11008,Schedule!$K$4:$K$483,0)))</f>
        <v/>
      </c>
      <c r="E232" s="41" t="str">
        <f aca="false">IF($B232="","",INDEX(Schedule!$E$4:$E$483,MATCH(11008,Schedule!$K$4:$K$483,0)))</f>
        <v/>
      </c>
      <c r="F232" s="42"/>
      <c r="G232" s="43" t="str">
        <f aca="false">IF($B232="","",IF($D232="Income",IF($F232&lt;&gt;"",$F232,$E232),""))</f>
        <v/>
      </c>
      <c r="H232" s="44" t="str">
        <f aca="false">IF($B232="","",IF($D232="Income","",IF($F232&lt;&gt;"",$F232,$E232)))</f>
        <v/>
      </c>
      <c r="I232" s="45" t="str">
        <f aca="false">IF($B232="","",$I$223+SUM($G$225:$G232)-SUM($H$225:$H232))</f>
        <v/>
      </c>
      <c r="J232" s="46" t="str">
        <f aca="true">IF($B232="","",IF($F232&lt;&gt;"","PAID",IF($C232&lt;TODAY(),"PAST DUE",IF($C232&lt;=TODAY()+7,"DUE","Upcoming"))))</f>
        <v/>
      </c>
    </row>
    <row r="233" customFormat="false" ht="15" hidden="false" customHeight="false" outlineLevel="0" collapsed="false">
      <c r="B233" s="38" t="str">
        <f aca="false">IFERROR(INDEX(Schedule!$C$4:$C$483,MATCH(11009,Schedule!$K$4:$K$483,0)),"")</f>
        <v/>
      </c>
      <c r="C233" s="39" t="str">
        <f aca="false">IF($B233="","",INDEX(Schedule!$G$4:$G$483,MATCH(11009,Schedule!$K$4:$K$483,0)))</f>
        <v/>
      </c>
      <c r="D233" s="40" t="str">
        <f aca="false">IF($B233="","",INDEX(Schedule!$D$4:$D$483,MATCH(11009,Schedule!$K$4:$K$483,0)))</f>
        <v/>
      </c>
      <c r="E233" s="41" t="str">
        <f aca="false">IF($B233="","",INDEX(Schedule!$E$4:$E$483,MATCH(11009,Schedule!$K$4:$K$483,0)))</f>
        <v/>
      </c>
      <c r="F233" s="42"/>
      <c r="G233" s="43" t="str">
        <f aca="false">IF($B233="","",IF($D233="Income",IF($F233&lt;&gt;"",$F233,$E233),""))</f>
        <v/>
      </c>
      <c r="H233" s="44" t="str">
        <f aca="false">IF($B233="","",IF($D233="Income","",IF($F233&lt;&gt;"",$F233,$E233)))</f>
        <v/>
      </c>
      <c r="I233" s="45" t="str">
        <f aca="false">IF($B233="","",$I$223+SUM($G$225:$G233)-SUM($H$225:$H233))</f>
        <v/>
      </c>
      <c r="J233" s="46" t="str">
        <f aca="true">IF($B233="","",IF($F233&lt;&gt;"","PAID",IF($C233&lt;TODAY(),"PAST DUE",IF($C233&lt;=TODAY()+7,"DUE","Upcoming"))))</f>
        <v/>
      </c>
    </row>
    <row r="234" customFormat="false" ht="15" hidden="false" customHeight="false" outlineLevel="0" collapsed="false">
      <c r="B234" s="38" t="str">
        <f aca="false">IFERROR(INDEX(Schedule!$C$4:$C$483,MATCH(11010,Schedule!$K$4:$K$483,0)),"")</f>
        <v/>
      </c>
      <c r="C234" s="39" t="str">
        <f aca="false">IF($B234="","",INDEX(Schedule!$G$4:$G$483,MATCH(11010,Schedule!$K$4:$K$483,0)))</f>
        <v/>
      </c>
      <c r="D234" s="40" t="str">
        <f aca="false">IF($B234="","",INDEX(Schedule!$D$4:$D$483,MATCH(11010,Schedule!$K$4:$K$483,0)))</f>
        <v/>
      </c>
      <c r="E234" s="41" t="str">
        <f aca="false">IF($B234="","",INDEX(Schedule!$E$4:$E$483,MATCH(11010,Schedule!$K$4:$K$483,0)))</f>
        <v/>
      </c>
      <c r="F234" s="42"/>
      <c r="G234" s="43" t="str">
        <f aca="false">IF($B234="","",IF($D234="Income",IF($F234&lt;&gt;"",$F234,$E234),""))</f>
        <v/>
      </c>
      <c r="H234" s="44" t="str">
        <f aca="false">IF($B234="","",IF($D234="Income","",IF($F234&lt;&gt;"",$F234,$E234)))</f>
        <v/>
      </c>
      <c r="I234" s="45" t="str">
        <f aca="false">IF($B234="","",$I$223+SUM($G$225:$G234)-SUM($H$225:$H234))</f>
        <v/>
      </c>
      <c r="J234" s="46" t="str">
        <f aca="true">IF($B234="","",IF($F234&lt;&gt;"","PAID",IF($C234&lt;TODAY(),"PAST DUE",IF($C234&lt;=TODAY()+7,"DUE","Upcoming"))))</f>
        <v/>
      </c>
    </row>
    <row r="235" customFormat="false" ht="15" hidden="false" customHeight="false" outlineLevel="0" collapsed="false">
      <c r="B235" s="47" t="s">
        <v>123</v>
      </c>
      <c r="C235" s="48"/>
      <c r="D235" s="48"/>
      <c r="E235" s="48"/>
      <c r="F235" s="48"/>
      <c r="G235" s="48"/>
      <c r="H235" s="48"/>
      <c r="I235" s="48"/>
      <c r="J235" s="48"/>
    </row>
    <row r="236" customFormat="false" ht="15" hidden="false" customHeight="false" outlineLevel="0" collapsed="false">
      <c r="B236" s="6"/>
      <c r="C236" s="10"/>
      <c r="D236" s="49" t="str">
        <f aca="false">IF($B236="","","Expense")</f>
        <v/>
      </c>
      <c r="E236" s="18"/>
      <c r="F236" s="10"/>
      <c r="G236" s="10"/>
      <c r="H236" s="50" t="str">
        <f aca="false">IF($B236="","",N($E236))</f>
        <v/>
      </c>
      <c r="I236" s="51" t="str">
        <f aca="false">IF($B236="","",$I$223+SUM($G$225:$G236)-SUM($H$225:$H236))</f>
        <v/>
      </c>
      <c r="J236" s="10"/>
    </row>
    <row r="237" customFormat="false" ht="15" hidden="false" customHeight="false" outlineLevel="0" collapsed="false">
      <c r="B237" s="6"/>
      <c r="C237" s="10"/>
      <c r="D237" s="49" t="str">
        <f aca="false">IF($B237="","","Expense")</f>
        <v/>
      </c>
      <c r="E237" s="18"/>
      <c r="F237" s="10"/>
      <c r="G237" s="10"/>
      <c r="H237" s="50" t="str">
        <f aca="false">IF($B237="","",N($E237))</f>
        <v/>
      </c>
      <c r="I237" s="51" t="str">
        <f aca="false">IF($B237="","",$I$223+SUM($G$225:$G237)-SUM($H$225:$H237))</f>
        <v/>
      </c>
      <c r="J237" s="10"/>
    </row>
    <row r="238" customFormat="false" ht="15" hidden="false" customHeight="false" outlineLevel="0" collapsed="false">
      <c r="B238" s="6"/>
      <c r="C238" s="10"/>
      <c r="D238" s="49" t="str">
        <f aca="false">IF($B238="","","Expense")</f>
        <v/>
      </c>
      <c r="E238" s="18"/>
      <c r="F238" s="10"/>
      <c r="G238" s="10"/>
      <c r="H238" s="50" t="str">
        <f aca="false">IF($B238="","",N($E238))</f>
        <v/>
      </c>
      <c r="I238" s="51" t="str">
        <f aca="false">IF($B238="","",$I$223+SUM($G$225:$G238)-SUM($H$225:$H238))</f>
        <v/>
      </c>
      <c r="J238" s="10"/>
    </row>
    <row r="239" customFormat="false" ht="15" hidden="false" customHeight="false" outlineLevel="0" collapsed="false">
      <c r="B239" s="6"/>
      <c r="C239" s="10"/>
      <c r="D239" s="49" t="str">
        <f aca="false">IF($B239="","","Expense")</f>
        <v/>
      </c>
      <c r="E239" s="18"/>
      <c r="F239" s="10"/>
      <c r="G239" s="10"/>
      <c r="H239" s="50" t="str">
        <f aca="false">IF($B239="","",N($E239))</f>
        <v/>
      </c>
      <c r="I239" s="51" t="str">
        <f aca="false">IF($B239="","",$I$223+SUM($G$225:$G239)-SUM($H$225:$H239))</f>
        <v/>
      </c>
      <c r="J239" s="10"/>
    </row>
    <row r="240" customFormat="false" ht="15" hidden="false" customHeight="false" outlineLevel="0" collapsed="false">
      <c r="B240" s="6"/>
      <c r="C240" s="10"/>
      <c r="D240" s="49" t="str">
        <f aca="false">IF($B240="","","Expense")</f>
        <v/>
      </c>
      <c r="E240" s="18"/>
      <c r="F240" s="10"/>
      <c r="G240" s="10"/>
      <c r="H240" s="50" t="str">
        <f aca="false">IF($B240="","",N($E240))</f>
        <v/>
      </c>
      <c r="I240" s="51" t="str">
        <f aca="false">IF($B240="","",$I$223+SUM($G$225:$G240)-SUM($H$225:$H240))</f>
        <v/>
      </c>
      <c r="J240" s="10"/>
    </row>
    <row r="241" customFormat="false" ht="15" hidden="false" customHeight="false" outlineLevel="0" collapsed="false">
      <c r="B241" s="6"/>
      <c r="C241" s="10"/>
      <c r="D241" s="49" t="str">
        <f aca="false">IF($B241="","","Expense")</f>
        <v/>
      </c>
      <c r="E241" s="18"/>
      <c r="F241" s="10"/>
      <c r="G241" s="10"/>
      <c r="H241" s="50" t="str">
        <f aca="false">IF($B241="","",N($E241))</f>
        <v/>
      </c>
      <c r="I241" s="51" t="str">
        <f aca="false">IF($B241="","",$I$223+SUM($G$225:$G241)-SUM($H$225:$H241))</f>
        <v/>
      </c>
      <c r="J241" s="10"/>
    </row>
    <row r="242" customFormat="false" ht="15" hidden="false" customHeight="false" outlineLevel="0" collapsed="false">
      <c r="B242" s="52" t="s">
        <v>134</v>
      </c>
      <c r="C242" s="53"/>
      <c r="D242" s="53"/>
      <c r="E242" s="53"/>
      <c r="F242" s="53"/>
      <c r="G242" s="54" t="n">
        <f aca="false">SUM($G$225:$G$241)</f>
        <v>880</v>
      </c>
      <c r="H242" s="54" t="n">
        <f aca="false">SUM($H$225:$H$241)</f>
        <v>233.09</v>
      </c>
      <c r="I242" s="55" t="n">
        <f aca="false">$I$223+$G$242-$H$242</f>
        <v>4310.77</v>
      </c>
      <c r="J242" s="56" t="str">
        <f aca="false">IF($I$242&lt;0,"SHORTFALL",IF($I$242&lt;$E$7,"TIGHT","OK"))</f>
        <v>OK</v>
      </c>
      <c r="K242" s="25" t="str">
        <f aca="false">"In "&amp;TEXT($G$242,"$#,##0.00")&amp;"   less out "&amp;TEXT($H$242,"$#,##0.00")&amp;"   =  net "&amp;TEXT($G$242-$H$242,"$#,##0.00;-$#,##0.00")</f>
        <v>In $880.00   less out $233.09   =  net $646.91</v>
      </c>
    </row>
    <row r="244" customFormat="false" ht="21.75" hidden="false" customHeight="true" outlineLevel="0" collapsed="false">
      <c r="B244" s="31" t="str">
        <f aca="false">"WEEK 12     "&amp;TEXT($E$6+77,"ddd, mmm d")&amp;"   through   "&amp;TEXT($E$6+77+6,"ddd, mmm d, yyyy")</f>
        <v>WEEK 12     Fri, Oct 23   through   Thu, Oct 29, 2026</v>
      </c>
      <c r="C244" s="32"/>
      <c r="D244" s="32"/>
      <c r="E244" s="32"/>
      <c r="F244" s="32"/>
      <c r="G244" s="33" t="s">
        <v>116</v>
      </c>
      <c r="H244" s="32"/>
      <c r="I244" s="34" t="n">
        <f aca="false">$I$242</f>
        <v>4310.77</v>
      </c>
      <c r="J244" s="32"/>
      <c r="K244" s="28" t="str">
        <f aca="false">IF(COUNTIF(Schedule!$I$4:$I$483,12)&gt;10,"! "&amp;COUNTIF(Schedule!$I$4:$I$483,12)-10&amp;" more transaction(s) fall in this week than there are rows to show them.","")</f>
        <v/>
      </c>
    </row>
    <row r="245" customFormat="false" ht="25.5" hidden="false" customHeight="true" outlineLevel="0" collapsed="false">
      <c r="B245" s="35" t="s">
        <v>117</v>
      </c>
      <c r="C245" s="35" t="s">
        <v>118</v>
      </c>
      <c r="D245" s="35" t="s">
        <v>68</v>
      </c>
      <c r="E245" s="35" t="s">
        <v>119</v>
      </c>
      <c r="F245" s="35" t="s">
        <v>120</v>
      </c>
      <c r="G245" s="36" t="s">
        <v>18</v>
      </c>
      <c r="H245" s="37" t="s">
        <v>20</v>
      </c>
      <c r="I245" s="35" t="s">
        <v>121</v>
      </c>
      <c r="J245" s="35" t="s">
        <v>122</v>
      </c>
    </row>
    <row r="246" customFormat="false" ht="15" hidden="false" customHeight="false" outlineLevel="0" collapsed="false">
      <c r="B246" s="38" t="str">
        <f aca="false">IFERROR(INDEX(Schedule!$C$4:$C$483,MATCH(12001,Schedule!$K$4:$K$483,0)),"")</f>
        <v>Compunnel Software (paycheck)</v>
      </c>
      <c r="C246" s="39" t="n">
        <f aca="false">IF($B246="","",INDEX(Schedule!$G$4:$G$483,MATCH(12001,Schedule!$K$4:$K$483,0)))</f>
        <v>46318</v>
      </c>
      <c r="D246" s="40" t="str">
        <f aca="false">IF($B246="","",INDEX(Schedule!$D$4:$D$483,MATCH(12001,Schedule!$K$4:$K$483,0)))</f>
        <v>Income</v>
      </c>
      <c r="E246" s="41" t="n">
        <f aca="false">IF($B246="","",INDEX(Schedule!$E$4:$E$483,MATCH(12001,Schedule!$K$4:$K$483,0)))</f>
        <v>790</v>
      </c>
      <c r="F246" s="42"/>
      <c r="G246" s="43" t="n">
        <f aca="false">IF($B246="","",IF($D246="Income",IF($F246&lt;&gt;"",$F246,$E246),""))</f>
        <v>790</v>
      </c>
      <c r="H246" s="44" t="str">
        <f aca="false">IF($B246="","",IF($D246="Income","",IF($F246&lt;&gt;"",$F246,$E246)))</f>
        <v/>
      </c>
      <c r="I246" s="45" t="n">
        <f aca="false">IF($B246="","",$I$244+SUM($G$246:$G246)-SUM($H$246:$H246))</f>
        <v>5100.77</v>
      </c>
      <c r="J246" s="46" t="str">
        <f aca="true">IF($B246="","",IF($F246&lt;&gt;"","PAID",IF($C246&lt;TODAY(),"PAST DUE",IF($C246&lt;=TODAY()+7,"DUE","Upcoming"))))</f>
        <v>Upcoming</v>
      </c>
    </row>
    <row r="247" customFormat="false" ht="15" hidden="false" customHeight="false" outlineLevel="0" collapsed="false">
      <c r="B247" s="38" t="str">
        <f aca="false">IFERROR(INDEX(Schedule!$C$4:$C$483,MATCH(12002,Schedule!$K$4:$K$483,0)),"")</f>
        <v>Microsoft</v>
      </c>
      <c r="C247" s="39" t="n">
        <f aca="false">IF($B247="","",INDEX(Schedule!$G$4:$G$483,MATCH(12002,Schedule!$K$4:$K$483,0)))</f>
        <v>46320</v>
      </c>
      <c r="D247" s="40" t="str">
        <f aca="false">IF($B247="","",INDEX(Schedule!$D$4:$D$483,MATCH(12002,Schedule!$K$4:$K$483,0)))</f>
        <v>Expense</v>
      </c>
      <c r="E247" s="41" t="n">
        <f aca="false">IF($B247="","",INDEX(Schedule!$E$4:$E$483,MATCH(12002,Schedule!$K$4:$K$483,0)))</f>
        <v>13.7</v>
      </c>
      <c r="F247" s="42"/>
      <c r="G247" s="43" t="str">
        <f aca="false">IF($B247="","",IF($D247="Income",IF($F247&lt;&gt;"",$F247,$E247),""))</f>
        <v/>
      </c>
      <c r="H247" s="44" t="n">
        <f aca="false">IF($B247="","",IF($D247="Income","",IF($F247&lt;&gt;"",$F247,$E247)))</f>
        <v>13.7</v>
      </c>
      <c r="I247" s="45" t="n">
        <f aca="false">IF($B247="","",$I$244+SUM($G$246:$G247)-SUM($H$246:$H247))</f>
        <v>5087.07</v>
      </c>
      <c r="J247" s="46" t="str">
        <f aca="true">IF($B247="","",IF($F247&lt;&gt;"","PAID",IF($C247&lt;TODAY(),"PAST DUE",IF($C247&lt;=TODAY()+7,"DUE","Upcoming"))))</f>
        <v>Upcoming</v>
      </c>
    </row>
    <row r="248" customFormat="false" ht="15" hidden="false" customHeight="false" outlineLevel="0" collapsed="false">
      <c r="B248" s="38" t="str">
        <f aca="false">IFERROR(INDEX(Schedule!$C$4:$C$483,MATCH(12003,Schedule!$K$4:$K$483,0)),"")</f>
        <v>Central Maine Power: Payment Plan</v>
      </c>
      <c r="C248" s="39" t="n">
        <f aca="false">IF($B248="","",INDEX(Schedule!$G$4:$G$483,MATCH(12003,Schedule!$K$4:$K$483,0)))</f>
        <v>46320</v>
      </c>
      <c r="D248" s="40" t="str">
        <f aca="false">IF($B248="","",INDEX(Schedule!$D$4:$D$483,MATCH(12003,Schedule!$K$4:$K$483,0)))</f>
        <v>Expense</v>
      </c>
      <c r="E248" s="41" t="n">
        <f aca="false">IF($B248="","",INDEX(Schedule!$E$4:$E$483,MATCH(12003,Schedule!$K$4:$K$483,0)))</f>
        <v>43.87</v>
      </c>
      <c r="F248" s="42"/>
      <c r="G248" s="43" t="str">
        <f aca="false">IF($B248="","",IF($D248="Income",IF($F248&lt;&gt;"",$F248,$E248),""))</f>
        <v/>
      </c>
      <c r="H248" s="44" t="n">
        <f aca="false">IF($B248="","",IF($D248="Income","",IF($F248&lt;&gt;"",$F248,$E248)))</f>
        <v>43.87</v>
      </c>
      <c r="I248" s="45" t="n">
        <f aca="false">IF($B248="","",$I$244+SUM($G$246:$G248)-SUM($H$246:$H248))</f>
        <v>5043.2</v>
      </c>
      <c r="J248" s="46" t="str">
        <f aca="true">IF($B248="","",IF($F248&lt;&gt;"","PAID",IF($C248&lt;TODAY(),"PAST DUE",IF($C248&lt;=TODAY()+7,"DUE","Upcoming"))))</f>
        <v>Upcoming</v>
      </c>
    </row>
    <row r="249" customFormat="false" ht="15" hidden="false" customHeight="false" outlineLevel="0" collapsed="false">
      <c r="B249" s="38" t="str">
        <f aca="false">IFERROR(INDEX(Schedule!$C$4:$C$483,MATCH(12004,Schedule!$K$4:$K$483,0)),"")</f>
        <v>Bruno's Restaurant (paycheck)</v>
      </c>
      <c r="C249" s="39" t="n">
        <f aca="false">IF($B249="","",INDEX(Schedule!$G$4:$G$483,MATCH(12004,Schedule!$K$4:$K$483,0)))</f>
        <v>46323</v>
      </c>
      <c r="D249" s="40" t="str">
        <f aca="false">IF($B249="","",INDEX(Schedule!$D$4:$D$483,MATCH(12004,Schedule!$K$4:$K$483,0)))</f>
        <v>Income</v>
      </c>
      <c r="E249" s="41" t="n">
        <f aca="false">IF($B249="","",INDEX(Schedule!$E$4:$E$483,MATCH(12004,Schedule!$K$4:$K$483,0)))</f>
        <v>90</v>
      </c>
      <c r="F249" s="42"/>
      <c r="G249" s="43" t="n">
        <f aca="false">IF($B249="","",IF($D249="Income",IF($F249&lt;&gt;"",$F249,$E249),""))</f>
        <v>90</v>
      </c>
      <c r="H249" s="44" t="str">
        <f aca="false">IF($B249="","",IF($D249="Income","",IF($F249&lt;&gt;"",$F249,$E249)))</f>
        <v/>
      </c>
      <c r="I249" s="45" t="n">
        <f aca="false">IF($B249="","",$I$244+SUM($G$246:$G249)-SUM($H$246:$H249))</f>
        <v>5133.2</v>
      </c>
      <c r="J249" s="46" t="str">
        <f aca="true">IF($B249="","",IF($F249&lt;&gt;"","PAID",IF($C249&lt;TODAY(),"PAST DUE",IF($C249&lt;=TODAY()+7,"DUE","Upcoming"))))</f>
        <v>Upcoming</v>
      </c>
    </row>
    <row r="250" customFormat="false" ht="15" hidden="false" customHeight="false" outlineLevel="0" collapsed="false">
      <c r="B250" s="38" t="str">
        <f aca="false">IFERROR(INDEX(Schedule!$C$4:$C$483,MATCH(12005,Schedule!$K$4:$K$483,0)),"")</f>
        <v/>
      </c>
      <c r="C250" s="39" t="str">
        <f aca="false">IF($B250="","",INDEX(Schedule!$G$4:$G$483,MATCH(12005,Schedule!$K$4:$K$483,0)))</f>
        <v/>
      </c>
      <c r="D250" s="40" t="str">
        <f aca="false">IF($B250="","",INDEX(Schedule!$D$4:$D$483,MATCH(12005,Schedule!$K$4:$K$483,0)))</f>
        <v/>
      </c>
      <c r="E250" s="41" t="str">
        <f aca="false">IF($B250="","",INDEX(Schedule!$E$4:$E$483,MATCH(12005,Schedule!$K$4:$K$483,0)))</f>
        <v/>
      </c>
      <c r="F250" s="42"/>
      <c r="G250" s="43" t="str">
        <f aca="false">IF($B250="","",IF($D250="Income",IF($F250&lt;&gt;"",$F250,$E250),""))</f>
        <v/>
      </c>
      <c r="H250" s="44" t="str">
        <f aca="false">IF($B250="","",IF($D250="Income","",IF($F250&lt;&gt;"",$F250,$E250)))</f>
        <v/>
      </c>
      <c r="I250" s="45" t="str">
        <f aca="false">IF($B250="","",$I$244+SUM($G$246:$G250)-SUM($H$246:$H250))</f>
        <v/>
      </c>
      <c r="J250" s="46" t="str">
        <f aca="true">IF($B250="","",IF($F250&lt;&gt;"","PAID",IF($C250&lt;TODAY(),"PAST DUE",IF($C250&lt;=TODAY()+7,"DUE","Upcoming"))))</f>
        <v/>
      </c>
    </row>
    <row r="251" customFormat="false" ht="15" hidden="false" customHeight="false" outlineLevel="0" collapsed="false">
      <c r="B251" s="38" t="str">
        <f aca="false">IFERROR(INDEX(Schedule!$C$4:$C$483,MATCH(12006,Schedule!$K$4:$K$483,0)),"")</f>
        <v/>
      </c>
      <c r="C251" s="39" t="str">
        <f aca="false">IF($B251="","",INDEX(Schedule!$G$4:$G$483,MATCH(12006,Schedule!$K$4:$K$483,0)))</f>
        <v/>
      </c>
      <c r="D251" s="40" t="str">
        <f aca="false">IF($B251="","",INDEX(Schedule!$D$4:$D$483,MATCH(12006,Schedule!$K$4:$K$483,0)))</f>
        <v/>
      </c>
      <c r="E251" s="41" t="str">
        <f aca="false">IF($B251="","",INDEX(Schedule!$E$4:$E$483,MATCH(12006,Schedule!$K$4:$K$483,0)))</f>
        <v/>
      </c>
      <c r="F251" s="42"/>
      <c r="G251" s="43" t="str">
        <f aca="false">IF($B251="","",IF($D251="Income",IF($F251&lt;&gt;"",$F251,$E251),""))</f>
        <v/>
      </c>
      <c r="H251" s="44" t="str">
        <f aca="false">IF($B251="","",IF($D251="Income","",IF($F251&lt;&gt;"",$F251,$E251)))</f>
        <v/>
      </c>
      <c r="I251" s="45" t="str">
        <f aca="false">IF($B251="","",$I$244+SUM($G$246:$G251)-SUM($H$246:$H251))</f>
        <v/>
      </c>
      <c r="J251" s="46" t="str">
        <f aca="true">IF($B251="","",IF($F251&lt;&gt;"","PAID",IF($C251&lt;TODAY(),"PAST DUE",IF($C251&lt;=TODAY()+7,"DUE","Upcoming"))))</f>
        <v/>
      </c>
    </row>
    <row r="252" customFormat="false" ht="15" hidden="false" customHeight="false" outlineLevel="0" collapsed="false">
      <c r="B252" s="38" t="str">
        <f aca="false">IFERROR(INDEX(Schedule!$C$4:$C$483,MATCH(12007,Schedule!$K$4:$K$483,0)),"")</f>
        <v/>
      </c>
      <c r="C252" s="39" t="str">
        <f aca="false">IF($B252="","",INDEX(Schedule!$G$4:$G$483,MATCH(12007,Schedule!$K$4:$K$483,0)))</f>
        <v/>
      </c>
      <c r="D252" s="40" t="str">
        <f aca="false">IF($B252="","",INDEX(Schedule!$D$4:$D$483,MATCH(12007,Schedule!$K$4:$K$483,0)))</f>
        <v/>
      </c>
      <c r="E252" s="41" t="str">
        <f aca="false">IF($B252="","",INDEX(Schedule!$E$4:$E$483,MATCH(12007,Schedule!$K$4:$K$483,0)))</f>
        <v/>
      </c>
      <c r="F252" s="42"/>
      <c r="G252" s="43" t="str">
        <f aca="false">IF($B252="","",IF($D252="Income",IF($F252&lt;&gt;"",$F252,$E252),""))</f>
        <v/>
      </c>
      <c r="H252" s="44" t="str">
        <f aca="false">IF($B252="","",IF($D252="Income","",IF($F252&lt;&gt;"",$F252,$E252)))</f>
        <v/>
      </c>
      <c r="I252" s="45" t="str">
        <f aca="false">IF($B252="","",$I$244+SUM($G$246:$G252)-SUM($H$246:$H252))</f>
        <v/>
      </c>
      <c r="J252" s="46" t="str">
        <f aca="true">IF($B252="","",IF($F252&lt;&gt;"","PAID",IF($C252&lt;TODAY(),"PAST DUE",IF($C252&lt;=TODAY()+7,"DUE","Upcoming"))))</f>
        <v/>
      </c>
    </row>
    <row r="253" customFormat="false" ht="15" hidden="false" customHeight="false" outlineLevel="0" collapsed="false">
      <c r="B253" s="38" t="str">
        <f aca="false">IFERROR(INDEX(Schedule!$C$4:$C$483,MATCH(12008,Schedule!$K$4:$K$483,0)),"")</f>
        <v/>
      </c>
      <c r="C253" s="39" t="str">
        <f aca="false">IF($B253="","",INDEX(Schedule!$G$4:$G$483,MATCH(12008,Schedule!$K$4:$K$483,0)))</f>
        <v/>
      </c>
      <c r="D253" s="40" t="str">
        <f aca="false">IF($B253="","",INDEX(Schedule!$D$4:$D$483,MATCH(12008,Schedule!$K$4:$K$483,0)))</f>
        <v/>
      </c>
      <c r="E253" s="41" t="str">
        <f aca="false">IF($B253="","",INDEX(Schedule!$E$4:$E$483,MATCH(12008,Schedule!$K$4:$K$483,0)))</f>
        <v/>
      </c>
      <c r="F253" s="42"/>
      <c r="G253" s="43" t="str">
        <f aca="false">IF($B253="","",IF($D253="Income",IF($F253&lt;&gt;"",$F253,$E253),""))</f>
        <v/>
      </c>
      <c r="H253" s="44" t="str">
        <f aca="false">IF($B253="","",IF($D253="Income","",IF($F253&lt;&gt;"",$F253,$E253)))</f>
        <v/>
      </c>
      <c r="I253" s="45" t="str">
        <f aca="false">IF($B253="","",$I$244+SUM($G$246:$G253)-SUM($H$246:$H253))</f>
        <v/>
      </c>
      <c r="J253" s="46" t="str">
        <f aca="true">IF($B253="","",IF($F253&lt;&gt;"","PAID",IF($C253&lt;TODAY(),"PAST DUE",IF($C253&lt;=TODAY()+7,"DUE","Upcoming"))))</f>
        <v/>
      </c>
    </row>
    <row r="254" customFormat="false" ht="15" hidden="false" customHeight="false" outlineLevel="0" collapsed="false">
      <c r="B254" s="38" t="str">
        <f aca="false">IFERROR(INDEX(Schedule!$C$4:$C$483,MATCH(12009,Schedule!$K$4:$K$483,0)),"")</f>
        <v/>
      </c>
      <c r="C254" s="39" t="str">
        <f aca="false">IF($B254="","",INDEX(Schedule!$G$4:$G$483,MATCH(12009,Schedule!$K$4:$K$483,0)))</f>
        <v/>
      </c>
      <c r="D254" s="40" t="str">
        <f aca="false">IF($B254="","",INDEX(Schedule!$D$4:$D$483,MATCH(12009,Schedule!$K$4:$K$483,0)))</f>
        <v/>
      </c>
      <c r="E254" s="41" t="str">
        <f aca="false">IF($B254="","",INDEX(Schedule!$E$4:$E$483,MATCH(12009,Schedule!$K$4:$K$483,0)))</f>
        <v/>
      </c>
      <c r="F254" s="42"/>
      <c r="G254" s="43" t="str">
        <f aca="false">IF($B254="","",IF($D254="Income",IF($F254&lt;&gt;"",$F254,$E254),""))</f>
        <v/>
      </c>
      <c r="H254" s="44" t="str">
        <f aca="false">IF($B254="","",IF($D254="Income","",IF($F254&lt;&gt;"",$F254,$E254)))</f>
        <v/>
      </c>
      <c r="I254" s="45" t="str">
        <f aca="false">IF($B254="","",$I$244+SUM($G$246:$G254)-SUM($H$246:$H254))</f>
        <v/>
      </c>
      <c r="J254" s="46" t="str">
        <f aca="true">IF($B254="","",IF($F254&lt;&gt;"","PAID",IF($C254&lt;TODAY(),"PAST DUE",IF($C254&lt;=TODAY()+7,"DUE","Upcoming"))))</f>
        <v/>
      </c>
    </row>
    <row r="255" customFormat="false" ht="15" hidden="false" customHeight="false" outlineLevel="0" collapsed="false">
      <c r="B255" s="38" t="str">
        <f aca="false">IFERROR(INDEX(Schedule!$C$4:$C$483,MATCH(12010,Schedule!$K$4:$K$483,0)),"")</f>
        <v/>
      </c>
      <c r="C255" s="39" t="str">
        <f aca="false">IF($B255="","",INDEX(Schedule!$G$4:$G$483,MATCH(12010,Schedule!$K$4:$K$483,0)))</f>
        <v/>
      </c>
      <c r="D255" s="40" t="str">
        <f aca="false">IF($B255="","",INDEX(Schedule!$D$4:$D$483,MATCH(12010,Schedule!$K$4:$K$483,0)))</f>
        <v/>
      </c>
      <c r="E255" s="41" t="str">
        <f aca="false">IF($B255="","",INDEX(Schedule!$E$4:$E$483,MATCH(12010,Schedule!$K$4:$K$483,0)))</f>
        <v/>
      </c>
      <c r="F255" s="42"/>
      <c r="G255" s="43" t="str">
        <f aca="false">IF($B255="","",IF($D255="Income",IF($F255&lt;&gt;"",$F255,$E255),""))</f>
        <v/>
      </c>
      <c r="H255" s="44" t="str">
        <f aca="false">IF($B255="","",IF($D255="Income","",IF($F255&lt;&gt;"",$F255,$E255)))</f>
        <v/>
      </c>
      <c r="I255" s="45" t="str">
        <f aca="false">IF($B255="","",$I$244+SUM($G$246:$G255)-SUM($H$246:$H255))</f>
        <v/>
      </c>
      <c r="J255" s="46" t="str">
        <f aca="true">IF($B255="","",IF($F255&lt;&gt;"","PAID",IF($C255&lt;TODAY(),"PAST DUE",IF($C255&lt;=TODAY()+7,"DUE","Upcoming"))))</f>
        <v/>
      </c>
    </row>
    <row r="256" customFormat="false" ht="15" hidden="false" customHeight="false" outlineLevel="0" collapsed="false">
      <c r="B256" s="47" t="s">
        <v>123</v>
      </c>
      <c r="C256" s="48"/>
      <c r="D256" s="48"/>
      <c r="E256" s="48"/>
      <c r="F256" s="48"/>
      <c r="G256" s="48"/>
      <c r="H256" s="48"/>
      <c r="I256" s="48"/>
      <c r="J256" s="48"/>
    </row>
    <row r="257" customFormat="false" ht="15" hidden="false" customHeight="false" outlineLevel="0" collapsed="false">
      <c r="B257" s="6"/>
      <c r="C257" s="10"/>
      <c r="D257" s="49" t="str">
        <f aca="false">IF($B257="","","Expense")</f>
        <v/>
      </c>
      <c r="E257" s="18"/>
      <c r="F257" s="10"/>
      <c r="G257" s="10"/>
      <c r="H257" s="50" t="str">
        <f aca="false">IF($B257="","",N($E257))</f>
        <v/>
      </c>
      <c r="I257" s="51" t="str">
        <f aca="false">IF($B257="","",$I$244+SUM($G$246:$G257)-SUM($H$246:$H257))</f>
        <v/>
      </c>
      <c r="J257" s="10"/>
    </row>
    <row r="258" customFormat="false" ht="15" hidden="false" customHeight="false" outlineLevel="0" collapsed="false">
      <c r="B258" s="6"/>
      <c r="C258" s="10"/>
      <c r="D258" s="49" t="str">
        <f aca="false">IF($B258="","","Expense")</f>
        <v/>
      </c>
      <c r="E258" s="18"/>
      <c r="F258" s="10"/>
      <c r="G258" s="10"/>
      <c r="H258" s="50" t="str">
        <f aca="false">IF($B258="","",N($E258))</f>
        <v/>
      </c>
      <c r="I258" s="51" t="str">
        <f aca="false">IF($B258="","",$I$244+SUM($G$246:$G258)-SUM($H$246:$H258))</f>
        <v/>
      </c>
      <c r="J258" s="10"/>
    </row>
    <row r="259" customFormat="false" ht="15" hidden="false" customHeight="false" outlineLevel="0" collapsed="false">
      <c r="B259" s="6"/>
      <c r="C259" s="10"/>
      <c r="D259" s="49" t="str">
        <f aca="false">IF($B259="","","Expense")</f>
        <v/>
      </c>
      <c r="E259" s="18"/>
      <c r="F259" s="10"/>
      <c r="G259" s="10"/>
      <c r="H259" s="50" t="str">
        <f aca="false">IF($B259="","",N($E259))</f>
        <v/>
      </c>
      <c r="I259" s="51" t="str">
        <f aca="false">IF($B259="","",$I$244+SUM($G$246:$G259)-SUM($H$246:$H259))</f>
        <v/>
      </c>
      <c r="J259" s="10"/>
    </row>
    <row r="260" customFormat="false" ht="15" hidden="false" customHeight="false" outlineLevel="0" collapsed="false">
      <c r="B260" s="6"/>
      <c r="C260" s="10"/>
      <c r="D260" s="49" t="str">
        <f aca="false">IF($B260="","","Expense")</f>
        <v/>
      </c>
      <c r="E260" s="18"/>
      <c r="F260" s="10"/>
      <c r="G260" s="10"/>
      <c r="H260" s="50" t="str">
        <f aca="false">IF($B260="","",N($E260))</f>
        <v/>
      </c>
      <c r="I260" s="51" t="str">
        <f aca="false">IF($B260="","",$I$244+SUM($G$246:$G260)-SUM($H$246:$H260))</f>
        <v/>
      </c>
      <c r="J260" s="10"/>
    </row>
    <row r="261" customFormat="false" ht="15" hidden="false" customHeight="false" outlineLevel="0" collapsed="false">
      <c r="B261" s="6"/>
      <c r="C261" s="10"/>
      <c r="D261" s="49" t="str">
        <f aca="false">IF($B261="","","Expense")</f>
        <v/>
      </c>
      <c r="E261" s="18"/>
      <c r="F261" s="10"/>
      <c r="G261" s="10"/>
      <c r="H261" s="50" t="str">
        <f aca="false">IF($B261="","",N($E261))</f>
        <v/>
      </c>
      <c r="I261" s="51" t="str">
        <f aca="false">IF($B261="","",$I$244+SUM($G$246:$G261)-SUM($H$246:$H261))</f>
        <v/>
      </c>
      <c r="J261" s="10"/>
    </row>
    <row r="262" customFormat="false" ht="15" hidden="false" customHeight="false" outlineLevel="0" collapsed="false">
      <c r="B262" s="6"/>
      <c r="C262" s="10"/>
      <c r="D262" s="49" t="str">
        <f aca="false">IF($B262="","","Expense")</f>
        <v/>
      </c>
      <c r="E262" s="18"/>
      <c r="F262" s="10"/>
      <c r="G262" s="10"/>
      <c r="H262" s="50" t="str">
        <f aca="false">IF($B262="","",N($E262))</f>
        <v/>
      </c>
      <c r="I262" s="51" t="str">
        <f aca="false">IF($B262="","",$I$244+SUM($G$246:$G262)-SUM($H$246:$H262))</f>
        <v/>
      </c>
      <c r="J262" s="10"/>
    </row>
    <row r="263" customFormat="false" ht="15" hidden="false" customHeight="false" outlineLevel="0" collapsed="false">
      <c r="B263" s="52" t="s">
        <v>135</v>
      </c>
      <c r="C263" s="53"/>
      <c r="D263" s="53"/>
      <c r="E263" s="53"/>
      <c r="F263" s="53"/>
      <c r="G263" s="54" t="n">
        <f aca="false">SUM($G$246:$G$262)</f>
        <v>880</v>
      </c>
      <c r="H263" s="54" t="n">
        <f aca="false">SUM($H$246:$H$262)</f>
        <v>57.57</v>
      </c>
      <c r="I263" s="55" t="n">
        <f aca="false">$I$244+$G$263-$H$263</f>
        <v>5133.2</v>
      </c>
      <c r="J263" s="56" t="str">
        <f aca="false">IF($I$263&lt;0,"SHORTFALL",IF($I$263&lt;$E$7,"TIGHT","OK"))</f>
        <v>OK</v>
      </c>
      <c r="K263" s="25" t="str">
        <f aca="false">"In "&amp;TEXT($G$263,"$#,##0.00")&amp;"   less out "&amp;TEXT($H$263,"$#,##0.00")&amp;"   =  net "&amp;TEXT($G$263-$H$263,"$#,##0.00;-$#,##0.00")</f>
        <v>In $880.00   less out $57.57   =  net $822.43</v>
      </c>
    </row>
    <row r="265" customFormat="false" ht="21.75" hidden="false" customHeight="true" outlineLevel="0" collapsed="false">
      <c r="B265" s="31" t="str">
        <f aca="false">"WEEK 13     "&amp;TEXT($E$6+84,"ddd, mmm d")&amp;"   through   "&amp;TEXT($E$6+84+6,"ddd, mmm d, yyyy")</f>
        <v>WEEK 13     Fri, Oct 30   through   Thu, Nov 5, 2026</v>
      </c>
      <c r="C265" s="32"/>
      <c r="D265" s="32"/>
      <c r="E265" s="32"/>
      <c r="F265" s="32"/>
      <c r="G265" s="33" t="s">
        <v>116</v>
      </c>
      <c r="H265" s="32"/>
      <c r="I265" s="34" t="n">
        <f aca="false">$I$263</f>
        <v>5133.2</v>
      </c>
      <c r="J265" s="32"/>
      <c r="K265" s="28" t="str">
        <f aca="false">IF(COUNTIF(Schedule!$I$4:$I$483,13)&gt;10,"! "&amp;COUNTIF(Schedule!$I$4:$I$483,13)-10&amp;" more transaction(s) fall in this week than there are rows to show them.","")</f>
        <v/>
      </c>
    </row>
    <row r="266" customFormat="false" ht="25.5" hidden="false" customHeight="true" outlineLevel="0" collapsed="false">
      <c r="B266" s="35" t="s">
        <v>117</v>
      </c>
      <c r="C266" s="35" t="s">
        <v>118</v>
      </c>
      <c r="D266" s="35" t="s">
        <v>68</v>
      </c>
      <c r="E266" s="35" t="s">
        <v>119</v>
      </c>
      <c r="F266" s="35" t="s">
        <v>120</v>
      </c>
      <c r="G266" s="36" t="s">
        <v>18</v>
      </c>
      <c r="H266" s="37" t="s">
        <v>20</v>
      </c>
      <c r="I266" s="35" t="s">
        <v>121</v>
      </c>
      <c r="J266" s="35" t="s">
        <v>122</v>
      </c>
    </row>
    <row r="267" customFormat="false" ht="15" hidden="false" customHeight="false" outlineLevel="0" collapsed="false">
      <c r="B267" s="38" t="str">
        <f aca="false">IFERROR(INDEX(Schedule!$C$4:$C$483,MATCH(13001,Schedule!$K$4:$K$483,0)),"")</f>
        <v>Compunnel Software (paycheck)</v>
      </c>
      <c r="C267" s="39" t="n">
        <f aca="false">IF($B267="","",INDEX(Schedule!$G$4:$G$483,MATCH(13001,Schedule!$K$4:$K$483,0)))</f>
        <v>46325</v>
      </c>
      <c r="D267" s="40" t="str">
        <f aca="false">IF($B267="","",INDEX(Schedule!$D$4:$D$483,MATCH(13001,Schedule!$K$4:$K$483,0)))</f>
        <v>Income</v>
      </c>
      <c r="E267" s="41" t="n">
        <f aca="false">IF($B267="","",INDEX(Schedule!$E$4:$E$483,MATCH(13001,Schedule!$K$4:$K$483,0)))</f>
        <v>790</v>
      </c>
      <c r="F267" s="42"/>
      <c r="G267" s="43" t="n">
        <f aca="false">IF($B267="","",IF($D267="Income",IF($F267&lt;&gt;"",$F267,$E267),""))</f>
        <v>790</v>
      </c>
      <c r="H267" s="44" t="str">
        <f aca="false">IF($B267="","",IF($D267="Income","",IF($F267&lt;&gt;"",$F267,$E267)))</f>
        <v/>
      </c>
      <c r="I267" s="45" t="n">
        <f aca="false">IF($B267="","",$I$265+SUM($G$267:$G267)-SUM($H$267:$H267))</f>
        <v>5923.2</v>
      </c>
      <c r="J267" s="46" t="str">
        <f aca="true">IF($B267="","",IF($F267&lt;&gt;"","PAID",IF($C267&lt;TODAY(),"PAST DUE",IF($C267&lt;=TODAY()+7,"DUE","Upcoming"))))</f>
        <v>Upcoming</v>
      </c>
    </row>
    <row r="268" customFormat="false" ht="15" hidden="false" customHeight="false" outlineLevel="0" collapsed="false">
      <c r="B268" s="38" t="str">
        <f aca="false">IFERROR(INDEX(Schedule!$C$4:$C$483,MATCH(13002,Schedule!$K$4:$K$483,0)),"")</f>
        <v>Patrick Rombalski (rent)</v>
      </c>
      <c r="C268" s="39" t="n">
        <f aca="false">IF($B268="","",INDEX(Schedule!$G$4:$G$483,MATCH(13002,Schedule!$K$4:$K$483,0)))</f>
        <v>46325</v>
      </c>
      <c r="D268" s="40" t="str">
        <f aca="false">IF($B268="","",INDEX(Schedule!$D$4:$D$483,MATCH(13002,Schedule!$K$4:$K$483,0)))</f>
        <v>Expense</v>
      </c>
      <c r="E268" s="41" t="n">
        <f aca="false">IF($B268="","",INDEX(Schedule!$E$4:$E$483,MATCH(13002,Schedule!$K$4:$K$483,0)))</f>
        <v>350</v>
      </c>
      <c r="F268" s="42"/>
      <c r="G268" s="43" t="str">
        <f aca="false">IF($B268="","",IF($D268="Income",IF($F268&lt;&gt;"",$F268,$E268),""))</f>
        <v/>
      </c>
      <c r="H268" s="44" t="n">
        <f aca="false">IF($B268="","",IF($D268="Income","",IF($F268&lt;&gt;"",$F268,$E268)))</f>
        <v>350</v>
      </c>
      <c r="I268" s="45" t="n">
        <f aca="false">IF($B268="","",$I$265+SUM($G$267:$G268)-SUM($H$267:$H268))</f>
        <v>5573.2</v>
      </c>
      <c r="J268" s="46" t="str">
        <f aca="true">IF($B268="","",IF($F268&lt;&gt;"","PAID",IF($C268&lt;TODAY(),"PAST DUE",IF($C268&lt;=TODAY()+7,"DUE","Upcoming"))))</f>
        <v>Upcoming</v>
      </c>
    </row>
    <row r="269" customFormat="false" ht="15" hidden="false" customHeight="false" outlineLevel="0" collapsed="false">
      <c r="B269" s="38" t="str">
        <f aca="false">IFERROR(INDEX(Schedule!$C$4:$C$483,MATCH(13003,Schedule!$K$4:$K$483,0)),"")</f>
        <v>Maine Revenue Services (2)</v>
      </c>
      <c r="C269" s="39" t="n">
        <f aca="false">IF($B269="","",INDEX(Schedule!$G$4:$G$483,MATCH(13003,Schedule!$K$4:$K$483,0)))</f>
        <v>46325</v>
      </c>
      <c r="D269" s="40" t="str">
        <f aca="false">IF($B269="","",INDEX(Schedule!$D$4:$D$483,MATCH(13003,Schedule!$K$4:$K$483,0)))</f>
        <v>Expense</v>
      </c>
      <c r="E269" s="41" t="n">
        <f aca="false">IF($B269="","",INDEX(Schedule!$E$4:$E$483,MATCH(13003,Schedule!$K$4:$K$483,0)))</f>
        <v>150</v>
      </c>
      <c r="F269" s="42"/>
      <c r="G269" s="43" t="str">
        <f aca="false">IF($B269="","",IF($D269="Income",IF($F269&lt;&gt;"",$F269,$E269),""))</f>
        <v/>
      </c>
      <c r="H269" s="44" t="n">
        <f aca="false">IF($B269="","",IF($D269="Income","",IF($F269&lt;&gt;"",$F269,$E269)))</f>
        <v>150</v>
      </c>
      <c r="I269" s="45" t="n">
        <f aca="false">IF($B269="","",$I$265+SUM($G$267:$G269)-SUM($H$267:$H269))</f>
        <v>5423.2</v>
      </c>
      <c r="J269" s="46" t="str">
        <f aca="true">IF($B269="","",IF($F269&lt;&gt;"","PAID",IF($C269&lt;TODAY(),"PAST DUE",IF($C269&lt;=TODAY()+7,"DUE","Upcoming"))))</f>
        <v>Upcoming</v>
      </c>
    </row>
    <row r="270" customFormat="false" ht="15" hidden="false" customHeight="false" outlineLevel="0" collapsed="false">
      <c r="B270" s="38" t="str">
        <f aca="false">IFERROR(INDEX(Schedule!$C$4:$C$483,MATCH(13004,Schedule!$K$4:$K$483,0)),"")</f>
        <v>Progressive Insurance</v>
      </c>
      <c r="C270" s="39" t="n">
        <f aca="false">IF($B270="","",INDEX(Schedule!$G$4:$G$483,MATCH(13004,Schedule!$K$4:$K$483,0)))</f>
        <v>46326</v>
      </c>
      <c r="D270" s="40" t="str">
        <f aca="false">IF($B270="","",INDEX(Schedule!$D$4:$D$483,MATCH(13004,Schedule!$K$4:$K$483,0)))</f>
        <v>Expense</v>
      </c>
      <c r="E270" s="41" t="n">
        <f aca="false">IF($B270="","",INDEX(Schedule!$E$4:$E$483,MATCH(13004,Schedule!$K$4:$K$483,0)))</f>
        <v>143.37</v>
      </c>
      <c r="F270" s="42"/>
      <c r="G270" s="43" t="str">
        <f aca="false">IF($B270="","",IF($D270="Income",IF($F270&lt;&gt;"",$F270,$E270),""))</f>
        <v/>
      </c>
      <c r="H270" s="44" t="n">
        <f aca="false">IF($B270="","",IF($D270="Income","",IF($F270&lt;&gt;"",$F270,$E270)))</f>
        <v>143.37</v>
      </c>
      <c r="I270" s="45" t="n">
        <f aca="false">IF($B270="","",$I$265+SUM($G$267:$G270)-SUM($H$267:$H270))</f>
        <v>5279.83</v>
      </c>
      <c r="J270" s="46" t="str">
        <f aca="true">IF($B270="","",IF($F270&lt;&gt;"","PAID",IF($C270&lt;TODAY(),"PAST DUE",IF($C270&lt;=TODAY()+7,"DUE","Upcoming"))))</f>
        <v>Upcoming</v>
      </c>
    </row>
    <row r="271" customFormat="false" ht="15" hidden="false" customHeight="false" outlineLevel="0" collapsed="false">
      <c r="B271" s="38" t="str">
        <f aca="false">IFERROR(INDEX(Schedule!$C$4:$C$483,MATCH(13005,Schedule!$K$4:$K$483,0)),"")</f>
        <v>Bruno's Restaurant (paycheck)</v>
      </c>
      <c r="C271" s="39" t="n">
        <f aca="false">IF($B271="","",INDEX(Schedule!$G$4:$G$483,MATCH(13005,Schedule!$K$4:$K$483,0)))</f>
        <v>46330</v>
      </c>
      <c r="D271" s="40" t="str">
        <f aca="false">IF($B271="","",INDEX(Schedule!$D$4:$D$483,MATCH(13005,Schedule!$K$4:$K$483,0)))</f>
        <v>Income</v>
      </c>
      <c r="E271" s="41" t="n">
        <f aca="false">IF($B271="","",INDEX(Schedule!$E$4:$E$483,MATCH(13005,Schedule!$K$4:$K$483,0)))</f>
        <v>90</v>
      </c>
      <c r="F271" s="42"/>
      <c r="G271" s="43" t="n">
        <f aca="false">IF($B271="","",IF($D271="Income",IF($F271&lt;&gt;"",$F271,$E271),""))</f>
        <v>90</v>
      </c>
      <c r="H271" s="44" t="str">
        <f aca="false">IF($B271="","",IF($D271="Income","",IF($F271&lt;&gt;"",$F271,$E271)))</f>
        <v/>
      </c>
      <c r="I271" s="45" t="n">
        <f aca="false">IF($B271="","",$I$265+SUM($G$267:$G271)-SUM($H$267:$H271))</f>
        <v>5369.83</v>
      </c>
      <c r="J271" s="46" t="str">
        <f aca="true">IF($B271="","",IF($F271&lt;&gt;"","PAID",IF($C271&lt;TODAY(),"PAST DUE",IF($C271&lt;=TODAY()+7,"DUE","Upcoming"))))</f>
        <v>Upcoming</v>
      </c>
    </row>
    <row r="272" customFormat="false" ht="15" hidden="false" customHeight="false" outlineLevel="0" collapsed="false">
      <c r="B272" s="38" t="str">
        <f aca="false">IFERROR(INDEX(Schedule!$C$4:$C$483,MATCH(13006,Schedule!$K$4:$K$483,0)),"")</f>
        <v>Apple: Claude</v>
      </c>
      <c r="C272" s="39" t="n">
        <f aca="false">IF($B272="","",INDEX(Schedule!$G$4:$G$483,MATCH(13006,Schedule!$K$4:$K$483,0)))</f>
        <v>46330</v>
      </c>
      <c r="D272" s="40" t="str">
        <f aca="false">IF($B272="","",INDEX(Schedule!$D$4:$D$483,MATCH(13006,Schedule!$K$4:$K$483,0)))</f>
        <v>Expense</v>
      </c>
      <c r="E272" s="41" t="n">
        <f aca="false">IF($B272="","",INDEX(Schedule!$E$4:$E$483,MATCH(13006,Schedule!$K$4:$K$483,0)))</f>
        <v>21.1</v>
      </c>
      <c r="F272" s="42"/>
      <c r="G272" s="43" t="str">
        <f aca="false">IF($B272="","",IF($D272="Income",IF($F272&lt;&gt;"",$F272,$E272),""))</f>
        <v/>
      </c>
      <c r="H272" s="44" t="n">
        <f aca="false">IF($B272="","",IF($D272="Income","",IF($F272&lt;&gt;"",$F272,$E272)))</f>
        <v>21.1</v>
      </c>
      <c r="I272" s="45" t="n">
        <f aca="false">IF($B272="","",$I$265+SUM($G$267:$G272)-SUM($H$267:$H272))</f>
        <v>5348.73</v>
      </c>
      <c r="J272" s="46" t="str">
        <f aca="true">IF($B272="","",IF($F272&lt;&gt;"","PAID",IF($C272&lt;TODAY(),"PAST DUE",IF($C272&lt;=TODAY()+7,"DUE","Upcoming"))))</f>
        <v>Upcoming</v>
      </c>
    </row>
    <row r="273" customFormat="false" ht="15" hidden="false" customHeight="false" outlineLevel="0" collapsed="false">
      <c r="B273" s="38" t="str">
        <f aca="false">IFERROR(INDEX(Schedule!$C$4:$C$483,MATCH(13007,Schedule!$K$4:$K$483,0)),"")</f>
        <v>OpenAI</v>
      </c>
      <c r="C273" s="39" t="n">
        <f aca="false">IF($B273="","",INDEX(Schedule!$G$4:$G$483,MATCH(13007,Schedule!$K$4:$K$483,0)))</f>
        <v>46331</v>
      </c>
      <c r="D273" s="40" t="str">
        <f aca="false">IF($B273="","",INDEX(Schedule!$D$4:$D$483,MATCH(13007,Schedule!$K$4:$K$483,0)))</f>
        <v>Expense</v>
      </c>
      <c r="E273" s="41" t="n">
        <f aca="false">IF($B273="","",INDEX(Schedule!$E$4:$E$483,MATCH(13007,Schedule!$K$4:$K$483,0)))</f>
        <v>20</v>
      </c>
      <c r="F273" s="42"/>
      <c r="G273" s="43" t="str">
        <f aca="false">IF($B273="","",IF($D273="Income",IF($F273&lt;&gt;"",$F273,$E273),""))</f>
        <v/>
      </c>
      <c r="H273" s="44" t="n">
        <f aca="false">IF($B273="","",IF($D273="Income","",IF($F273&lt;&gt;"",$F273,$E273)))</f>
        <v>20</v>
      </c>
      <c r="I273" s="45" t="n">
        <f aca="false">IF($B273="","",$I$265+SUM($G$267:$G273)-SUM($H$267:$H273))</f>
        <v>5328.73</v>
      </c>
      <c r="J273" s="46" t="str">
        <f aca="true">IF($B273="","",IF($F273&lt;&gt;"","PAID",IF($C273&lt;TODAY(),"PAST DUE",IF($C273&lt;=TODAY()+7,"DUE","Upcoming"))))</f>
        <v>Upcoming</v>
      </c>
    </row>
    <row r="274" customFormat="false" ht="15" hidden="false" customHeight="false" outlineLevel="0" collapsed="false">
      <c r="B274" s="38" t="str">
        <f aca="false">IFERROR(INDEX(Schedule!$C$4:$C$483,MATCH(13008,Schedule!$K$4:$K$483,0)),"")</f>
        <v>Obsidian</v>
      </c>
      <c r="C274" s="39" t="n">
        <f aca="false">IF($B274="","",INDEX(Schedule!$G$4:$G$483,MATCH(13008,Schedule!$K$4:$K$483,0)))</f>
        <v>46331</v>
      </c>
      <c r="D274" s="40" t="str">
        <f aca="false">IF($B274="","",INDEX(Schedule!$D$4:$D$483,MATCH(13008,Schedule!$K$4:$K$483,0)))</f>
        <v>Expense</v>
      </c>
      <c r="E274" s="41" t="n">
        <f aca="false">IF($B274="","",INDEX(Schedule!$E$4:$E$483,MATCH(13008,Schedule!$K$4:$K$483,0)))</f>
        <v>10</v>
      </c>
      <c r="F274" s="42"/>
      <c r="G274" s="43" t="str">
        <f aca="false">IF($B274="","",IF($D274="Income",IF($F274&lt;&gt;"",$F274,$E274),""))</f>
        <v/>
      </c>
      <c r="H274" s="44" t="n">
        <f aca="false">IF($B274="","",IF($D274="Income","",IF($F274&lt;&gt;"",$F274,$E274)))</f>
        <v>10</v>
      </c>
      <c r="I274" s="45" t="n">
        <f aca="false">IF($B274="","",$I$265+SUM($G$267:$G274)-SUM($H$267:$H274))</f>
        <v>5318.73</v>
      </c>
      <c r="J274" s="46" t="str">
        <f aca="true">IF($B274="","",IF($F274&lt;&gt;"","PAID",IF($C274&lt;TODAY(),"PAST DUE",IF($C274&lt;=TODAY()+7,"DUE","Upcoming"))))</f>
        <v>Upcoming</v>
      </c>
    </row>
    <row r="275" customFormat="false" ht="15" hidden="false" customHeight="false" outlineLevel="0" collapsed="false">
      <c r="B275" s="38" t="str">
        <f aca="false">IFERROR(INDEX(Schedule!$C$4:$C$483,MATCH(13009,Schedule!$K$4:$K$483,0)),"")</f>
        <v/>
      </c>
      <c r="C275" s="39" t="str">
        <f aca="false">IF($B275="","",INDEX(Schedule!$G$4:$G$483,MATCH(13009,Schedule!$K$4:$K$483,0)))</f>
        <v/>
      </c>
      <c r="D275" s="40" t="str">
        <f aca="false">IF($B275="","",INDEX(Schedule!$D$4:$D$483,MATCH(13009,Schedule!$K$4:$K$483,0)))</f>
        <v/>
      </c>
      <c r="E275" s="41" t="str">
        <f aca="false">IF($B275="","",INDEX(Schedule!$E$4:$E$483,MATCH(13009,Schedule!$K$4:$K$483,0)))</f>
        <v/>
      </c>
      <c r="F275" s="42"/>
      <c r="G275" s="43" t="str">
        <f aca="false">IF($B275="","",IF($D275="Income",IF($F275&lt;&gt;"",$F275,$E275),""))</f>
        <v/>
      </c>
      <c r="H275" s="44" t="str">
        <f aca="false">IF($B275="","",IF($D275="Income","",IF($F275&lt;&gt;"",$F275,$E275)))</f>
        <v/>
      </c>
      <c r="I275" s="45" t="str">
        <f aca="false">IF($B275="","",$I$265+SUM($G$267:$G275)-SUM($H$267:$H275))</f>
        <v/>
      </c>
      <c r="J275" s="46" t="str">
        <f aca="true">IF($B275="","",IF($F275&lt;&gt;"","PAID",IF($C275&lt;TODAY(),"PAST DUE",IF($C275&lt;=TODAY()+7,"DUE","Upcoming"))))</f>
        <v/>
      </c>
    </row>
    <row r="276" customFormat="false" ht="15" hidden="false" customHeight="false" outlineLevel="0" collapsed="false">
      <c r="B276" s="38" t="str">
        <f aca="false">IFERROR(INDEX(Schedule!$C$4:$C$483,MATCH(13010,Schedule!$K$4:$K$483,0)),"")</f>
        <v/>
      </c>
      <c r="C276" s="39" t="str">
        <f aca="false">IF($B276="","",INDEX(Schedule!$G$4:$G$483,MATCH(13010,Schedule!$K$4:$K$483,0)))</f>
        <v/>
      </c>
      <c r="D276" s="40" t="str">
        <f aca="false">IF($B276="","",INDEX(Schedule!$D$4:$D$483,MATCH(13010,Schedule!$K$4:$K$483,0)))</f>
        <v/>
      </c>
      <c r="E276" s="41" t="str">
        <f aca="false">IF($B276="","",INDEX(Schedule!$E$4:$E$483,MATCH(13010,Schedule!$K$4:$K$483,0)))</f>
        <v/>
      </c>
      <c r="F276" s="42"/>
      <c r="G276" s="43" t="str">
        <f aca="false">IF($B276="","",IF($D276="Income",IF($F276&lt;&gt;"",$F276,$E276),""))</f>
        <v/>
      </c>
      <c r="H276" s="44" t="str">
        <f aca="false">IF($B276="","",IF($D276="Income","",IF($F276&lt;&gt;"",$F276,$E276)))</f>
        <v/>
      </c>
      <c r="I276" s="45" t="str">
        <f aca="false">IF($B276="","",$I$265+SUM($G$267:$G276)-SUM($H$267:$H276))</f>
        <v/>
      </c>
      <c r="J276" s="46" t="str">
        <f aca="true">IF($B276="","",IF($F276&lt;&gt;"","PAID",IF($C276&lt;TODAY(),"PAST DUE",IF($C276&lt;=TODAY()+7,"DUE","Upcoming"))))</f>
        <v/>
      </c>
    </row>
    <row r="277" customFormat="false" ht="15" hidden="false" customHeight="false" outlineLevel="0" collapsed="false">
      <c r="B277" s="47" t="s">
        <v>123</v>
      </c>
      <c r="C277" s="48"/>
      <c r="D277" s="48"/>
      <c r="E277" s="48"/>
      <c r="F277" s="48"/>
      <c r="G277" s="48"/>
      <c r="H277" s="48"/>
      <c r="I277" s="48"/>
      <c r="J277" s="48"/>
    </row>
    <row r="278" customFormat="false" ht="15" hidden="false" customHeight="false" outlineLevel="0" collapsed="false">
      <c r="B278" s="6"/>
      <c r="C278" s="10"/>
      <c r="D278" s="49" t="str">
        <f aca="false">IF($B278="","","Expense")</f>
        <v/>
      </c>
      <c r="E278" s="18"/>
      <c r="F278" s="10"/>
      <c r="G278" s="10"/>
      <c r="H278" s="50" t="str">
        <f aca="false">IF($B278="","",N($E278))</f>
        <v/>
      </c>
      <c r="I278" s="51" t="str">
        <f aca="false">IF($B278="","",$I$265+SUM($G$267:$G278)-SUM($H$267:$H278))</f>
        <v/>
      </c>
      <c r="J278" s="10"/>
    </row>
    <row r="279" customFormat="false" ht="15" hidden="false" customHeight="false" outlineLevel="0" collapsed="false">
      <c r="B279" s="6"/>
      <c r="C279" s="10"/>
      <c r="D279" s="49" t="str">
        <f aca="false">IF($B279="","","Expense")</f>
        <v/>
      </c>
      <c r="E279" s="18"/>
      <c r="F279" s="10"/>
      <c r="G279" s="10"/>
      <c r="H279" s="50" t="str">
        <f aca="false">IF($B279="","",N($E279))</f>
        <v/>
      </c>
      <c r="I279" s="51" t="str">
        <f aca="false">IF($B279="","",$I$265+SUM($G$267:$G279)-SUM($H$267:$H279))</f>
        <v/>
      </c>
      <c r="J279" s="10"/>
    </row>
    <row r="280" customFormat="false" ht="15" hidden="false" customHeight="false" outlineLevel="0" collapsed="false">
      <c r="B280" s="6"/>
      <c r="C280" s="10"/>
      <c r="D280" s="49" t="str">
        <f aca="false">IF($B280="","","Expense")</f>
        <v/>
      </c>
      <c r="E280" s="18"/>
      <c r="F280" s="10"/>
      <c r="G280" s="10"/>
      <c r="H280" s="50" t="str">
        <f aca="false">IF($B280="","",N($E280))</f>
        <v/>
      </c>
      <c r="I280" s="51" t="str">
        <f aca="false">IF($B280="","",$I$265+SUM($G$267:$G280)-SUM($H$267:$H280))</f>
        <v/>
      </c>
      <c r="J280" s="10"/>
    </row>
    <row r="281" customFormat="false" ht="15" hidden="false" customHeight="false" outlineLevel="0" collapsed="false">
      <c r="B281" s="6"/>
      <c r="C281" s="10"/>
      <c r="D281" s="49" t="str">
        <f aca="false">IF($B281="","","Expense")</f>
        <v/>
      </c>
      <c r="E281" s="18"/>
      <c r="F281" s="10"/>
      <c r="G281" s="10"/>
      <c r="H281" s="50" t="str">
        <f aca="false">IF($B281="","",N($E281))</f>
        <v/>
      </c>
      <c r="I281" s="51" t="str">
        <f aca="false">IF($B281="","",$I$265+SUM($G$267:$G281)-SUM($H$267:$H281))</f>
        <v/>
      </c>
      <c r="J281" s="10"/>
    </row>
    <row r="282" customFormat="false" ht="15" hidden="false" customHeight="false" outlineLevel="0" collapsed="false">
      <c r="B282" s="6"/>
      <c r="C282" s="10"/>
      <c r="D282" s="49" t="str">
        <f aca="false">IF($B282="","","Expense")</f>
        <v/>
      </c>
      <c r="E282" s="18"/>
      <c r="F282" s="10"/>
      <c r="G282" s="10"/>
      <c r="H282" s="50" t="str">
        <f aca="false">IF($B282="","",N($E282))</f>
        <v/>
      </c>
      <c r="I282" s="51" t="str">
        <f aca="false">IF($B282="","",$I$265+SUM($G$267:$G282)-SUM($H$267:$H282))</f>
        <v/>
      </c>
      <c r="J282" s="10"/>
    </row>
    <row r="283" customFormat="false" ht="15" hidden="false" customHeight="false" outlineLevel="0" collapsed="false">
      <c r="B283" s="6"/>
      <c r="C283" s="10"/>
      <c r="D283" s="49" t="str">
        <f aca="false">IF($B283="","","Expense")</f>
        <v/>
      </c>
      <c r="E283" s="18"/>
      <c r="F283" s="10"/>
      <c r="G283" s="10"/>
      <c r="H283" s="50" t="str">
        <f aca="false">IF($B283="","",N($E283))</f>
        <v/>
      </c>
      <c r="I283" s="51" t="str">
        <f aca="false">IF($B283="","",$I$265+SUM($G$267:$G283)-SUM($H$267:$H283))</f>
        <v/>
      </c>
      <c r="J283" s="10"/>
    </row>
    <row r="284" customFormat="false" ht="15" hidden="false" customHeight="false" outlineLevel="0" collapsed="false">
      <c r="B284" s="52" t="s">
        <v>136</v>
      </c>
      <c r="C284" s="53"/>
      <c r="D284" s="53"/>
      <c r="E284" s="53"/>
      <c r="F284" s="53"/>
      <c r="G284" s="54" t="n">
        <f aca="false">SUM($G$267:$G$283)</f>
        <v>880</v>
      </c>
      <c r="H284" s="54" t="n">
        <f aca="false">SUM($H$267:$H$283)</f>
        <v>694.47</v>
      </c>
      <c r="I284" s="55" t="n">
        <f aca="false">$I$265+$G$284-$H$284</f>
        <v>5318.73</v>
      </c>
      <c r="J284" s="56" t="str">
        <f aca="false">IF($I$284&lt;0,"SHORTFALL",IF($I$284&lt;$E$7,"TIGHT","OK"))</f>
        <v>OK</v>
      </c>
      <c r="K284" s="25" t="str">
        <f aca="false">"In "&amp;TEXT($G$284,"$#,##0.00")&amp;"   less out "&amp;TEXT($H$284,"$#,##0.00")&amp;"   =  net "&amp;TEXT($G$284-$H$284,"$#,##0.00;-$#,##0.00")</f>
        <v>In $880.00   less out $694.47   =  net $185.53</v>
      </c>
    </row>
  </sheetData>
  <conditionalFormatting sqref="B15:J24 B36:J45 B57:J66 B78:J87 B99:J108 B120:J129 B141:J150 B162:J171 B183:J192 B204:J213 B225:J234 B246:J255 B267:J276">
    <cfRule type="expression" priority="2" aboveAverage="0" equalAverage="0" bottom="0" percent="0" rank="0" text="" dxfId="2">
      <formula>$B15&lt;&gt;""</formula>
    </cfRule>
  </conditionalFormatting>
  <conditionalFormatting sqref="F15:F24 F36:F45 F57:F66 F78:F87 F99:F108 F120:F129 F141:F150 F162:F171 F183:F192 F204:F213 F225:F234 F246:F255 F267:F276">
    <cfRule type="expression" priority="3" aboveAverage="0" equalAverage="0" bottom="0" percent="0" rank="0" text="" dxfId="3">
      <formula>AND($B15&lt;&gt;"",$F15="",$C15&lt;=TODAY())</formula>
    </cfRule>
  </conditionalFormatting>
  <conditionalFormatting sqref="J15:J24 J32 J36:J45 J53 J57:J66 J74 J78:J87 J95 J99:J108 J116 J120:J129 J137 J141:J150 J158 J162:J171 J179 J183:J192 J200 J204:J213 J221 J225:J234 J242 J246:J255 J263 J267:J276 J284">
    <cfRule type="expression" priority="4" aboveAverage="0" equalAverage="0" bottom="0" percent="0" rank="0" text="" dxfId="4">
      <formula>OR($J15="PAST DUE",$J15="SHORTFALL")</formula>
    </cfRule>
    <cfRule type="expression" priority="5" aboveAverage="0" equalAverage="0" bottom="0" percent="0" rank="0" text="" dxfId="5">
      <formula>OR($J15="PAID",$J15="OK")</formula>
    </cfRule>
    <cfRule type="expression" priority="6" aboveAverage="0" equalAverage="0" bottom="0" percent="0" rank="0" text="" dxfId="6">
      <formula>OR($J15="DUE",$J15="TIGHT")</formula>
    </cfRule>
  </conditionalFormatting>
  <conditionalFormatting sqref="I15:I32 I36:I53 I57:I74 I78:I95 I99:I116 I120:I137 I141:I158 I162:I179 I183:I200 I204:I221 I225:I242 I246:I263 I267:I284">
    <cfRule type="expression" priority="7" aboveAverage="0" equalAverage="0" bottom="0" percent="0" rank="0" text="" dxfId="7">
      <formula>AND($I15&lt;&gt;"",$I15&lt;0)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
    <col collapsed="false" customWidth="true" hidden="false" outlineLevel="0" max="3" min="3" style="0" width="20"/>
    <col collapsed="false" customWidth="true" hidden="false" outlineLevel="0" max="4" min="4" style="0" width="15"/>
    <col collapsed="false" customWidth="true" hidden="false" outlineLevel="0" max="5" min="5" style="0" width="14"/>
    <col collapsed="false" customWidth="true" hidden="false" outlineLevel="0" max="7" min="6" style="0" width="16"/>
    <col collapsed="false" customWidth="true" hidden="false" outlineLevel="0" max="8" min="8" style="0" width="13"/>
    <col collapsed="false" customWidth="true" hidden="false" outlineLevel="0" max="9" min="9" style="0" width="16"/>
    <col collapsed="false" customWidth="true" hidden="false" outlineLevel="0" max="10" min="10" style="0" width="12"/>
    <col collapsed="false" customWidth="true" hidden="true" outlineLevel="0" max="11" min="11" style="0" width="11"/>
  </cols>
  <sheetData>
    <row r="1" customFormat="false" ht="19.7" hidden="false" customHeight="false" outlineLevel="0" collapsed="false">
      <c r="B1" s="1" t="s">
        <v>137</v>
      </c>
    </row>
    <row r="2" customFormat="false" ht="15" hidden="false" customHeight="false" outlineLevel="0" collapsed="false">
      <c r="B2" s="2" t="s">
        <v>138</v>
      </c>
    </row>
    <row r="4" customFormat="false" ht="15" hidden="false" customHeight="false" outlineLevel="0" collapsed="false">
      <c r="B4" s="57" t="s">
        <v>139</v>
      </c>
      <c r="C4" s="57"/>
      <c r="D4" s="57"/>
      <c r="E4" s="58" t="n">
        <f aca="false">MIN($I$13:$I$25)</f>
        <v>107.08</v>
      </c>
    </row>
    <row r="5" customFormat="false" ht="15" hidden="false" customHeight="false" outlineLevel="0" collapsed="false">
      <c r="B5" s="57" t="s">
        <v>140</v>
      </c>
      <c r="C5" s="57"/>
      <c r="D5" s="57"/>
      <c r="E5" s="59" t="str">
        <f aca="false">"Week "&amp;INDEX($B$13:$B$25,MATCH(MIN($I$13:$I$25),$I$13:$I$25,0))&amp;", beginning "&amp;TEXT(INDEX($C$13:$C$25,MATCH(MIN($I$13:$I$25),$I$13:$I$25,0)),"mmm d, yyyy")</f>
        <v>Week 1, beginning Aug 7, 2026</v>
      </c>
      <c r="F5" s="59"/>
      <c r="G5" s="59"/>
      <c r="H5" s="59"/>
      <c r="I5" s="59"/>
    </row>
    <row r="6" customFormat="false" ht="15" hidden="false" customHeight="false" outlineLevel="0" collapsed="false">
      <c r="B6" s="57" t="s">
        <v>141</v>
      </c>
      <c r="C6" s="57"/>
      <c r="D6" s="57"/>
      <c r="E6" s="59" t="str">
        <f aca="false">IF(MIN($K$13:$K$25)=999,"None — you stay above zero all 13 weeks","Week "&amp;MIN($K$13:$K$25)&amp;"  ("&amp;TEXT(INDEX($C$13:$C$25,MATCH(MIN($K$13:$K$25),$B$13:$B$25,0)),"mmm d, yyyy")&amp;")")</f>
        <v>None — you stay above zero all 13 weeks</v>
      </c>
      <c r="F6" s="59"/>
      <c r="G6" s="59"/>
      <c r="H6" s="59"/>
      <c r="I6" s="59"/>
    </row>
    <row r="7" customFormat="false" ht="15" hidden="false" customHeight="false" outlineLevel="0" collapsed="false">
      <c r="B7" s="57" t="s">
        <v>142</v>
      </c>
      <c r="C7" s="57"/>
      <c r="D7" s="57"/>
      <c r="E7" s="60" t="n">
        <f aca="false">SUM($E$13:$E$25)</f>
        <v>10650</v>
      </c>
    </row>
    <row r="8" customFormat="false" ht="15" hidden="false" customHeight="false" outlineLevel="0" collapsed="false">
      <c r="B8" s="57" t="s">
        <v>143</v>
      </c>
      <c r="C8" s="57"/>
      <c r="D8" s="57"/>
      <c r="E8" s="60" t="n">
        <f aca="false">SUM($F$13:$F$25)+SUM($G$13:$G$25)</f>
        <v>5402.44</v>
      </c>
    </row>
    <row r="9" customFormat="false" ht="15" hidden="false" customHeight="false" outlineLevel="0" collapsed="false">
      <c r="B9" s="57" t="s">
        <v>144</v>
      </c>
      <c r="C9" s="57"/>
      <c r="D9" s="57"/>
      <c r="E9" s="58" t="n">
        <f aca="false">SUM($H$13:$H$25)</f>
        <v>5247.56</v>
      </c>
    </row>
    <row r="10" customFormat="false" ht="15" hidden="false" customHeight="false" outlineLevel="0" collapsed="false">
      <c r="B10" s="57" t="s">
        <v>145</v>
      </c>
      <c r="C10" s="57"/>
      <c r="D10" s="57"/>
      <c r="E10" s="58" t="n">
        <f aca="false">$I$25</f>
        <v>5318.73</v>
      </c>
    </row>
    <row r="12" customFormat="false" ht="30" hidden="false" customHeight="true" outlineLevel="0" collapsed="false">
      <c r="B12" s="15" t="s">
        <v>146</v>
      </c>
      <c r="C12" s="15" t="s">
        <v>147</v>
      </c>
      <c r="D12" s="15" t="s">
        <v>148</v>
      </c>
      <c r="E12" s="15" t="s">
        <v>77</v>
      </c>
      <c r="F12" s="15" t="s">
        <v>149</v>
      </c>
      <c r="G12" s="15" t="s">
        <v>150</v>
      </c>
      <c r="H12" s="15" t="s">
        <v>151</v>
      </c>
      <c r="I12" s="15" t="s">
        <v>152</v>
      </c>
      <c r="J12" s="15" t="s">
        <v>122</v>
      </c>
      <c r="K12" s="15" t="s">
        <v>153</v>
      </c>
    </row>
    <row r="13" customFormat="false" ht="15" hidden="false" customHeight="false" outlineLevel="0" collapsed="false">
      <c r="B13" s="16" t="n">
        <v>1</v>
      </c>
      <c r="C13" s="61" t="n">
        <f aca="false">'Cash Flow'!$E$6+0</f>
        <v>46241</v>
      </c>
      <c r="D13" s="62" t="n">
        <f aca="false">'Cash Flow'!$I$13</f>
        <v>71.17</v>
      </c>
      <c r="E13" s="63" t="n">
        <f aca="false">SUM('Cash Flow'!$G$15:$G$31)</f>
        <v>90</v>
      </c>
      <c r="F13" s="63" t="n">
        <f aca="false">SUM('Cash Flow'!$H$15:$H$24)</f>
        <v>54.09</v>
      </c>
      <c r="G13" s="63" t="n">
        <f aca="false">SUM('Cash Flow'!$H$26:$H$31)</f>
        <v>0</v>
      </c>
      <c r="H13" s="64" t="n">
        <f aca="false">$E13-$F13-$G13</f>
        <v>35.91</v>
      </c>
      <c r="I13" s="64" t="n">
        <f aca="false">'Cash Flow'!$I$32</f>
        <v>107.08</v>
      </c>
      <c r="J13" s="65" t="str">
        <f aca="false">IF($I13&lt;0,"SHORTFALL",IF($I13&lt;'Cash Flow'!$E$7,"TIGHT","OK"))</f>
        <v>TIGHT</v>
      </c>
      <c r="K13" s="29" t="n">
        <f aca="false">IF($I13&lt;0,$B13,999)</f>
        <v>999</v>
      </c>
    </row>
    <row r="14" customFormat="false" ht="15" hidden="false" customHeight="false" outlineLevel="0" collapsed="false">
      <c r="B14" s="20" t="n">
        <v>2</v>
      </c>
      <c r="C14" s="66" t="n">
        <f aca="false">'Cash Flow'!$E$6+7</f>
        <v>46248</v>
      </c>
      <c r="D14" s="67" t="n">
        <f aca="false">'Cash Flow'!$I$34</f>
        <v>107.08</v>
      </c>
      <c r="E14" s="68" t="n">
        <f aca="false">SUM('Cash Flow'!$G$36:$G$52)</f>
        <v>880</v>
      </c>
      <c r="F14" s="68" t="n">
        <f aca="false">SUM('Cash Flow'!$H$36:$H$45)</f>
        <v>583.09</v>
      </c>
      <c r="G14" s="68" t="n">
        <f aca="false">SUM('Cash Flow'!$H$47:$H$52)</f>
        <v>0</v>
      </c>
      <c r="H14" s="69" t="n">
        <f aca="false">$E14-$F14-$G14</f>
        <v>296.91</v>
      </c>
      <c r="I14" s="69" t="n">
        <f aca="false">'Cash Flow'!$I$53</f>
        <v>403.99</v>
      </c>
      <c r="J14" s="70" t="str">
        <f aca="false">IF($I14&lt;0,"SHORTFALL",IF($I14&lt;'Cash Flow'!$E$7,"TIGHT","OK"))</f>
        <v>OK</v>
      </c>
      <c r="K14" s="29" t="n">
        <f aca="false">IF($I14&lt;0,$B14,999)</f>
        <v>999</v>
      </c>
    </row>
    <row r="15" customFormat="false" ht="15" hidden="false" customHeight="false" outlineLevel="0" collapsed="false">
      <c r="B15" s="16" t="n">
        <v>3</v>
      </c>
      <c r="C15" s="61" t="n">
        <f aca="false">'Cash Flow'!$E$6+14</f>
        <v>46255</v>
      </c>
      <c r="D15" s="62" t="n">
        <f aca="false">'Cash Flow'!$I$55</f>
        <v>403.99</v>
      </c>
      <c r="E15" s="63" t="n">
        <f aca="false">SUM('Cash Flow'!$G$57:$G$73)</f>
        <v>880</v>
      </c>
      <c r="F15" s="63" t="n">
        <f aca="false">SUM('Cash Flow'!$H$57:$H$66)</f>
        <v>57.57</v>
      </c>
      <c r="G15" s="63" t="n">
        <f aca="false">SUM('Cash Flow'!$H$68:$H$73)</f>
        <v>0</v>
      </c>
      <c r="H15" s="64" t="n">
        <f aca="false">$E15-$F15-$G15</f>
        <v>822.43</v>
      </c>
      <c r="I15" s="64" t="n">
        <f aca="false">'Cash Flow'!$I$74</f>
        <v>1226.42</v>
      </c>
      <c r="J15" s="65" t="str">
        <f aca="false">IF($I15&lt;0,"SHORTFALL",IF($I15&lt;'Cash Flow'!$E$7,"TIGHT","OK"))</f>
        <v>OK</v>
      </c>
      <c r="K15" s="29" t="n">
        <f aca="false">IF($I15&lt;0,$B15,999)</f>
        <v>999</v>
      </c>
    </row>
    <row r="16" customFormat="false" ht="15" hidden="false" customHeight="false" outlineLevel="0" collapsed="false">
      <c r="B16" s="20" t="n">
        <v>4</v>
      </c>
      <c r="C16" s="66" t="n">
        <f aca="false">'Cash Flow'!$E$6+21</f>
        <v>46262</v>
      </c>
      <c r="D16" s="67" t="n">
        <f aca="false">'Cash Flow'!$I$76</f>
        <v>1226.42</v>
      </c>
      <c r="E16" s="68" t="n">
        <f aca="false">SUM('Cash Flow'!$G$78:$G$94)</f>
        <v>880</v>
      </c>
      <c r="F16" s="68" t="n">
        <f aca="false">SUM('Cash Flow'!$H$78:$H$87)</f>
        <v>643.37</v>
      </c>
      <c r="G16" s="68" t="n">
        <f aca="false">SUM('Cash Flow'!$H$89:$H$94)</f>
        <v>0</v>
      </c>
      <c r="H16" s="69" t="n">
        <f aca="false">$E16-$F16-$G16</f>
        <v>236.63</v>
      </c>
      <c r="I16" s="69" t="n">
        <f aca="false">'Cash Flow'!$I$95</f>
        <v>1463.05</v>
      </c>
      <c r="J16" s="70" t="str">
        <f aca="false">IF($I16&lt;0,"SHORTFALL",IF($I16&lt;'Cash Flow'!$E$7,"TIGHT","OK"))</f>
        <v>OK</v>
      </c>
      <c r="K16" s="29" t="n">
        <f aca="false">IF($I16&lt;0,$B16,999)</f>
        <v>999</v>
      </c>
    </row>
    <row r="17" customFormat="false" ht="15" hidden="false" customHeight="false" outlineLevel="0" collapsed="false">
      <c r="B17" s="16" t="n">
        <v>5</v>
      </c>
      <c r="C17" s="61" t="n">
        <f aca="false">'Cash Flow'!$E$6+28</f>
        <v>46269</v>
      </c>
      <c r="D17" s="62" t="n">
        <f aca="false">'Cash Flow'!$I$97</f>
        <v>1463.05</v>
      </c>
      <c r="E17" s="63" t="n">
        <f aca="false">SUM('Cash Flow'!$G$99:$G$115)</f>
        <v>880</v>
      </c>
      <c r="F17" s="63" t="n">
        <f aca="false">SUM('Cash Flow'!$H$99:$H$108)</f>
        <v>719.59</v>
      </c>
      <c r="G17" s="63" t="n">
        <f aca="false">SUM('Cash Flow'!$H$110:$H$115)</f>
        <v>0</v>
      </c>
      <c r="H17" s="64" t="n">
        <f aca="false">$E17-$F17-$G17</f>
        <v>160.41</v>
      </c>
      <c r="I17" s="64" t="n">
        <f aca="false">'Cash Flow'!$I$116</f>
        <v>1623.46</v>
      </c>
      <c r="J17" s="65" t="str">
        <f aca="false">IF($I17&lt;0,"SHORTFALL",IF($I17&lt;'Cash Flow'!$E$7,"TIGHT","OK"))</f>
        <v>OK</v>
      </c>
      <c r="K17" s="29" t="n">
        <f aca="false">IF($I17&lt;0,$B17,999)</f>
        <v>999</v>
      </c>
    </row>
    <row r="18" customFormat="false" ht="15" hidden="false" customHeight="false" outlineLevel="0" collapsed="false">
      <c r="B18" s="20" t="n">
        <v>6</v>
      </c>
      <c r="C18" s="66" t="n">
        <f aca="false">'Cash Flow'!$E$6+35</f>
        <v>46276</v>
      </c>
      <c r="D18" s="67" t="n">
        <f aca="false">'Cash Flow'!$I$118</f>
        <v>1623.46</v>
      </c>
      <c r="E18" s="68" t="n">
        <f aca="false">SUM('Cash Flow'!$G$120:$G$136)</f>
        <v>880</v>
      </c>
      <c r="F18" s="68" t="n">
        <f aca="false">SUM('Cash Flow'!$H$120:$H$129)</f>
        <v>569.09</v>
      </c>
      <c r="G18" s="68" t="n">
        <f aca="false">SUM('Cash Flow'!$H$131:$H$136)</f>
        <v>0</v>
      </c>
      <c r="H18" s="69" t="n">
        <f aca="false">$E18-$F18-$G18</f>
        <v>310.91</v>
      </c>
      <c r="I18" s="69" t="n">
        <f aca="false">'Cash Flow'!$I$137</f>
        <v>1934.37</v>
      </c>
      <c r="J18" s="70" t="str">
        <f aca="false">IF($I18&lt;0,"SHORTFALL",IF($I18&lt;'Cash Flow'!$E$7,"TIGHT","OK"))</f>
        <v>OK</v>
      </c>
      <c r="K18" s="29" t="n">
        <f aca="false">IF($I18&lt;0,$B18,999)</f>
        <v>999</v>
      </c>
    </row>
    <row r="19" customFormat="false" ht="15" hidden="false" customHeight="false" outlineLevel="0" collapsed="false">
      <c r="B19" s="16" t="n">
        <v>7</v>
      </c>
      <c r="C19" s="61" t="n">
        <f aca="false">'Cash Flow'!$E$6+42</f>
        <v>46283</v>
      </c>
      <c r="D19" s="62" t="n">
        <f aca="false">'Cash Flow'!$I$139</f>
        <v>1934.37</v>
      </c>
      <c r="E19" s="63" t="n">
        <f aca="false">SUM('Cash Flow'!$G$141:$G$157)</f>
        <v>880</v>
      </c>
      <c r="F19" s="63" t="n">
        <f aca="false">SUM('Cash Flow'!$H$141:$H$150)</f>
        <v>16.99</v>
      </c>
      <c r="G19" s="63" t="n">
        <f aca="false">SUM('Cash Flow'!$H$152:$H$157)</f>
        <v>0</v>
      </c>
      <c r="H19" s="64" t="n">
        <f aca="false">$E19-$F19-$G19</f>
        <v>863.01</v>
      </c>
      <c r="I19" s="64" t="n">
        <f aca="false">'Cash Flow'!$I$158</f>
        <v>2797.38</v>
      </c>
      <c r="J19" s="65" t="str">
        <f aca="false">IF($I19&lt;0,"SHORTFALL",IF($I19&lt;'Cash Flow'!$E$7,"TIGHT","OK"))</f>
        <v>OK</v>
      </c>
      <c r="K19" s="29" t="n">
        <f aca="false">IF($I19&lt;0,$B19,999)</f>
        <v>999</v>
      </c>
    </row>
    <row r="20" customFormat="false" ht="15" hidden="false" customHeight="false" outlineLevel="0" collapsed="false">
      <c r="B20" s="20" t="n">
        <v>8</v>
      </c>
      <c r="C20" s="66" t="n">
        <f aca="false">'Cash Flow'!$E$6+49</f>
        <v>46290</v>
      </c>
      <c r="D20" s="67" t="n">
        <f aca="false">'Cash Flow'!$I$160</f>
        <v>2797.38</v>
      </c>
      <c r="E20" s="68" t="n">
        <f aca="false">SUM('Cash Flow'!$G$162:$G$178)</f>
        <v>880</v>
      </c>
      <c r="F20" s="68" t="n">
        <f aca="false">SUM('Cash Flow'!$H$162:$H$171)</f>
        <v>700.94</v>
      </c>
      <c r="G20" s="68" t="n">
        <f aca="false">SUM('Cash Flow'!$H$173:$H$178)</f>
        <v>0</v>
      </c>
      <c r="H20" s="69" t="n">
        <f aca="false">$E20-$F20-$G20</f>
        <v>179.06</v>
      </c>
      <c r="I20" s="69" t="n">
        <f aca="false">'Cash Flow'!$I$179</f>
        <v>2976.44</v>
      </c>
      <c r="J20" s="70" t="str">
        <f aca="false">IF($I20&lt;0,"SHORTFALL",IF($I20&lt;'Cash Flow'!$E$7,"TIGHT","OK"))</f>
        <v>OK</v>
      </c>
      <c r="K20" s="29" t="n">
        <f aca="false">IF($I20&lt;0,$B20,999)</f>
        <v>999</v>
      </c>
    </row>
    <row r="21" customFormat="false" ht="15" hidden="false" customHeight="false" outlineLevel="0" collapsed="false">
      <c r="B21" s="16" t="n">
        <v>9</v>
      </c>
      <c r="C21" s="61" t="n">
        <f aca="false">'Cash Flow'!$E$6+56</f>
        <v>46297</v>
      </c>
      <c r="D21" s="62" t="n">
        <f aca="false">'Cash Flow'!$I$181</f>
        <v>2976.44</v>
      </c>
      <c r="E21" s="63" t="n">
        <f aca="false">SUM('Cash Flow'!$G$183:$G$199)</f>
        <v>880</v>
      </c>
      <c r="F21" s="63" t="n">
        <f aca="false">SUM('Cash Flow'!$H$183:$H$192)</f>
        <v>556.09</v>
      </c>
      <c r="G21" s="63" t="n">
        <f aca="false">SUM('Cash Flow'!$H$194:$H$199)</f>
        <v>0</v>
      </c>
      <c r="H21" s="64" t="n">
        <f aca="false">$E21-$F21-$G21</f>
        <v>323.91</v>
      </c>
      <c r="I21" s="64" t="n">
        <f aca="false">'Cash Flow'!$I$200</f>
        <v>3300.35</v>
      </c>
      <c r="J21" s="65" t="str">
        <f aca="false">IF($I21&lt;0,"SHORTFALL",IF($I21&lt;'Cash Flow'!$E$7,"TIGHT","OK"))</f>
        <v>OK</v>
      </c>
      <c r="K21" s="29" t="n">
        <f aca="false">IF($I21&lt;0,$B21,999)</f>
        <v>999</v>
      </c>
    </row>
    <row r="22" customFormat="false" ht="15" hidden="false" customHeight="false" outlineLevel="0" collapsed="false">
      <c r="B22" s="20" t="n">
        <v>10</v>
      </c>
      <c r="C22" s="66" t="n">
        <f aca="false">'Cash Flow'!$E$6+63</f>
        <v>46304</v>
      </c>
      <c r="D22" s="67" t="n">
        <f aca="false">'Cash Flow'!$I$202</f>
        <v>3300.35</v>
      </c>
      <c r="E22" s="68" t="n">
        <f aca="false">SUM('Cash Flow'!$G$204:$G$220)</f>
        <v>880</v>
      </c>
      <c r="F22" s="68" t="n">
        <f aca="false">SUM('Cash Flow'!$H$204:$H$213)</f>
        <v>516.49</v>
      </c>
      <c r="G22" s="68" t="n">
        <f aca="false">SUM('Cash Flow'!$H$215:$H$220)</f>
        <v>0</v>
      </c>
      <c r="H22" s="69" t="n">
        <f aca="false">$E22-$F22-$G22</f>
        <v>363.51</v>
      </c>
      <c r="I22" s="69" t="n">
        <f aca="false">'Cash Flow'!$I$221</f>
        <v>3663.86</v>
      </c>
      <c r="J22" s="70" t="str">
        <f aca="false">IF($I22&lt;0,"SHORTFALL",IF($I22&lt;'Cash Flow'!$E$7,"TIGHT","OK"))</f>
        <v>OK</v>
      </c>
      <c r="K22" s="29" t="n">
        <f aca="false">IF($I22&lt;0,$B22,999)</f>
        <v>999</v>
      </c>
    </row>
    <row r="23" customFormat="false" ht="15" hidden="false" customHeight="false" outlineLevel="0" collapsed="false">
      <c r="B23" s="16" t="n">
        <v>11</v>
      </c>
      <c r="C23" s="61" t="n">
        <f aca="false">'Cash Flow'!$E$6+70</f>
        <v>46311</v>
      </c>
      <c r="D23" s="62" t="n">
        <f aca="false">'Cash Flow'!$I$223</f>
        <v>3663.86</v>
      </c>
      <c r="E23" s="63" t="n">
        <f aca="false">SUM('Cash Flow'!$G$225:$G$241)</f>
        <v>880</v>
      </c>
      <c r="F23" s="63" t="n">
        <f aca="false">SUM('Cash Flow'!$H$225:$H$234)</f>
        <v>233.09</v>
      </c>
      <c r="G23" s="63" t="n">
        <f aca="false">SUM('Cash Flow'!$H$236:$H$241)</f>
        <v>0</v>
      </c>
      <c r="H23" s="64" t="n">
        <f aca="false">$E23-$F23-$G23</f>
        <v>646.91</v>
      </c>
      <c r="I23" s="64" t="n">
        <f aca="false">'Cash Flow'!$I$242</f>
        <v>4310.77</v>
      </c>
      <c r="J23" s="65" t="str">
        <f aca="false">IF($I23&lt;0,"SHORTFALL",IF($I23&lt;'Cash Flow'!$E$7,"TIGHT","OK"))</f>
        <v>OK</v>
      </c>
      <c r="K23" s="29" t="n">
        <f aca="false">IF($I23&lt;0,$B23,999)</f>
        <v>999</v>
      </c>
    </row>
    <row r="24" customFormat="false" ht="15" hidden="false" customHeight="false" outlineLevel="0" collapsed="false">
      <c r="B24" s="20" t="n">
        <v>12</v>
      </c>
      <c r="C24" s="66" t="n">
        <f aca="false">'Cash Flow'!$E$6+77</f>
        <v>46318</v>
      </c>
      <c r="D24" s="67" t="n">
        <f aca="false">'Cash Flow'!$I$244</f>
        <v>4310.77</v>
      </c>
      <c r="E24" s="68" t="n">
        <f aca="false">SUM('Cash Flow'!$G$246:$G$262)</f>
        <v>880</v>
      </c>
      <c r="F24" s="68" t="n">
        <f aca="false">SUM('Cash Flow'!$H$246:$H$255)</f>
        <v>57.57</v>
      </c>
      <c r="G24" s="68" t="n">
        <f aca="false">SUM('Cash Flow'!$H$257:$H$262)</f>
        <v>0</v>
      </c>
      <c r="H24" s="69" t="n">
        <f aca="false">$E24-$F24-$G24</f>
        <v>822.43</v>
      </c>
      <c r="I24" s="69" t="n">
        <f aca="false">'Cash Flow'!$I$263</f>
        <v>5133.2</v>
      </c>
      <c r="J24" s="70" t="str">
        <f aca="false">IF($I24&lt;0,"SHORTFALL",IF($I24&lt;'Cash Flow'!$E$7,"TIGHT","OK"))</f>
        <v>OK</v>
      </c>
      <c r="K24" s="29" t="n">
        <f aca="false">IF($I24&lt;0,$B24,999)</f>
        <v>999</v>
      </c>
    </row>
    <row r="25" customFormat="false" ht="15" hidden="false" customHeight="false" outlineLevel="0" collapsed="false">
      <c r="B25" s="16" t="n">
        <v>13</v>
      </c>
      <c r="C25" s="61" t="n">
        <f aca="false">'Cash Flow'!$E$6+84</f>
        <v>46325</v>
      </c>
      <c r="D25" s="62" t="n">
        <f aca="false">'Cash Flow'!$I$265</f>
        <v>5133.2</v>
      </c>
      <c r="E25" s="63" t="n">
        <f aca="false">SUM('Cash Flow'!$G$267:$G$283)</f>
        <v>880</v>
      </c>
      <c r="F25" s="63" t="n">
        <f aca="false">SUM('Cash Flow'!$H$267:$H$276)</f>
        <v>694.47</v>
      </c>
      <c r="G25" s="63" t="n">
        <f aca="false">SUM('Cash Flow'!$H$278:$H$283)</f>
        <v>0</v>
      </c>
      <c r="H25" s="64" t="n">
        <f aca="false">$E25-$F25-$G25</f>
        <v>185.53</v>
      </c>
      <c r="I25" s="64" t="n">
        <f aca="false">'Cash Flow'!$I$284</f>
        <v>5318.73</v>
      </c>
      <c r="J25" s="65" t="str">
        <f aca="false">IF($I25&lt;0,"SHORTFALL",IF($I25&lt;'Cash Flow'!$E$7,"TIGHT","OK"))</f>
        <v>OK</v>
      </c>
      <c r="K25" s="29" t="n">
        <f aca="false">IF($I25&lt;0,$B25,999)</f>
        <v>999</v>
      </c>
    </row>
    <row r="26" customFormat="false" ht="15" hidden="false" customHeight="false" outlineLevel="0" collapsed="false">
      <c r="B26" s="56" t="s">
        <v>154</v>
      </c>
      <c r="C26" s="71" t="s">
        <v>155</v>
      </c>
      <c r="D26" s="72" t="n">
        <f aca="false">$D$13</f>
        <v>71.17</v>
      </c>
      <c r="E26" s="54" t="n">
        <f aca="false">SUM($E$13:$E$25)</f>
        <v>10650</v>
      </c>
      <c r="F26" s="54" t="n">
        <f aca="false">SUM($F$13:$F$25)</f>
        <v>5402.44</v>
      </c>
      <c r="G26" s="54" t="n">
        <f aca="false">SUM($G$13:$G$25)</f>
        <v>0</v>
      </c>
      <c r="H26" s="72" t="n">
        <f aca="false">SUM($H$13:$H$25)</f>
        <v>5247.56</v>
      </c>
      <c r="I26" s="72" t="n">
        <f aca="false">$I$25</f>
        <v>5318.73</v>
      </c>
      <c r="J26" s="53"/>
    </row>
    <row r="28" customFormat="false" ht="30" hidden="false" customHeight="true" outlineLevel="0" collapsed="false">
      <c r="B28" s="73" t="s">
        <v>156</v>
      </c>
      <c r="C28" s="73"/>
      <c r="D28" s="73"/>
      <c r="E28" s="73"/>
      <c r="F28" s="73"/>
      <c r="G28" s="73"/>
      <c r="H28" s="73"/>
      <c r="I28" s="73"/>
      <c r="J28" s="73"/>
    </row>
  </sheetData>
  <mergeCells count="10">
    <mergeCell ref="B4:D4"/>
    <mergeCell ref="B5:D5"/>
    <mergeCell ref="E5:I5"/>
    <mergeCell ref="B6:D6"/>
    <mergeCell ref="E6:I6"/>
    <mergeCell ref="B7:D7"/>
    <mergeCell ref="B8:D8"/>
    <mergeCell ref="B9:D9"/>
    <mergeCell ref="B10:D10"/>
    <mergeCell ref="B28:J28"/>
  </mergeCells>
  <conditionalFormatting sqref="B13:J25">
    <cfRule type="expression" priority="2" aboveAverage="0" equalAverage="0" bottom="0" percent="0" rank="0" text="" dxfId="4">
      <formula>$J13="SHORTFALL"</formula>
    </cfRule>
  </conditionalFormatting>
  <conditionalFormatting sqref="J13:J25">
    <cfRule type="expression" priority="3" aboveAverage="0" equalAverage="0" bottom="0" percent="0" rank="0" text="" dxfId="6">
      <formula>$J13="TIGHT"</formula>
    </cfRule>
  </conditionalFormatting>
  <conditionalFormatting sqref="D13:I26">
    <cfRule type="expression" priority="4" aboveAverage="0" equalAverage="0" bottom="0" percent="0" rank="0" text="" dxfId="7">
      <formula>AND($D13&lt;&gt;"",$D13&lt;0)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30"/>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9"/>
    <col collapsed="false" customWidth="true" hidden="false" outlineLevel="0" max="9" min="9" style="0" width="8"/>
    <col collapsed="false" customWidth="true" hidden="false" outlineLevel="0" max="10" min="10" style="0" width="16"/>
    <col collapsed="false" customWidth="true" hidden="false" outlineLevel="0" max="11" min="11" style="0" width="12"/>
  </cols>
  <sheetData>
    <row r="1" customFormat="false" ht="17.35" hidden="false" customHeight="false" outlineLevel="0" collapsed="false">
      <c r="A1" s="74" t="s">
        <v>157</v>
      </c>
    </row>
    <row r="2" customFormat="false" ht="15" hidden="false" customHeight="false" outlineLevel="0" collapsed="false">
      <c r="A2" s="2" t="s">
        <v>158</v>
      </c>
    </row>
    <row r="3" customFormat="false" ht="15" hidden="false" customHeight="false" outlineLevel="0" collapsed="false">
      <c r="A3" s="75" t="s">
        <v>159</v>
      </c>
      <c r="B3" s="75" t="s">
        <v>160</v>
      </c>
      <c r="C3" s="75" t="s">
        <v>67</v>
      </c>
      <c r="D3" s="75" t="s">
        <v>68</v>
      </c>
      <c r="E3" s="75" t="s">
        <v>69</v>
      </c>
      <c r="F3" s="75" t="s">
        <v>161</v>
      </c>
      <c r="G3" s="75" t="s">
        <v>162</v>
      </c>
      <c r="H3" s="75" t="s">
        <v>163</v>
      </c>
      <c r="I3" s="75" t="s">
        <v>164</v>
      </c>
      <c r="J3" s="75" t="s">
        <v>165</v>
      </c>
      <c r="K3" s="75" t="s">
        <v>166</v>
      </c>
    </row>
    <row r="4" customFormat="false" ht="15" hidden="false" customHeight="false" outlineLevel="0" collapsed="false">
      <c r="A4" s="46" t="n">
        <v>1</v>
      </c>
      <c r="B4" s="46" t="n">
        <v>1</v>
      </c>
      <c r="C4" s="38" t="str">
        <f aca="false">IF(OR(Recurring!$B$5="",Recurring!$H$5&lt;&gt;"Yes",Recurring!$D$5=""),"",Recurring!$B$5)</f>
        <v>Bruno's Restaurant (paycheck)</v>
      </c>
      <c r="D4" s="38" t="str">
        <f aca="false">IF($C4="","",Recurring!$C$5)</f>
        <v>Income</v>
      </c>
      <c r="E4" s="76" t="n">
        <f aca="false">IF($C4="","",Recurring!$D$5)</f>
        <v>90</v>
      </c>
      <c r="F4" s="77"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46246</v>
      </c>
      <c r="G4" s="77" t="n">
        <f aca="false">IF($F4="","",IF(Recurring!$G$5="Move Before",IF(WEEKDAY($F4,2)=6,$F4-1,IF(WEEKDAY($F4,2)=7,$F4-2,$F4)),IF(Recurring!$G$5="Move After",IF(WEEKDAY($F4,2)=6,$F4+2,IF(WEEKDAY($F4,2)=7,$F4+1,$F4)),$F4)))</f>
        <v>46246</v>
      </c>
      <c r="H4" s="78" t="n">
        <f aca="false">IF($G4="",0,IF(AND($G4&gt;='Cash Flow'!$E$6-90,$G4&lt;'Cash Flow'!$E$6+91),1,0))</f>
        <v>1</v>
      </c>
      <c r="I4" s="78" t="n">
        <f aca="false">IF($H4=1,MAX(1,INT(($G4-'Cash Flow'!$E$6)/7)+1),"")</f>
        <v>1</v>
      </c>
      <c r="J4" s="38" t="n">
        <f aca="false">IF($H4=1,$G4*10000+ROW(),"")</f>
        <v>462460004</v>
      </c>
      <c r="K4" s="38" t="n">
        <f aca="false">IF($H4=1,$I4*1000+COUNTIFS($I$4:$I$483,$I4,$J$4:$J$483,"&lt;"&amp;$J4)+1,"")</f>
        <v>1004</v>
      </c>
    </row>
    <row r="5" customFormat="false" ht="15" hidden="false" customHeight="false" outlineLevel="0" collapsed="false">
      <c r="A5" s="46" t="n">
        <v>1</v>
      </c>
      <c r="B5" s="46" t="n">
        <v>2</v>
      </c>
      <c r="C5" s="38" t="str">
        <f aca="false">IF(OR(Recurring!$B$5="",Recurring!$H$5&lt;&gt;"Yes",Recurring!$D$5=""),"",Recurring!$B$5)</f>
        <v>Bruno's Restaurant (paycheck)</v>
      </c>
      <c r="D5" s="38" t="str">
        <f aca="false">IF($C5="","",Recurring!$C$5)</f>
        <v>Income</v>
      </c>
      <c r="E5" s="76" t="n">
        <f aca="false">IF($C5="","",Recurring!$D$5)</f>
        <v>90</v>
      </c>
      <c r="F5" s="77"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46253</v>
      </c>
      <c r="G5" s="77" t="n">
        <f aca="false">IF($F5="","",IF(Recurring!$G$5="Move Before",IF(WEEKDAY($F5,2)=6,$F5-1,IF(WEEKDAY($F5,2)=7,$F5-2,$F5)),IF(Recurring!$G$5="Move After",IF(WEEKDAY($F5,2)=6,$F5+2,IF(WEEKDAY($F5,2)=7,$F5+1,$F5)),$F5)))</f>
        <v>46253</v>
      </c>
      <c r="H5" s="78" t="n">
        <f aca="false">IF($G5="",0,IF(AND($G5&gt;='Cash Flow'!$E$6,$G5&lt;'Cash Flow'!$E$6+91),1,0))</f>
        <v>1</v>
      </c>
      <c r="I5" s="78" t="n">
        <f aca="false">IF($H5=1,MAX(1,INT(($G5-'Cash Flow'!$E$6)/7)+1),"")</f>
        <v>2</v>
      </c>
      <c r="J5" s="38" t="n">
        <f aca="false">IF($H5=1,$G5*10000+ROW(),"")</f>
        <v>462530005</v>
      </c>
      <c r="K5" s="38" t="n">
        <f aca="false">IF($H5=1,$I5*1000+COUNTIFS($I$4:$I$483,$I5,$J$4:$J$483,"&lt;"&amp;$J5)+1,"")</f>
        <v>2006</v>
      </c>
    </row>
    <row r="6" customFormat="false" ht="15" hidden="false" customHeight="false" outlineLevel="0" collapsed="false">
      <c r="A6" s="46" t="n">
        <v>1</v>
      </c>
      <c r="B6" s="46" t="n">
        <v>3</v>
      </c>
      <c r="C6" s="38" t="str">
        <f aca="false">IF(OR(Recurring!$B$5="",Recurring!$H$5&lt;&gt;"Yes",Recurring!$D$5=""),"",Recurring!$B$5)</f>
        <v>Bruno's Restaurant (paycheck)</v>
      </c>
      <c r="D6" s="38" t="str">
        <f aca="false">IF($C6="","",Recurring!$C$5)</f>
        <v>Income</v>
      </c>
      <c r="E6" s="76" t="n">
        <f aca="false">IF($C6="","",Recurring!$D$5)</f>
        <v>90</v>
      </c>
      <c r="F6" s="77"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46260</v>
      </c>
      <c r="G6" s="77" t="n">
        <f aca="false">IF($F6="","",IF(Recurring!$G$5="Move Before",IF(WEEKDAY($F6,2)=6,$F6-1,IF(WEEKDAY($F6,2)=7,$F6-2,$F6)),IF(Recurring!$G$5="Move After",IF(WEEKDAY($F6,2)=6,$F6+2,IF(WEEKDAY($F6,2)=7,$F6+1,$F6)),$F6)))</f>
        <v>46260</v>
      </c>
      <c r="H6" s="78" t="n">
        <f aca="false">IF($G6="",0,IF(AND($G6&gt;='Cash Flow'!$E$6,$G6&lt;'Cash Flow'!$E$6+91),1,0))</f>
        <v>1</v>
      </c>
      <c r="I6" s="78" t="n">
        <f aca="false">IF($H6=1,MAX(1,INT(($G6-'Cash Flow'!$E$6)/7)+1),"")</f>
        <v>3</v>
      </c>
      <c r="J6" s="38" t="n">
        <f aca="false">IF($H6=1,$G6*10000+ROW(),"")</f>
        <v>462600006</v>
      </c>
      <c r="K6" s="38" t="n">
        <f aca="false">IF($H6=1,$I6*1000+COUNTIFS($I$4:$I$483,$I6,$J$4:$J$483,"&lt;"&amp;$J6)+1,"")</f>
        <v>3004</v>
      </c>
    </row>
    <row r="7" customFormat="false" ht="15" hidden="false" customHeight="false" outlineLevel="0" collapsed="false">
      <c r="A7" s="46" t="n">
        <v>1</v>
      </c>
      <c r="B7" s="46" t="n">
        <v>4</v>
      </c>
      <c r="C7" s="38" t="str">
        <f aca="false">IF(OR(Recurring!$B$5="",Recurring!$H$5&lt;&gt;"Yes",Recurring!$D$5=""),"",Recurring!$B$5)</f>
        <v>Bruno's Restaurant (paycheck)</v>
      </c>
      <c r="D7" s="38" t="str">
        <f aca="false">IF($C7="","",Recurring!$C$5)</f>
        <v>Income</v>
      </c>
      <c r="E7" s="76" t="n">
        <f aca="false">IF($C7="","",Recurring!$D$5)</f>
        <v>90</v>
      </c>
      <c r="F7" s="77"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46267</v>
      </c>
      <c r="G7" s="77" t="n">
        <f aca="false">IF($F7="","",IF(Recurring!$G$5="Move Before",IF(WEEKDAY($F7,2)=6,$F7-1,IF(WEEKDAY($F7,2)=7,$F7-2,$F7)),IF(Recurring!$G$5="Move After",IF(WEEKDAY($F7,2)=6,$F7+2,IF(WEEKDAY($F7,2)=7,$F7+1,$F7)),$F7)))</f>
        <v>46267</v>
      </c>
      <c r="H7" s="78" t="n">
        <f aca="false">IF($G7="",0,IF(AND($G7&gt;='Cash Flow'!$E$6,$G7&lt;'Cash Flow'!$E$6+91),1,0))</f>
        <v>1</v>
      </c>
      <c r="I7" s="78" t="n">
        <f aca="false">IF($H7=1,MAX(1,INT(($G7-'Cash Flow'!$E$6)/7)+1),"")</f>
        <v>4</v>
      </c>
      <c r="J7" s="38" t="n">
        <f aca="false">IF($H7=1,$G7*10000+ROW(),"")</f>
        <v>462670007</v>
      </c>
      <c r="K7" s="38" t="n">
        <f aca="false">IF($H7=1,$I7*1000+COUNTIFS($I$4:$I$483,$I7,$J$4:$J$483,"&lt;"&amp;$J7)+1,"")</f>
        <v>4005</v>
      </c>
    </row>
    <row r="8" customFormat="false" ht="15" hidden="false" customHeight="false" outlineLevel="0" collapsed="false">
      <c r="A8" s="46" t="n">
        <v>1</v>
      </c>
      <c r="B8" s="46" t="n">
        <v>5</v>
      </c>
      <c r="C8" s="38" t="str">
        <f aca="false">IF(OR(Recurring!$B$5="",Recurring!$H$5&lt;&gt;"Yes",Recurring!$D$5=""),"",Recurring!$B$5)</f>
        <v>Bruno's Restaurant (paycheck)</v>
      </c>
      <c r="D8" s="38" t="str">
        <f aca="false">IF($C8="","",Recurring!$C$5)</f>
        <v>Income</v>
      </c>
      <c r="E8" s="76" t="n">
        <f aca="false">IF($C8="","",Recurring!$D$5)</f>
        <v>90</v>
      </c>
      <c r="F8" s="77"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46274</v>
      </c>
      <c r="G8" s="77" t="n">
        <f aca="false">IF($F8="","",IF(Recurring!$G$5="Move Before",IF(WEEKDAY($F8,2)=6,$F8-1,IF(WEEKDAY($F8,2)=7,$F8-2,$F8)),IF(Recurring!$G$5="Move After",IF(WEEKDAY($F8,2)=6,$F8+2,IF(WEEKDAY($F8,2)=7,$F8+1,$F8)),$F8)))</f>
        <v>46274</v>
      </c>
      <c r="H8" s="78" t="n">
        <f aca="false">IF($G8="",0,IF(AND($G8&gt;='Cash Flow'!$E$6,$G8&lt;'Cash Flow'!$E$6+91),1,0))</f>
        <v>1</v>
      </c>
      <c r="I8" s="78" t="n">
        <f aca="false">IF($H8=1,MAX(1,INT(($G8-'Cash Flow'!$E$6)/7)+1),"")</f>
        <v>5</v>
      </c>
      <c r="J8" s="38" t="n">
        <f aca="false">IF($H8=1,$G8*10000+ROW(),"")</f>
        <v>462740008</v>
      </c>
      <c r="K8" s="38" t="n">
        <f aca="false">IF($H8=1,$I8*1000+COUNTIFS($I$4:$I$483,$I8,$J$4:$J$483,"&lt;"&amp;$J8)+1,"")</f>
        <v>5007</v>
      </c>
    </row>
    <row r="9" customFormat="false" ht="15" hidden="false" customHeight="false" outlineLevel="0" collapsed="false">
      <c r="A9" s="46" t="n">
        <v>1</v>
      </c>
      <c r="B9" s="46" t="n">
        <v>6</v>
      </c>
      <c r="C9" s="38" t="str">
        <f aca="false">IF(OR(Recurring!$B$5="",Recurring!$H$5&lt;&gt;"Yes",Recurring!$D$5=""),"",Recurring!$B$5)</f>
        <v>Bruno's Restaurant (paycheck)</v>
      </c>
      <c r="D9" s="38" t="str">
        <f aca="false">IF($C9="","",Recurring!$C$5)</f>
        <v>Income</v>
      </c>
      <c r="E9" s="76" t="n">
        <f aca="false">IF($C9="","",Recurring!$D$5)</f>
        <v>90</v>
      </c>
      <c r="F9" s="77"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46281</v>
      </c>
      <c r="G9" s="77" t="n">
        <f aca="false">IF($F9="","",IF(Recurring!$G$5="Move Before",IF(WEEKDAY($F9,2)=6,$F9-1,IF(WEEKDAY($F9,2)=7,$F9-2,$F9)),IF(Recurring!$G$5="Move After",IF(WEEKDAY($F9,2)=6,$F9+2,IF(WEEKDAY($F9,2)=7,$F9+1,$F9)),$F9)))</f>
        <v>46281</v>
      </c>
      <c r="H9" s="78" t="n">
        <f aca="false">IF($G9="",0,IF(AND($G9&gt;='Cash Flow'!$E$6,$G9&lt;'Cash Flow'!$E$6+91),1,0))</f>
        <v>1</v>
      </c>
      <c r="I9" s="78" t="n">
        <f aca="false">IF($H9=1,MAX(1,INT(($G9-'Cash Flow'!$E$6)/7)+1),"")</f>
        <v>6</v>
      </c>
      <c r="J9" s="38" t="n">
        <f aca="false">IF($H9=1,$G9*10000+ROW(),"")</f>
        <v>462810009</v>
      </c>
      <c r="K9" s="38" t="n">
        <f aca="false">IF($H9=1,$I9*1000+COUNTIFS($I$4:$I$483,$I9,$J$4:$J$483,"&lt;"&amp;$J9)+1,"")</f>
        <v>6004</v>
      </c>
    </row>
    <row r="10" customFormat="false" ht="15" hidden="false" customHeight="false" outlineLevel="0" collapsed="false">
      <c r="A10" s="46" t="n">
        <v>1</v>
      </c>
      <c r="B10" s="46" t="n">
        <v>7</v>
      </c>
      <c r="C10" s="38" t="str">
        <f aca="false">IF(OR(Recurring!$B$5="",Recurring!$H$5&lt;&gt;"Yes",Recurring!$D$5=""),"",Recurring!$B$5)</f>
        <v>Bruno's Restaurant (paycheck)</v>
      </c>
      <c r="D10" s="38" t="str">
        <f aca="false">IF($C10="","",Recurring!$C$5)</f>
        <v>Income</v>
      </c>
      <c r="E10" s="76" t="n">
        <f aca="false">IF($C10="","",Recurring!$D$5)</f>
        <v>90</v>
      </c>
      <c r="F10" s="77"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46288</v>
      </c>
      <c r="G10" s="77" t="n">
        <f aca="false">IF($F10="","",IF(Recurring!$G$5="Move Before",IF(WEEKDAY($F10,2)=6,$F10-1,IF(WEEKDAY($F10,2)=7,$F10-2,$F10)),IF(Recurring!$G$5="Move After",IF(WEEKDAY($F10,2)=6,$F10+2,IF(WEEKDAY($F10,2)=7,$F10+1,$F10)),$F10)))</f>
        <v>46288</v>
      </c>
      <c r="H10" s="78" t="n">
        <f aca="false">IF($G10="",0,IF(AND($G10&gt;='Cash Flow'!$E$6,$G10&lt;'Cash Flow'!$E$6+91),1,0))</f>
        <v>1</v>
      </c>
      <c r="I10" s="78" t="n">
        <f aca="false">IF($H10=1,MAX(1,INT(($G10-'Cash Flow'!$E$6)/7)+1),"")</f>
        <v>7</v>
      </c>
      <c r="J10" s="38" t="n">
        <f aca="false">IF($H10=1,$G10*10000+ROW(),"")</f>
        <v>462880010</v>
      </c>
      <c r="K10" s="38" t="n">
        <f aca="false">IF($H10=1,$I10*1000+COUNTIFS($I$4:$I$483,$I10,$J$4:$J$483,"&lt;"&amp;$J10)+1,"")</f>
        <v>7003</v>
      </c>
    </row>
    <row r="11" customFormat="false" ht="15" hidden="false" customHeight="false" outlineLevel="0" collapsed="false">
      <c r="A11" s="46" t="n">
        <v>1</v>
      </c>
      <c r="B11" s="46" t="n">
        <v>8</v>
      </c>
      <c r="C11" s="38" t="str">
        <f aca="false">IF(OR(Recurring!$B$5="",Recurring!$H$5&lt;&gt;"Yes",Recurring!$D$5=""),"",Recurring!$B$5)</f>
        <v>Bruno's Restaurant (paycheck)</v>
      </c>
      <c r="D11" s="38" t="str">
        <f aca="false">IF($C11="","",Recurring!$C$5)</f>
        <v>Income</v>
      </c>
      <c r="E11" s="76" t="n">
        <f aca="false">IF($C11="","",Recurring!$D$5)</f>
        <v>90</v>
      </c>
      <c r="F11" s="77"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46295</v>
      </c>
      <c r="G11" s="77" t="n">
        <f aca="false">IF($F11="","",IF(Recurring!$G$5="Move Before",IF(WEEKDAY($F11,2)=6,$F11-1,IF(WEEKDAY($F11,2)=7,$F11-2,$F11)),IF(Recurring!$G$5="Move After",IF(WEEKDAY($F11,2)=6,$F11+2,IF(WEEKDAY($F11,2)=7,$F11+1,$F11)),$F11)))</f>
        <v>46295</v>
      </c>
      <c r="H11" s="78" t="n">
        <f aca="false">IF($G11="",0,IF(AND($G11&gt;='Cash Flow'!$E$6,$G11&lt;'Cash Flow'!$E$6+91),1,0))</f>
        <v>1</v>
      </c>
      <c r="I11" s="78" t="n">
        <f aca="false">IF($H11=1,MAX(1,INT(($G11-'Cash Flow'!$E$6)/7)+1),"")</f>
        <v>8</v>
      </c>
      <c r="J11" s="38" t="n">
        <f aca="false">IF($H11=1,$G11*10000+ROW(),"")</f>
        <v>462950011</v>
      </c>
      <c r="K11" s="38" t="n">
        <f aca="false">IF($H11=1,$I11*1000+COUNTIFS($I$4:$I$483,$I11,$J$4:$J$483,"&lt;"&amp;$J11)+1,"")</f>
        <v>8004</v>
      </c>
    </row>
    <row r="12" customFormat="false" ht="15" hidden="false" customHeight="false" outlineLevel="0" collapsed="false">
      <c r="A12" s="46" t="n">
        <v>1</v>
      </c>
      <c r="B12" s="46" t="n">
        <v>9</v>
      </c>
      <c r="C12" s="38" t="str">
        <f aca="false">IF(OR(Recurring!$B$5="",Recurring!$H$5&lt;&gt;"Yes",Recurring!$D$5=""),"",Recurring!$B$5)</f>
        <v>Bruno's Restaurant (paycheck)</v>
      </c>
      <c r="D12" s="38" t="str">
        <f aca="false">IF($C12="","",Recurring!$C$5)</f>
        <v>Income</v>
      </c>
      <c r="E12" s="76" t="n">
        <f aca="false">IF($C12="","",Recurring!$D$5)</f>
        <v>90</v>
      </c>
      <c r="F12" s="77"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46302</v>
      </c>
      <c r="G12" s="77" t="n">
        <f aca="false">IF($F12="","",IF(Recurring!$G$5="Move Before",IF(WEEKDAY($F12,2)=6,$F12-1,IF(WEEKDAY($F12,2)=7,$F12-2,$F12)),IF(Recurring!$G$5="Move After",IF(WEEKDAY($F12,2)=6,$F12+2,IF(WEEKDAY($F12,2)=7,$F12+1,$F12)),$F12)))</f>
        <v>46302</v>
      </c>
      <c r="H12" s="78" t="n">
        <f aca="false">IF($G12="",0,IF(AND($G12&gt;='Cash Flow'!$E$6,$G12&lt;'Cash Flow'!$E$6+91),1,0))</f>
        <v>1</v>
      </c>
      <c r="I12" s="78" t="n">
        <f aca="false">IF($H12=1,MAX(1,INT(($G12-'Cash Flow'!$E$6)/7)+1),"")</f>
        <v>9</v>
      </c>
      <c r="J12" s="38" t="n">
        <f aca="false">IF($H12=1,$G12*10000+ROW(),"")</f>
        <v>463020012</v>
      </c>
      <c r="K12" s="38" t="n">
        <f aca="false">IF($H12=1,$I12*1000+COUNTIFS($I$4:$I$483,$I12,$J$4:$J$483,"&lt;"&amp;$J12)+1,"")</f>
        <v>9005</v>
      </c>
    </row>
    <row r="13" customFormat="false" ht="15" hidden="false" customHeight="false" outlineLevel="0" collapsed="false">
      <c r="A13" s="46" t="n">
        <v>1</v>
      </c>
      <c r="B13" s="46" t="n">
        <v>10</v>
      </c>
      <c r="C13" s="38" t="str">
        <f aca="false">IF(OR(Recurring!$B$5="",Recurring!$H$5&lt;&gt;"Yes",Recurring!$D$5=""),"",Recurring!$B$5)</f>
        <v>Bruno's Restaurant (paycheck)</v>
      </c>
      <c r="D13" s="38" t="str">
        <f aca="false">IF($C13="","",Recurring!$C$5)</f>
        <v>Income</v>
      </c>
      <c r="E13" s="76" t="n">
        <f aca="false">IF($C13="","",Recurring!$D$5)</f>
        <v>90</v>
      </c>
      <c r="F13" s="77"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46309</v>
      </c>
      <c r="G13" s="77" t="n">
        <f aca="false">IF($F13="","",IF(Recurring!$G$5="Move Before",IF(WEEKDAY($F13,2)=6,$F13-1,IF(WEEKDAY($F13,2)=7,$F13-2,$F13)),IF(Recurring!$G$5="Move After",IF(WEEKDAY($F13,2)=6,$F13+2,IF(WEEKDAY($F13,2)=7,$F13+1,$F13)),$F13)))</f>
        <v>46309</v>
      </c>
      <c r="H13" s="78" t="n">
        <f aca="false">IF($G13="",0,IF(AND($G13&gt;='Cash Flow'!$E$6,$G13&lt;'Cash Flow'!$E$6+91),1,0))</f>
        <v>1</v>
      </c>
      <c r="I13" s="78" t="n">
        <f aca="false">IF($H13=1,MAX(1,INT(($G13-'Cash Flow'!$E$6)/7)+1),"")</f>
        <v>10</v>
      </c>
      <c r="J13" s="38" t="n">
        <f aca="false">IF($H13=1,$G13*10000+ROW(),"")</f>
        <v>463090013</v>
      </c>
      <c r="K13" s="38" t="n">
        <f aca="false">IF($H13=1,$I13*1000+COUNTIFS($I$4:$I$483,$I13,$J$4:$J$483,"&lt;"&amp;$J13)+1,"")</f>
        <v>10004</v>
      </c>
    </row>
    <row r="14" customFormat="false" ht="15" hidden="false" customHeight="false" outlineLevel="0" collapsed="false">
      <c r="A14" s="46" t="n">
        <v>1</v>
      </c>
      <c r="B14" s="46" t="n">
        <v>11</v>
      </c>
      <c r="C14" s="38" t="str">
        <f aca="false">IF(OR(Recurring!$B$5="",Recurring!$H$5&lt;&gt;"Yes",Recurring!$D$5=""),"",Recurring!$B$5)</f>
        <v>Bruno's Restaurant (paycheck)</v>
      </c>
      <c r="D14" s="38" t="str">
        <f aca="false">IF($C14="","",Recurring!$C$5)</f>
        <v>Income</v>
      </c>
      <c r="E14" s="76" t="n">
        <f aca="false">IF($C14="","",Recurring!$D$5)</f>
        <v>90</v>
      </c>
      <c r="F14" s="77"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46316</v>
      </c>
      <c r="G14" s="77" t="n">
        <f aca="false">IF($F14="","",IF(Recurring!$G$5="Move Before",IF(WEEKDAY($F14,2)=6,$F14-1,IF(WEEKDAY($F14,2)=7,$F14-2,$F14)),IF(Recurring!$G$5="Move After",IF(WEEKDAY($F14,2)=6,$F14+2,IF(WEEKDAY($F14,2)=7,$F14+1,$F14)),$F14)))</f>
        <v>46316</v>
      </c>
      <c r="H14" s="78" t="n">
        <f aca="false">IF($G14="",0,IF(AND($G14&gt;='Cash Flow'!$E$6,$G14&lt;'Cash Flow'!$E$6+91),1,0))</f>
        <v>1</v>
      </c>
      <c r="I14" s="78" t="n">
        <f aca="false">IF($H14=1,MAX(1,INT(($G14-'Cash Flow'!$E$6)/7)+1),"")</f>
        <v>11</v>
      </c>
      <c r="J14" s="38" t="n">
        <f aca="false">IF($H14=1,$G14*10000+ROW(),"")</f>
        <v>463160014</v>
      </c>
      <c r="K14" s="38" t="n">
        <f aca="false">IF($H14=1,$I14*1000+COUNTIFS($I$4:$I$483,$I14,$J$4:$J$483,"&lt;"&amp;$J14)+1,"")</f>
        <v>11005</v>
      </c>
    </row>
    <row r="15" customFormat="false" ht="15" hidden="false" customHeight="false" outlineLevel="0" collapsed="false">
      <c r="A15" s="46" t="n">
        <v>1</v>
      </c>
      <c r="B15" s="46" t="n">
        <v>12</v>
      </c>
      <c r="C15" s="38" t="str">
        <f aca="false">IF(OR(Recurring!$B$5="",Recurring!$H$5&lt;&gt;"Yes",Recurring!$D$5=""),"",Recurring!$B$5)</f>
        <v>Bruno's Restaurant (paycheck)</v>
      </c>
      <c r="D15" s="38" t="str">
        <f aca="false">IF($C15="","",Recurring!$C$5)</f>
        <v>Income</v>
      </c>
      <c r="E15" s="76" t="n">
        <f aca="false">IF($C15="","",Recurring!$D$5)</f>
        <v>90</v>
      </c>
      <c r="F15" s="77"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46323</v>
      </c>
      <c r="G15" s="77" t="n">
        <f aca="false">IF($F15="","",IF(Recurring!$G$5="Move Before",IF(WEEKDAY($F15,2)=6,$F15-1,IF(WEEKDAY($F15,2)=7,$F15-2,$F15)),IF(Recurring!$G$5="Move After",IF(WEEKDAY($F15,2)=6,$F15+2,IF(WEEKDAY($F15,2)=7,$F15+1,$F15)),$F15)))</f>
        <v>46323</v>
      </c>
      <c r="H15" s="78" t="n">
        <f aca="false">IF($G15="",0,IF(AND($G15&gt;='Cash Flow'!$E$6,$G15&lt;'Cash Flow'!$E$6+91),1,0))</f>
        <v>1</v>
      </c>
      <c r="I15" s="78" t="n">
        <f aca="false">IF($H15=1,MAX(1,INT(($G15-'Cash Flow'!$E$6)/7)+1),"")</f>
        <v>12</v>
      </c>
      <c r="J15" s="38" t="n">
        <f aca="false">IF($H15=1,$G15*10000+ROW(),"")</f>
        <v>463230015</v>
      </c>
      <c r="K15" s="38" t="n">
        <f aca="false">IF($H15=1,$I15*1000+COUNTIFS($I$4:$I$483,$I15,$J$4:$J$483,"&lt;"&amp;$J15)+1,"")</f>
        <v>12004</v>
      </c>
    </row>
    <row r="16" customFormat="false" ht="15" hidden="false" customHeight="false" outlineLevel="0" collapsed="false">
      <c r="A16" s="46" t="n">
        <v>1</v>
      </c>
      <c r="B16" s="46" t="n">
        <v>13</v>
      </c>
      <c r="C16" s="38" t="str">
        <f aca="false">IF(OR(Recurring!$B$5="",Recurring!$H$5&lt;&gt;"Yes",Recurring!$D$5=""),"",Recurring!$B$5)</f>
        <v>Bruno's Restaurant (paycheck)</v>
      </c>
      <c r="D16" s="38" t="str">
        <f aca="false">IF($C16="","",Recurring!$C$5)</f>
        <v>Income</v>
      </c>
      <c r="E16" s="76" t="n">
        <f aca="false">IF($C16="","",Recurring!$D$5)</f>
        <v>90</v>
      </c>
      <c r="F16" s="77"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46330</v>
      </c>
      <c r="G16" s="77" t="n">
        <f aca="false">IF($F16="","",IF(Recurring!$G$5="Move Before",IF(WEEKDAY($F16,2)=6,$F16-1,IF(WEEKDAY($F16,2)=7,$F16-2,$F16)),IF(Recurring!$G$5="Move After",IF(WEEKDAY($F16,2)=6,$F16+2,IF(WEEKDAY($F16,2)=7,$F16+1,$F16)),$F16)))</f>
        <v>46330</v>
      </c>
      <c r="H16" s="78" t="n">
        <f aca="false">IF($G16="",0,IF(AND($G16&gt;='Cash Flow'!$E$6,$G16&lt;'Cash Flow'!$E$6+91),1,0))</f>
        <v>1</v>
      </c>
      <c r="I16" s="78" t="n">
        <f aca="false">IF($H16=1,MAX(1,INT(($G16-'Cash Flow'!$E$6)/7)+1),"")</f>
        <v>13</v>
      </c>
      <c r="J16" s="38" t="n">
        <f aca="false">IF($H16=1,$G16*10000+ROW(),"")</f>
        <v>463300016</v>
      </c>
      <c r="K16" s="38" t="n">
        <f aca="false">IF($H16=1,$I16*1000+COUNTIFS($I$4:$I$483,$I16,$J$4:$J$483,"&lt;"&amp;$J16)+1,"")</f>
        <v>13005</v>
      </c>
    </row>
    <row r="17" customFormat="false" ht="15" hidden="false" customHeight="false" outlineLevel="0" collapsed="false">
      <c r="A17" s="46" t="n">
        <v>1</v>
      </c>
      <c r="B17" s="46" t="n">
        <v>14</v>
      </c>
      <c r="C17" s="38" t="str">
        <f aca="false">IF(OR(Recurring!$B$5="",Recurring!$H$5&lt;&gt;"Yes",Recurring!$D$5=""),"",Recurring!$B$5)</f>
        <v>Bruno's Restaurant (paycheck)</v>
      </c>
      <c r="D17" s="38" t="str">
        <f aca="false">IF($C17="","",Recurring!$C$5)</f>
        <v>Income</v>
      </c>
      <c r="E17" s="76" t="n">
        <f aca="false">IF($C17="","",Recurring!$D$5)</f>
        <v>90</v>
      </c>
      <c r="F17" s="77"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46337</v>
      </c>
      <c r="G17" s="77" t="n">
        <f aca="false">IF($F17="","",IF(Recurring!$G$5="Move Before",IF(WEEKDAY($F17,2)=6,$F17-1,IF(WEEKDAY($F17,2)=7,$F17-2,$F17)),IF(Recurring!$G$5="Move After",IF(WEEKDAY($F17,2)=6,$F17+2,IF(WEEKDAY($F17,2)=7,$F17+1,$F17)),$F17)))</f>
        <v>46337</v>
      </c>
      <c r="H17" s="78" t="n">
        <f aca="false">IF($G17="",0,IF(AND($G17&gt;='Cash Flow'!$E$6,$G17&lt;'Cash Flow'!$E$6+91),1,0))</f>
        <v>0</v>
      </c>
      <c r="I17" s="78" t="str">
        <f aca="false">IF($H17=1,MAX(1,INT(($G17-'Cash Flow'!$E$6)/7)+1),"")</f>
        <v/>
      </c>
      <c r="J17" s="38" t="str">
        <f aca="false">IF($H17=1,$G17*10000+ROW(),"")</f>
        <v/>
      </c>
      <c r="K17" s="38" t="str">
        <f aca="false">IF($H17=1,$I17*1000+COUNTIFS($I$4:$I$483,$I17,$J$4:$J$483,"&lt;"&amp;$J17)+1,"")</f>
        <v/>
      </c>
    </row>
    <row r="18" customFormat="false" ht="15" hidden="false" customHeight="false" outlineLevel="0" collapsed="false">
      <c r="A18" s="46" t="n">
        <v>1</v>
      </c>
      <c r="B18" s="46" t="n">
        <v>15</v>
      </c>
      <c r="C18" s="38" t="str">
        <f aca="false">IF(OR(Recurring!$B$5="",Recurring!$H$5&lt;&gt;"Yes",Recurring!$D$5=""),"",Recurring!$B$5)</f>
        <v>Bruno's Restaurant (paycheck)</v>
      </c>
      <c r="D18" s="38" t="str">
        <f aca="false">IF($C18="","",Recurring!$C$5)</f>
        <v>Income</v>
      </c>
      <c r="E18" s="76" t="n">
        <f aca="false">IF($C18="","",Recurring!$D$5)</f>
        <v>90</v>
      </c>
      <c r="F18" s="77"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46344</v>
      </c>
      <c r="G18" s="77" t="n">
        <f aca="false">IF($F18="","",IF(Recurring!$G$5="Move Before",IF(WEEKDAY($F18,2)=6,$F18-1,IF(WEEKDAY($F18,2)=7,$F18-2,$F18)),IF(Recurring!$G$5="Move After",IF(WEEKDAY($F18,2)=6,$F18+2,IF(WEEKDAY($F18,2)=7,$F18+1,$F18)),$F18)))</f>
        <v>46344</v>
      </c>
      <c r="H18" s="78" t="n">
        <f aca="false">IF($G18="",0,IF(AND($G18&gt;='Cash Flow'!$E$6,$G18&lt;'Cash Flow'!$E$6+91),1,0))</f>
        <v>0</v>
      </c>
      <c r="I18" s="78" t="str">
        <f aca="false">IF($H18=1,MAX(1,INT(($G18-'Cash Flow'!$E$6)/7)+1),"")</f>
        <v/>
      </c>
      <c r="J18" s="38" t="str">
        <f aca="false">IF($H18=1,$G18*10000+ROW(),"")</f>
        <v/>
      </c>
      <c r="K18" s="38" t="str">
        <f aca="false">IF($H18=1,$I18*1000+COUNTIFS($I$4:$I$483,$I18,$J$4:$J$483,"&lt;"&amp;$J18)+1,"")</f>
        <v/>
      </c>
    </row>
    <row r="19" customFormat="false" ht="15" hidden="false" customHeight="false" outlineLevel="0" collapsed="false">
      <c r="A19" s="46" t="n">
        <v>1</v>
      </c>
      <c r="B19" s="46" t="n">
        <v>16</v>
      </c>
      <c r="C19" s="38" t="str">
        <f aca="false">IF(OR(Recurring!$B$5="",Recurring!$H$5&lt;&gt;"Yes",Recurring!$D$5=""),"",Recurring!$B$5)</f>
        <v>Bruno's Restaurant (paycheck)</v>
      </c>
      <c r="D19" s="38" t="str">
        <f aca="false">IF($C19="","",Recurring!$C$5)</f>
        <v>Income</v>
      </c>
      <c r="E19" s="76" t="n">
        <f aca="false">IF($C19="","",Recurring!$D$5)</f>
        <v>90</v>
      </c>
      <c r="F19" s="77"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46351</v>
      </c>
      <c r="G19" s="77" t="n">
        <f aca="false">IF($F19="","",IF(Recurring!$G$5="Move Before",IF(WEEKDAY($F19,2)=6,$F19-1,IF(WEEKDAY($F19,2)=7,$F19-2,$F19)),IF(Recurring!$G$5="Move After",IF(WEEKDAY($F19,2)=6,$F19+2,IF(WEEKDAY($F19,2)=7,$F19+1,$F19)),$F19)))</f>
        <v>46351</v>
      </c>
      <c r="H19" s="78" t="n">
        <f aca="false">IF($G19="",0,IF(AND($G19&gt;='Cash Flow'!$E$6,$G19&lt;'Cash Flow'!$E$6+91),1,0))</f>
        <v>0</v>
      </c>
      <c r="I19" s="78" t="str">
        <f aca="false">IF($H19=1,MAX(1,INT(($G19-'Cash Flow'!$E$6)/7)+1),"")</f>
        <v/>
      </c>
      <c r="J19" s="38" t="str">
        <f aca="false">IF($H19=1,$G19*10000+ROW(),"")</f>
        <v/>
      </c>
      <c r="K19" s="38" t="str">
        <f aca="false">IF($H19=1,$I19*1000+COUNTIFS($I$4:$I$483,$I19,$J$4:$J$483,"&lt;"&amp;$J19)+1,"")</f>
        <v/>
      </c>
    </row>
    <row r="20" customFormat="false" ht="15" hidden="false" customHeight="false" outlineLevel="0" collapsed="false">
      <c r="A20" s="46" t="n">
        <v>2</v>
      </c>
      <c r="B20" s="46" t="n">
        <v>1</v>
      </c>
      <c r="C20" s="38" t="str">
        <f aca="false">IF(OR(Recurring!$B$6="",Recurring!$H$6&lt;&gt;"Yes",Recurring!$D$6=""),"",Recurring!$B$6)</f>
        <v>Compunnel Software (paycheck)</v>
      </c>
      <c r="D20" s="38" t="str">
        <f aca="false">IF($C20="","",Recurring!$C$6)</f>
        <v>Income</v>
      </c>
      <c r="E20" s="76" t="n">
        <f aca="false">IF($C20="","",Recurring!$D$6)</f>
        <v>790</v>
      </c>
      <c r="F20" s="77"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46248</v>
      </c>
      <c r="G20" s="77" t="n">
        <f aca="false">IF($F20="","",IF(Recurring!$G$6="Move Before",IF(WEEKDAY($F20,2)=6,$F20-1,IF(WEEKDAY($F20,2)=7,$F20-2,$F20)),IF(Recurring!$G$6="Move After",IF(WEEKDAY($F20,2)=6,$F20+2,IF(WEEKDAY($F20,2)=7,$F20+1,$F20)),$F20)))</f>
        <v>46248</v>
      </c>
      <c r="H20" s="78" t="n">
        <f aca="false">IF($G20="",0,IF(AND($G20&gt;='Cash Flow'!$E$6-90,$G20&lt;'Cash Flow'!$E$6+91),1,0))</f>
        <v>1</v>
      </c>
      <c r="I20" s="78" t="n">
        <f aca="false">IF($H20=1,MAX(1,INT(($G20-'Cash Flow'!$E$6)/7)+1),"")</f>
        <v>2</v>
      </c>
      <c r="J20" s="38" t="n">
        <f aca="false">IF($H20=1,$G20*10000+ROW(),"")</f>
        <v>462480020</v>
      </c>
      <c r="K20" s="38" t="n">
        <f aca="false">IF($H20=1,$I20*1000+COUNTIFS($I$4:$I$483,$I20,$J$4:$J$483,"&lt;"&amp;$J20)+1,"")</f>
        <v>2001</v>
      </c>
    </row>
    <row r="21" customFormat="false" ht="15" hidden="false" customHeight="false" outlineLevel="0" collapsed="false">
      <c r="A21" s="46" t="n">
        <v>2</v>
      </c>
      <c r="B21" s="46" t="n">
        <v>2</v>
      </c>
      <c r="C21" s="38" t="str">
        <f aca="false">IF(OR(Recurring!$B$6="",Recurring!$H$6&lt;&gt;"Yes",Recurring!$D$6=""),"",Recurring!$B$6)</f>
        <v>Compunnel Software (paycheck)</v>
      </c>
      <c r="D21" s="38" t="str">
        <f aca="false">IF($C21="","",Recurring!$C$6)</f>
        <v>Income</v>
      </c>
      <c r="E21" s="76" t="n">
        <f aca="false">IF($C21="","",Recurring!$D$6)</f>
        <v>790</v>
      </c>
      <c r="F21" s="77"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46255</v>
      </c>
      <c r="G21" s="77" t="n">
        <f aca="false">IF($F21="","",IF(Recurring!$G$6="Move Before",IF(WEEKDAY($F21,2)=6,$F21-1,IF(WEEKDAY($F21,2)=7,$F21-2,$F21)),IF(Recurring!$G$6="Move After",IF(WEEKDAY($F21,2)=6,$F21+2,IF(WEEKDAY($F21,2)=7,$F21+1,$F21)),$F21)))</f>
        <v>46255</v>
      </c>
      <c r="H21" s="78" t="n">
        <f aca="false">IF($G21="",0,IF(AND($G21&gt;='Cash Flow'!$E$6,$G21&lt;'Cash Flow'!$E$6+91),1,0))</f>
        <v>1</v>
      </c>
      <c r="I21" s="78" t="n">
        <f aca="false">IF($H21=1,MAX(1,INT(($G21-'Cash Flow'!$E$6)/7)+1),"")</f>
        <v>3</v>
      </c>
      <c r="J21" s="38" t="n">
        <f aca="false">IF($H21=1,$G21*10000+ROW(),"")</f>
        <v>462550021</v>
      </c>
      <c r="K21" s="38" t="n">
        <f aca="false">IF($H21=1,$I21*1000+COUNTIFS($I$4:$I$483,$I21,$J$4:$J$483,"&lt;"&amp;$J21)+1,"")</f>
        <v>3001</v>
      </c>
    </row>
    <row r="22" customFormat="false" ht="15" hidden="false" customHeight="false" outlineLevel="0" collapsed="false">
      <c r="A22" s="46" t="n">
        <v>2</v>
      </c>
      <c r="B22" s="46" t="n">
        <v>3</v>
      </c>
      <c r="C22" s="38" t="str">
        <f aca="false">IF(OR(Recurring!$B$6="",Recurring!$H$6&lt;&gt;"Yes",Recurring!$D$6=""),"",Recurring!$B$6)</f>
        <v>Compunnel Software (paycheck)</v>
      </c>
      <c r="D22" s="38" t="str">
        <f aca="false">IF($C22="","",Recurring!$C$6)</f>
        <v>Income</v>
      </c>
      <c r="E22" s="76" t="n">
        <f aca="false">IF($C22="","",Recurring!$D$6)</f>
        <v>790</v>
      </c>
      <c r="F22" s="77"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46262</v>
      </c>
      <c r="G22" s="77" t="n">
        <f aca="false">IF($F22="","",IF(Recurring!$G$6="Move Before",IF(WEEKDAY($F22,2)=6,$F22-1,IF(WEEKDAY($F22,2)=7,$F22-2,$F22)),IF(Recurring!$G$6="Move After",IF(WEEKDAY($F22,2)=6,$F22+2,IF(WEEKDAY($F22,2)=7,$F22+1,$F22)),$F22)))</f>
        <v>46262</v>
      </c>
      <c r="H22" s="78" t="n">
        <f aca="false">IF($G22="",0,IF(AND($G22&gt;='Cash Flow'!$E$6,$G22&lt;'Cash Flow'!$E$6+91),1,0))</f>
        <v>1</v>
      </c>
      <c r="I22" s="78" t="n">
        <f aca="false">IF($H22=1,MAX(1,INT(($G22-'Cash Flow'!$E$6)/7)+1),"")</f>
        <v>4</v>
      </c>
      <c r="J22" s="38" t="n">
        <f aca="false">IF($H22=1,$G22*10000+ROW(),"")</f>
        <v>462620022</v>
      </c>
      <c r="K22" s="38" t="n">
        <f aca="false">IF($H22=1,$I22*1000+COUNTIFS($I$4:$I$483,$I22,$J$4:$J$483,"&lt;"&amp;$J22)+1,"")</f>
        <v>4001</v>
      </c>
    </row>
    <row r="23" customFormat="false" ht="15" hidden="false" customHeight="false" outlineLevel="0" collapsed="false">
      <c r="A23" s="46" t="n">
        <v>2</v>
      </c>
      <c r="B23" s="46" t="n">
        <v>4</v>
      </c>
      <c r="C23" s="38" t="str">
        <f aca="false">IF(OR(Recurring!$B$6="",Recurring!$H$6&lt;&gt;"Yes",Recurring!$D$6=""),"",Recurring!$B$6)</f>
        <v>Compunnel Software (paycheck)</v>
      </c>
      <c r="D23" s="38" t="str">
        <f aca="false">IF($C23="","",Recurring!$C$6)</f>
        <v>Income</v>
      </c>
      <c r="E23" s="76" t="n">
        <f aca="false">IF($C23="","",Recurring!$D$6)</f>
        <v>790</v>
      </c>
      <c r="F23" s="77"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46269</v>
      </c>
      <c r="G23" s="77" t="n">
        <f aca="false">IF($F23="","",IF(Recurring!$G$6="Move Before",IF(WEEKDAY($F23,2)=6,$F23-1,IF(WEEKDAY($F23,2)=7,$F23-2,$F23)),IF(Recurring!$G$6="Move After",IF(WEEKDAY($F23,2)=6,$F23+2,IF(WEEKDAY($F23,2)=7,$F23+1,$F23)),$F23)))</f>
        <v>46269</v>
      </c>
      <c r="H23" s="78" t="n">
        <f aca="false">IF($G23="",0,IF(AND($G23&gt;='Cash Flow'!$E$6,$G23&lt;'Cash Flow'!$E$6+91),1,0))</f>
        <v>1</v>
      </c>
      <c r="I23" s="78" t="n">
        <f aca="false">IF($H23=1,MAX(1,INT(($G23-'Cash Flow'!$E$6)/7)+1),"")</f>
        <v>5</v>
      </c>
      <c r="J23" s="38" t="n">
        <f aca="false">IF($H23=1,$G23*10000+ROW(),"")</f>
        <v>462690023</v>
      </c>
      <c r="K23" s="38" t="n">
        <f aca="false">IF($H23=1,$I23*1000+COUNTIFS($I$4:$I$483,$I23,$J$4:$J$483,"&lt;"&amp;$J23)+1,"")</f>
        <v>5001</v>
      </c>
    </row>
    <row r="24" customFormat="false" ht="15" hidden="false" customHeight="false" outlineLevel="0" collapsed="false">
      <c r="A24" s="46" t="n">
        <v>2</v>
      </c>
      <c r="B24" s="46" t="n">
        <v>5</v>
      </c>
      <c r="C24" s="38" t="str">
        <f aca="false">IF(OR(Recurring!$B$6="",Recurring!$H$6&lt;&gt;"Yes",Recurring!$D$6=""),"",Recurring!$B$6)</f>
        <v>Compunnel Software (paycheck)</v>
      </c>
      <c r="D24" s="38" t="str">
        <f aca="false">IF($C24="","",Recurring!$C$6)</f>
        <v>Income</v>
      </c>
      <c r="E24" s="76" t="n">
        <f aca="false">IF($C24="","",Recurring!$D$6)</f>
        <v>790</v>
      </c>
      <c r="F24" s="77"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46276</v>
      </c>
      <c r="G24" s="77" t="n">
        <f aca="false">IF($F24="","",IF(Recurring!$G$6="Move Before",IF(WEEKDAY($F24,2)=6,$F24-1,IF(WEEKDAY($F24,2)=7,$F24-2,$F24)),IF(Recurring!$G$6="Move After",IF(WEEKDAY($F24,2)=6,$F24+2,IF(WEEKDAY($F24,2)=7,$F24+1,$F24)),$F24)))</f>
        <v>46276</v>
      </c>
      <c r="H24" s="78" t="n">
        <f aca="false">IF($G24="",0,IF(AND($G24&gt;='Cash Flow'!$E$6,$G24&lt;'Cash Flow'!$E$6+91),1,0))</f>
        <v>1</v>
      </c>
      <c r="I24" s="78" t="n">
        <f aca="false">IF($H24=1,MAX(1,INT(($G24-'Cash Flow'!$E$6)/7)+1),"")</f>
        <v>6</v>
      </c>
      <c r="J24" s="38" t="n">
        <f aca="false">IF($H24=1,$G24*10000+ROW(),"")</f>
        <v>462760024</v>
      </c>
      <c r="K24" s="38" t="n">
        <f aca="false">IF($H24=1,$I24*1000+COUNTIFS($I$4:$I$483,$I24,$J$4:$J$483,"&lt;"&amp;$J24)+1,"")</f>
        <v>6001</v>
      </c>
    </row>
    <row r="25" customFormat="false" ht="15" hidden="false" customHeight="false" outlineLevel="0" collapsed="false">
      <c r="A25" s="46" t="n">
        <v>2</v>
      </c>
      <c r="B25" s="46" t="n">
        <v>6</v>
      </c>
      <c r="C25" s="38" t="str">
        <f aca="false">IF(OR(Recurring!$B$6="",Recurring!$H$6&lt;&gt;"Yes",Recurring!$D$6=""),"",Recurring!$B$6)</f>
        <v>Compunnel Software (paycheck)</v>
      </c>
      <c r="D25" s="38" t="str">
        <f aca="false">IF($C25="","",Recurring!$C$6)</f>
        <v>Income</v>
      </c>
      <c r="E25" s="76" t="n">
        <f aca="false">IF($C25="","",Recurring!$D$6)</f>
        <v>790</v>
      </c>
      <c r="F25" s="77"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46283</v>
      </c>
      <c r="G25" s="77" t="n">
        <f aca="false">IF($F25="","",IF(Recurring!$G$6="Move Before",IF(WEEKDAY($F25,2)=6,$F25-1,IF(WEEKDAY($F25,2)=7,$F25-2,$F25)),IF(Recurring!$G$6="Move After",IF(WEEKDAY($F25,2)=6,$F25+2,IF(WEEKDAY($F25,2)=7,$F25+1,$F25)),$F25)))</f>
        <v>46283</v>
      </c>
      <c r="H25" s="78" t="n">
        <f aca="false">IF($G25="",0,IF(AND($G25&gt;='Cash Flow'!$E$6,$G25&lt;'Cash Flow'!$E$6+91),1,0))</f>
        <v>1</v>
      </c>
      <c r="I25" s="78" t="n">
        <f aca="false">IF($H25=1,MAX(1,INT(($G25-'Cash Flow'!$E$6)/7)+1),"")</f>
        <v>7</v>
      </c>
      <c r="J25" s="38" t="n">
        <f aca="false">IF($H25=1,$G25*10000+ROW(),"")</f>
        <v>462830025</v>
      </c>
      <c r="K25" s="38" t="n">
        <f aca="false">IF($H25=1,$I25*1000+COUNTIFS($I$4:$I$483,$I25,$J$4:$J$483,"&lt;"&amp;$J25)+1,"")</f>
        <v>7001</v>
      </c>
    </row>
    <row r="26" customFormat="false" ht="15" hidden="false" customHeight="false" outlineLevel="0" collapsed="false">
      <c r="A26" s="46" t="n">
        <v>2</v>
      </c>
      <c r="B26" s="46" t="n">
        <v>7</v>
      </c>
      <c r="C26" s="38" t="str">
        <f aca="false">IF(OR(Recurring!$B$6="",Recurring!$H$6&lt;&gt;"Yes",Recurring!$D$6=""),"",Recurring!$B$6)</f>
        <v>Compunnel Software (paycheck)</v>
      </c>
      <c r="D26" s="38" t="str">
        <f aca="false">IF($C26="","",Recurring!$C$6)</f>
        <v>Income</v>
      </c>
      <c r="E26" s="76" t="n">
        <f aca="false">IF($C26="","",Recurring!$D$6)</f>
        <v>790</v>
      </c>
      <c r="F26" s="77"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46290</v>
      </c>
      <c r="G26" s="77" t="n">
        <f aca="false">IF($F26="","",IF(Recurring!$G$6="Move Before",IF(WEEKDAY($F26,2)=6,$F26-1,IF(WEEKDAY($F26,2)=7,$F26-2,$F26)),IF(Recurring!$G$6="Move After",IF(WEEKDAY($F26,2)=6,$F26+2,IF(WEEKDAY($F26,2)=7,$F26+1,$F26)),$F26)))</f>
        <v>46290</v>
      </c>
      <c r="H26" s="78" t="n">
        <f aca="false">IF($G26="",0,IF(AND($G26&gt;='Cash Flow'!$E$6,$G26&lt;'Cash Flow'!$E$6+91),1,0))</f>
        <v>1</v>
      </c>
      <c r="I26" s="78" t="n">
        <f aca="false">IF($H26=1,MAX(1,INT(($G26-'Cash Flow'!$E$6)/7)+1),"")</f>
        <v>8</v>
      </c>
      <c r="J26" s="38" t="n">
        <f aca="false">IF($H26=1,$G26*10000+ROW(),"")</f>
        <v>462900026</v>
      </c>
      <c r="K26" s="38" t="n">
        <f aca="false">IF($H26=1,$I26*1000+COUNTIFS($I$4:$I$483,$I26,$J$4:$J$483,"&lt;"&amp;$J26)+1,"")</f>
        <v>8001</v>
      </c>
    </row>
    <row r="27" customFormat="false" ht="15" hidden="false" customHeight="false" outlineLevel="0" collapsed="false">
      <c r="A27" s="46" t="n">
        <v>2</v>
      </c>
      <c r="B27" s="46" t="n">
        <v>8</v>
      </c>
      <c r="C27" s="38" t="str">
        <f aca="false">IF(OR(Recurring!$B$6="",Recurring!$H$6&lt;&gt;"Yes",Recurring!$D$6=""),"",Recurring!$B$6)</f>
        <v>Compunnel Software (paycheck)</v>
      </c>
      <c r="D27" s="38" t="str">
        <f aca="false">IF($C27="","",Recurring!$C$6)</f>
        <v>Income</v>
      </c>
      <c r="E27" s="76" t="n">
        <f aca="false">IF($C27="","",Recurring!$D$6)</f>
        <v>790</v>
      </c>
      <c r="F27" s="77"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46297</v>
      </c>
      <c r="G27" s="77" t="n">
        <f aca="false">IF($F27="","",IF(Recurring!$G$6="Move Before",IF(WEEKDAY($F27,2)=6,$F27-1,IF(WEEKDAY($F27,2)=7,$F27-2,$F27)),IF(Recurring!$G$6="Move After",IF(WEEKDAY($F27,2)=6,$F27+2,IF(WEEKDAY($F27,2)=7,$F27+1,$F27)),$F27)))</f>
        <v>46297</v>
      </c>
      <c r="H27" s="78" t="n">
        <f aca="false">IF($G27="",0,IF(AND($G27&gt;='Cash Flow'!$E$6,$G27&lt;'Cash Flow'!$E$6+91),1,0))</f>
        <v>1</v>
      </c>
      <c r="I27" s="78" t="n">
        <f aca="false">IF($H27=1,MAX(1,INT(($G27-'Cash Flow'!$E$6)/7)+1),"")</f>
        <v>9</v>
      </c>
      <c r="J27" s="38" t="n">
        <f aca="false">IF($H27=1,$G27*10000+ROW(),"")</f>
        <v>462970027</v>
      </c>
      <c r="K27" s="38" t="n">
        <f aca="false">IF($H27=1,$I27*1000+COUNTIFS($I$4:$I$483,$I27,$J$4:$J$483,"&lt;"&amp;$J27)+1,"")</f>
        <v>9001</v>
      </c>
    </row>
    <row r="28" customFormat="false" ht="15" hidden="false" customHeight="false" outlineLevel="0" collapsed="false">
      <c r="A28" s="46" t="n">
        <v>2</v>
      </c>
      <c r="B28" s="46" t="n">
        <v>9</v>
      </c>
      <c r="C28" s="38" t="str">
        <f aca="false">IF(OR(Recurring!$B$6="",Recurring!$H$6&lt;&gt;"Yes",Recurring!$D$6=""),"",Recurring!$B$6)</f>
        <v>Compunnel Software (paycheck)</v>
      </c>
      <c r="D28" s="38" t="str">
        <f aca="false">IF($C28="","",Recurring!$C$6)</f>
        <v>Income</v>
      </c>
      <c r="E28" s="76" t="n">
        <f aca="false">IF($C28="","",Recurring!$D$6)</f>
        <v>790</v>
      </c>
      <c r="F28" s="77"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46304</v>
      </c>
      <c r="G28" s="77" t="n">
        <f aca="false">IF($F28="","",IF(Recurring!$G$6="Move Before",IF(WEEKDAY($F28,2)=6,$F28-1,IF(WEEKDAY($F28,2)=7,$F28-2,$F28)),IF(Recurring!$G$6="Move After",IF(WEEKDAY($F28,2)=6,$F28+2,IF(WEEKDAY($F28,2)=7,$F28+1,$F28)),$F28)))</f>
        <v>46304</v>
      </c>
      <c r="H28" s="78" t="n">
        <f aca="false">IF($G28="",0,IF(AND($G28&gt;='Cash Flow'!$E$6,$G28&lt;'Cash Flow'!$E$6+91),1,0))</f>
        <v>1</v>
      </c>
      <c r="I28" s="78" t="n">
        <f aca="false">IF($H28=1,MAX(1,INT(($G28-'Cash Flow'!$E$6)/7)+1),"")</f>
        <v>10</v>
      </c>
      <c r="J28" s="38" t="n">
        <f aca="false">IF($H28=1,$G28*10000+ROW(),"")</f>
        <v>463040028</v>
      </c>
      <c r="K28" s="38" t="n">
        <f aca="false">IF($H28=1,$I28*1000+COUNTIFS($I$4:$I$483,$I28,$J$4:$J$483,"&lt;"&amp;$J28)+1,"")</f>
        <v>10001</v>
      </c>
    </row>
    <row r="29" customFormat="false" ht="15" hidden="false" customHeight="false" outlineLevel="0" collapsed="false">
      <c r="A29" s="46" t="n">
        <v>2</v>
      </c>
      <c r="B29" s="46" t="n">
        <v>10</v>
      </c>
      <c r="C29" s="38" t="str">
        <f aca="false">IF(OR(Recurring!$B$6="",Recurring!$H$6&lt;&gt;"Yes",Recurring!$D$6=""),"",Recurring!$B$6)</f>
        <v>Compunnel Software (paycheck)</v>
      </c>
      <c r="D29" s="38" t="str">
        <f aca="false">IF($C29="","",Recurring!$C$6)</f>
        <v>Income</v>
      </c>
      <c r="E29" s="76" t="n">
        <f aca="false">IF($C29="","",Recurring!$D$6)</f>
        <v>790</v>
      </c>
      <c r="F29" s="77"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46311</v>
      </c>
      <c r="G29" s="77" t="n">
        <f aca="false">IF($F29="","",IF(Recurring!$G$6="Move Before",IF(WEEKDAY($F29,2)=6,$F29-1,IF(WEEKDAY($F29,2)=7,$F29-2,$F29)),IF(Recurring!$G$6="Move After",IF(WEEKDAY($F29,2)=6,$F29+2,IF(WEEKDAY($F29,2)=7,$F29+1,$F29)),$F29)))</f>
        <v>46311</v>
      </c>
      <c r="H29" s="78" t="n">
        <f aca="false">IF($G29="",0,IF(AND($G29&gt;='Cash Flow'!$E$6,$G29&lt;'Cash Flow'!$E$6+91),1,0))</f>
        <v>1</v>
      </c>
      <c r="I29" s="78" t="n">
        <f aca="false">IF($H29=1,MAX(1,INT(($G29-'Cash Flow'!$E$6)/7)+1),"")</f>
        <v>11</v>
      </c>
      <c r="J29" s="38" t="n">
        <f aca="false">IF($H29=1,$G29*10000+ROW(),"")</f>
        <v>463110029</v>
      </c>
      <c r="K29" s="38" t="n">
        <f aca="false">IF($H29=1,$I29*1000+COUNTIFS($I$4:$I$483,$I29,$J$4:$J$483,"&lt;"&amp;$J29)+1,"")</f>
        <v>11001</v>
      </c>
    </row>
    <row r="30" customFormat="false" ht="15" hidden="false" customHeight="false" outlineLevel="0" collapsed="false">
      <c r="A30" s="46" t="n">
        <v>2</v>
      </c>
      <c r="B30" s="46" t="n">
        <v>11</v>
      </c>
      <c r="C30" s="38" t="str">
        <f aca="false">IF(OR(Recurring!$B$6="",Recurring!$H$6&lt;&gt;"Yes",Recurring!$D$6=""),"",Recurring!$B$6)</f>
        <v>Compunnel Software (paycheck)</v>
      </c>
      <c r="D30" s="38" t="str">
        <f aca="false">IF($C30="","",Recurring!$C$6)</f>
        <v>Income</v>
      </c>
      <c r="E30" s="76" t="n">
        <f aca="false">IF($C30="","",Recurring!$D$6)</f>
        <v>790</v>
      </c>
      <c r="F30" s="77"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46318</v>
      </c>
      <c r="G30" s="77" t="n">
        <f aca="false">IF($F30="","",IF(Recurring!$G$6="Move Before",IF(WEEKDAY($F30,2)=6,$F30-1,IF(WEEKDAY($F30,2)=7,$F30-2,$F30)),IF(Recurring!$G$6="Move After",IF(WEEKDAY($F30,2)=6,$F30+2,IF(WEEKDAY($F30,2)=7,$F30+1,$F30)),$F30)))</f>
        <v>46318</v>
      </c>
      <c r="H30" s="78" t="n">
        <f aca="false">IF($G30="",0,IF(AND($G30&gt;='Cash Flow'!$E$6,$G30&lt;'Cash Flow'!$E$6+91),1,0))</f>
        <v>1</v>
      </c>
      <c r="I30" s="78" t="n">
        <f aca="false">IF($H30=1,MAX(1,INT(($G30-'Cash Flow'!$E$6)/7)+1),"")</f>
        <v>12</v>
      </c>
      <c r="J30" s="38" t="n">
        <f aca="false">IF($H30=1,$G30*10000+ROW(),"")</f>
        <v>463180030</v>
      </c>
      <c r="K30" s="38" t="n">
        <f aca="false">IF($H30=1,$I30*1000+COUNTIFS($I$4:$I$483,$I30,$J$4:$J$483,"&lt;"&amp;$J30)+1,"")</f>
        <v>12001</v>
      </c>
    </row>
    <row r="31" customFormat="false" ht="15" hidden="false" customHeight="false" outlineLevel="0" collapsed="false">
      <c r="A31" s="46" t="n">
        <v>2</v>
      </c>
      <c r="B31" s="46" t="n">
        <v>12</v>
      </c>
      <c r="C31" s="38" t="str">
        <f aca="false">IF(OR(Recurring!$B$6="",Recurring!$H$6&lt;&gt;"Yes",Recurring!$D$6=""),"",Recurring!$B$6)</f>
        <v>Compunnel Software (paycheck)</v>
      </c>
      <c r="D31" s="38" t="str">
        <f aca="false">IF($C31="","",Recurring!$C$6)</f>
        <v>Income</v>
      </c>
      <c r="E31" s="76" t="n">
        <f aca="false">IF($C31="","",Recurring!$D$6)</f>
        <v>790</v>
      </c>
      <c r="F31" s="77"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46325</v>
      </c>
      <c r="G31" s="77" t="n">
        <f aca="false">IF($F31="","",IF(Recurring!$G$6="Move Before",IF(WEEKDAY($F31,2)=6,$F31-1,IF(WEEKDAY($F31,2)=7,$F31-2,$F31)),IF(Recurring!$G$6="Move After",IF(WEEKDAY($F31,2)=6,$F31+2,IF(WEEKDAY($F31,2)=7,$F31+1,$F31)),$F31)))</f>
        <v>46325</v>
      </c>
      <c r="H31" s="78" t="n">
        <f aca="false">IF($G31="",0,IF(AND($G31&gt;='Cash Flow'!$E$6,$G31&lt;'Cash Flow'!$E$6+91),1,0))</f>
        <v>1</v>
      </c>
      <c r="I31" s="78" t="n">
        <f aca="false">IF($H31=1,MAX(1,INT(($G31-'Cash Flow'!$E$6)/7)+1),"")</f>
        <v>13</v>
      </c>
      <c r="J31" s="38" t="n">
        <f aca="false">IF($H31=1,$G31*10000+ROW(),"")</f>
        <v>463250031</v>
      </c>
      <c r="K31" s="38" t="n">
        <f aca="false">IF($H31=1,$I31*1000+COUNTIFS($I$4:$I$483,$I31,$J$4:$J$483,"&lt;"&amp;$J31)+1,"")</f>
        <v>13001</v>
      </c>
    </row>
    <row r="32" customFormat="false" ht="15" hidden="false" customHeight="false" outlineLevel="0" collapsed="false">
      <c r="A32" s="46" t="n">
        <v>2</v>
      </c>
      <c r="B32" s="46" t="n">
        <v>13</v>
      </c>
      <c r="C32" s="38" t="str">
        <f aca="false">IF(OR(Recurring!$B$6="",Recurring!$H$6&lt;&gt;"Yes",Recurring!$D$6=""),"",Recurring!$B$6)</f>
        <v>Compunnel Software (paycheck)</v>
      </c>
      <c r="D32" s="38" t="str">
        <f aca="false">IF($C32="","",Recurring!$C$6)</f>
        <v>Income</v>
      </c>
      <c r="E32" s="76" t="n">
        <f aca="false">IF($C32="","",Recurring!$D$6)</f>
        <v>790</v>
      </c>
      <c r="F32" s="77"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46332</v>
      </c>
      <c r="G32" s="77" t="n">
        <f aca="false">IF($F32="","",IF(Recurring!$G$6="Move Before",IF(WEEKDAY($F32,2)=6,$F32-1,IF(WEEKDAY($F32,2)=7,$F32-2,$F32)),IF(Recurring!$G$6="Move After",IF(WEEKDAY($F32,2)=6,$F32+2,IF(WEEKDAY($F32,2)=7,$F32+1,$F32)),$F32)))</f>
        <v>46332</v>
      </c>
      <c r="H32" s="78" t="n">
        <f aca="false">IF($G32="",0,IF(AND($G32&gt;='Cash Flow'!$E$6,$G32&lt;'Cash Flow'!$E$6+91),1,0))</f>
        <v>0</v>
      </c>
      <c r="I32" s="78" t="str">
        <f aca="false">IF($H32=1,MAX(1,INT(($G32-'Cash Flow'!$E$6)/7)+1),"")</f>
        <v/>
      </c>
      <c r="J32" s="38" t="str">
        <f aca="false">IF($H32=1,$G32*10000+ROW(),"")</f>
        <v/>
      </c>
      <c r="K32" s="38" t="str">
        <f aca="false">IF($H32=1,$I32*1000+COUNTIFS($I$4:$I$483,$I32,$J$4:$J$483,"&lt;"&amp;$J32)+1,"")</f>
        <v/>
      </c>
    </row>
    <row r="33" customFormat="false" ht="15" hidden="false" customHeight="false" outlineLevel="0" collapsed="false">
      <c r="A33" s="46" t="n">
        <v>2</v>
      </c>
      <c r="B33" s="46" t="n">
        <v>14</v>
      </c>
      <c r="C33" s="38" t="str">
        <f aca="false">IF(OR(Recurring!$B$6="",Recurring!$H$6&lt;&gt;"Yes",Recurring!$D$6=""),"",Recurring!$B$6)</f>
        <v>Compunnel Software (paycheck)</v>
      </c>
      <c r="D33" s="38" t="str">
        <f aca="false">IF($C33="","",Recurring!$C$6)</f>
        <v>Income</v>
      </c>
      <c r="E33" s="76" t="n">
        <f aca="false">IF($C33="","",Recurring!$D$6)</f>
        <v>790</v>
      </c>
      <c r="F33" s="77"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46339</v>
      </c>
      <c r="G33" s="77" t="n">
        <f aca="false">IF($F33="","",IF(Recurring!$G$6="Move Before",IF(WEEKDAY($F33,2)=6,$F33-1,IF(WEEKDAY($F33,2)=7,$F33-2,$F33)),IF(Recurring!$G$6="Move After",IF(WEEKDAY($F33,2)=6,$F33+2,IF(WEEKDAY($F33,2)=7,$F33+1,$F33)),$F33)))</f>
        <v>46339</v>
      </c>
      <c r="H33" s="78" t="n">
        <f aca="false">IF($G33="",0,IF(AND($G33&gt;='Cash Flow'!$E$6,$G33&lt;'Cash Flow'!$E$6+91),1,0))</f>
        <v>0</v>
      </c>
      <c r="I33" s="78" t="str">
        <f aca="false">IF($H33=1,MAX(1,INT(($G33-'Cash Flow'!$E$6)/7)+1),"")</f>
        <v/>
      </c>
      <c r="J33" s="38" t="str">
        <f aca="false">IF($H33=1,$G33*10000+ROW(),"")</f>
        <v/>
      </c>
      <c r="K33" s="38" t="str">
        <f aca="false">IF($H33=1,$I33*1000+COUNTIFS($I$4:$I$483,$I33,$J$4:$J$483,"&lt;"&amp;$J33)+1,"")</f>
        <v/>
      </c>
    </row>
    <row r="34" customFormat="false" ht="15" hidden="false" customHeight="false" outlineLevel="0" collapsed="false">
      <c r="A34" s="46" t="n">
        <v>2</v>
      </c>
      <c r="B34" s="46" t="n">
        <v>15</v>
      </c>
      <c r="C34" s="38" t="str">
        <f aca="false">IF(OR(Recurring!$B$6="",Recurring!$H$6&lt;&gt;"Yes",Recurring!$D$6=""),"",Recurring!$B$6)</f>
        <v>Compunnel Software (paycheck)</v>
      </c>
      <c r="D34" s="38" t="str">
        <f aca="false">IF($C34="","",Recurring!$C$6)</f>
        <v>Income</v>
      </c>
      <c r="E34" s="76" t="n">
        <f aca="false">IF($C34="","",Recurring!$D$6)</f>
        <v>790</v>
      </c>
      <c r="F34" s="77"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46346</v>
      </c>
      <c r="G34" s="77" t="n">
        <f aca="false">IF($F34="","",IF(Recurring!$G$6="Move Before",IF(WEEKDAY($F34,2)=6,$F34-1,IF(WEEKDAY($F34,2)=7,$F34-2,$F34)),IF(Recurring!$G$6="Move After",IF(WEEKDAY($F34,2)=6,$F34+2,IF(WEEKDAY($F34,2)=7,$F34+1,$F34)),$F34)))</f>
        <v>46346</v>
      </c>
      <c r="H34" s="78" t="n">
        <f aca="false">IF($G34="",0,IF(AND($G34&gt;='Cash Flow'!$E$6,$G34&lt;'Cash Flow'!$E$6+91),1,0))</f>
        <v>0</v>
      </c>
      <c r="I34" s="78" t="str">
        <f aca="false">IF($H34=1,MAX(1,INT(($G34-'Cash Flow'!$E$6)/7)+1),"")</f>
        <v/>
      </c>
      <c r="J34" s="38" t="str">
        <f aca="false">IF($H34=1,$G34*10000+ROW(),"")</f>
        <v/>
      </c>
      <c r="K34" s="38" t="str">
        <f aca="false">IF($H34=1,$I34*1000+COUNTIFS($I$4:$I$483,$I34,$J$4:$J$483,"&lt;"&amp;$J34)+1,"")</f>
        <v/>
      </c>
    </row>
    <row r="35" customFormat="false" ht="15" hidden="false" customHeight="false" outlineLevel="0" collapsed="false">
      <c r="A35" s="46" t="n">
        <v>2</v>
      </c>
      <c r="B35" s="46" t="n">
        <v>16</v>
      </c>
      <c r="C35" s="38" t="str">
        <f aca="false">IF(OR(Recurring!$B$6="",Recurring!$H$6&lt;&gt;"Yes",Recurring!$D$6=""),"",Recurring!$B$6)</f>
        <v>Compunnel Software (paycheck)</v>
      </c>
      <c r="D35" s="38" t="str">
        <f aca="false">IF($C35="","",Recurring!$C$6)</f>
        <v>Income</v>
      </c>
      <c r="E35" s="76" t="n">
        <f aca="false">IF($C35="","",Recurring!$D$6)</f>
        <v>790</v>
      </c>
      <c r="F35" s="77"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46353</v>
      </c>
      <c r="G35" s="77" t="n">
        <f aca="false">IF($F35="","",IF(Recurring!$G$6="Move Before",IF(WEEKDAY($F35,2)=6,$F35-1,IF(WEEKDAY($F35,2)=7,$F35-2,$F35)),IF(Recurring!$G$6="Move After",IF(WEEKDAY($F35,2)=6,$F35+2,IF(WEEKDAY($F35,2)=7,$F35+1,$F35)),$F35)))</f>
        <v>46353</v>
      </c>
      <c r="H35" s="78" t="n">
        <f aca="false">IF($G35="",0,IF(AND($G35&gt;='Cash Flow'!$E$6,$G35&lt;'Cash Flow'!$E$6+91),1,0))</f>
        <v>0</v>
      </c>
      <c r="I35" s="78" t="str">
        <f aca="false">IF($H35=1,MAX(1,INT(($G35-'Cash Flow'!$E$6)/7)+1),"")</f>
        <v/>
      </c>
      <c r="J35" s="38" t="str">
        <f aca="false">IF($H35=1,$G35*10000+ROW(),"")</f>
        <v/>
      </c>
      <c r="K35" s="38" t="str">
        <f aca="false">IF($H35=1,$I35*1000+COUNTIFS($I$4:$I$483,$I35,$J$4:$J$483,"&lt;"&amp;$J35)+1,"")</f>
        <v/>
      </c>
    </row>
    <row r="36" customFormat="false" ht="15" hidden="false" customHeight="false" outlineLevel="0" collapsed="false">
      <c r="A36" s="46" t="n">
        <v>3</v>
      </c>
      <c r="B36" s="46" t="n">
        <v>1</v>
      </c>
      <c r="C36" s="38" t="str">
        <f aca="false">IF(OR(Recurring!$B$7="",Recurring!$H$7&lt;&gt;"Yes",Recurring!$D$7=""),"",Recurring!$B$7)</f>
        <v>Apple: Claude</v>
      </c>
      <c r="D36" s="38" t="str">
        <f aca="false">IF($C36="","",Recurring!$C$7)</f>
        <v>Expense</v>
      </c>
      <c r="E36" s="76" t="n">
        <f aca="false">IF($C36="","",Recurring!$D$7)</f>
        <v>21.1</v>
      </c>
      <c r="F36" s="77"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46238</v>
      </c>
      <c r="G36" s="77" t="n">
        <f aca="false">IF($F36="","",IF(Recurring!$G$7="Move Before",IF(WEEKDAY($F36,2)=6,$F36-1,IF(WEEKDAY($F36,2)=7,$F36-2,$F36)),IF(Recurring!$G$7="Move After",IF(WEEKDAY($F36,2)=6,$F36+2,IF(WEEKDAY($F36,2)=7,$F36+1,$F36)),$F36)))</f>
        <v>46238</v>
      </c>
      <c r="H36" s="78" t="n">
        <f aca="false">IF($G36="",0,IF(AND($G36&gt;='Cash Flow'!$E$6-90,$G36&lt;'Cash Flow'!$E$6+91),1,0))</f>
        <v>1</v>
      </c>
      <c r="I36" s="78" t="n">
        <f aca="false">IF($H36=1,MAX(1,INT(($G36-'Cash Flow'!$E$6)/7)+1),"")</f>
        <v>1</v>
      </c>
      <c r="J36" s="38" t="n">
        <f aca="false">IF($H36=1,$G36*10000+ROW(),"")</f>
        <v>462380036</v>
      </c>
      <c r="K36" s="38" t="n">
        <f aca="false">IF($H36=1,$I36*1000+COUNTIFS($I$4:$I$483,$I36,$J$4:$J$483,"&lt;"&amp;$J36)+1,"")</f>
        <v>1001</v>
      </c>
    </row>
    <row r="37" customFormat="false" ht="15" hidden="false" customHeight="false" outlineLevel="0" collapsed="false">
      <c r="A37" s="46" t="n">
        <v>3</v>
      </c>
      <c r="B37" s="46" t="n">
        <v>2</v>
      </c>
      <c r="C37" s="38" t="str">
        <f aca="false">IF(OR(Recurring!$B$7="",Recurring!$H$7&lt;&gt;"Yes",Recurring!$D$7=""),"",Recurring!$B$7)</f>
        <v>Apple: Claude</v>
      </c>
      <c r="D37" s="38" t="str">
        <f aca="false">IF($C37="","",Recurring!$C$7)</f>
        <v>Expense</v>
      </c>
      <c r="E37" s="76" t="n">
        <f aca="false">IF($C37="","",Recurring!$D$7)</f>
        <v>21.1</v>
      </c>
      <c r="F37" s="77"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46269</v>
      </c>
      <c r="G37" s="77" t="n">
        <f aca="false">IF($F37="","",IF(Recurring!$G$7="Move Before",IF(WEEKDAY($F37,2)=6,$F37-1,IF(WEEKDAY($F37,2)=7,$F37-2,$F37)),IF(Recurring!$G$7="Move After",IF(WEEKDAY($F37,2)=6,$F37+2,IF(WEEKDAY($F37,2)=7,$F37+1,$F37)),$F37)))</f>
        <v>46269</v>
      </c>
      <c r="H37" s="78" t="n">
        <f aca="false">IF($G37="",0,IF(AND($G37&gt;='Cash Flow'!$E$6,$G37&lt;'Cash Flow'!$E$6+91),1,0))</f>
        <v>1</v>
      </c>
      <c r="I37" s="78" t="n">
        <f aca="false">IF($H37=1,MAX(1,INT(($G37-'Cash Flow'!$E$6)/7)+1),"")</f>
        <v>5</v>
      </c>
      <c r="J37" s="38" t="n">
        <f aca="false">IF($H37=1,$G37*10000+ROW(),"")</f>
        <v>462690037</v>
      </c>
      <c r="K37" s="38" t="n">
        <f aca="false">IF($H37=1,$I37*1000+COUNTIFS($I$4:$I$483,$I37,$J$4:$J$483,"&lt;"&amp;$J37)+1,"")</f>
        <v>5002</v>
      </c>
    </row>
    <row r="38" customFormat="false" ht="15" hidden="false" customHeight="false" outlineLevel="0" collapsed="false">
      <c r="A38" s="46" t="n">
        <v>3</v>
      </c>
      <c r="B38" s="46" t="n">
        <v>3</v>
      </c>
      <c r="C38" s="38" t="str">
        <f aca="false">IF(OR(Recurring!$B$7="",Recurring!$H$7&lt;&gt;"Yes",Recurring!$D$7=""),"",Recurring!$B$7)</f>
        <v>Apple: Claude</v>
      </c>
      <c r="D38" s="38" t="str">
        <f aca="false">IF($C38="","",Recurring!$C$7)</f>
        <v>Expense</v>
      </c>
      <c r="E38" s="76" t="n">
        <f aca="false">IF($C38="","",Recurring!$D$7)</f>
        <v>21.1</v>
      </c>
      <c r="F38" s="77"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46299</v>
      </c>
      <c r="G38" s="77" t="n">
        <f aca="false">IF($F38="","",IF(Recurring!$G$7="Move Before",IF(WEEKDAY($F38,2)=6,$F38-1,IF(WEEKDAY($F38,2)=7,$F38-2,$F38)),IF(Recurring!$G$7="Move After",IF(WEEKDAY($F38,2)=6,$F38+2,IF(WEEKDAY($F38,2)=7,$F38+1,$F38)),$F38)))</f>
        <v>46299</v>
      </c>
      <c r="H38" s="78" t="n">
        <f aca="false">IF($G38="",0,IF(AND($G38&gt;='Cash Flow'!$E$6,$G38&lt;'Cash Flow'!$E$6+91),1,0))</f>
        <v>1</v>
      </c>
      <c r="I38" s="78" t="n">
        <f aca="false">IF($H38=1,MAX(1,INT(($G38-'Cash Flow'!$E$6)/7)+1),"")</f>
        <v>9</v>
      </c>
      <c r="J38" s="38" t="n">
        <f aca="false">IF($H38=1,$G38*10000+ROW(),"")</f>
        <v>462990038</v>
      </c>
      <c r="K38" s="38" t="n">
        <f aca="false">IF($H38=1,$I38*1000+COUNTIFS($I$4:$I$483,$I38,$J$4:$J$483,"&lt;"&amp;$J38)+1,"")</f>
        <v>9002</v>
      </c>
    </row>
    <row r="39" customFormat="false" ht="15" hidden="false" customHeight="false" outlineLevel="0" collapsed="false">
      <c r="A39" s="46" t="n">
        <v>3</v>
      </c>
      <c r="B39" s="46" t="n">
        <v>4</v>
      </c>
      <c r="C39" s="38" t="str">
        <f aca="false">IF(OR(Recurring!$B$7="",Recurring!$H$7&lt;&gt;"Yes",Recurring!$D$7=""),"",Recurring!$B$7)</f>
        <v>Apple: Claude</v>
      </c>
      <c r="D39" s="38" t="str">
        <f aca="false">IF($C39="","",Recurring!$C$7)</f>
        <v>Expense</v>
      </c>
      <c r="E39" s="76" t="n">
        <f aca="false">IF($C39="","",Recurring!$D$7)</f>
        <v>21.1</v>
      </c>
      <c r="F39" s="77"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46330</v>
      </c>
      <c r="G39" s="77" t="n">
        <f aca="false">IF($F39="","",IF(Recurring!$G$7="Move Before",IF(WEEKDAY($F39,2)=6,$F39-1,IF(WEEKDAY($F39,2)=7,$F39-2,$F39)),IF(Recurring!$G$7="Move After",IF(WEEKDAY($F39,2)=6,$F39+2,IF(WEEKDAY($F39,2)=7,$F39+1,$F39)),$F39)))</f>
        <v>46330</v>
      </c>
      <c r="H39" s="78" t="n">
        <f aca="false">IF($G39="",0,IF(AND($G39&gt;='Cash Flow'!$E$6,$G39&lt;'Cash Flow'!$E$6+91),1,0))</f>
        <v>1</v>
      </c>
      <c r="I39" s="78" t="n">
        <f aca="false">IF($H39=1,MAX(1,INT(($G39-'Cash Flow'!$E$6)/7)+1),"")</f>
        <v>13</v>
      </c>
      <c r="J39" s="38" t="n">
        <f aca="false">IF($H39=1,$G39*10000+ROW(),"")</f>
        <v>463300039</v>
      </c>
      <c r="K39" s="38" t="n">
        <f aca="false">IF($H39=1,$I39*1000+COUNTIFS($I$4:$I$483,$I39,$J$4:$J$483,"&lt;"&amp;$J39)+1,"")</f>
        <v>13006</v>
      </c>
    </row>
    <row r="40" customFormat="false" ht="15" hidden="false" customHeight="false" outlineLevel="0" collapsed="false">
      <c r="A40" s="46" t="n">
        <v>3</v>
      </c>
      <c r="B40" s="46" t="n">
        <v>5</v>
      </c>
      <c r="C40" s="38" t="str">
        <f aca="false">IF(OR(Recurring!$B$7="",Recurring!$H$7&lt;&gt;"Yes",Recurring!$D$7=""),"",Recurring!$B$7)</f>
        <v>Apple: Claude</v>
      </c>
      <c r="D40" s="38" t="str">
        <f aca="false">IF($C40="","",Recurring!$C$7)</f>
        <v>Expense</v>
      </c>
      <c r="E40" s="76" t="n">
        <f aca="false">IF($C40="","",Recurring!$D$7)</f>
        <v>21.1</v>
      </c>
      <c r="F40" s="77"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46360</v>
      </c>
      <c r="G40" s="77" t="n">
        <f aca="false">IF($F40="","",IF(Recurring!$G$7="Move Before",IF(WEEKDAY($F40,2)=6,$F40-1,IF(WEEKDAY($F40,2)=7,$F40-2,$F40)),IF(Recurring!$G$7="Move After",IF(WEEKDAY($F40,2)=6,$F40+2,IF(WEEKDAY($F40,2)=7,$F40+1,$F40)),$F40)))</f>
        <v>46360</v>
      </c>
      <c r="H40" s="78" t="n">
        <f aca="false">IF($G40="",0,IF(AND($G40&gt;='Cash Flow'!$E$6,$G40&lt;'Cash Flow'!$E$6+91),1,0))</f>
        <v>0</v>
      </c>
      <c r="I40" s="78" t="str">
        <f aca="false">IF($H40=1,MAX(1,INT(($G40-'Cash Flow'!$E$6)/7)+1),"")</f>
        <v/>
      </c>
      <c r="J40" s="38" t="str">
        <f aca="false">IF($H40=1,$G40*10000+ROW(),"")</f>
        <v/>
      </c>
      <c r="K40" s="38" t="str">
        <f aca="false">IF($H40=1,$I40*1000+COUNTIFS($I$4:$I$483,$I40,$J$4:$J$483,"&lt;"&amp;$J40)+1,"")</f>
        <v/>
      </c>
    </row>
    <row r="41" customFormat="false" ht="15" hidden="false" customHeight="false" outlineLevel="0" collapsed="false">
      <c r="A41" s="46" t="n">
        <v>3</v>
      </c>
      <c r="B41" s="46" t="n">
        <v>6</v>
      </c>
      <c r="C41" s="38" t="str">
        <f aca="false">IF(OR(Recurring!$B$7="",Recurring!$H$7&lt;&gt;"Yes",Recurring!$D$7=""),"",Recurring!$B$7)</f>
        <v>Apple: Claude</v>
      </c>
      <c r="D41" s="38" t="str">
        <f aca="false">IF($C41="","",Recurring!$C$7)</f>
        <v>Expense</v>
      </c>
      <c r="E41" s="76" t="n">
        <f aca="false">IF($C41="","",Recurring!$D$7)</f>
        <v>21.1</v>
      </c>
      <c r="F41" s="77"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46391</v>
      </c>
      <c r="G41" s="77" t="n">
        <f aca="false">IF($F41="","",IF(Recurring!$G$7="Move Before",IF(WEEKDAY($F41,2)=6,$F41-1,IF(WEEKDAY($F41,2)=7,$F41-2,$F41)),IF(Recurring!$G$7="Move After",IF(WEEKDAY($F41,2)=6,$F41+2,IF(WEEKDAY($F41,2)=7,$F41+1,$F41)),$F41)))</f>
        <v>46391</v>
      </c>
      <c r="H41" s="78" t="n">
        <f aca="false">IF($G41="",0,IF(AND($G41&gt;='Cash Flow'!$E$6,$G41&lt;'Cash Flow'!$E$6+91),1,0))</f>
        <v>0</v>
      </c>
      <c r="I41" s="78" t="str">
        <f aca="false">IF($H41=1,MAX(1,INT(($G41-'Cash Flow'!$E$6)/7)+1),"")</f>
        <v/>
      </c>
      <c r="J41" s="38" t="str">
        <f aca="false">IF($H41=1,$G41*10000+ROW(),"")</f>
        <v/>
      </c>
      <c r="K41" s="38" t="str">
        <f aca="false">IF($H41=1,$I41*1000+COUNTIFS($I$4:$I$483,$I41,$J$4:$J$483,"&lt;"&amp;$J41)+1,"")</f>
        <v/>
      </c>
    </row>
    <row r="42" customFormat="false" ht="15" hidden="false" customHeight="false" outlineLevel="0" collapsed="false">
      <c r="A42" s="46" t="n">
        <v>3</v>
      </c>
      <c r="B42" s="46" t="n">
        <v>7</v>
      </c>
      <c r="C42" s="38" t="str">
        <f aca="false">IF(OR(Recurring!$B$7="",Recurring!$H$7&lt;&gt;"Yes",Recurring!$D$7=""),"",Recurring!$B$7)</f>
        <v>Apple: Claude</v>
      </c>
      <c r="D42" s="38" t="str">
        <f aca="false">IF($C42="","",Recurring!$C$7)</f>
        <v>Expense</v>
      </c>
      <c r="E42" s="76" t="n">
        <f aca="false">IF($C42="","",Recurring!$D$7)</f>
        <v>21.1</v>
      </c>
      <c r="F42" s="77"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46422</v>
      </c>
      <c r="G42" s="77" t="n">
        <f aca="false">IF($F42="","",IF(Recurring!$G$7="Move Before",IF(WEEKDAY($F42,2)=6,$F42-1,IF(WEEKDAY($F42,2)=7,$F42-2,$F42)),IF(Recurring!$G$7="Move After",IF(WEEKDAY($F42,2)=6,$F42+2,IF(WEEKDAY($F42,2)=7,$F42+1,$F42)),$F42)))</f>
        <v>46422</v>
      </c>
      <c r="H42" s="78" t="n">
        <f aca="false">IF($G42="",0,IF(AND($G42&gt;='Cash Flow'!$E$6,$G42&lt;'Cash Flow'!$E$6+91),1,0))</f>
        <v>0</v>
      </c>
      <c r="I42" s="78" t="str">
        <f aca="false">IF($H42=1,MAX(1,INT(($G42-'Cash Flow'!$E$6)/7)+1),"")</f>
        <v/>
      </c>
      <c r="J42" s="38" t="str">
        <f aca="false">IF($H42=1,$G42*10000+ROW(),"")</f>
        <v/>
      </c>
      <c r="K42" s="38" t="str">
        <f aca="false">IF($H42=1,$I42*1000+COUNTIFS($I$4:$I$483,$I42,$J$4:$J$483,"&lt;"&amp;$J42)+1,"")</f>
        <v/>
      </c>
    </row>
    <row r="43" customFormat="false" ht="15" hidden="false" customHeight="false" outlineLevel="0" collapsed="false">
      <c r="A43" s="46" t="n">
        <v>3</v>
      </c>
      <c r="B43" s="46" t="n">
        <v>8</v>
      </c>
      <c r="C43" s="38" t="str">
        <f aca="false">IF(OR(Recurring!$B$7="",Recurring!$H$7&lt;&gt;"Yes",Recurring!$D$7=""),"",Recurring!$B$7)</f>
        <v>Apple: Claude</v>
      </c>
      <c r="D43" s="38" t="str">
        <f aca="false">IF($C43="","",Recurring!$C$7)</f>
        <v>Expense</v>
      </c>
      <c r="E43" s="76" t="n">
        <f aca="false">IF($C43="","",Recurring!$D$7)</f>
        <v>21.1</v>
      </c>
      <c r="F43" s="77"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46450</v>
      </c>
      <c r="G43" s="77" t="n">
        <f aca="false">IF($F43="","",IF(Recurring!$G$7="Move Before",IF(WEEKDAY($F43,2)=6,$F43-1,IF(WEEKDAY($F43,2)=7,$F43-2,$F43)),IF(Recurring!$G$7="Move After",IF(WEEKDAY($F43,2)=6,$F43+2,IF(WEEKDAY($F43,2)=7,$F43+1,$F43)),$F43)))</f>
        <v>46450</v>
      </c>
      <c r="H43" s="78" t="n">
        <f aca="false">IF($G43="",0,IF(AND($G43&gt;='Cash Flow'!$E$6,$G43&lt;'Cash Flow'!$E$6+91),1,0))</f>
        <v>0</v>
      </c>
      <c r="I43" s="78" t="str">
        <f aca="false">IF($H43=1,MAX(1,INT(($G43-'Cash Flow'!$E$6)/7)+1),"")</f>
        <v/>
      </c>
      <c r="J43" s="38" t="str">
        <f aca="false">IF($H43=1,$G43*10000+ROW(),"")</f>
        <v/>
      </c>
      <c r="K43" s="38" t="str">
        <f aca="false">IF($H43=1,$I43*1000+COUNTIFS($I$4:$I$483,$I43,$J$4:$J$483,"&lt;"&amp;$J43)+1,"")</f>
        <v/>
      </c>
    </row>
    <row r="44" customFormat="false" ht="15" hidden="false" customHeight="false" outlineLevel="0" collapsed="false">
      <c r="A44" s="46" t="n">
        <v>3</v>
      </c>
      <c r="B44" s="46" t="n">
        <v>9</v>
      </c>
      <c r="C44" s="38" t="str">
        <f aca="false">IF(OR(Recurring!$B$7="",Recurring!$H$7&lt;&gt;"Yes",Recurring!$D$7=""),"",Recurring!$B$7)</f>
        <v>Apple: Claude</v>
      </c>
      <c r="D44" s="38" t="str">
        <f aca="false">IF($C44="","",Recurring!$C$7)</f>
        <v>Expense</v>
      </c>
      <c r="E44" s="76" t="n">
        <f aca="false">IF($C44="","",Recurring!$D$7)</f>
        <v>21.1</v>
      </c>
      <c r="F44" s="77"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46481</v>
      </c>
      <c r="G44" s="77" t="n">
        <f aca="false">IF($F44="","",IF(Recurring!$G$7="Move Before",IF(WEEKDAY($F44,2)=6,$F44-1,IF(WEEKDAY($F44,2)=7,$F44-2,$F44)),IF(Recurring!$G$7="Move After",IF(WEEKDAY($F44,2)=6,$F44+2,IF(WEEKDAY($F44,2)=7,$F44+1,$F44)),$F44)))</f>
        <v>46481</v>
      </c>
      <c r="H44" s="78" t="n">
        <f aca="false">IF($G44="",0,IF(AND($G44&gt;='Cash Flow'!$E$6,$G44&lt;'Cash Flow'!$E$6+91),1,0))</f>
        <v>0</v>
      </c>
      <c r="I44" s="78" t="str">
        <f aca="false">IF($H44=1,MAX(1,INT(($G44-'Cash Flow'!$E$6)/7)+1),"")</f>
        <v/>
      </c>
      <c r="J44" s="38" t="str">
        <f aca="false">IF($H44=1,$G44*10000+ROW(),"")</f>
        <v/>
      </c>
      <c r="K44" s="38" t="str">
        <f aca="false">IF($H44=1,$I44*1000+COUNTIFS($I$4:$I$483,$I44,$J$4:$J$483,"&lt;"&amp;$J44)+1,"")</f>
        <v/>
      </c>
    </row>
    <row r="45" customFormat="false" ht="15" hidden="false" customHeight="false" outlineLevel="0" collapsed="false">
      <c r="A45" s="46" t="n">
        <v>3</v>
      </c>
      <c r="B45" s="46" t="n">
        <v>10</v>
      </c>
      <c r="C45" s="38" t="str">
        <f aca="false">IF(OR(Recurring!$B$7="",Recurring!$H$7&lt;&gt;"Yes",Recurring!$D$7=""),"",Recurring!$B$7)</f>
        <v>Apple: Claude</v>
      </c>
      <c r="D45" s="38" t="str">
        <f aca="false">IF($C45="","",Recurring!$C$7)</f>
        <v>Expense</v>
      </c>
      <c r="E45" s="76" t="n">
        <f aca="false">IF($C45="","",Recurring!$D$7)</f>
        <v>21.1</v>
      </c>
      <c r="F45" s="77"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46511</v>
      </c>
      <c r="G45" s="77" t="n">
        <f aca="false">IF($F45="","",IF(Recurring!$G$7="Move Before",IF(WEEKDAY($F45,2)=6,$F45-1,IF(WEEKDAY($F45,2)=7,$F45-2,$F45)),IF(Recurring!$G$7="Move After",IF(WEEKDAY($F45,2)=6,$F45+2,IF(WEEKDAY($F45,2)=7,$F45+1,$F45)),$F45)))</f>
        <v>46511</v>
      </c>
      <c r="H45" s="78" t="n">
        <f aca="false">IF($G45="",0,IF(AND($G45&gt;='Cash Flow'!$E$6,$G45&lt;'Cash Flow'!$E$6+91),1,0))</f>
        <v>0</v>
      </c>
      <c r="I45" s="78" t="str">
        <f aca="false">IF($H45=1,MAX(1,INT(($G45-'Cash Flow'!$E$6)/7)+1),"")</f>
        <v/>
      </c>
      <c r="J45" s="38" t="str">
        <f aca="false">IF($H45=1,$G45*10000+ROW(),"")</f>
        <v/>
      </c>
      <c r="K45" s="38" t="str">
        <f aca="false">IF($H45=1,$I45*1000+COUNTIFS($I$4:$I$483,$I45,$J$4:$J$483,"&lt;"&amp;$J45)+1,"")</f>
        <v/>
      </c>
    </row>
    <row r="46" customFormat="false" ht="15" hidden="false" customHeight="false" outlineLevel="0" collapsed="false">
      <c r="A46" s="46" t="n">
        <v>3</v>
      </c>
      <c r="B46" s="46" t="n">
        <v>11</v>
      </c>
      <c r="C46" s="38" t="str">
        <f aca="false">IF(OR(Recurring!$B$7="",Recurring!$H$7&lt;&gt;"Yes",Recurring!$D$7=""),"",Recurring!$B$7)</f>
        <v>Apple: Claude</v>
      </c>
      <c r="D46" s="38" t="str">
        <f aca="false">IF($C46="","",Recurring!$C$7)</f>
        <v>Expense</v>
      </c>
      <c r="E46" s="76" t="n">
        <f aca="false">IF($C46="","",Recurring!$D$7)</f>
        <v>21.1</v>
      </c>
      <c r="F46" s="77"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46542</v>
      </c>
      <c r="G46" s="77" t="n">
        <f aca="false">IF($F46="","",IF(Recurring!$G$7="Move Before",IF(WEEKDAY($F46,2)=6,$F46-1,IF(WEEKDAY($F46,2)=7,$F46-2,$F46)),IF(Recurring!$G$7="Move After",IF(WEEKDAY($F46,2)=6,$F46+2,IF(WEEKDAY($F46,2)=7,$F46+1,$F46)),$F46)))</f>
        <v>46542</v>
      </c>
      <c r="H46" s="78" t="n">
        <f aca="false">IF($G46="",0,IF(AND($G46&gt;='Cash Flow'!$E$6,$G46&lt;'Cash Flow'!$E$6+91),1,0))</f>
        <v>0</v>
      </c>
      <c r="I46" s="78" t="str">
        <f aca="false">IF($H46=1,MAX(1,INT(($G46-'Cash Flow'!$E$6)/7)+1),"")</f>
        <v/>
      </c>
      <c r="J46" s="38" t="str">
        <f aca="false">IF($H46=1,$G46*10000+ROW(),"")</f>
        <v/>
      </c>
      <c r="K46" s="38" t="str">
        <f aca="false">IF($H46=1,$I46*1000+COUNTIFS($I$4:$I$483,$I46,$J$4:$J$483,"&lt;"&amp;$J46)+1,"")</f>
        <v/>
      </c>
    </row>
    <row r="47" customFormat="false" ht="15" hidden="false" customHeight="false" outlineLevel="0" collapsed="false">
      <c r="A47" s="46" t="n">
        <v>3</v>
      </c>
      <c r="B47" s="46" t="n">
        <v>12</v>
      </c>
      <c r="C47" s="38" t="str">
        <f aca="false">IF(OR(Recurring!$B$7="",Recurring!$H$7&lt;&gt;"Yes",Recurring!$D$7=""),"",Recurring!$B$7)</f>
        <v>Apple: Claude</v>
      </c>
      <c r="D47" s="38" t="str">
        <f aca="false">IF($C47="","",Recurring!$C$7)</f>
        <v>Expense</v>
      </c>
      <c r="E47" s="76" t="n">
        <f aca="false">IF($C47="","",Recurring!$D$7)</f>
        <v>21.1</v>
      </c>
      <c r="F47" s="77"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46572</v>
      </c>
      <c r="G47" s="77" t="n">
        <f aca="false">IF($F47="","",IF(Recurring!$G$7="Move Before",IF(WEEKDAY($F47,2)=6,$F47-1,IF(WEEKDAY($F47,2)=7,$F47-2,$F47)),IF(Recurring!$G$7="Move After",IF(WEEKDAY($F47,2)=6,$F47+2,IF(WEEKDAY($F47,2)=7,$F47+1,$F47)),$F47)))</f>
        <v>46572</v>
      </c>
      <c r="H47" s="78" t="n">
        <f aca="false">IF($G47="",0,IF(AND($G47&gt;='Cash Flow'!$E$6,$G47&lt;'Cash Flow'!$E$6+91),1,0))</f>
        <v>0</v>
      </c>
      <c r="I47" s="78" t="str">
        <f aca="false">IF($H47=1,MAX(1,INT(($G47-'Cash Flow'!$E$6)/7)+1),"")</f>
        <v/>
      </c>
      <c r="J47" s="38" t="str">
        <f aca="false">IF($H47=1,$G47*10000+ROW(),"")</f>
        <v/>
      </c>
      <c r="K47" s="38" t="str">
        <f aca="false">IF($H47=1,$I47*1000+COUNTIFS($I$4:$I$483,$I47,$J$4:$J$483,"&lt;"&amp;$J47)+1,"")</f>
        <v/>
      </c>
    </row>
    <row r="48" customFormat="false" ht="15" hidden="false" customHeight="false" outlineLevel="0" collapsed="false">
      <c r="A48" s="46" t="n">
        <v>3</v>
      </c>
      <c r="B48" s="46" t="n">
        <v>13</v>
      </c>
      <c r="C48" s="38" t="str">
        <f aca="false">IF(OR(Recurring!$B$7="",Recurring!$H$7&lt;&gt;"Yes",Recurring!$D$7=""),"",Recurring!$B$7)</f>
        <v>Apple: Claude</v>
      </c>
      <c r="D48" s="38" t="str">
        <f aca="false">IF($C48="","",Recurring!$C$7)</f>
        <v>Expense</v>
      </c>
      <c r="E48" s="76" t="n">
        <f aca="false">IF($C48="","",Recurring!$D$7)</f>
        <v>21.1</v>
      </c>
      <c r="F48" s="77"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46603</v>
      </c>
      <c r="G48" s="77" t="n">
        <f aca="false">IF($F48="","",IF(Recurring!$G$7="Move Before",IF(WEEKDAY($F48,2)=6,$F48-1,IF(WEEKDAY($F48,2)=7,$F48-2,$F48)),IF(Recurring!$G$7="Move After",IF(WEEKDAY($F48,2)=6,$F48+2,IF(WEEKDAY($F48,2)=7,$F48+1,$F48)),$F48)))</f>
        <v>46603</v>
      </c>
      <c r="H48" s="78" t="n">
        <f aca="false">IF($G48="",0,IF(AND($G48&gt;='Cash Flow'!$E$6,$G48&lt;'Cash Flow'!$E$6+91),1,0))</f>
        <v>0</v>
      </c>
      <c r="I48" s="78" t="str">
        <f aca="false">IF($H48=1,MAX(1,INT(($G48-'Cash Flow'!$E$6)/7)+1),"")</f>
        <v/>
      </c>
      <c r="J48" s="38" t="str">
        <f aca="false">IF($H48=1,$G48*10000+ROW(),"")</f>
        <v/>
      </c>
      <c r="K48" s="38" t="str">
        <f aca="false">IF($H48=1,$I48*1000+COUNTIFS($I$4:$I$483,$I48,$J$4:$J$483,"&lt;"&amp;$J48)+1,"")</f>
        <v/>
      </c>
    </row>
    <row r="49" customFormat="false" ht="15" hidden="false" customHeight="false" outlineLevel="0" collapsed="false">
      <c r="A49" s="46" t="n">
        <v>3</v>
      </c>
      <c r="B49" s="46" t="n">
        <v>14</v>
      </c>
      <c r="C49" s="38" t="str">
        <f aca="false">IF(OR(Recurring!$B$7="",Recurring!$H$7&lt;&gt;"Yes",Recurring!$D$7=""),"",Recurring!$B$7)</f>
        <v>Apple: Claude</v>
      </c>
      <c r="D49" s="38" t="str">
        <f aca="false">IF($C49="","",Recurring!$C$7)</f>
        <v>Expense</v>
      </c>
      <c r="E49" s="76" t="n">
        <f aca="false">IF($C49="","",Recurring!$D$7)</f>
        <v>21.1</v>
      </c>
      <c r="F49" s="77"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46634</v>
      </c>
      <c r="G49" s="77" t="n">
        <f aca="false">IF($F49="","",IF(Recurring!$G$7="Move Before",IF(WEEKDAY($F49,2)=6,$F49-1,IF(WEEKDAY($F49,2)=7,$F49-2,$F49)),IF(Recurring!$G$7="Move After",IF(WEEKDAY($F49,2)=6,$F49+2,IF(WEEKDAY($F49,2)=7,$F49+1,$F49)),$F49)))</f>
        <v>46634</v>
      </c>
      <c r="H49" s="78" t="n">
        <f aca="false">IF($G49="",0,IF(AND($G49&gt;='Cash Flow'!$E$6,$G49&lt;'Cash Flow'!$E$6+91),1,0))</f>
        <v>0</v>
      </c>
      <c r="I49" s="78" t="str">
        <f aca="false">IF($H49=1,MAX(1,INT(($G49-'Cash Flow'!$E$6)/7)+1),"")</f>
        <v/>
      </c>
      <c r="J49" s="38" t="str">
        <f aca="false">IF($H49=1,$G49*10000+ROW(),"")</f>
        <v/>
      </c>
      <c r="K49" s="38" t="str">
        <f aca="false">IF($H49=1,$I49*1000+COUNTIFS($I$4:$I$483,$I49,$J$4:$J$483,"&lt;"&amp;$J49)+1,"")</f>
        <v/>
      </c>
    </row>
    <row r="50" customFormat="false" ht="15" hidden="false" customHeight="false" outlineLevel="0" collapsed="false">
      <c r="A50" s="46" t="n">
        <v>3</v>
      </c>
      <c r="B50" s="46" t="n">
        <v>15</v>
      </c>
      <c r="C50" s="38" t="str">
        <f aca="false">IF(OR(Recurring!$B$7="",Recurring!$H$7&lt;&gt;"Yes",Recurring!$D$7=""),"",Recurring!$B$7)</f>
        <v>Apple: Claude</v>
      </c>
      <c r="D50" s="38" t="str">
        <f aca="false">IF($C50="","",Recurring!$C$7)</f>
        <v>Expense</v>
      </c>
      <c r="E50" s="76" t="n">
        <f aca="false">IF($C50="","",Recurring!$D$7)</f>
        <v>21.1</v>
      </c>
      <c r="F50" s="77"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46664</v>
      </c>
      <c r="G50" s="77" t="n">
        <f aca="false">IF($F50="","",IF(Recurring!$G$7="Move Before",IF(WEEKDAY($F50,2)=6,$F50-1,IF(WEEKDAY($F50,2)=7,$F50-2,$F50)),IF(Recurring!$G$7="Move After",IF(WEEKDAY($F50,2)=6,$F50+2,IF(WEEKDAY($F50,2)=7,$F50+1,$F50)),$F50)))</f>
        <v>46664</v>
      </c>
      <c r="H50" s="78" t="n">
        <f aca="false">IF($G50="",0,IF(AND($G50&gt;='Cash Flow'!$E$6,$G50&lt;'Cash Flow'!$E$6+91),1,0))</f>
        <v>0</v>
      </c>
      <c r="I50" s="78" t="str">
        <f aca="false">IF($H50=1,MAX(1,INT(($G50-'Cash Flow'!$E$6)/7)+1),"")</f>
        <v/>
      </c>
      <c r="J50" s="38" t="str">
        <f aca="false">IF($H50=1,$G50*10000+ROW(),"")</f>
        <v/>
      </c>
      <c r="K50" s="38" t="str">
        <f aca="false">IF($H50=1,$I50*1000+COUNTIFS($I$4:$I$483,$I50,$J$4:$J$483,"&lt;"&amp;$J50)+1,"")</f>
        <v/>
      </c>
    </row>
    <row r="51" customFormat="false" ht="15" hidden="false" customHeight="false" outlineLevel="0" collapsed="false">
      <c r="A51" s="46" t="n">
        <v>3</v>
      </c>
      <c r="B51" s="46" t="n">
        <v>16</v>
      </c>
      <c r="C51" s="38" t="str">
        <f aca="false">IF(OR(Recurring!$B$7="",Recurring!$H$7&lt;&gt;"Yes",Recurring!$D$7=""),"",Recurring!$B$7)</f>
        <v>Apple: Claude</v>
      </c>
      <c r="D51" s="38" t="str">
        <f aca="false">IF($C51="","",Recurring!$C$7)</f>
        <v>Expense</v>
      </c>
      <c r="E51" s="76" t="n">
        <f aca="false">IF($C51="","",Recurring!$D$7)</f>
        <v>21.1</v>
      </c>
      <c r="F51" s="77"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46695</v>
      </c>
      <c r="G51" s="77" t="n">
        <f aca="false">IF($F51="","",IF(Recurring!$G$7="Move Before",IF(WEEKDAY($F51,2)=6,$F51-1,IF(WEEKDAY($F51,2)=7,$F51-2,$F51)),IF(Recurring!$G$7="Move After",IF(WEEKDAY($F51,2)=6,$F51+2,IF(WEEKDAY($F51,2)=7,$F51+1,$F51)),$F51)))</f>
        <v>46695</v>
      </c>
      <c r="H51" s="78" t="n">
        <f aca="false">IF($G51="",0,IF(AND($G51&gt;='Cash Flow'!$E$6,$G51&lt;'Cash Flow'!$E$6+91),1,0))</f>
        <v>0</v>
      </c>
      <c r="I51" s="78" t="str">
        <f aca="false">IF($H51=1,MAX(1,INT(($G51-'Cash Flow'!$E$6)/7)+1),"")</f>
        <v/>
      </c>
      <c r="J51" s="38" t="str">
        <f aca="false">IF($H51=1,$G51*10000+ROW(),"")</f>
        <v/>
      </c>
      <c r="K51" s="38" t="str">
        <f aca="false">IF($H51=1,$I51*1000+COUNTIFS($I$4:$I$483,$I51,$J$4:$J$483,"&lt;"&amp;$J51)+1,"")</f>
        <v/>
      </c>
    </row>
    <row r="52" customFormat="false" ht="15" hidden="false" customHeight="false" outlineLevel="0" collapsed="false">
      <c r="A52" s="46" t="n">
        <v>4</v>
      </c>
      <c r="B52" s="46" t="n">
        <v>1</v>
      </c>
      <c r="C52" s="38" t="str">
        <f aca="false">IF(OR(Recurring!$B$8="",Recurring!$H$8&lt;&gt;"Yes",Recurring!$D$8=""),"",Recurring!$B$8)</f>
        <v>OpenAI</v>
      </c>
      <c r="D52" s="38" t="str">
        <f aca="false">IF($C52="","",Recurring!$C$8)</f>
        <v>Expense</v>
      </c>
      <c r="E52" s="76" t="n">
        <f aca="false">IF($C52="","",Recurring!$D$8)</f>
        <v>20</v>
      </c>
      <c r="F52" s="77"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46239</v>
      </c>
      <c r="G52" s="77" t="n">
        <f aca="false">IF($F52="","",IF(Recurring!$G$8="Move Before",IF(WEEKDAY($F52,2)=6,$F52-1,IF(WEEKDAY($F52,2)=7,$F52-2,$F52)),IF(Recurring!$G$8="Move After",IF(WEEKDAY($F52,2)=6,$F52+2,IF(WEEKDAY($F52,2)=7,$F52+1,$F52)),$F52)))</f>
        <v>46239</v>
      </c>
      <c r="H52" s="78" t="n">
        <f aca="false">IF($G52="",0,IF(AND($G52&gt;='Cash Flow'!$E$6-90,$G52&lt;'Cash Flow'!$E$6+91),1,0))</f>
        <v>1</v>
      </c>
      <c r="I52" s="78" t="n">
        <f aca="false">IF($H52=1,MAX(1,INT(($G52-'Cash Flow'!$E$6)/7)+1),"")</f>
        <v>1</v>
      </c>
      <c r="J52" s="38" t="n">
        <f aca="false">IF($H52=1,$G52*10000+ROW(),"")</f>
        <v>462390052</v>
      </c>
      <c r="K52" s="38" t="n">
        <f aca="false">IF($H52=1,$I52*1000+COUNTIFS($I$4:$I$483,$I52,$J$4:$J$483,"&lt;"&amp;$J52)+1,"")</f>
        <v>1002</v>
      </c>
    </row>
    <row r="53" customFormat="false" ht="15" hidden="false" customHeight="false" outlineLevel="0" collapsed="false">
      <c r="A53" s="46" t="n">
        <v>4</v>
      </c>
      <c r="B53" s="46" t="n">
        <v>2</v>
      </c>
      <c r="C53" s="38" t="str">
        <f aca="false">IF(OR(Recurring!$B$8="",Recurring!$H$8&lt;&gt;"Yes",Recurring!$D$8=""),"",Recurring!$B$8)</f>
        <v>OpenAI</v>
      </c>
      <c r="D53" s="38" t="str">
        <f aca="false">IF($C53="","",Recurring!$C$8)</f>
        <v>Expense</v>
      </c>
      <c r="E53" s="76" t="n">
        <f aca="false">IF($C53="","",Recurring!$D$8)</f>
        <v>20</v>
      </c>
      <c r="F53" s="77"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46270</v>
      </c>
      <c r="G53" s="77" t="n">
        <f aca="false">IF($F53="","",IF(Recurring!$G$8="Move Before",IF(WEEKDAY($F53,2)=6,$F53-1,IF(WEEKDAY($F53,2)=7,$F53-2,$F53)),IF(Recurring!$G$8="Move After",IF(WEEKDAY($F53,2)=6,$F53+2,IF(WEEKDAY($F53,2)=7,$F53+1,$F53)),$F53)))</f>
        <v>46270</v>
      </c>
      <c r="H53" s="78" t="n">
        <f aca="false">IF($G53="",0,IF(AND($G53&gt;='Cash Flow'!$E$6,$G53&lt;'Cash Flow'!$E$6+91),1,0))</f>
        <v>1</v>
      </c>
      <c r="I53" s="78" t="n">
        <f aca="false">IF($H53=1,MAX(1,INT(($G53-'Cash Flow'!$E$6)/7)+1),"")</f>
        <v>5</v>
      </c>
      <c r="J53" s="38" t="n">
        <f aca="false">IF($H53=1,$G53*10000+ROW(),"")</f>
        <v>462700053</v>
      </c>
      <c r="K53" s="38" t="n">
        <f aca="false">IF($H53=1,$I53*1000+COUNTIFS($I$4:$I$483,$I53,$J$4:$J$483,"&lt;"&amp;$J53)+1,"")</f>
        <v>5003</v>
      </c>
    </row>
    <row r="54" customFormat="false" ht="15" hidden="false" customHeight="false" outlineLevel="0" collapsed="false">
      <c r="A54" s="46" t="n">
        <v>4</v>
      </c>
      <c r="B54" s="46" t="n">
        <v>3</v>
      </c>
      <c r="C54" s="38" t="str">
        <f aca="false">IF(OR(Recurring!$B$8="",Recurring!$H$8&lt;&gt;"Yes",Recurring!$D$8=""),"",Recurring!$B$8)</f>
        <v>OpenAI</v>
      </c>
      <c r="D54" s="38" t="str">
        <f aca="false">IF($C54="","",Recurring!$C$8)</f>
        <v>Expense</v>
      </c>
      <c r="E54" s="76" t="n">
        <f aca="false">IF($C54="","",Recurring!$D$8)</f>
        <v>20</v>
      </c>
      <c r="F54" s="77"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46300</v>
      </c>
      <c r="G54" s="77" t="n">
        <f aca="false">IF($F54="","",IF(Recurring!$G$8="Move Before",IF(WEEKDAY($F54,2)=6,$F54-1,IF(WEEKDAY($F54,2)=7,$F54-2,$F54)),IF(Recurring!$G$8="Move After",IF(WEEKDAY($F54,2)=6,$F54+2,IF(WEEKDAY($F54,2)=7,$F54+1,$F54)),$F54)))</f>
        <v>46300</v>
      </c>
      <c r="H54" s="78" t="n">
        <f aca="false">IF($G54="",0,IF(AND($G54&gt;='Cash Flow'!$E$6,$G54&lt;'Cash Flow'!$E$6+91),1,0))</f>
        <v>1</v>
      </c>
      <c r="I54" s="78" t="n">
        <f aca="false">IF($H54=1,MAX(1,INT(($G54-'Cash Flow'!$E$6)/7)+1),"")</f>
        <v>9</v>
      </c>
      <c r="J54" s="38" t="n">
        <f aca="false">IF($H54=1,$G54*10000+ROW(),"")</f>
        <v>463000054</v>
      </c>
      <c r="K54" s="38" t="n">
        <f aca="false">IF($H54=1,$I54*1000+COUNTIFS($I$4:$I$483,$I54,$J$4:$J$483,"&lt;"&amp;$J54)+1,"")</f>
        <v>9003</v>
      </c>
    </row>
    <row r="55" customFormat="false" ht="15" hidden="false" customHeight="false" outlineLevel="0" collapsed="false">
      <c r="A55" s="46" t="n">
        <v>4</v>
      </c>
      <c r="B55" s="46" t="n">
        <v>4</v>
      </c>
      <c r="C55" s="38" t="str">
        <f aca="false">IF(OR(Recurring!$B$8="",Recurring!$H$8&lt;&gt;"Yes",Recurring!$D$8=""),"",Recurring!$B$8)</f>
        <v>OpenAI</v>
      </c>
      <c r="D55" s="38" t="str">
        <f aca="false">IF($C55="","",Recurring!$C$8)</f>
        <v>Expense</v>
      </c>
      <c r="E55" s="76" t="n">
        <f aca="false">IF($C55="","",Recurring!$D$8)</f>
        <v>20</v>
      </c>
      <c r="F55" s="77"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46331</v>
      </c>
      <c r="G55" s="77" t="n">
        <f aca="false">IF($F55="","",IF(Recurring!$G$8="Move Before",IF(WEEKDAY($F55,2)=6,$F55-1,IF(WEEKDAY($F55,2)=7,$F55-2,$F55)),IF(Recurring!$G$8="Move After",IF(WEEKDAY($F55,2)=6,$F55+2,IF(WEEKDAY($F55,2)=7,$F55+1,$F55)),$F55)))</f>
        <v>46331</v>
      </c>
      <c r="H55" s="78" t="n">
        <f aca="false">IF($G55="",0,IF(AND($G55&gt;='Cash Flow'!$E$6,$G55&lt;'Cash Flow'!$E$6+91),1,0))</f>
        <v>1</v>
      </c>
      <c r="I55" s="78" t="n">
        <f aca="false">IF($H55=1,MAX(1,INT(($G55-'Cash Flow'!$E$6)/7)+1),"")</f>
        <v>13</v>
      </c>
      <c r="J55" s="38" t="n">
        <f aca="false">IF($H55=1,$G55*10000+ROW(),"")</f>
        <v>463310055</v>
      </c>
      <c r="K55" s="38" t="n">
        <f aca="false">IF($H55=1,$I55*1000+COUNTIFS($I$4:$I$483,$I55,$J$4:$J$483,"&lt;"&amp;$J55)+1,"")</f>
        <v>13007</v>
      </c>
    </row>
    <row r="56" customFormat="false" ht="15" hidden="false" customHeight="false" outlineLevel="0" collapsed="false">
      <c r="A56" s="46" t="n">
        <v>4</v>
      </c>
      <c r="B56" s="46" t="n">
        <v>5</v>
      </c>
      <c r="C56" s="38" t="str">
        <f aca="false">IF(OR(Recurring!$B$8="",Recurring!$H$8&lt;&gt;"Yes",Recurring!$D$8=""),"",Recurring!$B$8)</f>
        <v>OpenAI</v>
      </c>
      <c r="D56" s="38" t="str">
        <f aca="false">IF($C56="","",Recurring!$C$8)</f>
        <v>Expense</v>
      </c>
      <c r="E56" s="76" t="n">
        <f aca="false">IF($C56="","",Recurring!$D$8)</f>
        <v>20</v>
      </c>
      <c r="F56" s="77"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46361</v>
      </c>
      <c r="G56" s="77" t="n">
        <f aca="false">IF($F56="","",IF(Recurring!$G$8="Move Before",IF(WEEKDAY($F56,2)=6,$F56-1,IF(WEEKDAY($F56,2)=7,$F56-2,$F56)),IF(Recurring!$G$8="Move After",IF(WEEKDAY($F56,2)=6,$F56+2,IF(WEEKDAY($F56,2)=7,$F56+1,$F56)),$F56)))</f>
        <v>46361</v>
      </c>
      <c r="H56" s="78" t="n">
        <f aca="false">IF($G56="",0,IF(AND($G56&gt;='Cash Flow'!$E$6,$G56&lt;'Cash Flow'!$E$6+91),1,0))</f>
        <v>0</v>
      </c>
      <c r="I56" s="78" t="str">
        <f aca="false">IF($H56=1,MAX(1,INT(($G56-'Cash Flow'!$E$6)/7)+1),"")</f>
        <v/>
      </c>
      <c r="J56" s="38" t="str">
        <f aca="false">IF($H56=1,$G56*10000+ROW(),"")</f>
        <v/>
      </c>
      <c r="K56" s="38" t="str">
        <f aca="false">IF($H56=1,$I56*1000+COUNTIFS($I$4:$I$483,$I56,$J$4:$J$483,"&lt;"&amp;$J56)+1,"")</f>
        <v/>
      </c>
    </row>
    <row r="57" customFormat="false" ht="15" hidden="false" customHeight="false" outlineLevel="0" collapsed="false">
      <c r="A57" s="46" t="n">
        <v>4</v>
      </c>
      <c r="B57" s="46" t="n">
        <v>6</v>
      </c>
      <c r="C57" s="38" t="str">
        <f aca="false">IF(OR(Recurring!$B$8="",Recurring!$H$8&lt;&gt;"Yes",Recurring!$D$8=""),"",Recurring!$B$8)</f>
        <v>OpenAI</v>
      </c>
      <c r="D57" s="38" t="str">
        <f aca="false">IF($C57="","",Recurring!$C$8)</f>
        <v>Expense</v>
      </c>
      <c r="E57" s="76" t="n">
        <f aca="false">IF($C57="","",Recurring!$D$8)</f>
        <v>20</v>
      </c>
      <c r="F57" s="77"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46392</v>
      </c>
      <c r="G57" s="77" t="n">
        <f aca="false">IF($F57="","",IF(Recurring!$G$8="Move Before",IF(WEEKDAY($F57,2)=6,$F57-1,IF(WEEKDAY($F57,2)=7,$F57-2,$F57)),IF(Recurring!$G$8="Move After",IF(WEEKDAY($F57,2)=6,$F57+2,IF(WEEKDAY($F57,2)=7,$F57+1,$F57)),$F57)))</f>
        <v>46392</v>
      </c>
      <c r="H57" s="78" t="n">
        <f aca="false">IF($G57="",0,IF(AND($G57&gt;='Cash Flow'!$E$6,$G57&lt;'Cash Flow'!$E$6+91),1,0))</f>
        <v>0</v>
      </c>
      <c r="I57" s="78" t="str">
        <f aca="false">IF($H57=1,MAX(1,INT(($G57-'Cash Flow'!$E$6)/7)+1),"")</f>
        <v/>
      </c>
      <c r="J57" s="38" t="str">
        <f aca="false">IF($H57=1,$G57*10000+ROW(),"")</f>
        <v/>
      </c>
      <c r="K57" s="38" t="str">
        <f aca="false">IF($H57=1,$I57*1000+COUNTIFS($I$4:$I$483,$I57,$J$4:$J$483,"&lt;"&amp;$J57)+1,"")</f>
        <v/>
      </c>
    </row>
    <row r="58" customFormat="false" ht="15" hidden="false" customHeight="false" outlineLevel="0" collapsed="false">
      <c r="A58" s="46" t="n">
        <v>4</v>
      </c>
      <c r="B58" s="46" t="n">
        <v>7</v>
      </c>
      <c r="C58" s="38" t="str">
        <f aca="false">IF(OR(Recurring!$B$8="",Recurring!$H$8&lt;&gt;"Yes",Recurring!$D$8=""),"",Recurring!$B$8)</f>
        <v>OpenAI</v>
      </c>
      <c r="D58" s="38" t="str">
        <f aca="false">IF($C58="","",Recurring!$C$8)</f>
        <v>Expense</v>
      </c>
      <c r="E58" s="76" t="n">
        <f aca="false">IF($C58="","",Recurring!$D$8)</f>
        <v>20</v>
      </c>
      <c r="F58" s="77"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46423</v>
      </c>
      <c r="G58" s="77" t="n">
        <f aca="false">IF($F58="","",IF(Recurring!$G$8="Move Before",IF(WEEKDAY($F58,2)=6,$F58-1,IF(WEEKDAY($F58,2)=7,$F58-2,$F58)),IF(Recurring!$G$8="Move After",IF(WEEKDAY($F58,2)=6,$F58+2,IF(WEEKDAY($F58,2)=7,$F58+1,$F58)),$F58)))</f>
        <v>46423</v>
      </c>
      <c r="H58" s="78" t="n">
        <f aca="false">IF($G58="",0,IF(AND($G58&gt;='Cash Flow'!$E$6,$G58&lt;'Cash Flow'!$E$6+91),1,0))</f>
        <v>0</v>
      </c>
      <c r="I58" s="78" t="str">
        <f aca="false">IF($H58=1,MAX(1,INT(($G58-'Cash Flow'!$E$6)/7)+1),"")</f>
        <v/>
      </c>
      <c r="J58" s="38" t="str">
        <f aca="false">IF($H58=1,$G58*10000+ROW(),"")</f>
        <v/>
      </c>
      <c r="K58" s="38" t="str">
        <f aca="false">IF($H58=1,$I58*1000+COUNTIFS($I$4:$I$483,$I58,$J$4:$J$483,"&lt;"&amp;$J58)+1,"")</f>
        <v/>
      </c>
    </row>
    <row r="59" customFormat="false" ht="15" hidden="false" customHeight="false" outlineLevel="0" collapsed="false">
      <c r="A59" s="46" t="n">
        <v>4</v>
      </c>
      <c r="B59" s="46" t="n">
        <v>8</v>
      </c>
      <c r="C59" s="38" t="str">
        <f aca="false">IF(OR(Recurring!$B$8="",Recurring!$H$8&lt;&gt;"Yes",Recurring!$D$8=""),"",Recurring!$B$8)</f>
        <v>OpenAI</v>
      </c>
      <c r="D59" s="38" t="str">
        <f aca="false">IF($C59="","",Recurring!$C$8)</f>
        <v>Expense</v>
      </c>
      <c r="E59" s="76" t="n">
        <f aca="false">IF($C59="","",Recurring!$D$8)</f>
        <v>20</v>
      </c>
      <c r="F59" s="77"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46451</v>
      </c>
      <c r="G59" s="77" t="n">
        <f aca="false">IF($F59="","",IF(Recurring!$G$8="Move Before",IF(WEEKDAY($F59,2)=6,$F59-1,IF(WEEKDAY($F59,2)=7,$F59-2,$F59)),IF(Recurring!$G$8="Move After",IF(WEEKDAY($F59,2)=6,$F59+2,IF(WEEKDAY($F59,2)=7,$F59+1,$F59)),$F59)))</f>
        <v>46451</v>
      </c>
      <c r="H59" s="78" t="n">
        <f aca="false">IF($G59="",0,IF(AND($G59&gt;='Cash Flow'!$E$6,$G59&lt;'Cash Flow'!$E$6+91),1,0))</f>
        <v>0</v>
      </c>
      <c r="I59" s="78" t="str">
        <f aca="false">IF($H59=1,MAX(1,INT(($G59-'Cash Flow'!$E$6)/7)+1),"")</f>
        <v/>
      </c>
      <c r="J59" s="38" t="str">
        <f aca="false">IF($H59=1,$G59*10000+ROW(),"")</f>
        <v/>
      </c>
      <c r="K59" s="38" t="str">
        <f aca="false">IF($H59=1,$I59*1000+COUNTIFS($I$4:$I$483,$I59,$J$4:$J$483,"&lt;"&amp;$J59)+1,"")</f>
        <v/>
      </c>
    </row>
    <row r="60" customFormat="false" ht="15" hidden="false" customHeight="false" outlineLevel="0" collapsed="false">
      <c r="A60" s="46" t="n">
        <v>4</v>
      </c>
      <c r="B60" s="46" t="n">
        <v>9</v>
      </c>
      <c r="C60" s="38" t="str">
        <f aca="false">IF(OR(Recurring!$B$8="",Recurring!$H$8&lt;&gt;"Yes",Recurring!$D$8=""),"",Recurring!$B$8)</f>
        <v>OpenAI</v>
      </c>
      <c r="D60" s="38" t="str">
        <f aca="false">IF($C60="","",Recurring!$C$8)</f>
        <v>Expense</v>
      </c>
      <c r="E60" s="76" t="n">
        <f aca="false">IF($C60="","",Recurring!$D$8)</f>
        <v>20</v>
      </c>
      <c r="F60" s="77"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46482</v>
      </c>
      <c r="G60" s="77" t="n">
        <f aca="false">IF($F60="","",IF(Recurring!$G$8="Move Before",IF(WEEKDAY($F60,2)=6,$F60-1,IF(WEEKDAY($F60,2)=7,$F60-2,$F60)),IF(Recurring!$G$8="Move After",IF(WEEKDAY($F60,2)=6,$F60+2,IF(WEEKDAY($F60,2)=7,$F60+1,$F60)),$F60)))</f>
        <v>46482</v>
      </c>
      <c r="H60" s="78" t="n">
        <f aca="false">IF($G60="",0,IF(AND($G60&gt;='Cash Flow'!$E$6,$G60&lt;'Cash Flow'!$E$6+91),1,0))</f>
        <v>0</v>
      </c>
      <c r="I60" s="78" t="str">
        <f aca="false">IF($H60=1,MAX(1,INT(($G60-'Cash Flow'!$E$6)/7)+1),"")</f>
        <v/>
      </c>
      <c r="J60" s="38" t="str">
        <f aca="false">IF($H60=1,$G60*10000+ROW(),"")</f>
        <v/>
      </c>
      <c r="K60" s="38" t="str">
        <f aca="false">IF($H60=1,$I60*1000+COUNTIFS($I$4:$I$483,$I60,$J$4:$J$483,"&lt;"&amp;$J60)+1,"")</f>
        <v/>
      </c>
    </row>
    <row r="61" customFormat="false" ht="15" hidden="false" customHeight="false" outlineLevel="0" collapsed="false">
      <c r="A61" s="46" t="n">
        <v>4</v>
      </c>
      <c r="B61" s="46" t="n">
        <v>10</v>
      </c>
      <c r="C61" s="38" t="str">
        <f aca="false">IF(OR(Recurring!$B$8="",Recurring!$H$8&lt;&gt;"Yes",Recurring!$D$8=""),"",Recurring!$B$8)</f>
        <v>OpenAI</v>
      </c>
      <c r="D61" s="38" t="str">
        <f aca="false">IF($C61="","",Recurring!$C$8)</f>
        <v>Expense</v>
      </c>
      <c r="E61" s="76" t="n">
        <f aca="false">IF($C61="","",Recurring!$D$8)</f>
        <v>20</v>
      </c>
      <c r="F61" s="77"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46512</v>
      </c>
      <c r="G61" s="77" t="n">
        <f aca="false">IF($F61="","",IF(Recurring!$G$8="Move Before",IF(WEEKDAY($F61,2)=6,$F61-1,IF(WEEKDAY($F61,2)=7,$F61-2,$F61)),IF(Recurring!$G$8="Move After",IF(WEEKDAY($F61,2)=6,$F61+2,IF(WEEKDAY($F61,2)=7,$F61+1,$F61)),$F61)))</f>
        <v>46512</v>
      </c>
      <c r="H61" s="78" t="n">
        <f aca="false">IF($G61="",0,IF(AND($G61&gt;='Cash Flow'!$E$6,$G61&lt;'Cash Flow'!$E$6+91),1,0))</f>
        <v>0</v>
      </c>
      <c r="I61" s="78" t="str">
        <f aca="false">IF($H61=1,MAX(1,INT(($G61-'Cash Flow'!$E$6)/7)+1),"")</f>
        <v/>
      </c>
      <c r="J61" s="38" t="str">
        <f aca="false">IF($H61=1,$G61*10000+ROW(),"")</f>
        <v/>
      </c>
      <c r="K61" s="38" t="str">
        <f aca="false">IF($H61=1,$I61*1000+COUNTIFS($I$4:$I$483,$I61,$J$4:$J$483,"&lt;"&amp;$J61)+1,"")</f>
        <v/>
      </c>
    </row>
    <row r="62" customFormat="false" ht="15" hidden="false" customHeight="false" outlineLevel="0" collapsed="false">
      <c r="A62" s="46" t="n">
        <v>4</v>
      </c>
      <c r="B62" s="46" t="n">
        <v>11</v>
      </c>
      <c r="C62" s="38" t="str">
        <f aca="false">IF(OR(Recurring!$B$8="",Recurring!$H$8&lt;&gt;"Yes",Recurring!$D$8=""),"",Recurring!$B$8)</f>
        <v>OpenAI</v>
      </c>
      <c r="D62" s="38" t="str">
        <f aca="false">IF($C62="","",Recurring!$C$8)</f>
        <v>Expense</v>
      </c>
      <c r="E62" s="76" t="n">
        <f aca="false">IF($C62="","",Recurring!$D$8)</f>
        <v>20</v>
      </c>
      <c r="F62" s="77"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46543</v>
      </c>
      <c r="G62" s="77" t="n">
        <f aca="false">IF($F62="","",IF(Recurring!$G$8="Move Before",IF(WEEKDAY($F62,2)=6,$F62-1,IF(WEEKDAY($F62,2)=7,$F62-2,$F62)),IF(Recurring!$G$8="Move After",IF(WEEKDAY($F62,2)=6,$F62+2,IF(WEEKDAY($F62,2)=7,$F62+1,$F62)),$F62)))</f>
        <v>46543</v>
      </c>
      <c r="H62" s="78" t="n">
        <f aca="false">IF($G62="",0,IF(AND($G62&gt;='Cash Flow'!$E$6,$G62&lt;'Cash Flow'!$E$6+91),1,0))</f>
        <v>0</v>
      </c>
      <c r="I62" s="78" t="str">
        <f aca="false">IF($H62=1,MAX(1,INT(($G62-'Cash Flow'!$E$6)/7)+1),"")</f>
        <v/>
      </c>
      <c r="J62" s="38" t="str">
        <f aca="false">IF($H62=1,$G62*10000+ROW(),"")</f>
        <v/>
      </c>
      <c r="K62" s="38" t="str">
        <f aca="false">IF($H62=1,$I62*1000+COUNTIFS($I$4:$I$483,$I62,$J$4:$J$483,"&lt;"&amp;$J62)+1,"")</f>
        <v/>
      </c>
    </row>
    <row r="63" customFormat="false" ht="15" hidden="false" customHeight="false" outlineLevel="0" collapsed="false">
      <c r="A63" s="46" t="n">
        <v>4</v>
      </c>
      <c r="B63" s="46" t="n">
        <v>12</v>
      </c>
      <c r="C63" s="38" t="str">
        <f aca="false">IF(OR(Recurring!$B$8="",Recurring!$H$8&lt;&gt;"Yes",Recurring!$D$8=""),"",Recurring!$B$8)</f>
        <v>OpenAI</v>
      </c>
      <c r="D63" s="38" t="str">
        <f aca="false">IF($C63="","",Recurring!$C$8)</f>
        <v>Expense</v>
      </c>
      <c r="E63" s="76" t="n">
        <f aca="false">IF($C63="","",Recurring!$D$8)</f>
        <v>20</v>
      </c>
      <c r="F63" s="77"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46573</v>
      </c>
      <c r="G63" s="77" t="n">
        <f aca="false">IF($F63="","",IF(Recurring!$G$8="Move Before",IF(WEEKDAY($F63,2)=6,$F63-1,IF(WEEKDAY($F63,2)=7,$F63-2,$F63)),IF(Recurring!$G$8="Move After",IF(WEEKDAY($F63,2)=6,$F63+2,IF(WEEKDAY($F63,2)=7,$F63+1,$F63)),$F63)))</f>
        <v>46573</v>
      </c>
      <c r="H63" s="78" t="n">
        <f aca="false">IF($G63="",0,IF(AND($G63&gt;='Cash Flow'!$E$6,$G63&lt;'Cash Flow'!$E$6+91),1,0))</f>
        <v>0</v>
      </c>
      <c r="I63" s="78" t="str">
        <f aca="false">IF($H63=1,MAX(1,INT(($G63-'Cash Flow'!$E$6)/7)+1),"")</f>
        <v/>
      </c>
      <c r="J63" s="38" t="str">
        <f aca="false">IF($H63=1,$G63*10000+ROW(),"")</f>
        <v/>
      </c>
      <c r="K63" s="38" t="str">
        <f aca="false">IF($H63=1,$I63*1000+COUNTIFS($I$4:$I$483,$I63,$J$4:$J$483,"&lt;"&amp;$J63)+1,"")</f>
        <v/>
      </c>
    </row>
    <row r="64" customFormat="false" ht="15" hidden="false" customHeight="false" outlineLevel="0" collapsed="false">
      <c r="A64" s="46" t="n">
        <v>4</v>
      </c>
      <c r="B64" s="46" t="n">
        <v>13</v>
      </c>
      <c r="C64" s="38" t="str">
        <f aca="false">IF(OR(Recurring!$B$8="",Recurring!$H$8&lt;&gt;"Yes",Recurring!$D$8=""),"",Recurring!$B$8)</f>
        <v>OpenAI</v>
      </c>
      <c r="D64" s="38" t="str">
        <f aca="false">IF($C64="","",Recurring!$C$8)</f>
        <v>Expense</v>
      </c>
      <c r="E64" s="76" t="n">
        <f aca="false">IF($C64="","",Recurring!$D$8)</f>
        <v>20</v>
      </c>
      <c r="F64" s="77"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46604</v>
      </c>
      <c r="G64" s="77" t="n">
        <f aca="false">IF($F64="","",IF(Recurring!$G$8="Move Before",IF(WEEKDAY($F64,2)=6,$F64-1,IF(WEEKDAY($F64,2)=7,$F64-2,$F64)),IF(Recurring!$G$8="Move After",IF(WEEKDAY($F64,2)=6,$F64+2,IF(WEEKDAY($F64,2)=7,$F64+1,$F64)),$F64)))</f>
        <v>46604</v>
      </c>
      <c r="H64" s="78" t="n">
        <f aca="false">IF($G64="",0,IF(AND($G64&gt;='Cash Flow'!$E$6,$G64&lt;'Cash Flow'!$E$6+91),1,0))</f>
        <v>0</v>
      </c>
      <c r="I64" s="78" t="str">
        <f aca="false">IF($H64=1,MAX(1,INT(($G64-'Cash Flow'!$E$6)/7)+1),"")</f>
        <v/>
      </c>
      <c r="J64" s="38" t="str">
        <f aca="false">IF($H64=1,$G64*10000+ROW(),"")</f>
        <v/>
      </c>
      <c r="K64" s="38" t="str">
        <f aca="false">IF($H64=1,$I64*1000+COUNTIFS($I$4:$I$483,$I64,$J$4:$J$483,"&lt;"&amp;$J64)+1,"")</f>
        <v/>
      </c>
    </row>
    <row r="65" customFormat="false" ht="15" hidden="false" customHeight="false" outlineLevel="0" collapsed="false">
      <c r="A65" s="46" t="n">
        <v>4</v>
      </c>
      <c r="B65" s="46" t="n">
        <v>14</v>
      </c>
      <c r="C65" s="38" t="str">
        <f aca="false">IF(OR(Recurring!$B$8="",Recurring!$H$8&lt;&gt;"Yes",Recurring!$D$8=""),"",Recurring!$B$8)</f>
        <v>OpenAI</v>
      </c>
      <c r="D65" s="38" t="str">
        <f aca="false">IF($C65="","",Recurring!$C$8)</f>
        <v>Expense</v>
      </c>
      <c r="E65" s="76" t="n">
        <f aca="false">IF($C65="","",Recurring!$D$8)</f>
        <v>20</v>
      </c>
      <c r="F65" s="77"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46635</v>
      </c>
      <c r="G65" s="77" t="n">
        <f aca="false">IF($F65="","",IF(Recurring!$G$8="Move Before",IF(WEEKDAY($F65,2)=6,$F65-1,IF(WEEKDAY($F65,2)=7,$F65-2,$F65)),IF(Recurring!$G$8="Move After",IF(WEEKDAY($F65,2)=6,$F65+2,IF(WEEKDAY($F65,2)=7,$F65+1,$F65)),$F65)))</f>
        <v>46635</v>
      </c>
      <c r="H65" s="78" t="n">
        <f aca="false">IF($G65="",0,IF(AND($G65&gt;='Cash Flow'!$E$6,$G65&lt;'Cash Flow'!$E$6+91),1,0))</f>
        <v>0</v>
      </c>
      <c r="I65" s="78" t="str">
        <f aca="false">IF($H65=1,MAX(1,INT(($G65-'Cash Flow'!$E$6)/7)+1),"")</f>
        <v/>
      </c>
      <c r="J65" s="38" t="str">
        <f aca="false">IF($H65=1,$G65*10000+ROW(),"")</f>
        <v/>
      </c>
      <c r="K65" s="38" t="str">
        <f aca="false">IF($H65=1,$I65*1000+COUNTIFS($I$4:$I$483,$I65,$J$4:$J$483,"&lt;"&amp;$J65)+1,"")</f>
        <v/>
      </c>
    </row>
    <row r="66" customFormat="false" ht="15" hidden="false" customHeight="false" outlineLevel="0" collapsed="false">
      <c r="A66" s="46" t="n">
        <v>4</v>
      </c>
      <c r="B66" s="46" t="n">
        <v>15</v>
      </c>
      <c r="C66" s="38" t="str">
        <f aca="false">IF(OR(Recurring!$B$8="",Recurring!$H$8&lt;&gt;"Yes",Recurring!$D$8=""),"",Recurring!$B$8)</f>
        <v>OpenAI</v>
      </c>
      <c r="D66" s="38" t="str">
        <f aca="false">IF($C66="","",Recurring!$C$8)</f>
        <v>Expense</v>
      </c>
      <c r="E66" s="76" t="n">
        <f aca="false">IF($C66="","",Recurring!$D$8)</f>
        <v>20</v>
      </c>
      <c r="F66" s="77"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46665</v>
      </c>
      <c r="G66" s="77" t="n">
        <f aca="false">IF($F66="","",IF(Recurring!$G$8="Move Before",IF(WEEKDAY($F66,2)=6,$F66-1,IF(WEEKDAY($F66,2)=7,$F66-2,$F66)),IF(Recurring!$G$8="Move After",IF(WEEKDAY($F66,2)=6,$F66+2,IF(WEEKDAY($F66,2)=7,$F66+1,$F66)),$F66)))</f>
        <v>46665</v>
      </c>
      <c r="H66" s="78" t="n">
        <f aca="false">IF($G66="",0,IF(AND($G66&gt;='Cash Flow'!$E$6,$G66&lt;'Cash Flow'!$E$6+91),1,0))</f>
        <v>0</v>
      </c>
      <c r="I66" s="78" t="str">
        <f aca="false">IF($H66=1,MAX(1,INT(($G66-'Cash Flow'!$E$6)/7)+1),"")</f>
        <v/>
      </c>
      <c r="J66" s="38" t="str">
        <f aca="false">IF($H66=1,$G66*10000+ROW(),"")</f>
        <v/>
      </c>
      <c r="K66" s="38" t="str">
        <f aca="false">IF($H66=1,$I66*1000+COUNTIFS($I$4:$I$483,$I66,$J$4:$J$483,"&lt;"&amp;$J66)+1,"")</f>
        <v/>
      </c>
    </row>
    <row r="67" customFormat="false" ht="15" hidden="false" customHeight="false" outlineLevel="0" collapsed="false">
      <c r="A67" s="46" t="n">
        <v>4</v>
      </c>
      <c r="B67" s="46" t="n">
        <v>16</v>
      </c>
      <c r="C67" s="38" t="str">
        <f aca="false">IF(OR(Recurring!$B$8="",Recurring!$H$8&lt;&gt;"Yes",Recurring!$D$8=""),"",Recurring!$B$8)</f>
        <v>OpenAI</v>
      </c>
      <c r="D67" s="38" t="str">
        <f aca="false">IF($C67="","",Recurring!$C$8)</f>
        <v>Expense</v>
      </c>
      <c r="E67" s="76" t="n">
        <f aca="false">IF($C67="","",Recurring!$D$8)</f>
        <v>20</v>
      </c>
      <c r="F67" s="77"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46696</v>
      </c>
      <c r="G67" s="77" t="n">
        <f aca="false">IF($F67="","",IF(Recurring!$G$8="Move Before",IF(WEEKDAY($F67,2)=6,$F67-1,IF(WEEKDAY($F67,2)=7,$F67-2,$F67)),IF(Recurring!$G$8="Move After",IF(WEEKDAY($F67,2)=6,$F67+2,IF(WEEKDAY($F67,2)=7,$F67+1,$F67)),$F67)))</f>
        <v>46696</v>
      </c>
      <c r="H67" s="78" t="n">
        <f aca="false">IF($G67="",0,IF(AND($G67&gt;='Cash Flow'!$E$6,$G67&lt;'Cash Flow'!$E$6+91),1,0))</f>
        <v>0</v>
      </c>
      <c r="I67" s="78" t="str">
        <f aca="false">IF($H67=1,MAX(1,INT(($G67-'Cash Flow'!$E$6)/7)+1),"")</f>
        <v/>
      </c>
      <c r="J67" s="38" t="str">
        <f aca="false">IF($H67=1,$G67*10000+ROW(),"")</f>
        <v/>
      </c>
      <c r="K67" s="38" t="str">
        <f aca="false">IF($H67=1,$I67*1000+COUNTIFS($I$4:$I$483,$I67,$J$4:$J$483,"&lt;"&amp;$J67)+1,"")</f>
        <v/>
      </c>
    </row>
    <row r="68" customFormat="false" ht="15" hidden="false" customHeight="false" outlineLevel="0" collapsed="false">
      <c r="A68" s="46" t="n">
        <v>5</v>
      </c>
      <c r="B68" s="46" t="n">
        <v>1</v>
      </c>
      <c r="C68" s="38" t="str">
        <f aca="false">IF(OR(Recurring!$B$9="",Recurring!$H$9&lt;&gt;"Yes",Recurring!$D$9=""),"",Recurring!$B$9)</f>
        <v>Obsidian</v>
      </c>
      <c r="D68" s="38" t="str">
        <f aca="false">IF($C68="","",Recurring!$C$9)</f>
        <v>Expense</v>
      </c>
      <c r="E68" s="76" t="n">
        <f aca="false">IF($C68="","",Recurring!$D$9)</f>
        <v>10</v>
      </c>
      <c r="F68" s="77"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46239</v>
      </c>
      <c r="G68" s="77" t="n">
        <f aca="false">IF($F68="","",IF(Recurring!$G$9="Move Before",IF(WEEKDAY($F68,2)=6,$F68-1,IF(WEEKDAY($F68,2)=7,$F68-2,$F68)),IF(Recurring!$G$9="Move After",IF(WEEKDAY($F68,2)=6,$F68+2,IF(WEEKDAY($F68,2)=7,$F68+1,$F68)),$F68)))</f>
        <v>46239</v>
      </c>
      <c r="H68" s="78" t="n">
        <f aca="false">IF($G68="",0,IF(AND($G68&gt;='Cash Flow'!$E$6-90,$G68&lt;'Cash Flow'!$E$6+91),1,0))</f>
        <v>1</v>
      </c>
      <c r="I68" s="78" t="n">
        <f aca="false">IF($H68=1,MAX(1,INT(($G68-'Cash Flow'!$E$6)/7)+1),"")</f>
        <v>1</v>
      </c>
      <c r="J68" s="38" t="n">
        <f aca="false">IF($H68=1,$G68*10000+ROW(),"")</f>
        <v>462390068</v>
      </c>
      <c r="K68" s="38" t="n">
        <f aca="false">IF($H68=1,$I68*1000+COUNTIFS($I$4:$I$483,$I68,$J$4:$J$483,"&lt;"&amp;$J68)+1,"")</f>
        <v>1003</v>
      </c>
    </row>
    <row r="69" customFormat="false" ht="15" hidden="false" customHeight="false" outlineLevel="0" collapsed="false">
      <c r="A69" s="46" t="n">
        <v>5</v>
      </c>
      <c r="B69" s="46" t="n">
        <v>2</v>
      </c>
      <c r="C69" s="38" t="str">
        <f aca="false">IF(OR(Recurring!$B$9="",Recurring!$H$9&lt;&gt;"Yes",Recurring!$D$9=""),"",Recurring!$B$9)</f>
        <v>Obsidian</v>
      </c>
      <c r="D69" s="38" t="str">
        <f aca="false">IF($C69="","",Recurring!$C$9)</f>
        <v>Expense</v>
      </c>
      <c r="E69" s="76" t="n">
        <f aca="false">IF($C69="","",Recurring!$D$9)</f>
        <v>10</v>
      </c>
      <c r="F69" s="77"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46270</v>
      </c>
      <c r="G69" s="77" t="n">
        <f aca="false">IF($F69="","",IF(Recurring!$G$9="Move Before",IF(WEEKDAY($F69,2)=6,$F69-1,IF(WEEKDAY($F69,2)=7,$F69-2,$F69)),IF(Recurring!$G$9="Move After",IF(WEEKDAY($F69,2)=6,$F69+2,IF(WEEKDAY($F69,2)=7,$F69+1,$F69)),$F69)))</f>
        <v>46270</v>
      </c>
      <c r="H69" s="78" t="n">
        <f aca="false">IF($G69="",0,IF(AND($G69&gt;='Cash Flow'!$E$6,$G69&lt;'Cash Flow'!$E$6+91),1,0))</f>
        <v>1</v>
      </c>
      <c r="I69" s="78" t="n">
        <f aca="false">IF($H69=1,MAX(1,INT(($G69-'Cash Flow'!$E$6)/7)+1),"")</f>
        <v>5</v>
      </c>
      <c r="J69" s="38" t="n">
        <f aca="false">IF($H69=1,$G69*10000+ROW(),"")</f>
        <v>462700069</v>
      </c>
      <c r="K69" s="38" t="n">
        <f aca="false">IF($H69=1,$I69*1000+COUNTIFS($I$4:$I$483,$I69,$J$4:$J$483,"&lt;"&amp;$J69)+1,"")</f>
        <v>5004</v>
      </c>
    </row>
    <row r="70" customFormat="false" ht="15" hidden="false" customHeight="false" outlineLevel="0" collapsed="false">
      <c r="A70" s="46" t="n">
        <v>5</v>
      </c>
      <c r="B70" s="46" t="n">
        <v>3</v>
      </c>
      <c r="C70" s="38" t="str">
        <f aca="false">IF(OR(Recurring!$B$9="",Recurring!$H$9&lt;&gt;"Yes",Recurring!$D$9=""),"",Recurring!$B$9)</f>
        <v>Obsidian</v>
      </c>
      <c r="D70" s="38" t="str">
        <f aca="false">IF($C70="","",Recurring!$C$9)</f>
        <v>Expense</v>
      </c>
      <c r="E70" s="76" t="n">
        <f aca="false">IF($C70="","",Recurring!$D$9)</f>
        <v>10</v>
      </c>
      <c r="F70" s="77"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46300</v>
      </c>
      <c r="G70" s="77" t="n">
        <f aca="false">IF($F70="","",IF(Recurring!$G$9="Move Before",IF(WEEKDAY($F70,2)=6,$F70-1,IF(WEEKDAY($F70,2)=7,$F70-2,$F70)),IF(Recurring!$G$9="Move After",IF(WEEKDAY($F70,2)=6,$F70+2,IF(WEEKDAY($F70,2)=7,$F70+1,$F70)),$F70)))</f>
        <v>46300</v>
      </c>
      <c r="H70" s="78" t="n">
        <f aca="false">IF($G70="",0,IF(AND($G70&gt;='Cash Flow'!$E$6,$G70&lt;'Cash Flow'!$E$6+91),1,0))</f>
        <v>1</v>
      </c>
      <c r="I70" s="78" t="n">
        <f aca="false">IF($H70=1,MAX(1,INT(($G70-'Cash Flow'!$E$6)/7)+1),"")</f>
        <v>9</v>
      </c>
      <c r="J70" s="38" t="n">
        <f aca="false">IF($H70=1,$G70*10000+ROW(),"")</f>
        <v>463000070</v>
      </c>
      <c r="K70" s="38" t="n">
        <f aca="false">IF($H70=1,$I70*1000+COUNTIFS($I$4:$I$483,$I70,$J$4:$J$483,"&lt;"&amp;$J70)+1,"")</f>
        <v>9004</v>
      </c>
    </row>
    <row r="71" customFormat="false" ht="15" hidden="false" customHeight="false" outlineLevel="0" collapsed="false">
      <c r="A71" s="46" t="n">
        <v>5</v>
      </c>
      <c r="B71" s="46" t="n">
        <v>4</v>
      </c>
      <c r="C71" s="38" t="str">
        <f aca="false">IF(OR(Recurring!$B$9="",Recurring!$H$9&lt;&gt;"Yes",Recurring!$D$9=""),"",Recurring!$B$9)</f>
        <v>Obsidian</v>
      </c>
      <c r="D71" s="38" t="str">
        <f aca="false">IF($C71="","",Recurring!$C$9)</f>
        <v>Expense</v>
      </c>
      <c r="E71" s="76" t="n">
        <f aca="false">IF($C71="","",Recurring!$D$9)</f>
        <v>10</v>
      </c>
      <c r="F71" s="77"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46331</v>
      </c>
      <c r="G71" s="77" t="n">
        <f aca="false">IF($F71="","",IF(Recurring!$G$9="Move Before",IF(WEEKDAY($F71,2)=6,$F71-1,IF(WEEKDAY($F71,2)=7,$F71-2,$F71)),IF(Recurring!$G$9="Move After",IF(WEEKDAY($F71,2)=6,$F71+2,IF(WEEKDAY($F71,2)=7,$F71+1,$F71)),$F71)))</f>
        <v>46331</v>
      </c>
      <c r="H71" s="78" t="n">
        <f aca="false">IF($G71="",0,IF(AND($G71&gt;='Cash Flow'!$E$6,$G71&lt;'Cash Flow'!$E$6+91),1,0))</f>
        <v>1</v>
      </c>
      <c r="I71" s="78" t="n">
        <f aca="false">IF($H71=1,MAX(1,INT(($G71-'Cash Flow'!$E$6)/7)+1),"")</f>
        <v>13</v>
      </c>
      <c r="J71" s="38" t="n">
        <f aca="false">IF($H71=1,$G71*10000+ROW(),"")</f>
        <v>463310071</v>
      </c>
      <c r="K71" s="38" t="n">
        <f aca="false">IF($H71=1,$I71*1000+COUNTIFS($I$4:$I$483,$I71,$J$4:$J$483,"&lt;"&amp;$J71)+1,"")</f>
        <v>13008</v>
      </c>
    </row>
    <row r="72" customFormat="false" ht="15" hidden="false" customHeight="false" outlineLevel="0" collapsed="false">
      <c r="A72" s="46" t="n">
        <v>5</v>
      </c>
      <c r="B72" s="46" t="n">
        <v>5</v>
      </c>
      <c r="C72" s="38" t="str">
        <f aca="false">IF(OR(Recurring!$B$9="",Recurring!$H$9&lt;&gt;"Yes",Recurring!$D$9=""),"",Recurring!$B$9)</f>
        <v>Obsidian</v>
      </c>
      <c r="D72" s="38" t="str">
        <f aca="false">IF($C72="","",Recurring!$C$9)</f>
        <v>Expense</v>
      </c>
      <c r="E72" s="76" t="n">
        <f aca="false">IF($C72="","",Recurring!$D$9)</f>
        <v>10</v>
      </c>
      <c r="F72" s="77"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46361</v>
      </c>
      <c r="G72" s="77" t="n">
        <f aca="false">IF($F72="","",IF(Recurring!$G$9="Move Before",IF(WEEKDAY($F72,2)=6,$F72-1,IF(WEEKDAY($F72,2)=7,$F72-2,$F72)),IF(Recurring!$G$9="Move After",IF(WEEKDAY($F72,2)=6,$F72+2,IF(WEEKDAY($F72,2)=7,$F72+1,$F72)),$F72)))</f>
        <v>46361</v>
      </c>
      <c r="H72" s="78" t="n">
        <f aca="false">IF($G72="",0,IF(AND($G72&gt;='Cash Flow'!$E$6,$G72&lt;'Cash Flow'!$E$6+91),1,0))</f>
        <v>0</v>
      </c>
      <c r="I72" s="78" t="str">
        <f aca="false">IF($H72=1,MAX(1,INT(($G72-'Cash Flow'!$E$6)/7)+1),"")</f>
        <v/>
      </c>
      <c r="J72" s="38" t="str">
        <f aca="false">IF($H72=1,$G72*10000+ROW(),"")</f>
        <v/>
      </c>
      <c r="K72" s="38" t="str">
        <f aca="false">IF($H72=1,$I72*1000+COUNTIFS($I$4:$I$483,$I72,$J$4:$J$483,"&lt;"&amp;$J72)+1,"")</f>
        <v/>
      </c>
    </row>
    <row r="73" customFormat="false" ht="15" hidden="false" customHeight="false" outlineLevel="0" collapsed="false">
      <c r="A73" s="46" t="n">
        <v>5</v>
      </c>
      <c r="B73" s="46" t="n">
        <v>6</v>
      </c>
      <c r="C73" s="38" t="str">
        <f aca="false">IF(OR(Recurring!$B$9="",Recurring!$H$9&lt;&gt;"Yes",Recurring!$D$9=""),"",Recurring!$B$9)</f>
        <v>Obsidian</v>
      </c>
      <c r="D73" s="38" t="str">
        <f aca="false">IF($C73="","",Recurring!$C$9)</f>
        <v>Expense</v>
      </c>
      <c r="E73" s="76" t="n">
        <f aca="false">IF($C73="","",Recurring!$D$9)</f>
        <v>10</v>
      </c>
      <c r="F73" s="77"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46392</v>
      </c>
      <c r="G73" s="77" t="n">
        <f aca="false">IF($F73="","",IF(Recurring!$G$9="Move Before",IF(WEEKDAY($F73,2)=6,$F73-1,IF(WEEKDAY($F73,2)=7,$F73-2,$F73)),IF(Recurring!$G$9="Move After",IF(WEEKDAY($F73,2)=6,$F73+2,IF(WEEKDAY($F73,2)=7,$F73+1,$F73)),$F73)))</f>
        <v>46392</v>
      </c>
      <c r="H73" s="78" t="n">
        <f aca="false">IF($G73="",0,IF(AND($G73&gt;='Cash Flow'!$E$6,$G73&lt;'Cash Flow'!$E$6+91),1,0))</f>
        <v>0</v>
      </c>
      <c r="I73" s="78" t="str">
        <f aca="false">IF($H73=1,MAX(1,INT(($G73-'Cash Flow'!$E$6)/7)+1),"")</f>
        <v/>
      </c>
      <c r="J73" s="38" t="str">
        <f aca="false">IF($H73=1,$G73*10000+ROW(),"")</f>
        <v/>
      </c>
      <c r="K73" s="38" t="str">
        <f aca="false">IF($H73=1,$I73*1000+COUNTIFS($I$4:$I$483,$I73,$J$4:$J$483,"&lt;"&amp;$J73)+1,"")</f>
        <v/>
      </c>
    </row>
    <row r="74" customFormat="false" ht="15" hidden="false" customHeight="false" outlineLevel="0" collapsed="false">
      <c r="A74" s="46" t="n">
        <v>5</v>
      </c>
      <c r="B74" s="46" t="n">
        <v>7</v>
      </c>
      <c r="C74" s="38" t="str">
        <f aca="false">IF(OR(Recurring!$B$9="",Recurring!$H$9&lt;&gt;"Yes",Recurring!$D$9=""),"",Recurring!$B$9)</f>
        <v>Obsidian</v>
      </c>
      <c r="D74" s="38" t="str">
        <f aca="false">IF($C74="","",Recurring!$C$9)</f>
        <v>Expense</v>
      </c>
      <c r="E74" s="76" t="n">
        <f aca="false">IF($C74="","",Recurring!$D$9)</f>
        <v>10</v>
      </c>
      <c r="F74" s="77"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46423</v>
      </c>
      <c r="G74" s="77" t="n">
        <f aca="false">IF($F74="","",IF(Recurring!$G$9="Move Before",IF(WEEKDAY($F74,2)=6,$F74-1,IF(WEEKDAY($F74,2)=7,$F74-2,$F74)),IF(Recurring!$G$9="Move After",IF(WEEKDAY($F74,2)=6,$F74+2,IF(WEEKDAY($F74,2)=7,$F74+1,$F74)),$F74)))</f>
        <v>46423</v>
      </c>
      <c r="H74" s="78" t="n">
        <f aca="false">IF($G74="",0,IF(AND($G74&gt;='Cash Flow'!$E$6,$G74&lt;'Cash Flow'!$E$6+91),1,0))</f>
        <v>0</v>
      </c>
      <c r="I74" s="78" t="str">
        <f aca="false">IF($H74=1,MAX(1,INT(($G74-'Cash Flow'!$E$6)/7)+1),"")</f>
        <v/>
      </c>
      <c r="J74" s="38" t="str">
        <f aca="false">IF($H74=1,$G74*10000+ROW(),"")</f>
        <v/>
      </c>
      <c r="K74" s="38" t="str">
        <f aca="false">IF($H74=1,$I74*1000+COUNTIFS($I$4:$I$483,$I74,$J$4:$J$483,"&lt;"&amp;$J74)+1,"")</f>
        <v/>
      </c>
    </row>
    <row r="75" customFormat="false" ht="15" hidden="false" customHeight="false" outlineLevel="0" collapsed="false">
      <c r="A75" s="46" t="n">
        <v>5</v>
      </c>
      <c r="B75" s="46" t="n">
        <v>8</v>
      </c>
      <c r="C75" s="38" t="str">
        <f aca="false">IF(OR(Recurring!$B$9="",Recurring!$H$9&lt;&gt;"Yes",Recurring!$D$9=""),"",Recurring!$B$9)</f>
        <v>Obsidian</v>
      </c>
      <c r="D75" s="38" t="str">
        <f aca="false">IF($C75="","",Recurring!$C$9)</f>
        <v>Expense</v>
      </c>
      <c r="E75" s="76" t="n">
        <f aca="false">IF($C75="","",Recurring!$D$9)</f>
        <v>10</v>
      </c>
      <c r="F75" s="77"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46451</v>
      </c>
      <c r="G75" s="77" t="n">
        <f aca="false">IF($F75="","",IF(Recurring!$G$9="Move Before",IF(WEEKDAY($F75,2)=6,$F75-1,IF(WEEKDAY($F75,2)=7,$F75-2,$F75)),IF(Recurring!$G$9="Move After",IF(WEEKDAY($F75,2)=6,$F75+2,IF(WEEKDAY($F75,2)=7,$F75+1,$F75)),$F75)))</f>
        <v>46451</v>
      </c>
      <c r="H75" s="78" t="n">
        <f aca="false">IF($G75="",0,IF(AND($G75&gt;='Cash Flow'!$E$6,$G75&lt;'Cash Flow'!$E$6+91),1,0))</f>
        <v>0</v>
      </c>
      <c r="I75" s="78" t="str">
        <f aca="false">IF($H75=1,MAX(1,INT(($G75-'Cash Flow'!$E$6)/7)+1),"")</f>
        <v/>
      </c>
      <c r="J75" s="38" t="str">
        <f aca="false">IF($H75=1,$G75*10000+ROW(),"")</f>
        <v/>
      </c>
      <c r="K75" s="38" t="str">
        <f aca="false">IF($H75=1,$I75*1000+COUNTIFS($I$4:$I$483,$I75,$J$4:$J$483,"&lt;"&amp;$J75)+1,"")</f>
        <v/>
      </c>
    </row>
    <row r="76" customFormat="false" ht="15" hidden="false" customHeight="false" outlineLevel="0" collapsed="false">
      <c r="A76" s="46" t="n">
        <v>5</v>
      </c>
      <c r="B76" s="46" t="n">
        <v>9</v>
      </c>
      <c r="C76" s="38" t="str">
        <f aca="false">IF(OR(Recurring!$B$9="",Recurring!$H$9&lt;&gt;"Yes",Recurring!$D$9=""),"",Recurring!$B$9)</f>
        <v>Obsidian</v>
      </c>
      <c r="D76" s="38" t="str">
        <f aca="false">IF($C76="","",Recurring!$C$9)</f>
        <v>Expense</v>
      </c>
      <c r="E76" s="76" t="n">
        <f aca="false">IF($C76="","",Recurring!$D$9)</f>
        <v>10</v>
      </c>
      <c r="F76" s="77"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46482</v>
      </c>
      <c r="G76" s="77" t="n">
        <f aca="false">IF($F76="","",IF(Recurring!$G$9="Move Before",IF(WEEKDAY($F76,2)=6,$F76-1,IF(WEEKDAY($F76,2)=7,$F76-2,$F76)),IF(Recurring!$G$9="Move After",IF(WEEKDAY($F76,2)=6,$F76+2,IF(WEEKDAY($F76,2)=7,$F76+1,$F76)),$F76)))</f>
        <v>46482</v>
      </c>
      <c r="H76" s="78" t="n">
        <f aca="false">IF($G76="",0,IF(AND($G76&gt;='Cash Flow'!$E$6,$G76&lt;'Cash Flow'!$E$6+91),1,0))</f>
        <v>0</v>
      </c>
      <c r="I76" s="78" t="str">
        <f aca="false">IF($H76=1,MAX(1,INT(($G76-'Cash Flow'!$E$6)/7)+1),"")</f>
        <v/>
      </c>
      <c r="J76" s="38" t="str">
        <f aca="false">IF($H76=1,$G76*10000+ROW(),"")</f>
        <v/>
      </c>
      <c r="K76" s="38" t="str">
        <f aca="false">IF($H76=1,$I76*1000+COUNTIFS($I$4:$I$483,$I76,$J$4:$J$483,"&lt;"&amp;$J76)+1,"")</f>
        <v/>
      </c>
    </row>
    <row r="77" customFormat="false" ht="15" hidden="false" customHeight="false" outlineLevel="0" collapsed="false">
      <c r="A77" s="46" t="n">
        <v>5</v>
      </c>
      <c r="B77" s="46" t="n">
        <v>10</v>
      </c>
      <c r="C77" s="38" t="str">
        <f aca="false">IF(OR(Recurring!$B$9="",Recurring!$H$9&lt;&gt;"Yes",Recurring!$D$9=""),"",Recurring!$B$9)</f>
        <v>Obsidian</v>
      </c>
      <c r="D77" s="38" t="str">
        <f aca="false">IF($C77="","",Recurring!$C$9)</f>
        <v>Expense</v>
      </c>
      <c r="E77" s="76" t="n">
        <f aca="false">IF($C77="","",Recurring!$D$9)</f>
        <v>10</v>
      </c>
      <c r="F77" s="77"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46512</v>
      </c>
      <c r="G77" s="77" t="n">
        <f aca="false">IF($F77="","",IF(Recurring!$G$9="Move Before",IF(WEEKDAY($F77,2)=6,$F77-1,IF(WEEKDAY($F77,2)=7,$F77-2,$F77)),IF(Recurring!$G$9="Move After",IF(WEEKDAY($F77,2)=6,$F77+2,IF(WEEKDAY($F77,2)=7,$F77+1,$F77)),$F77)))</f>
        <v>46512</v>
      </c>
      <c r="H77" s="78" t="n">
        <f aca="false">IF($G77="",0,IF(AND($G77&gt;='Cash Flow'!$E$6,$G77&lt;'Cash Flow'!$E$6+91),1,0))</f>
        <v>0</v>
      </c>
      <c r="I77" s="78" t="str">
        <f aca="false">IF($H77=1,MAX(1,INT(($G77-'Cash Flow'!$E$6)/7)+1),"")</f>
        <v/>
      </c>
      <c r="J77" s="38" t="str">
        <f aca="false">IF($H77=1,$G77*10000+ROW(),"")</f>
        <v/>
      </c>
      <c r="K77" s="38" t="str">
        <f aca="false">IF($H77=1,$I77*1000+COUNTIFS($I$4:$I$483,$I77,$J$4:$J$483,"&lt;"&amp;$J77)+1,"")</f>
        <v/>
      </c>
    </row>
    <row r="78" customFormat="false" ht="15" hidden="false" customHeight="false" outlineLevel="0" collapsed="false">
      <c r="A78" s="46" t="n">
        <v>5</v>
      </c>
      <c r="B78" s="46" t="n">
        <v>11</v>
      </c>
      <c r="C78" s="38" t="str">
        <f aca="false">IF(OR(Recurring!$B$9="",Recurring!$H$9&lt;&gt;"Yes",Recurring!$D$9=""),"",Recurring!$B$9)</f>
        <v>Obsidian</v>
      </c>
      <c r="D78" s="38" t="str">
        <f aca="false">IF($C78="","",Recurring!$C$9)</f>
        <v>Expense</v>
      </c>
      <c r="E78" s="76" t="n">
        <f aca="false">IF($C78="","",Recurring!$D$9)</f>
        <v>10</v>
      </c>
      <c r="F78" s="77"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46543</v>
      </c>
      <c r="G78" s="77" t="n">
        <f aca="false">IF($F78="","",IF(Recurring!$G$9="Move Before",IF(WEEKDAY($F78,2)=6,$F78-1,IF(WEEKDAY($F78,2)=7,$F78-2,$F78)),IF(Recurring!$G$9="Move After",IF(WEEKDAY($F78,2)=6,$F78+2,IF(WEEKDAY($F78,2)=7,$F78+1,$F78)),$F78)))</f>
        <v>46543</v>
      </c>
      <c r="H78" s="78" t="n">
        <f aca="false">IF($G78="",0,IF(AND($G78&gt;='Cash Flow'!$E$6,$G78&lt;'Cash Flow'!$E$6+91),1,0))</f>
        <v>0</v>
      </c>
      <c r="I78" s="78" t="str">
        <f aca="false">IF($H78=1,MAX(1,INT(($G78-'Cash Flow'!$E$6)/7)+1),"")</f>
        <v/>
      </c>
      <c r="J78" s="38" t="str">
        <f aca="false">IF($H78=1,$G78*10000+ROW(),"")</f>
        <v/>
      </c>
      <c r="K78" s="38" t="str">
        <f aca="false">IF($H78=1,$I78*1000+COUNTIFS($I$4:$I$483,$I78,$J$4:$J$483,"&lt;"&amp;$J78)+1,"")</f>
        <v/>
      </c>
    </row>
    <row r="79" customFormat="false" ht="15" hidden="false" customHeight="false" outlineLevel="0" collapsed="false">
      <c r="A79" s="46" t="n">
        <v>5</v>
      </c>
      <c r="B79" s="46" t="n">
        <v>12</v>
      </c>
      <c r="C79" s="38" t="str">
        <f aca="false">IF(OR(Recurring!$B$9="",Recurring!$H$9&lt;&gt;"Yes",Recurring!$D$9=""),"",Recurring!$B$9)</f>
        <v>Obsidian</v>
      </c>
      <c r="D79" s="38" t="str">
        <f aca="false">IF($C79="","",Recurring!$C$9)</f>
        <v>Expense</v>
      </c>
      <c r="E79" s="76" t="n">
        <f aca="false">IF($C79="","",Recurring!$D$9)</f>
        <v>10</v>
      </c>
      <c r="F79" s="77"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46573</v>
      </c>
      <c r="G79" s="77" t="n">
        <f aca="false">IF($F79="","",IF(Recurring!$G$9="Move Before",IF(WEEKDAY($F79,2)=6,$F79-1,IF(WEEKDAY($F79,2)=7,$F79-2,$F79)),IF(Recurring!$G$9="Move After",IF(WEEKDAY($F79,2)=6,$F79+2,IF(WEEKDAY($F79,2)=7,$F79+1,$F79)),$F79)))</f>
        <v>46573</v>
      </c>
      <c r="H79" s="78" t="n">
        <f aca="false">IF($G79="",0,IF(AND($G79&gt;='Cash Flow'!$E$6,$G79&lt;'Cash Flow'!$E$6+91),1,0))</f>
        <v>0</v>
      </c>
      <c r="I79" s="78" t="str">
        <f aca="false">IF($H79=1,MAX(1,INT(($G79-'Cash Flow'!$E$6)/7)+1),"")</f>
        <v/>
      </c>
      <c r="J79" s="38" t="str">
        <f aca="false">IF($H79=1,$G79*10000+ROW(),"")</f>
        <v/>
      </c>
      <c r="K79" s="38" t="str">
        <f aca="false">IF($H79=1,$I79*1000+COUNTIFS($I$4:$I$483,$I79,$J$4:$J$483,"&lt;"&amp;$J79)+1,"")</f>
        <v/>
      </c>
    </row>
    <row r="80" customFormat="false" ht="15" hidden="false" customHeight="false" outlineLevel="0" collapsed="false">
      <c r="A80" s="46" t="n">
        <v>5</v>
      </c>
      <c r="B80" s="46" t="n">
        <v>13</v>
      </c>
      <c r="C80" s="38" t="str">
        <f aca="false">IF(OR(Recurring!$B$9="",Recurring!$H$9&lt;&gt;"Yes",Recurring!$D$9=""),"",Recurring!$B$9)</f>
        <v>Obsidian</v>
      </c>
      <c r="D80" s="38" t="str">
        <f aca="false">IF($C80="","",Recurring!$C$9)</f>
        <v>Expense</v>
      </c>
      <c r="E80" s="76" t="n">
        <f aca="false">IF($C80="","",Recurring!$D$9)</f>
        <v>10</v>
      </c>
      <c r="F80" s="77"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46604</v>
      </c>
      <c r="G80" s="77" t="n">
        <f aca="false">IF($F80="","",IF(Recurring!$G$9="Move Before",IF(WEEKDAY($F80,2)=6,$F80-1,IF(WEEKDAY($F80,2)=7,$F80-2,$F80)),IF(Recurring!$G$9="Move After",IF(WEEKDAY($F80,2)=6,$F80+2,IF(WEEKDAY($F80,2)=7,$F80+1,$F80)),$F80)))</f>
        <v>46604</v>
      </c>
      <c r="H80" s="78" t="n">
        <f aca="false">IF($G80="",0,IF(AND($G80&gt;='Cash Flow'!$E$6,$G80&lt;'Cash Flow'!$E$6+91),1,0))</f>
        <v>0</v>
      </c>
      <c r="I80" s="78" t="str">
        <f aca="false">IF($H80=1,MAX(1,INT(($G80-'Cash Flow'!$E$6)/7)+1),"")</f>
        <v/>
      </c>
      <c r="J80" s="38" t="str">
        <f aca="false">IF($H80=1,$G80*10000+ROW(),"")</f>
        <v/>
      </c>
      <c r="K80" s="38" t="str">
        <f aca="false">IF($H80=1,$I80*1000+COUNTIFS($I$4:$I$483,$I80,$J$4:$J$483,"&lt;"&amp;$J80)+1,"")</f>
        <v/>
      </c>
    </row>
    <row r="81" customFormat="false" ht="15" hidden="false" customHeight="false" outlineLevel="0" collapsed="false">
      <c r="A81" s="46" t="n">
        <v>5</v>
      </c>
      <c r="B81" s="46" t="n">
        <v>14</v>
      </c>
      <c r="C81" s="38" t="str">
        <f aca="false">IF(OR(Recurring!$B$9="",Recurring!$H$9&lt;&gt;"Yes",Recurring!$D$9=""),"",Recurring!$B$9)</f>
        <v>Obsidian</v>
      </c>
      <c r="D81" s="38" t="str">
        <f aca="false">IF($C81="","",Recurring!$C$9)</f>
        <v>Expense</v>
      </c>
      <c r="E81" s="76" t="n">
        <f aca="false">IF($C81="","",Recurring!$D$9)</f>
        <v>10</v>
      </c>
      <c r="F81" s="77"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46635</v>
      </c>
      <c r="G81" s="77" t="n">
        <f aca="false">IF($F81="","",IF(Recurring!$G$9="Move Before",IF(WEEKDAY($F81,2)=6,$F81-1,IF(WEEKDAY($F81,2)=7,$F81-2,$F81)),IF(Recurring!$G$9="Move After",IF(WEEKDAY($F81,2)=6,$F81+2,IF(WEEKDAY($F81,2)=7,$F81+1,$F81)),$F81)))</f>
        <v>46635</v>
      </c>
      <c r="H81" s="78" t="n">
        <f aca="false">IF($G81="",0,IF(AND($G81&gt;='Cash Flow'!$E$6,$G81&lt;'Cash Flow'!$E$6+91),1,0))</f>
        <v>0</v>
      </c>
      <c r="I81" s="78" t="str">
        <f aca="false">IF($H81=1,MAX(1,INT(($G81-'Cash Flow'!$E$6)/7)+1),"")</f>
        <v/>
      </c>
      <c r="J81" s="38" t="str">
        <f aca="false">IF($H81=1,$G81*10000+ROW(),"")</f>
        <v/>
      </c>
      <c r="K81" s="38" t="str">
        <f aca="false">IF($H81=1,$I81*1000+COUNTIFS($I$4:$I$483,$I81,$J$4:$J$483,"&lt;"&amp;$J81)+1,"")</f>
        <v/>
      </c>
    </row>
    <row r="82" customFormat="false" ht="15" hidden="false" customHeight="false" outlineLevel="0" collapsed="false">
      <c r="A82" s="46" t="n">
        <v>5</v>
      </c>
      <c r="B82" s="46" t="n">
        <v>15</v>
      </c>
      <c r="C82" s="38" t="str">
        <f aca="false">IF(OR(Recurring!$B$9="",Recurring!$H$9&lt;&gt;"Yes",Recurring!$D$9=""),"",Recurring!$B$9)</f>
        <v>Obsidian</v>
      </c>
      <c r="D82" s="38" t="str">
        <f aca="false">IF($C82="","",Recurring!$C$9)</f>
        <v>Expense</v>
      </c>
      <c r="E82" s="76" t="n">
        <f aca="false">IF($C82="","",Recurring!$D$9)</f>
        <v>10</v>
      </c>
      <c r="F82" s="77"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46665</v>
      </c>
      <c r="G82" s="77" t="n">
        <f aca="false">IF($F82="","",IF(Recurring!$G$9="Move Before",IF(WEEKDAY($F82,2)=6,$F82-1,IF(WEEKDAY($F82,2)=7,$F82-2,$F82)),IF(Recurring!$G$9="Move After",IF(WEEKDAY($F82,2)=6,$F82+2,IF(WEEKDAY($F82,2)=7,$F82+1,$F82)),$F82)))</f>
        <v>46665</v>
      </c>
      <c r="H82" s="78" t="n">
        <f aca="false">IF($G82="",0,IF(AND($G82&gt;='Cash Flow'!$E$6,$G82&lt;'Cash Flow'!$E$6+91),1,0))</f>
        <v>0</v>
      </c>
      <c r="I82" s="78" t="str">
        <f aca="false">IF($H82=1,MAX(1,INT(($G82-'Cash Flow'!$E$6)/7)+1),"")</f>
        <v/>
      </c>
      <c r="J82" s="38" t="str">
        <f aca="false">IF($H82=1,$G82*10000+ROW(),"")</f>
        <v/>
      </c>
      <c r="K82" s="38" t="str">
        <f aca="false">IF($H82=1,$I82*1000+COUNTIFS($I$4:$I$483,$I82,$J$4:$J$483,"&lt;"&amp;$J82)+1,"")</f>
        <v/>
      </c>
    </row>
    <row r="83" customFormat="false" ht="15" hidden="false" customHeight="false" outlineLevel="0" collapsed="false">
      <c r="A83" s="46" t="n">
        <v>5</v>
      </c>
      <c r="B83" s="46" t="n">
        <v>16</v>
      </c>
      <c r="C83" s="38" t="str">
        <f aca="false">IF(OR(Recurring!$B$9="",Recurring!$H$9&lt;&gt;"Yes",Recurring!$D$9=""),"",Recurring!$B$9)</f>
        <v>Obsidian</v>
      </c>
      <c r="D83" s="38" t="str">
        <f aca="false">IF($C83="","",Recurring!$C$9)</f>
        <v>Expense</v>
      </c>
      <c r="E83" s="76" t="n">
        <f aca="false">IF($C83="","",Recurring!$D$9)</f>
        <v>10</v>
      </c>
      <c r="F83" s="77"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46696</v>
      </c>
      <c r="G83" s="77" t="n">
        <f aca="false">IF($F83="","",IF(Recurring!$G$9="Move Before",IF(WEEKDAY($F83,2)=6,$F83-1,IF(WEEKDAY($F83,2)=7,$F83-2,$F83)),IF(Recurring!$G$9="Move After",IF(WEEKDAY($F83,2)=6,$F83+2,IF(WEEKDAY($F83,2)=7,$F83+1,$F83)),$F83)))</f>
        <v>46696</v>
      </c>
      <c r="H83" s="78" t="n">
        <f aca="false">IF($G83="",0,IF(AND($G83&gt;='Cash Flow'!$E$6,$G83&lt;'Cash Flow'!$E$6+91),1,0))</f>
        <v>0</v>
      </c>
      <c r="I83" s="78" t="str">
        <f aca="false">IF($H83=1,MAX(1,INT(($G83-'Cash Flow'!$E$6)/7)+1),"")</f>
        <v/>
      </c>
      <c r="J83" s="38" t="str">
        <f aca="false">IF($H83=1,$G83*10000+ROW(),"")</f>
        <v/>
      </c>
      <c r="K83" s="38" t="str">
        <f aca="false">IF($H83=1,$I83*1000+COUNTIFS($I$4:$I$483,$I83,$J$4:$J$483,"&lt;"&amp;$J83)+1,"")</f>
        <v/>
      </c>
    </row>
    <row r="84" customFormat="false" ht="15" hidden="false" customHeight="false" outlineLevel="0" collapsed="false">
      <c r="A84" s="46" t="n">
        <v>6</v>
      </c>
      <c r="B84" s="46" t="n">
        <v>1</v>
      </c>
      <c r="C84" s="38" t="str">
        <f aca="false">IF(OR(Recurring!$B$10="",Recurring!$H$10&lt;&gt;"Yes",Recurring!$D$10=""),"",Recurring!$B$10)</f>
        <v>Google One</v>
      </c>
      <c r="D84" s="38" t="str">
        <f aca="false">IF($C84="","",Recurring!$C$10)</f>
        <v>Expense</v>
      </c>
      <c r="E84" s="76" t="n">
        <f aca="false">IF($C84="","",Recurring!$D$10)</f>
        <v>4.99</v>
      </c>
      <c r="F84" s="77"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77" t="n">
        <f aca="false">IF($F84="","",IF(Recurring!$G$10="Move Before",IF(WEEKDAY($F84,2)=6,$F84-1,IF(WEEKDAY($F84,2)=7,$F84-2,$F84)),IF(Recurring!$G$10="Move After",IF(WEEKDAY($F84,2)=6,$F84+2,IF(WEEKDAY($F84,2)=7,$F84+1,$F84)),$F84)))</f>
        <v>46272</v>
      </c>
      <c r="H84" s="78" t="n">
        <f aca="false">IF($G84="",0,IF(AND($G84&gt;='Cash Flow'!$E$6-90,$G84&lt;'Cash Flow'!$E$6+91),1,0))</f>
        <v>1</v>
      </c>
      <c r="I84" s="78" t="n">
        <f aca="false">IF($H84=1,MAX(1,INT(($G84-'Cash Flow'!$E$6)/7)+1),"")</f>
        <v>5</v>
      </c>
      <c r="J84" s="38" t="n">
        <f aca="false">IF($H84=1,$G84*10000+ROW(),"")</f>
        <v>462720084</v>
      </c>
      <c r="K84" s="38" t="n">
        <f aca="false">IF($H84=1,$I84*1000+COUNTIFS($I$4:$I$483,$I84,$J$4:$J$483,"&lt;"&amp;$J84)+1,"")</f>
        <v>5005</v>
      </c>
    </row>
    <row r="85" customFormat="false" ht="15" hidden="false" customHeight="false" outlineLevel="0" collapsed="false">
      <c r="A85" s="46" t="n">
        <v>6</v>
      </c>
      <c r="B85" s="46" t="n">
        <v>2</v>
      </c>
      <c r="C85" s="38" t="str">
        <f aca="false">IF(OR(Recurring!$B$10="",Recurring!$H$10&lt;&gt;"Yes",Recurring!$D$10=""),"",Recurring!$B$10)</f>
        <v>Google One</v>
      </c>
      <c r="D85" s="38" t="str">
        <f aca="false">IF($C85="","",Recurring!$C$10)</f>
        <v>Expense</v>
      </c>
      <c r="E85" s="76" t="n">
        <f aca="false">IF($C85="","",Recurring!$D$10)</f>
        <v>4.99</v>
      </c>
      <c r="F85" s="77"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77" t="n">
        <f aca="false">IF($F85="","",IF(Recurring!$G$10="Move Before",IF(WEEKDAY($F85,2)=6,$F85-1,IF(WEEKDAY($F85,2)=7,$F85-2,$F85)),IF(Recurring!$G$10="Move After",IF(WEEKDAY($F85,2)=6,$F85+2,IF(WEEKDAY($F85,2)=7,$F85+1,$F85)),$F85)))</f>
        <v>46302</v>
      </c>
      <c r="H85" s="78" t="n">
        <f aca="false">IF($G85="",0,IF(AND($G85&gt;='Cash Flow'!$E$6,$G85&lt;'Cash Flow'!$E$6+91),1,0))</f>
        <v>1</v>
      </c>
      <c r="I85" s="78" t="n">
        <f aca="false">IF($H85=1,MAX(1,INT(($G85-'Cash Flow'!$E$6)/7)+1),"")</f>
        <v>9</v>
      </c>
      <c r="J85" s="38" t="n">
        <f aca="false">IF($H85=1,$G85*10000+ROW(),"")</f>
        <v>463020085</v>
      </c>
      <c r="K85" s="38" t="n">
        <f aca="false">IF($H85=1,$I85*1000+COUNTIFS($I$4:$I$483,$I85,$J$4:$J$483,"&lt;"&amp;$J85)+1,"")</f>
        <v>9006</v>
      </c>
    </row>
    <row r="86" customFormat="false" ht="15" hidden="false" customHeight="false" outlineLevel="0" collapsed="false">
      <c r="A86" s="46" t="n">
        <v>6</v>
      </c>
      <c r="B86" s="46" t="n">
        <v>3</v>
      </c>
      <c r="C86" s="38" t="str">
        <f aca="false">IF(OR(Recurring!$B$10="",Recurring!$H$10&lt;&gt;"Yes",Recurring!$D$10=""),"",Recurring!$B$10)</f>
        <v>Google One</v>
      </c>
      <c r="D86" s="38" t="str">
        <f aca="false">IF($C86="","",Recurring!$C$10)</f>
        <v>Expense</v>
      </c>
      <c r="E86" s="76" t="n">
        <f aca="false">IF($C86="","",Recurring!$D$10)</f>
        <v>4.99</v>
      </c>
      <c r="F86" s="77"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77" t="n">
        <f aca="false">IF($F86="","",IF(Recurring!$G$10="Move Before",IF(WEEKDAY($F86,2)=6,$F86-1,IF(WEEKDAY($F86,2)=7,$F86-2,$F86)),IF(Recurring!$G$10="Move After",IF(WEEKDAY($F86,2)=6,$F86+2,IF(WEEKDAY($F86,2)=7,$F86+1,$F86)),$F86)))</f>
        <v>46333</v>
      </c>
      <c r="H86" s="78" t="n">
        <f aca="false">IF($G86="",0,IF(AND($G86&gt;='Cash Flow'!$E$6,$G86&lt;'Cash Flow'!$E$6+91),1,0))</f>
        <v>0</v>
      </c>
      <c r="I86" s="78" t="str">
        <f aca="false">IF($H86=1,MAX(1,INT(($G86-'Cash Flow'!$E$6)/7)+1),"")</f>
        <v/>
      </c>
      <c r="J86" s="38" t="str">
        <f aca="false">IF($H86=1,$G86*10000+ROW(),"")</f>
        <v/>
      </c>
      <c r="K86" s="38" t="str">
        <f aca="false">IF($H86=1,$I86*1000+COUNTIFS($I$4:$I$483,$I86,$J$4:$J$483,"&lt;"&amp;$J86)+1,"")</f>
        <v/>
      </c>
    </row>
    <row r="87" customFormat="false" ht="15" hidden="false" customHeight="false" outlineLevel="0" collapsed="false">
      <c r="A87" s="46" t="n">
        <v>6</v>
      </c>
      <c r="B87" s="46" t="n">
        <v>4</v>
      </c>
      <c r="C87" s="38" t="str">
        <f aca="false">IF(OR(Recurring!$B$10="",Recurring!$H$10&lt;&gt;"Yes",Recurring!$D$10=""),"",Recurring!$B$10)</f>
        <v>Google One</v>
      </c>
      <c r="D87" s="38" t="str">
        <f aca="false">IF($C87="","",Recurring!$C$10)</f>
        <v>Expense</v>
      </c>
      <c r="E87" s="76" t="n">
        <f aca="false">IF($C87="","",Recurring!$D$10)</f>
        <v>4.99</v>
      </c>
      <c r="F87" s="77"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77" t="n">
        <f aca="false">IF($F87="","",IF(Recurring!$G$10="Move Before",IF(WEEKDAY($F87,2)=6,$F87-1,IF(WEEKDAY($F87,2)=7,$F87-2,$F87)),IF(Recurring!$G$10="Move After",IF(WEEKDAY($F87,2)=6,$F87+2,IF(WEEKDAY($F87,2)=7,$F87+1,$F87)),$F87)))</f>
        <v>46363</v>
      </c>
      <c r="H87" s="78" t="n">
        <f aca="false">IF($G87="",0,IF(AND($G87&gt;='Cash Flow'!$E$6,$G87&lt;'Cash Flow'!$E$6+91),1,0))</f>
        <v>0</v>
      </c>
      <c r="I87" s="78" t="str">
        <f aca="false">IF($H87=1,MAX(1,INT(($G87-'Cash Flow'!$E$6)/7)+1),"")</f>
        <v/>
      </c>
      <c r="J87" s="38" t="str">
        <f aca="false">IF($H87=1,$G87*10000+ROW(),"")</f>
        <v/>
      </c>
      <c r="K87" s="38" t="str">
        <f aca="false">IF($H87=1,$I87*1000+COUNTIFS($I$4:$I$483,$I87,$J$4:$J$483,"&lt;"&amp;$J87)+1,"")</f>
        <v/>
      </c>
    </row>
    <row r="88" customFormat="false" ht="15" hidden="false" customHeight="false" outlineLevel="0" collapsed="false">
      <c r="A88" s="46" t="n">
        <v>6</v>
      </c>
      <c r="B88" s="46" t="n">
        <v>5</v>
      </c>
      <c r="C88" s="38" t="str">
        <f aca="false">IF(OR(Recurring!$B$10="",Recurring!$H$10&lt;&gt;"Yes",Recurring!$D$10=""),"",Recurring!$B$10)</f>
        <v>Google One</v>
      </c>
      <c r="D88" s="38" t="str">
        <f aca="false">IF($C88="","",Recurring!$C$10)</f>
        <v>Expense</v>
      </c>
      <c r="E88" s="76" t="n">
        <f aca="false">IF($C88="","",Recurring!$D$10)</f>
        <v>4.99</v>
      </c>
      <c r="F88" s="77"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77" t="n">
        <f aca="false">IF($F88="","",IF(Recurring!$G$10="Move Before",IF(WEEKDAY($F88,2)=6,$F88-1,IF(WEEKDAY($F88,2)=7,$F88-2,$F88)),IF(Recurring!$G$10="Move After",IF(WEEKDAY($F88,2)=6,$F88+2,IF(WEEKDAY($F88,2)=7,$F88+1,$F88)),$F88)))</f>
        <v>46394</v>
      </c>
      <c r="H88" s="78" t="n">
        <f aca="false">IF($G88="",0,IF(AND($G88&gt;='Cash Flow'!$E$6,$G88&lt;'Cash Flow'!$E$6+91),1,0))</f>
        <v>0</v>
      </c>
      <c r="I88" s="78" t="str">
        <f aca="false">IF($H88=1,MAX(1,INT(($G88-'Cash Flow'!$E$6)/7)+1),"")</f>
        <v/>
      </c>
      <c r="J88" s="38" t="str">
        <f aca="false">IF($H88=1,$G88*10000+ROW(),"")</f>
        <v/>
      </c>
      <c r="K88" s="38" t="str">
        <f aca="false">IF($H88=1,$I88*1000+COUNTIFS($I$4:$I$483,$I88,$J$4:$J$483,"&lt;"&amp;$J88)+1,"")</f>
        <v/>
      </c>
    </row>
    <row r="89" customFormat="false" ht="15" hidden="false" customHeight="false" outlineLevel="0" collapsed="false">
      <c r="A89" s="46" t="n">
        <v>6</v>
      </c>
      <c r="B89" s="46" t="n">
        <v>6</v>
      </c>
      <c r="C89" s="38" t="str">
        <f aca="false">IF(OR(Recurring!$B$10="",Recurring!$H$10&lt;&gt;"Yes",Recurring!$D$10=""),"",Recurring!$B$10)</f>
        <v>Google One</v>
      </c>
      <c r="D89" s="38" t="str">
        <f aca="false">IF($C89="","",Recurring!$C$10)</f>
        <v>Expense</v>
      </c>
      <c r="E89" s="76" t="n">
        <f aca="false">IF($C89="","",Recurring!$D$10)</f>
        <v>4.99</v>
      </c>
      <c r="F89" s="77"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77" t="n">
        <f aca="false">IF($F89="","",IF(Recurring!$G$10="Move Before",IF(WEEKDAY($F89,2)=6,$F89-1,IF(WEEKDAY($F89,2)=7,$F89-2,$F89)),IF(Recurring!$G$10="Move After",IF(WEEKDAY($F89,2)=6,$F89+2,IF(WEEKDAY($F89,2)=7,$F89+1,$F89)),$F89)))</f>
        <v>46425</v>
      </c>
      <c r="H89" s="78" t="n">
        <f aca="false">IF($G89="",0,IF(AND($G89&gt;='Cash Flow'!$E$6,$G89&lt;'Cash Flow'!$E$6+91),1,0))</f>
        <v>0</v>
      </c>
      <c r="I89" s="78" t="str">
        <f aca="false">IF($H89=1,MAX(1,INT(($G89-'Cash Flow'!$E$6)/7)+1),"")</f>
        <v/>
      </c>
      <c r="J89" s="38" t="str">
        <f aca="false">IF($H89=1,$G89*10000+ROW(),"")</f>
        <v/>
      </c>
      <c r="K89" s="38" t="str">
        <f aca="false">IF($H89=1,$I89*1000+COUNTIFS($I$4:$I$483,$I89,$J$4:$J$483,"&lt;"&amp;$J89)+1,"")</f>
        <v/>
      </c>
    </row>
    <row r="90" customFormat="false" ht="15" hidden="false" customHeight="false" outlineLevel="0" collapsed="false">
      <c r="A90" s="46" t="n">
        <v>6</v>
      </c>
      <c r="B90" s="46" t="n">
        <v>7</v>
      </c>
      <c r="C90" s="38" t="str">
        <f aca="false">IF(OR(Recurring!$B$10="",Recurring!$H$10&lt;&gt;"Yes",Recurring!$D$10=""),"",Recurring!$B$10)</f>
        <v>Google One</v>
      </c>
      <c r="D90" s="38" t="str">
        <f aca="false">IF($C90="","",Recurring!$C$10)</f>
        <v>Expense</v>
      </c>
      <c r="E90" s="76" t="n">
        <f aca="false">IF($C90="","",Recurring!$D$10)</f>
        <v>4.99</v>
      </c>
      <c r="F90" s="77"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77" t="n">
        <f aca="false">IF($F90="","",IF(Recurring!$G$10="Move Before",IF(WEEKDAY($F90,2)=6,$F90-1,IF(WEEKDAY($F90,2)=7,$F90-2,$F90)),IF(Recurring!$G$10="Move After",IF(WEEKDAY($F90,2)=6,$F90+2,IF(WEEKDAY($F90,2)=7,$F90+1,$F90)),$F90)))</f>
        <v>46453</v>
      </c>
      <c r="H90" s="78" t="n">
        <f aca="false">IF($G90="",0,IF(AND($G90&gt;='Cash Flow'!$E$6,$G90&lt;'Cash Flow'!$E$6+91),1,0))</f>
        <v>0</v>
      </c>
      <c r="I90" s="78" t="str">
        <f aca="false">IF($H90=1,MAX(1,INT(($G90-'Cash Flow'!$E$6)/7)+1),"")</f>
        <v/>
      </c>
      <c r="J90" s="38" t="str">
        <f aca="false">IF($H90=1,$G90*10000+ROW(),"")</f>
        <v/>
      </c>
      <c r="K90" s="38" t="str">
        <f aca="false">IF($H90=1,$I90*1000+COUNTIFS($I$4:$I$483,$I90,$J$4:$J$483,"&lt;"&amp;$J90)+1,"")</f>
        <v/>
      </c>
    </row>
    <row r="91" customFormat="false" ht="15" hidden="false" customHeight="false" outlineLevel="0" collapsed="false">
      <c r="A91" s="46" t="n">
        <v>6</v>
      </c>
      <c r="B91" s="46" t="n">
        <v>8</v>
      </c>
      <c r="C91" s="38" t="str">
        <f aca="false">IF(OR(Recurring!$B$10="",Recurring!$H$10&lt;&gt;"Yes",Recurring!$D$10=""),"",Recurring!$B$10)</f>
        <v>Google One</v>
      </c>
      <c r="D91" s="38" t="str">
        <f aca="false">IF($C91="","",Recurring!$C$10)</f>
        <v>Expense</v>
      </c>
      <c r="E91" s="76" t="n">
        <f aca="false">IF($C91="","",Recurring!$D$10)</f>
        <v>4.99</v>
      </c>
      <c r="F91" s="77"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77" t="n">
        <f aca="false">IF($F91="","",IF(Recurring!$G$10="Move Before",IF(WEEKDAY($F91,2)=6,$F91-1,IF(WEEKDAY($F91,2)=7,$F91-2,$F91)),IF(Recurring!$G$10="Move After",IF(WEEKDAY($F91,2)=6,$F91+2,IF(WEEKDAY($F91,2)=7,$F91+1,$F91)),$F91)))</f>
        <v>46484</v>
      </c>
      <c r="H91" s="78" t="n">
        <f aca="false">IF($G91="",0,IF(AND($G91&gt;='Cash Flow'!$E$6,$G91&lt;'Cash Flow'!$E$6+91),1,0))</f>
        <v>0</v>
      </c>
      <c r="I91" s="78" t="str">
        <f aca="false">IF($H91=1,MAX(1,INT(($G91-'Cash Flow'!$E$6)/7)+1),"")</f>
        <v/>
      </c>
      <c r="J91" s="38" t="str">
        <f aca="false">IF($H91=1,$G91*10000+ROW(),"")</f>
        <v/>
      </c>
      <c r="K91" s="38" t="str">
        <f aca="false">IF($H91=1,$I91*1000+COUNTIFS($I$4:$I$483,$I91,$J$4:$J$483,"&lt;"&amp;$J91)+1,"")</f>
        <v/>
      </c>
    </row>
    <row r="92" customFormat="false" ht="15" hidden="false" customHeight="false" outlineLevel="0" collapsed="false">
      <c r="A92" s="46" t="n">
        <v>6</v>
      </c>
      <c r="B92" s="46" t="n">
        <v>9</v>
      </c>
      <c r="C92" s="38" t="str">
        <f aca="false">IF(OR(Recurring!$B$10="",Recurring!$H$10&lt;&gt;"Yes",Recurring!$D$10=""),"",Recurring!$B$10)</f>
        <v>Google One</v>
      </c>
      <c r="D92" s="38" t="str">
        <f aca="false">IF($C92="","",Recurring!$C$10)</f>
        <v>Expense</v>
      </c>
      <c r="E92" s="76" t="n">
        <f aca="false">IF($C92="","",Recurring!$D$10)</f>
        <v>4.99</v>
      </c>
      <c r="F92" s="77"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77" t="n">
        <f aca="false">IF($F92="","",IF(Recurring!$G$10="Move Before",IF(WEEKDAY($F92,2)=6,$F92-1,IF(WEEKDAY($F92,2)=7,$F92-2,$F92)),IF(Recurring!$G$10="Move After",IF(WEEKDAY($F92,2)=6,$F92+2,IF(WEEKDAY($F92,2)=7,$F92+1,$F92)),$F92)))</f>
        <v>46514</v>
      </c>
      <c r="H92" s="78" t="n">
        <f aca="false">IF($G92="",0,IF(AND($G92&gt;='Cash Flow'!$E$6,$G92&lt;'Cash Flow'!$E$6+91),1,0))</f>
        <v>0</v>
      </c>
      <c r="I92" s="78" t="str">
        <f aca="false">IF($H92=1,MAX(1,INT(($G92-'Cash Flow'!$E$6)/7)+1),"")</f>
        <v/>
      </c>
      <c r="J92" s="38" t="str">
        <f aca="false">IF($H92=1,$G92*10000+ROW(),"")</f>
        <v/>
      </c>
      <c r="K92" s="38" t="str">
        <f aca="false">IF($H92=1,$I92*1000+COUNTIFS($I$4:$I$483,$I92,$J$4:$J$483,"&lt;"&amp;$J92)+1,"")</f>
        <v/>
      </c>
    </row>
    <row r="93" customFormat="false" ht="15" hidden="false" customHeight="false" outlineLevel="0" collapsed="false">
      <c r="A93" s="46" t="n">
        <v>6</v>
      </c>
      <c r="B93" s="46" t="n">
        <v>10</v>
      </c>
      <c r="C93" s="38" t="str">
        <f aca="false">IF(OR(Recurring!$B$10="",Recurring!$H$10&lt;&gt;"Yes",Recurring!$D$10=""),"",Recurring!$B$10)</f>
        <v>Google One</v>
      </c>
      <c r="D93" s="38" t="str">
        <f aca="false">IF($C93="","",Recurring!$C$10)</f>
        <v>Expense</v>
      </c>
      <c r="E93" s="76" t="n">
        <f aca="false">IF($C93="","",Recurring!$D$10)</f>
        <v>4.99</v>
      </c>
      <c r="F93" s="77"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77" t="n">
        <f aca="false">IF($F93="","",IF(Recurring!$G$10="Move Before",IF(WEEKDAY($F93,2)=6,$F93-1,IF(WEEKDAY($F93,2)=7,$F93-2,$F93)),IF(Recurring!$G$10="Move After",IF(WEEKDAY($F93,2)=6,$F93+2,IF(WEEKDAY($F93,2)=7,$F93+1,$F93)),$F93)))</f>
        <v>46545</v>
      </c>
      <c r="H93" s="78" t="n">
        <f aca="false">IF($G93="",0,IF(AND($G93&gt;='Cash Flow'!$E$6,$G93&lt;'Cash Flow'!$E$6+91),1,0))</f>
        <v>0</v>
      </c>
      <c r="I93" s="78" t="str">
        <f aca="false">IF($H93=1,MAX(1,INT(($G93-'Cash Flow'!$E$6)/7)+1),"")</f>
        <v/>
      </c>
      <c r="J93" s="38" t="str">
        <f aca="false">IF($H93=1,$G93*10000+ROW(),"")</f>
        <v/>
      </c>
      <c r="K93" s="38" t="str">
        <f aca="false">IF($H93=1,$I93*1000+COUNTIFS($I$4:$I$483,$I93,$J$4:$J$483,"&lt;"&amp;$J93)+1,"")</f>
        <v/>
      </c>
    </row>
    <row r="94" customFormat="false" ht="15" hidden="false" customHeight="false" outlineLevel="0" collapsed="false">
      <c r="A94" s="46" t="n">
        <v>6</v>
      </c>
      <c r="B94" s="46" t="n">
        <v>11</v>
      </c>
      <c r="C94" s="38" t="str">
        <f aca="false">IF(OR(Recurring!$B$10="",Recurring!$H$10&lt;&gt;"Yes",Recurring!$D$10=""),"",Recurring!$B$10)</f>
        <v>Google One</v>
      </c>
      <c r="D94" s="38" t="str">
        <f aca="false">IF($C94="","",Recurring!$C$10)</f>
        <v>Expense</v>
      </c>
      <c r="E94" s="76" t="n">
        <f aca="false">IF($C94="","",Recurring!$D$10)</f>
        <v>4.99</v>
      </c>
      <c r="F94" s="77"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77" t="n">
        <f aca="false">IF($F94="","",IF(Recurring!$G$10="Move Before",IF(WEEKDAY($F94,2)=6,$F94-1,IF(WEEKDAY($F94,2)=7,$F94-2,$F94)),IF(Recurring!$G$10="Move After",IF(WEEKDAY($F94,2)=6,$F94+2,IF(WEEKDAY($F94,2)=7,$F94+1,$F94)),$F94)))</f>
        <v>46575</v>
      </c>
      <c r="H94" s="78" t="n">
        <f aca="false">IF($G94="",0,IF(AND($G94&gt;='Cash Flow'!$E$6,$G94&lt;'Cash Flow'!$E$6+91),1,0))</f>
        <v>0</v>
      </c>
      <c r="I94" s="78" t="str">
        <f aca="false">IF($H94=1,MAX(1,INT(($G94-'Cash Flow'!$E$6)/7)+1),"")</f>
        <v/>
      </c>
      <c r="J94" s="38" t="str">
        <f aca="false">IF($H94=1,$G94*10000+ROW(),"")</f>
        <v/>
      </c>
      <c r="K94" s="38" t="str">
        <f aca="false">IF($H94=1,$I94*1000+COUNTIFS($I$4:$I$483,$I94,$J$4:$J$483,"&lt;"&amp;$J94)+1,"")</f>
        <v/>
      </c>
    </row>
    <row r="95" customFormat="false" ht="15" hidden="false" customHeight="false" outlineLevel="0" collapsed="false">
      <c r="A95" s="46" t="n">
        <v>6</v>
      </c>
      <c r="B95" s="46" t="n">
        <v>12</v>
      </c>
      <c r="C95" s="38" t="str">
        <f aca="false">IF(OR(Recurring!$B$10="",Recurring!$H$10&lt;&gt;"Yes",Recurring!$D$10=""),"",Recurring!$B$10)</f>
        <v>Google One</v>
      </c>
      <c r="D95" s="38" t="str">
        <f aca="false">IF($C95="","",Recurring!$C$10)</f>
        <v>Expense</v>
      </c>
      <c r="E95" s="76" t="n">
        <f aca="false">IF($C95="","",Recurring!$D$10)</f>
        <v>4.99</v>
      </c>
      <c r="F95" s="77"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77" t="n">
        <f aca="false">IF($F95="","",IF(Recurring!$G$10="Move Before",IF(WEEKDAY($F95,2)=6,$F95-1,IF(WEEKDAY($F95,2)=7,$F95-2,$F95)),IF(Recurring!$G$10="Move After",IF(WEEKDAY($F95,2)=6,$F95+2,IF(WEEKDAY($F95,2)=7,$F95+1,$F95)),$F95)))</f>
        <v>46606</v>
      </c>
      <c r="H95" s="78" t="n">
        <f aca="false">IF($G95="",0,IF(AND($G95&gt;='Cash Flow'!$E$6,$G95&lt;'Cash Flow'!$E$6+91),1,0))</f>
        <v>0</v>
      </c>
      <c r="I95" s="78" t="str">
        <f aca="false">IF($H95=1,MAX(1,INT(($G95-'Cash Flow'!$E$6)/7)+1),"")</f>
        <v/>
      </c>
      <c r="J95" s="38" t="str">
        <f aca="false">IF($H95=1,$G95*10000+ROW(),"")</f>
        <v/>
      </c>
      <c r="K95" s="38" t="str">
        <f aca="false">IF($H95=1,$I95*1000+COUNTIFS($I$4:$I$483,$I95,$J$4:$J$483,"&lt;"&amp;$J95)+1,"")</f>
        <v/>
      </c>
    </row>
    <row r="96" customFormat="false" ht="15" hidden="false" customHeight="false" outlineLevel="0" collapsed="false">
      <c r="A96" s="46" t="n">
        <v>6</v>
      </c>
      <c r="B96" s="46" t="n">
        <v>13</v>
      </c>
      <c r="C96" s="38" t="str">
        <f aca="false">IF(OR(Recurring!$B$10="",Recurring!$H$10&lt;&gt;"Yes",Recurring!$D$10=""),"",Recurring!$B$10)</f>
        <v>Google One</v>
      </c>
      <c r="D96" s="38" t="str">
        <f aca="false">IF($C96="","",Recurring!$C$10)</f>
        <v>Expense</v>
      </c>
      <c r="E96" s="76" t="n">
        <f aca="false">IF($C96="","",Recurring!$D$10)</f>
        <v>4.99</v>
      </c>
      <c r="F96" s="77"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77" t="n">
        <f aca="false">IF($F96="","",IF(Recurring!$G$10="Move Before",IF(WEEKDAY($F96,2)=6,$F96-1,IF(WEEKDAY($F96,2)=7,$F96-2,$F96)),IF(Recurring!$G$10="Move After",IF(WEEKDAY($F96,2)=6,$F96+2,IF(WEEKDAY($F96,2)=7,$F96+1,$F96)),$F96)))</f>
        <v>46637</v>
      </c>
      <c r="H96" s="78" t="n">
        <f aca="false">IF($G96="",0,IF(AND($G96&gt;='Cash Flow'!$E$6,$G96&lt;'Cash Flow'!$E$6+91),1,0))</f>
        <v>0</v>
      </c>
      <c r="I96" s="78" t="str">
        <f aca="false">IF($H96=1,MAX(1,INT(($G96-'Cash Flow'!$E$6)/7)+1),"")</f>
        <v/>
      </c>
      <c r="J96" s="38" t="str">
        <f aca="false">IF($H96=1,$G96*10000+ROW(),"")</f>
        <v/>
      </c>
      <c r="K96" s="38" t="str">
        <f aca="false">IF($H96=1,$I96*1000+COUNTIFS($I$4:$I$483,$I96,$J$4:$J$483,"&lt;"&amp;$J96)+1,"")</f>
        <v/>
      </c>
    </row>
    <row r="97" customFormat="false" ht="15" hidden="false" customHeight="false" outlineLevel="0" collapsed="false">
      <c r="A97" s="46" t="n">
        <v>6</v>
      </c>
      <c r="B97" s="46" t="n">
        <v>14</v>
      </c>
      <c r="C97" s="38" t="str">
        <f aca="false">IF(OR(Recurring!$B$10="",Recurring!$H$10&lt;&gt;"Yes",Recurring!$D$10=""),"",Recurring!$B$10)</f>
        <v>Google One</v>
      </c>
      <c r="D97" s="38" t="str">
        <f aca="false">IF($C97="","",Recurring!$C$10)</f>
        <v>Expense</v>
      </c>
      <c r="E97" s="76" t="n">
        <f aca="false">IF($C97="","",Recurring!$D$10)</f>
        <v>4.99</v>
      </c>
      <c r="F97" s="77"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77" t="n">
        <f aca="false">IF($F97="","",IF(Recurring!$G$10="Move Before",IF(WEEKDAY($F97,2)=6,$F97-1,IF(WEEKDAY($F97,2)=7,$F97-2,$F97)),IF(Recurring!$G$10="Move After",IF(WEEKDAY($F97,2)=6,$F97+2,IF(WEEKDAY($F97,2)=7,$F97+1,$F97)),$F97)))</f>
        <v>46667</v>
      </c>
      <c r="H97" s="78" t="n">
        <f aca="false">IF($G97="",0,IF(AND($G97&gt;='Cash Flow'!$E$6,$G97&lt;'Cash Flow'!$E$6+91),1,0))</f>
        <v>0</v>
      </c>
      <c r="I97" s="78" t="str">
        <f aca="false">IF($H97=1,MAX(1,INT(($G97-'Cash Flow'!$E$6)/7)+1),"")</f>
        <v/>
      </c>
      <c r="J97" s="38" t="str">
        <f aca="false">IF($H97=1,$G97*10000+ROW(),"")</f>
        <v/>
      </c>
      <c r="K97" s="38" t="str">
        <f aca="false">IF($H97=1,$I97*1000+COUNTIFS($I$4:$I$483,$I97,$J$4:$J$483,"&lt;"&amp;$J97)+1,"")</f>
        <v/>
      </c>
    </row>
    <row r="98" customFormat="false" ht="15" hidden="false" customHeight="false" outlineLevel="0" collapsed="false">
      <c r="A98" s="46" t="n">
        <v>6</v>
      </c>
      <c r="B98" s="46" t="n">
        <v>15</v>
      </c>
      <c r="C98" s="38" t="str">
        <f aca="false">IF(OR(Recurring!$B$10="",Recurring!$H$10&lt;&gt;"Yes",Recurring!$D$10=""),"",Recurring!$B$10)</f>
        <v>Google One</v>
      </c>
      <c r="D98" s="38" t="str">
        <f aca="false">IF($C98="","",Recurring!$C$10)</f>
        <v>Expense</v>
      </c>
      <c r="E98" s="76" t="n">
        <f aca="false">IF($C98="","",Recurring!$D$10)</f>
        <v>4.99</v>
      </c>
      <c r="F98" s="77"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77" t="n">
        <f aca="false">IF($F98="","",IF(Recurring!$G$10="Move Before",IF(WEEKDAY($F98,2)=6,$F98-1,IF(WEEKDAY($F98,2)=7,$F98-2,$F98)),IF(Recurring!$G$10="Move After",IF(WEEKDAY($F98,2)=6,$F98+2,IF(WEEKDAY($F98,2)=7,$F98+1,$F98)),$F98)))</f>
        <v>46698</v>
      </c>
      <c r="H98" s="78" t="n">
        <f aca="false">IF($G98="",0,IF(AND($G98&gt;='Cash Flow'!$E$6,$G98&lt;'Cash Flow'!$E$6+91),1,0))</f>
        <v>0</v>
      </c>
      <c r="I98" s="78" t="str">
        <f aca="false">IF($H98=1,MAX(1,INT(($G98-'Cash Flow'!$E$6)/7)+1),"")</f>
        <v/>
      </c>
      <c r="J98" s="38" t="str">
        <f aca="false">IF($H98=1,$G98*10000+ROW(),"")</f>
        <v/>
      </c>
      <c r="K98" s="38" t="str">
        <f aca="false">IF($H98=1,$I98*1000+COUNTIFS($I$4:$I$483,$I98,$J$4:$J$483,"&lt;"&amp;$J98)+1,"")</f>
        <v/>
      </c>
    </row>
    <row r="99" customFormat="false" ht="15" hidden="false" customHeight="false" outlineLevel="0" collapsed="false">
      <c r="A99" s="46" t="n">
        <v>6</v>
      </c>
      <c r="B99" s="46" t="n">
        <v>16</v>
      </c>
      <c r="C99" s="38" t="str">
        <f aca="false">IF(OR(Recurring!$B$10="",Recurring!$H$10&lt;&gt;"Yes",Recurring!$D$10=""),"",Recurring!$B$10)</f>
        <v>Google One</v>
      </c>
      <c r="D99" s="38" t="str">
        <f aca="false">IF($C99="","",Recurring!$C$10)</f>
        <v>Expense</v>
      </c>
      <c r="E99" s="76" t="n">
        <f aca="false">IF($C99="","",Recurring!$D$10)</f>
        <v>4.99</v>
      </c>
      <c r="F99" s="77"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77" t="n">
        <f aca="false">IF($F99="","",IF(Recurring!$G$10="Move Before",IF(WEEKDAY($F99,2)=6,$F99-1,IF(WEEKDAY($F99,2)=7,$F99-2,$F99)),IF(Recurring!$G$10="Move After",IF(WEEKDAY($F99,2)=6,$F99+2,IF(WEEKDAY($F99,2)=7,$F99+1,$F99)),$F99)))</f>
        <v>46728</v>
      </c>
      <c r="H99" s="78" t="n">
        <f aca="false">IF($G99="",0,IF(AND($G99&gt;='Cash Flow'!$E$6,$G99&lt;'Cash Flow'!$E$6+91),1,0))</f>
        <v>0</v>
      </c>
      <c r="I99" s="78" t="str">
        <f aca="false">IF($H99=1,MAX(1,INT(($G99-'Cash Flow'!$E$6)/7)+1),"")</f>
        <v/>
      </c>
      <c r="J99" s="38" t="str">
        <f aca="false">IF($H99=1,$G99*10000+ROW(),"")</f>
        <v/>
      </c>
      <c r="K99" s="38" t="str">
        <f aca="false">IF($H99=1,$I99*1000+COUNTIFS($I$4:$I$483,$I99,$J$4:$J$483,"&lt;"&amp;$J99)+1,"")</f>
        <v/>
      </c>
    </row>
    <row r="100" customFormat="false" ht="15" hidden="false" customHeight="false" outlineLevel="0" collapsed="false">
      <c r="A100" s="46" t="n">
        <v>7</v>
      </c>
      <c r="B100" s="46" t="n">
        <v>1</v>
      </c>
      <c r="C100" s="38" t="str">
        <f aca="false">IF(OR(Recurring!$B$11="",Recurring!$H$11&lt;&gt;"Yes",Recurring!$D$11=""),"",Recurring!$B$11)</f>
        <v>Upstart (loan)</v>
      </c>
      <c r="D100" s="38" t="str">
        <f aca="false">IF($C100="","",Recurring!$C$11)</f>
        <v>Expense</v>
      </c>
      <c r="E100" s="76" t="n">
        <f aca="false">IF($C100="","",Recurring!$D$11)</f>
        <v>500</v>
      </c>
      <c r="F100" s="77"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77" t="n">
        <f aca="false">IF($F100="","",IF(Recurring!$G$11="Move Before",IF(WEEKDAY($F100,2)=6,$F100-1,IF(WEEKDAY($F100,2)=7,$F100-2,$F100)),IF(Recurring!$G$11="Move After",IF(WEEKDAY($F100,2)=6,$F100+2,IF(WEEKDAY($F100,2)=7,$F100+1,$F100)),$F100)))</f>
        <v>46272</v>
      </c>
      <c r="H100" s="78" t="n">
        <f aca="false">IF($G100="",0,IF(AND($G100&gt;='Cash Flow'!$E$6-90,$G100&lt;'Cash Flow'!$E$6+91),1,0))</f>
        <v>1</v>
      </c>
      <c r="I100" s="78" t="n">
        <f aca="false">IF($H100=1,MAX(1,INT(($G100-'Cash Flow'!$E$6)/7)+1),"")</f>
        <v>5</v>
      </c>
      <c r="J100" s="38" t="n">
        <f aca="false">IF($H100=1,$G100*10000+ROW(),"")</f>
        <v>462720100</v>
      </c>
      <c r="K100" s="38" t="n">
        <f aca="false">IF($H100=1,$I100*1000+COUNTIFS($I$4:$I$483,$I100,$J$4:$J$483,"&lt;"&amp;$J100)+1,"")</f>
        <v>5006</v>
      </c>
    </row>
    <row r="101" customFormat="false" ht="15" hidden="false" customHeight="false" outlineLevel="0" collapsed="false">
      <c r="A101" s="46" t="n">
        <v>7</v>
      </c>
      <c r="B101" s="46" t="n">
        <v>2</v>
      </c>
      <c r="C101" s="38" t="str">
        <f aca="false">IF(OR(Recurring!$B$11="",Recurring!$H$11&lt;&gt;"Yes",Recurring!$D$11=""),"",Recurring!$B$11)</f>
        <v>Upstart (loan)</v>
      </c>
      <c r="D101" s="38" t="str">
        <f aca="false">IF($C101="","",Recurring!$C$11)</f>
        <v>Expense</v>
      </c>
      <c r="E101" s="76" t="n">
        <f aca="false">IF($C101="","",Recurring!$D$11)</f>
        <v>500</v>
      </c>
      <c r="F101" s="77"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77" t="n">
        <f aca="false">IF($F101="","",IF(Recurring!$G$11="Move Before",IF(WEEKDAY($F101,2)=6,$F101-1,IF(WEEKDAY($F101,2)=7,$F101-2,$F101)),IF(Recurring!$G$11="Move After",IF(WEEKDAY($F101,2)=6,$F101+2,IF(WEEKDAY($F101,2)=7,$F101+1,$F101)),$F101)))</f>
        <v>46302</v>
      </c>
      <c r="H101" s="78" t="n">
        <f aca="false">IF($G101="",0,IF(AND($G101&gt;='Cash Flow'!$E$6,$G101&lt;'Cash Flow'!$E$6+91),1,0))</f>
        <v>1</v>
      </c>
      <c r="I101" s="78" t="n">
        <f aca="false">IF($H101=1,MAX(1,INT(($G101-'Cash Flow'!$E$6)/7)+1),"")</f>
        <v>9</v>
      </c>
      <c r="J101" s="38" t="n">
        <f aca="false">IF($H101=1,$G101*10000+ROW(),"")</f>
        <v>463020101</v>
      </c>
      <c r="K101" s="38" t="n">
        <f aca="false">IF($H101=1,$I101*1000+COUNTIFS($I$4:$I$483,$I101,$J$4:$J$483,"&lt;"&amp;$J101)+1,"")</f>
        <v>9007</v>
      </c>
    </row>
    <row r="102" customFormat="false" ht="15" hidden="false" customHeight="false" outlineLevel="0" collapsed="false">
      <c r="A102" s="46" t="n">
        <v>7</v>
      </c>
      <c r="B102" s="46" t="n">
        <v>3</v>
      </c>
      <c r="C102" s="38" t="str">
        <f aca="false">IF(OR(Recurring!$B$11="",Recurring!$H$11&lt;&gt;"Yes",Recurring!$D$11=""),"",Recurring!$B$11)</f>
        <v>Upstart (loan)</v>
      </c>
      <c r="D102" s="38" t="str">
        <f aca="false">IF($C102="","",Recurring!$C$11)</f>
        <v>Expense</v>
      </c>
      <c r="E102" s="76" t="n">
        <f aca="false">IF($C102="","",Recurring!$D$11)</f>
        <v>500</v>
      </c>
      <c r="F102" s="77"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77" t="n">
        <f aca="false">IF($F102="","",IF(Recurring!$G$11="Move Before",IF(WEEKDAY($F102,2)=6,$F102-1,IF(WEEKDAY($F102,2)=7,$F102-2,$F102)),IF(Recurring!$G$11="Move After",IF(WEEKDAY($F102,2)=6,$F102+2,IF(WEEKDAY($F102,2)=7,$F102+1,$F102)),$F102)))</f>
        <v>46333</v>
      </c>
      <c r="H102" s="78" t="n">
        <f aca="false">IF($G102="",0,IF(AND($G102&gt;='Cash Flow'!$E$6,$G102&lt;'Cash Flow'!$E$6+91),1,0))</f>
        <v>0</v>
      </c>
      <c r="I102" s="78" t="str">
        <f aca="false">IF($H102=1,MAX(1,INT(($G102-'Cash Flow'!$E$6)/7)+1),"")</f>
        <v/>
      </c>
      <c r="J102" s="38" t="str">
        <f aca="false">IF($H102=1,$G102*10000+ROW(),"")</f>
        <v/>
      </c>
      <c r="K102" s="38" t="str">
        <f aca="false">IF($H102=1,$I102*1000+COUNTIFS($I$4:$I$483,$I102,$J$4:$J$483,"&lt;"&amp;$J102)+1,"")</f>
        <v/>
      </c>
    </row>
    <row r="103" customFormat="false" ht="15" hidden="false" customHeight="false" outlineLevel="0" collapsed="false">
      <c r="A103" s="46" t="n">
        <v>7</v>
      </c>
      <c r="B103" s="46" t="n">
        <v>4</v>
      </c>
      <c r="C103" s="38" t="str">
        <f aca="false">IF(OR(Recurring!$B$11="",Recurring!$H$11&lt;&gt;"Yes",Recurring!$D$11=""),"",Recurring!$B$11)</f>
        <v>Upstart (loan)</v>
      </c>
      <c r="D103" s="38" t="str">
        <f aca="false">IF($C103="","",Recurring!$C$11)</f>
        <v>Expense</v>
      </c>
      <c r="E103" s="76" t="n">
        <f aca="false">IF($C103="","",Recurring!$D$11)</f>
        <v>500</v>
      </c>
      <c r="F103" s="77"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77" t="n">
        <f aca="false">IF($F103="","",IF(Recurring!$G$11="Move Before",IF(WEEKDAY($F103,2)=6,$F103-1,IF(WEEKDAY($F103,2)=7,$F103-2,$F103)),IF(Recurring!$G$11="Move After",IF(WEEKDAY($F103,2)=6,$F103+2,IF(WEEKDAY($F103,2)=7,$F103+1,$F103)),$F103)))</f>
        <v>46363</v>
      </c>
      <c r="H103" s="78" t="n">
        <f aca="false">IF($G103="",0,IF(AND($G103&gt;='Cash Flow'!$E$6,$G103&lt;'Cash Flow'!$E$6+91),1,0))</f>
        <v>0</v>
      </c>
      <c r="I103" s="78" t="str">
        <f aca="false">IF($H103=1,MAX(1,INT(($G103-'Cash Flow'!$E$6)/7)+1),"")</f>
        <v/>
      </c>
      <c r="J103" s="38" t="str">
        <f aca="false">IF($H103=1,$G103*10000+ROW(),"")</f>
        <v/>
      </c>
      <c r="K103" s="38" t="str">
        <f aca="false">IF($H103=1,$I103*1000+COUNTIFS($I$4:$I$483,$I103,$J$4:$J$483,"&lt;"&amp;$J103)+1,"")</f>
        <v/>
      </c>
    </row>
    <row r="104" customFormat="false" ht="15" hidden="false" customHeight="false" outlineLevel="0" collapsed="false">
      <c r="A104" s="46" t="n">
        <v>7</v>
      </c>
      <c r="B104" s="46" t="n">
        <v>5</v>
      </c>
      <c r="C104" s="38" t="str">
        <f aca="false">IF(OR(Recurring!$B$11="",Recurring!$H$11&lt;&gt;"Yes",Recurring!$D$11=""),"",Recurring!$B$11)</f>
        <v>Upstart (loan)</v>
      </c>
      <c r="D104" s="38" t="str">
        <f aca="false">IF($C104="","",Recurring!$C$11)</f>
        <v>Expense</v>
      </c>
      <c r="E104" s="76" t="n">
        <f aca="false">IF($C104="","",Recurring!$D$11)</f>
        <v>500</v>
      </c>
      <c r="F104" s="77"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77" t="n">
        <f aca="false">IF($F104="","",IF(Recurring!$G$11="Move Before",IF(WEEKDAY($F104,2)=6,$F104-1,IF(WEEKDAY($F104,2)=7,$F104-2,$F104)),IF(Recurring!$G$11="Move After",IF(WEEKDAY($F104,2)=6,$F104+2,IF(WEEKDAY($F104,2)=7,$F104+1,$F104)),$F104)))</f>
        <v>46394</v>
      </c>
      <c r="H104" s="78" t="n">
        <f aca="false">IF($G104="",0,IF(AND($G104&gt;='Cash Flow'!$E$6,$G104&lt;'Cash Flow'!$E$6+91),1,0))</f>
        <v>0</v>
      </c>
      <c r="I104" s="78" t="str">
        <f aca="false">IF($H104=1,MAX(1,INT(($G104-'Cash Flow'!$E$6)/7)+1),"")</f>
        <v/>
      </c>
      <c r="J104" s="38" t="str">
        <f aca="false">IF($H104=1,$G104*10000+ROW(),"")</f>
        <v/>
      </c>
      <c r="K104" s="38" t="str">
        <f aca="false">IF($H104=1,$I104*1000+COUNTIFS($I$4:$I$483,$I104,$J$4:$J$483,"&lt;"&amp;$J104)+1,"")</f>
        <v/>
      </c>
    </row>
    <row r="105" customFormat="false" ht="15" hidden="false" customHeight="false" outlineLevel="0" collapsed="false">
      <c r="A105" s="46" t="n">
        <v>7</v>
      </c>
      <c r="B105" s="46" t="n">
        <v>6</v>
      </c>
      <c r="C105" s="38" t="str">
        <f aca="false">IF(OR(Recurring!$B$11="",Recurring!$H$11&lt;&gt;"Yes",Recurring!$D$11=""),"",Recurring!$B$11)</f>
        <v>Upstart (loan)</v>
      </c>
      <c r="D105" s="38" t="str">
        <f aca="false">IF($C105="","",Recurring!$C$11)</f>
        <v>Expense</v>
      </c>
      <c r="E105" s="76" t="n">
        <f aca="false">IF($C105="","",Recurring!$D$11)</f>
        <v>500</v>
      </c>
      <c r="F105" s="77"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77" t="n">
        <f aca="false">IF($F105="","",IF(Recurring!$G$11="Move Before",IF(WEEKDAY($F105,2)=6,$F105-1,IF(WEEKDAY($F105,2)=7,$F105-2,$F105)),IF(Recurring!$G$11="Move After",IF(WEEKDAY($F105,2)=6,$F105+2,IF(WEEKDAY($F105,2)=7,$F105+1,$F105)),$F105)))</f>
        <v>46425</v>
      </c>
      <c r="H105" s="78" t="n">
        <f aca="false">IF($G105="",0,IF(AND($G105&gt;='Cash Flow'!$E$6,$G105&lt;'Cash Flow'!$E$6+91),1,0))</f>
        <v>0</v>
      </c>
      <c r="I105" s="78" t="str">
        <f aca="false">IF($H105=1,MAX(1,INT(($G105-'Cash Flow'!$E$6)/7)+1),"")</f>
        <v/>
      </c>
      <c r="J105" s="38" t="str">
        <f aca="false">IF($H105=1,$G105*10000+ROW(),"")</f>
        <v/>
      </c>
      <c r="K105" s="38" t="str">
        <f aca="false">IF($H105=1,$I105*1000+COUNTIFS($I$4:$I$483,$I105,$J$4:$J$483,"&lt;"&amp;$J105)+1,"")</f>
        <v/>
      </c>
    </row>
    <row r="106" customFormat="false" ht="15" hidden="false" customHeight="false" outlineLevel="0" collapsed="false">
      <c r="A106" s="46" t="n">
        <v>7</v>
      </c>
      <c r="B106" s="46" t="n">
        <v>7</v>
      </c>
      <c r="C106" s="38" t="str">
        <f aca="false">IF(OR(Recurring!$B$11="",Recurring!$H$11&lt;&gt;"Yes",Recurring!$D$11=""),"",Recurring!$B$11)</f>
        <v>Upstart (loan)</v>
      </c>
      <c r="D106" s="38" t="str">
        <f aca="false">IF($C106="","",Recurring!$C$11)</f>
        <v>Expense</v>
      </c>
      <c r="E106" s="76" t="n">
        <f aca="false">IF($C106="","",Recurring!$D$11)</f>
        <v>500</v>
      </c>
      <c r="F106" s="77"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77" t="n">
        <f aca="false">IF($F106="","",IF(Recurring!$G$11="Move Before",IF(WEEKDAY($F106,2)=6,$F106-1,IF(WEEKDAY($F106,2)=7,$F106-2,$F106)),IF(Recurring!$G$11="Move After",IF(WEEKDAY($F106,2)=6,$F106+2,IF(WEEKDAY($F106,2)=7,$F106+1,$F106)),$F106)))</f>
        <v>46453</v>
      </c>
      <c r="H106" s="78" t="n">
        <f aca="false">IF($G106="",0,IF(AND($G106&gt;='Cash Flow'!$E$6,$G106&lt;'Cash Flow'!$E$6+91),1,0))</f>
        <v>0</v>
      </c>
      <c r="I106" s="78" t="str">
        <f aca="false">IF($H106=1,MAX(1,INT(($G106-'Cash Flow'!$E$6)/7)+1),"")</f>
        <v/>
      </c>
      <c r="J106" s="38" t="str">
        <f aca="false">IF($H106=1,$G106*10000+ROW(),"")</f>
        <v/>
      </c>
      <c r="K106" s="38" t="str">
        <f aca="false">IF($H106=1,$I106*1000+COUNTIFS($I$4:$I$483,$I106,$J$4:$J$483,"&lt;"&amp;$J106)+1,"")</f>
        <v/>
      </c>
    </row>
    <row r="107" customFormat="false" ht="15" hidden="false" customHeight="false" outlineLevel="0" collapsed="false">
      <c r="A107" s="46" t="n">
        <v>7</v>
      </c>
      <c r="B107" s="46" t="n">
        <v>8</v>
      </c>
      <c r="C107" s="38" t="str">
        <f aca="false">IF(OR(Recurring!$B$11="",Recurring!$H$11&lt;&gt;"Yes",Recurring!$D$11=""),"",Recurring!$B$11)</f>
        <v>Upstart (loan)</v>
      </c>
      <c r="D107" s="38" t="str">
        <f aca="false">IF($C107="","",Recurring!$C$11)</f>
        <v>Expense</v>
      </c>
      <c r="E107" s="76" t="n">
        <f aca="false">IF($C107="","",Recurring!$D$11)</f>
        <v>500</v>
      </c>
      <c r="F107" s="77"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77" t="n">
        <f aca="false">IF($F107="","",IF(Recurring!$G$11="Move Before",IF(WEEKDAY($F107,2)=6,$F107-1,IF(WEEKDAY($F107,2)=7,$F107-2,$F107)),IF(Recurring!$G$11="Move After",IF(WEEKDAY($F107,2)=6,$F107+2,IF(WEEKDAY($F107,2)=7,$F107+1,$F107)),$F107)))</f>
        <v>46484</v>
      </c>
      <c r="H107" s="78" t="n">
        <f aca="false">IF($G107="",0,IF(AND($G107&gt;='Cash Flow'!$E$6,$G107&lt;'Cash Flow'!$E$6+91),1,0))</f>
        <v>0</v>
      </c>
      <c r="I107" s="78" t="str">
        <f aca="false">IF($H107=1,MAX(1,INT(($G107-'Cash Flow'!$E$6)/7)+1),"")</f>
        <v/>
      </c>
      <c r="J107" s="38" t="str">
        <f aca="false">IF($H107=1,$G107*10000+ROW(),"")</f>
        <v/>
      </c>
      <c r="K107" s="38" t="str">
        <f aca="false">IF($H107=1,$I107*1000+COUNTIFS($I$4:$I$483,$I107,$J$4:$J$483,"&lt;"&amp;$J107)+1,"")</f>
        <v/>
      </c>
    </row>
    <row r="108" customFormat="false" ht="15" hidden="false" customHeight="false" outlineLevel="0" collapsed="false">
      <c r="A108" s="46" t="n">
        <v>7</v>
      </c>
      <c r="B108" s="46" t="n">
        <v>9</v>
      </c>
      <c r="C108" s="38" t="str">
        <f aca="false">IF(OR(Recurring!$B$11="",Recurring!$H$11&lt;&gt;"Yes",Recurring!$D$11=""),"",Recurring!$B$11)</f>
        <v>Upstart (loan)</v>
      </c>
      <c r="D108" s="38" t="str">
        <f aca="false">IF($C108="","",Recurring!$C$11)</f>
        <v>Expense</v>
      </c>
      <c r="E108" s="76" t="n">
        <f aca="false">IF($C108="","",Recurring!$D$11)</f>
        <v>500</v>
      </c>
      <c r="F108" s="77"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77" t="n">
        <f aca="false">IF($F108="","",IF(Recurring!$G$11="Move Before",IF(WEEKDAY($F108,2)=6,$F108-1,IF(WEEKDAY($F108,2)=7,$F108-2,$F108)),IF(Recurring!$G$11="Move After",IF(WEEKDAY($F108,2)=6,$F108+2,IF(WEEKDAY($F108,2)=7,$F108+1,$F108)),$F108)))</f>
        <v>46514</v>
      </c>
      <c r="H108" s="78" t="n">
        <f aca="false">IF($G108="",0,IF(AND($G108&gt;='Cash Flow'!$E$6,$G108&lt;'Cash Flow'!$E$6+91),1,0))</f>
        <v>0</v>
      </c>
      <c r="I108" s="78" t="str">
        <f aca="false">IF($H108=1,MAX(1,INT(($G108-'Cash Flow'!$E$6)/7)+1),"")</f>
        <v/>
      </c>
      <c r="J108" s="38" t="str">
        <f aca="false">IF($H108=1,$G108*10000+ROW(),"")</f>
        <v/>
      </c>
      <c r="K108" s="38" t="str">
        <f aca="false">IF($H108=1,$I108*1000+COUNTIFS($I$4:$I$483,$I108,$J$4:$J$483,"&lt;"&amp;$J108)+1,"")</f>
        <v/>
      </c>
    </row>
    <row r="109" customFormat="false" ht="15" hidden="false" customHeight="false" outlineLevel="0" collapsed="false">
      <c r="A109" s="46" t="n">
        <v>7</v>
      </c>
      <c r="B109" s="46" t="n">
        <v>10</v>
      </c>
      <c r="C109" s="38" t="str">
        <f aca="false">IF(OR(Recurring!$B$11="",Recurring!$H$11&lt;&gt;"Yes",Recurring!$D$11=""),"",Recurring!$B$11)</f>
        <v>Upstart (loan)</v>
      </c>
      <c r="D109" s="38" t="str">
        <f aca="false">IF($C109="","",Recurring!$C$11)</f>
        <v>Expense</v>
      </c>
      <c r="E109" s="76" t="n">
        <f aca="false">IF($C109="","",Recurring!$D$11)</f>
        <v>500</v>
      </c>
      <c r="F109" s="77"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77" t="n">
        <f aca="false">IF($F109="","",IF(Recurring!$G$11="Move Before",IF(WEEKDAY($F109,2)=6,$F109-1,IF(WEEKDAY($F109,2)=7,$F109-2,$F109)),IF(Recurring!$G$11="Move After",IF(WEEKDAY($F109,2)=6,$F109+2,IF(WEEKDAY($F109,2)=7,$F109+1,$F109)),$F109)))</f>
        <v>46545</v>
      </c>
      <c r="H109" s="78" t="n">
        <f aca="false">IF($G109="",0,IF(AND($G109&gt;='Cash Flow'!$E$6,$G109&lt;'Cash Flow'!$E$6+91),1,0))</f>
        <v>0</v>
      </c>
      <c r="I109" s="78" t="str">
        <f aca="false">IF($H109=1,MAX(1,INT(($G109-'Cash Flow'!$E$6)/7)+1),"")</f>
        <v/>
      </c>
      <c r="J109" s="38" t="str">
        <f aca="false">IF($H109=1,$G109*10000+ROW(),"")</f>
        <v/>
      </c>
      <c r="K109" s="38" t="str">
        <f aca="false">IF($H109=1,$I109*1000+COUNTIFS($I$4:$I$483,$I109,$J$4:$J$483,"&lt;"&amp;$J109)+1,"")</f>
        <v/>
      </c>
    </row>
    <row r="110" customFormat="false" ht="15" hidden="false" customHeight="false" outlineLevel="0" collapsed="false">
      <c r="A110" s="46" t="n">
        <v>7</v>
      </c>
      <c r="B110" s="46" t="n">
        <v>11</v>
      </c>
      <c r="C110" s="38" t="str">
        <f aca="false">IF(OR(Recurring!$B$11="",Recurring!$H$11&lt;&gt;"Yes",Recurring!$D$11=""),"",Recurring!$B$11)</f>
        <v>Upstart (loan)</v>
      </c>
      <c r="D110" s="38" t="str">
        <f aca="false">IF($C110="","",Recurring!$C$11)</f>
        <v>Expense</v>
      </c>
      <c r="E110" s="76" t="n">
        <f aca="false">IF($C110="","",Recurring!$D$11)</f>
        <v>500</v>
      </c>
      <c r="F110" s="77"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77" t="n">
        <f aca="false">IF($F110="","",IF(Recurring!$G$11="Move Before",IF(WEEKDAY($F110,2)=6,$F110-1,IF(WEEKDAY($F110,2)=7,$F110-2,$F110)),IF(Recurring!$G$11="Move After",IF(WEEKDAY($F110,2)=6,$F110+2,IF(WEEKDAY($F110,2)=7,$F110+1,$F110)),$F110)))</f>
        <v>46575</v>
      </c>
      <c r="H110" s="78" t="n">
        <f aca="false">IF($G110="",0,IF(AND($G110&gt;='Cash Flow'!$E$6,$G110&lt;'Cash Flow'!$E$6+91),1,0))</f>
        <v>0</v>
      </c>
      <c r="I110" s="78" t="str">
        <f aca="false">IF($H110=1,MAX(1,INT(($G110-'Cash Flow'!$E$6)/7)+1),"")</f>
        <v/>
      </c>
      <c r="J110" s="38" t="str">
        <f aca="false">IF($H110=1,$G110*10000+ROW(),"")</f>
        <v/>
      </c>
      <c r="K110" s="38" t="str">
        <f aca="false">IF($H110=1,$I110*1000+COUNTIFS($I$4:$I$483,$I110,$J$4:$J$483,"&lt;"&amp;$J110)+1,"")</f>
        <v/>
      </c>
    </row>
    <row r="111" customFormat="false" ht="15" hidden="false" customHeight="false" outlineLevel="0" collapsed="false">
      <c r="A111" s="46" t="n">
        <v>7</v>
      </c>
      <c r="B111" s="46" t="n">
        <v>12</v>
      </c>
      <c r="C111" s="38" t="str">
        <f aca="false">IF(OR(Recurring!$B$11="",Recurring!$H$11&lt;&gt;"Yes",Recurring!$D$11=""),"",Recurring!$B$11)</f>
        <v>Upstart (loan)</v>
      </c>
      <c r="D111" s="38" t="str">
        <f aca="false">IF($C111="","",Recurring!$C$11)</f>
        <v>Expense</v>
      </c>
      <c r="E111" s="76" t="n">
        <f aca="false">IF($C111="","",Recurring!$D$11)</f>
        <v>500</v>
      </c>
      <c r="F111" s="77"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77" t="n">
        <f aca="false">IF($F111="","",IF(Recurring!$G$11="Move Before",IF(WEEKDAY($F111,2)=6,$F111-1,IF(WEEKDAY($F111,2)=7,$F111-2,$F111)),IF(Recurring!$G$11="Move After",IF(WEEKDAY($F111,2)=6,$F111+2,IF(WEEKDAY($F111,2)=7,$F111+1,$F111)),$F111)))</f>
        <v>46606</v>
      </c>
      <c r="H111" s="78" t="n">
        <f aca="false">IF($G111="",0,IF(AND($G111&gt;='Cash Flow'!$E$6,$G111&lt;'Cash Flow'!$E$6+91),1,0))</f>
        <v>0</v>
      </c>
      <c r="I111" s="78" t="str">
        <f aca="false">IF($H111=1,MAX(1,INT(($G111-'Cash Flow'!$E$6)/7)+1),"")</f>
        <v/>
      </c>
      <c r="J111" s="38" t="str">
        <f aca="false">IF($H111=1,$G111*10000+ROW(),"")</f>
        <v/>
      </c>
      <c r="K111" s="38" t="str">
        <f aca="false">IF($H111=1,$I111*1000+COUNTIFS($I$4:$I$483,$I111,$J$4:$J$483,"&lt;"&amp;$J111)+1,"")</f>
        <v/>
      </c>
    </row>
    <row r="112" customFormat="false" ht="15" hidden="false" customHeight="false" outlineLevel="0" collapsed="false">
      <c r="A112" s="46" t="n">
        <v>7</v>
      </c>
      <c r="B112" s="46" t="n">
        <v>13</v>
      </c>
      <c r="C112" s="38" t="str">
        <f aca="false">IF(OR(Recurring!$B$11="",Recurring!$H$11&lt;&gt;"Yes",Recurring!$D$11=""),"",Recurring!$B$11)</f>
        <v>Upstart (loan)</v>
      </c>
      <c r="D112" s="38" t="str">
        <f aca="false">IF($C112="","",Recurring!$C$11)</f>
        <v>Expense</v>
      </c>
      <c r="E112" s="76" t="n">
        <f aca="false">IF($C112="","",Recurring!$D$11)</f>
        <v>500</v>
      </c>
      <c r="F112" s="77"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77" t="n">
        <f aca="false">IF($F112="","",IF(Recurring!$G$11="Move Before",IF(WEEKDAY($F112,2)=6,$F112-1,IF(WEEKDAY($F112,2)=7,$F112-2,$F112)),IF(Recurring!$G$11="Move After",IF(WEEKDAY($F112,2)=6,$F112+2,IF(WEEKDAY($F112,2)=7,$F112+1,$F112)),$F112)))</f>
        <v>46637</v>
      </c>
      <c r="H112" s="78" t="n">
        <f aca="false">IF($G112="",0,IF(AND($G112&gt;='Cash Flow'!$E$6,$G112&lt;'Cash Flow'!$E$6+91),1,0))</f>
        <v>0</v>
      </c>
      <c r="I112" s="78" t="str">
        <f aca="false">IF($H112=1,MAX(1,INT(($G112-'Cash Flow'!$E$6)/7)+1),"")</f>
        <v/>
      </c>
      <c r="J112" s="38" t="str">
        <f aca="false">IF($H112=1,$G112*10000+ROW(),"")</f>
        <v/>
      </c>
      <c r="K112" s="38" t="str">
        <f aca="false">IF($H112=1,$I112*1000+COUNTIFS($I$4:$I$483,$I112,$J$4:$J$483,"&lt;"&amp;$J112)+1,"")</f>
        <v/>
      </c>
    </row>
    <row r="113" customFormat="false" ht="15" hidden="false" customHeight="false" outlineLevel="0" collapsed="false">
      <c r="A113" s="46" t="n">
        <v>7</v>
      </c>
      <c r="B113" s="46" t="n">
        <v>14</v>
      </c>
      <c r="C113" s="38" t="str">
        <f aca="false">IF(OR(Recurring!$B$11="",Recurring!$H$11&lt;&gt;"Yes",Recurring!$D$11=""),"",Recurring!$B$11)</f>
        <v>Upstart (loan)</v>
      </c>
      <c r="D113" s="38" t="str">
        <f aca="false">IF($C113="","",Recurring!$C$11)</f>
        <v>Expense</v>
      </c>
      <c r="E113" s="76" t="n">
        <f aca="false">IF($C113="","",Recurring!$D$11)</f>
        <v>500</v>
      </c>
      <c r="F113" s="77"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77" t="n">
        <f aca="false">IF($F113="","",IF(Recurring!$G$11="Move Before",IF(WEEKDAY($F113,2)=6,$F113-1,IF(WEEKDAY($F113,2)=7,$F113-2,$F113)),IF(Recurring!$G$11="Move After",IF(WEEKDAY($F113,2)=6,$F113+2,IF(WEEKDAY($F113,2)=7,$F113+1,$F113)),$F113)))</f>
        <v>46667</v>
      </c>
      <c r="H113" s="78" t="n">
        <f aca="false">IF($G113="",0,IF(AND($G113&gt;='Cash Flow'!$E$6,$G113&lt;'Cash Flow'!$E$6+91),1,0))</f>
        <v>0</v>
      </c>
      <c r="I113" s="78" t="str">
        <f aca="false">IF($H113=1,MAX(1,INT(($G113-'Cash Flow'!$E$6)/7)+1),"")</f>
        <v/>
      </c>
      <c r="J113" s="38" t="str">
        <f aca="false">IF($H113=1,$G113*10000+ROW(),"")</f>
        <v/>
      </c>
      <c r="K113" s="38" t="str">
        <f aca="false">IF($H113=1,$I113*1000+COUNTIFS($I$4:$I$483,$I113,$J$4:$J$483,"&lt;"&amp;$J113)+1,"")</f>
        <v/>
      </c>
    </row>
    <row r="114" customFormat="false" ht="15" hidden="false" customHeight="false" outlineLevel="0" collapsed="false">
      <c r="A114" s="46" t="n">
        <v>7</v>
      </c>
      <c r="B114" s="46" t="n">
        <v>15</v>
      </c>
      <c r="C114" s="38" t="str">
        <f aca="false">IF(OR(Recurring!$B$11="",Recurring!$H$11&lt;&gt;"Yes",Recurring!$D$11=""),"",Recurring!$B$11)</f>
        <v>Upstart (loan)</v>
      </c>
      <c r="D114" s="38" t="str">
        <f aca="false">IF($C114="","",Recurring!$C$11)</f>
        <v>Expense</v>
      </c>
      <c r="E114" s="76" t="n">
        <f aca="false">IF($C114="","",Recurring!$D$11)</f>
        <v>500</v>
      </c>
      <c r="F114" s="77"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77" t="n">
        <f aca="false">IF($F114="","",IF(Recurring!$G$11="Move Before",IF(WEEKDAY($F114,2)=6,$F114-1,IF(WEEKDAY($F114,2)=7,$F114-2,$F114)),IF(Recurring!$G$11="Move After",IF(WEEKDAY($F114,2)=6,$F114+2,IF(WEEKDAY($F114,2)=7,$F114+1,$F114)),$F114)))</f>
        <v>46698</v>
      </c>
      <c r="H114" s="78" t="n">
        <f aca="false">IF($G114="",0,IF(AND($G114&gt;='Cash Flow'!$E$6,$G114&lt;'Cash Flow'!$E$6+91),1,0))</f>
        <v>0</v>
      </c>
      <c r="I114" s="78" t="str">
        <f aca="false">IF($H114=1,MAX(1,INT(($G114-'Cash Flow'!$E$6)/7)+1),"")</f>
        <v/>
      </c>
      <c r="J114" s="38" t="str">
        <f aca="false">IF($H114=1,$G114*10000+ROW(),"")</f>
        <v/>
      </c>
      <c r="K114" s="38" t="str">
        <f aca="false">IF($H114=1,$I114*1000+COUNTIFS($I$4:$I$483,$I114,$J$4:$J$483,"&lt;"&amp;$J114)+1,"")</f>
        <v/>
      </c>
    </row>
    <row r="115" customFormat="false" ht="15" hidden="false" customHeight="false" outlineLevel="0" collapsed="false">
      <c r="A115" s="46" t="n">
        <v>7</v>
      </c>
      <c r="B115" s="46" t="n">
        <v>16</v>
      </c>
      <c r="C115" s="38" t="str">
        <f aca="false">IF(OR(Recurring!$B$11="",Recurring!$H$11&lt;&gt;"Yes",Recurring!$D$11=""),"",Recurring!$B$11)</f>
        <v>Upstart (loan)</v>
      </c>
      <c r="D115" s="38" t="str">
        <f aca="false">IF($C115="","",Recurring!$C$11)</f>
        <v>Expense</v>
      </c>
      <c r="E115" s="76" t="n">
        <f aca="false">IF($C115="","",Recurring!$D$11)</f>
        <v>500</v>
      </c>
      <c r="F115" s="77"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77" t="n">
        <f aca="false">IF($F115="","",IF(Recurring!$G$11="Move Before",IF(WEEKDAY($F115,2)=6,$F115-1,IF(WEEKDAY($F115,2)=7,$F115-2,$F115)),IF(Recurring!$G$11="Move After",IF(WEEKDAY($F115,2)=6,$F115+2,IF(WEEKDAY($F115,2)=7,$F115+1,$F115)),$F115)))</f>
        <v>46728</v>
      </c>
      <c r="H115" s="78" t="n">
        <f aca="false">IF($G115="",0,IF(AND($G115&gt;='Cash Flow'!$E$6,$G115&lt;'Cash Flow'!$E$6+91),1,0))</f>
        <v>0</v>
      </c>
      <c r="I115" s="78" t="str">
        <f aca="false">IF($H115=1,MAX(1,INT(($G115-'Cash Flow'!$E$6)/7)+1),"")</f>
        <v/>
      </c>
      <c r="J115" s="38" t="str">
        <f aca="false">IF($H115=1,$G115*10000+ROW(),"")</f>
        <v/>
      </c>
      <c r="K115" s="38" t="str">
        <f aca="false">IF($H115=1,$I115*1000+COUNTIFS($I$4:$I$483,$I115,$J$4:$J$483,"&lt;"&amp;$J115)+1,"")</f>
        <v/>
      </c>
    </row>
    <row r="116" customFormat="false" ht="15" hidden="false" customHeight="false" outlineLevel="0" collapsed="false">
      <c r="A116" s="46" t="n">
        <v>8</v>
      </c>
      <c r="B116" s="46" t="n">
        <v>1</v>
      </c>
      <c r="C116" s="38" t="str">
        <f aca="false">IF(OR(Recurring!$B$12="",Recurring!$H$12&lt;&gt;"Yes",Recurring!$D$12=""),"",Recurring!$B$12)</f>
        <v>Central Maine Power Co.</v>
      </c>
      <c r="D116" s="38" t="str">
        <f aca="false">IF($C116="","",Recurring!$C$12)</f>
        <v>Expense</v>
      </c>
      <c r="E116" s="76" t="n">
        <f aca="false">IF($C116="","",Recurring!$D$12)</f>
        <v>163.5</v>
      </c>
      <c r="F116" s="77"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46275</v>
      </c>
      <c r="G116" s="77" t="n">
        <f aca="false">IF($F116="","",IF(Recurring!$G$12="Move Before",IF(WEEKDAY($F116,2)=6,$F116-1,IF(WEEKDAY($F116,2)=7,$F116-2,$F116)),IF(Recurring!$G$12="Move After",IF(WEEKDAY($F116,2)=6,$F116+2,IF(WEEKDAY($F116,2)=7,$F116+1,$F116)),$F116)))</f>
        <v>46275</v>
      </c>
      <c r="H116" s="78" t="n">
        <f aca="false">IF($G116="",0,IF(AND($G116&gt;='Cash Flow'!$E$6-90,$G116&lt;'Cash Flow'!$E$6+91),1,0))</f>
        <v>1</v>
      </c>
      <c r="I116" s="78" t="n">
        <f aca="false">IF($H116=1,MAX(1,INT(($G116-'Cash Flow'!$E$6)/7)+1),"")</f>
        <v>5</v>
      </c>
      <c r="J116" s="38" t="n">
        <f aca="false">IF($H116=1,$G116*10000+ROW(),"")</f>
        <v>462750116</v>
      </c>
      <c r="K116" s="38" t="n">
        <f aca="false">IF($H116=1,$I116*1000+COUNTIFS($I$4:$I$483,$I116,$J$4:$J$483,"&lt;"&amp;$J116)+1,"")</f>
        <v>5008</v>
      </c>
    </row>
    <row r="117" customFormat="false" ht="15" hidden="false" customHeight="false" outlineLevel="0" collapsed="false">
      <c r="A117" s="46" t="n">
        <v>8</v>
      </c>
      <c r="B117" s="46" t="n">
        <v>2</v>
      </c>
      <c r="C117" s="38" t="str">
        <f aca="false">IF(OR(Recurring!$B$12="",Recurring!$H$12&lt;&gt;"Yes",Recurring!$D$12=""),"",Recurring!$B$12)</f>
        <v>Central Maine Power Co.</v>
      </c>
      <c r="D117" s="38" t="str">
        <f aca="false">IF($C117="","",Recurring!$C$12)</f>
        <v>Expense</v>
      </c>
      <c r="E117" s="76" t="n">
        <f aca="false">IF($C117="","",Recurring!$D$12)</f>
        <v>163.5</v>
      </c>
      <c r="F117" s="77"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46305</v>
      </c>
      <c r="G117" s="77" t="n">
        <f aca="false">IF($F117="","",IF(Recurring!$G$12="Move Before",IF(WEEKDAY($F117,2)=6,$F117-1,IF(WEEKDAY($F117,2)=7,$F117-2,$F117)),IF(Recurring!$G$12="Move After",IF(WEEKDAY($F117,2)=6,$F117+2,IF(WEEKDAY($F117,2)=7,$F117+1,$F117)),$F117)))</f>
        <v>46305</v>
      </c>
      <c r="H117" s="78" t="n">
        <f aca="false">IF($G117="",0,IF(AND($G117&gt;='Cash Flow'!$E$6,$G117&lt;'Cash Flow'!$E$6+91),1,0))</f>
        <v>1</v>
      </c>
      <c r="I117" s="78" t="n">
        <f aca="false">IF($H117=1,MAX(1,INT(($G117-'Cash Flow'!$E$6)/7)+1),"")</f>
        <v>10</v>
      </c>
      <c r="J117" s="38" t="n">
        <f aca="false">IF($H117=1,$G117*10000+ROW(),"")</f>
        <v>463050117</v>
      </c>
      <c r="K117" s="38" t="n">
        <f aca="false">IF($H117=1,$I117*1000+COUNTIFS($I$4:$I$483,$I117,$J$4:$J$483,"&lt;"&amp;$J117)+1,"")</f>
        <v>10002</v>
      </c>
    </row>
    <row r="118" customFormat="false" ht="15" hidden="false" customHeight="false" outlineLevel="0" collapsed="false">
      <c r="A118" s="46" t="n">
        <v>8</v>
      </c>
      <c r="B118" s="46" t="n">
        <v>3</v>
      </c>
      <c r="C118" s="38" t="str">
        <f aca="false">IF(OR(Recurring!$B$12="",Recurring!$H$12&lt;&gt;"Yes",Recurring!$D$12=""),"",Recurring!$B$12)</f>
        <v>Central Maine Power Co.</v>
      </c>
      <c r="D118" s="38" t="str">
        <f aca="false">IF($C118="","",Recurring!$C$12)</f>
        <v>Expense</v>
      </c>
      <c r="E118" s="76" t="n">
        <f aca="false">IF($C118="","",Recurring!$D$12)</f>
        <v>163.5</v>
      </c>
      <c r="F118" s="77"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46336</v>
      </c>
      <c r="G118" s="77" t="n">
        <f aca="false">IF($F118="","",IF(Recurring!$G$12="Move Before",IF(WEEKDAY($F118,2)=6,$F118-1,IF(WEEKDAY($F118,2)=7,$F118-2,$F118)),IF(Recurring!$G$12="Move After",IF(WEEKDAY($F118,2)=6,$F118+2,IF(WEEKDAY($F118,2)=7,$F118+1,$F118)),$F118)))</f>
        <v>46336</v>
      </c>
      <c r="H118" s="78" t="n">
        <f aca="false">IF($G118="",0,IF(AND($G118&gt;='Cash Flow'!$E$6,$G118&lt;'Cash Flow'!$E$6+91),1,0))</f>
        <v>0</v>
      </c>
      <c r="I118" s="78" t="str">
        <f aca="false">IF($H118=1,MAX(1,INT(($G118-'Cash Flow'!$E$6)/7)+1),"")</f>
        <v/>
      </c>
      <c r="J118" s="38" t="str">
        <f aca="false">IF($H118=1,$G118*10000+ROW(),"")</f>
        <v/>
      </c>
      <c r="K118" s="38" t="str">
        <f aca="false">IF($H118=1,$I118*1000+COUNTIFS($I$4:$I$483,$I118,$J$4:$J$483,"&lt;"&amp;$J118)+1,"")</f>
        <v/>
      </c>
    </row>
    <row r="119" customFormat="false" ht="15" hidden="false" customHeight="false" outlineLevel="0" collapsed="false">
      <c r="A119" s="46" t="n">
        <v>8</v>
      </c>
      <c r="B119" s="46" t="n">
        <v>4</v>
      </c>
      <c r="C119" s="38" t="str">
        <f aca="false">IF(OR(Recurring!$B$12="",Recurring!$H$12&lt;&gt;"Yes",Recurring!$D$12=""),"",Recurring!$B$12)</f>
        <v>Central Maine Power Co.</v>
      </c>
      <c r="D119" s="38" t="str">
        <f aca="false">IF($C119="","",Recurring!$C$12)</f>
        <v>Expense</v>
      </c>
      <c r="E119" s="76" t="n">
        <f aca="false">IF($C119="","",Recurring!$D$12)</f>
        <v>163.5</v>
      </c>
      <c r="F119" s="77"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46366</v>
      </c>
      <c r="G119" s="77" t="n">
        <f aca="false">IF($F119="","",IF(Recurring!$G$12="Move Before",IF(WEEKDAY($F119,2)=6,$F119-1,IF(WEEKDAY($F119,2)=7,$F119-2,$F119)),IF(Recurring!$G$12="Move After",IF(WEEKDAY($F119,2)=6,$F119+2,IF(WEEKDAY($F119,2)=7,$F119+1,$F119)),$F119)))</f>
        <v>46366</v>
      </c>
      <c r="H119" s="78" t="n">
        <f aca="false">IF($G119="",0,IF(AND($G119&gt;='Cash Flow'!$E$6,$G119&lt;'Cash Flow'!$E$6+91),1,0))</f>
        <v>0</v>
      </c>
      <c r="I119" s="78" t="str">
        <f aca="false">IF($H119=1,MAX(1,INT(($G119-'Cash Flow'!$E$6)/7)+1),"")</f>
        <v/>
      </c>
      <c r="J119" s="38" t="str">
        <f aca="false">IF($H119=1,$G119*10000+ROW(),"")</f>
        <v/>
      </c>
      <c r="K119" s="38" t="str">
        <f aca="false">IF($H119=1,$I119*1000+COUNTIFS($I$4:$I$483,$I119,$J$4:$J$483,"&lt;"&amp;$J119)+1,"")</f>
        <v/>
      </c>
    </row>
    <row r="120" customFormat="false" ht="15" hidden="false" customHeight="false" outlineLevel="0" collapsed="false">
      <c r="A120" s="46" t="n">
        <v>8</v>
      </c>
      <c r="B120" s="46" t="n">
        <v>5</v>
      </c>
      <c r="C120" s="38" t="str">
        <f aca="false">IF(OR(Recurring!$B$12="",Recurring!$H$12&lt;&gt;"Yes",Recurring!$D$12=""),"",Recurring!$B$12)</f>
        <v>Central Maine Power Co.</v>
      </c>
      <c r="D120" s="38" t="str">
        <f aca="false">IF($C120="","",Recurring!$C$12)</f>
        <v>Expense</v>
      </c>
      <c r="E120" s="76" t="n">
        <f aca="false">IF($C120="","",Recurring!$D$12)</f>
        <v>163.5</v>
      </c>
      <c r="F120" s="77"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46397</v>
      </c>
      <c r="G120" s="77" t="n">
        <f aca="false">IF($F120="","",IF(Recurring!$G$12="Move Before",IF(WEEKDAY($F120,2)=6,$F120-1,IF(WEEKDAY($F120,2)=7,$F120-2,$F120)),IF(Recurring!$G$12="Move After",IF(WEEKDAY($F120,2)=6,$F120+2,IF(WEEKDAY($F120,2)=7,$F120+1,$F120)),$F120)))</f>
        <v>46397</v>
      </c>
      <c r="H120" s="78" t="n">
        <f aca="false">IF($G120="",0,IF(AND($G120&gt;='Cash Flow'!$E$6,$G120&lt;'Cash Flow'!$E$6+91),1,0))</f>
        <v>0</v>
      </c>
      <c r="I120" s="78" t="str">
        <f aca="false">IF($H120=1,MAX(1,INT(($G120-'Cash Flow'!$E$6)/7)+1),"")</f>
        <v/>
      </c>
      <c r="J120" s="38" t="str">
        <f aca="false">IF($H120=1,$G120*10000+ROW(),"")</f>
        <v/>
      </c>
      <c r="K120" s="38" t="str">
        <f aca="false">IF($H120=1,$I120*1000+COUNTIFS($I$4:$I$483,$I120,$J$4:$J$483,"&lt;"&amp;$J120)+1,"")</f>
        <v/>
      </c>
    </row>
    <row r="121" customFormat="false" ht="15" hidden="false" customHeight="false" outlineLevel="0" collapsed="false">
      <c r="A121" s="46" t="n">
        <v>8</v>
      </c>
      <c r="B121" s="46" t="n">
        <v>6</v>
      </c>
      <c r="C121" s="38" t="str">
        <f aca="false">IF(OR(Recurring!$B$12="",Recurring!$H$12&lt;&gt;"Yes",Recurring!$D$12=""),"",Recurring!$B$12)</f>
        <v>Central Maine Power Co.</v>
      </c>
      <c r="D121" s="38" t="str">
        <f aca="false">IF($C121="","",Recurring!$C$12)</f>
        <v>Expense</v>
      </c>
      <c r="E121" s="76" t="n">
        <f aca="false">IF($C121="","",Recurring!$D$12)</f>
        <v>163.5</v>
      </c>
      <c r="F121" s="77"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46428</v>
      </c>
      <c r="G121" s="77" t="n">
        <f aca="false">IF($F121="","",IF(Recurring!$G$12="Move Before",IF(WEEKDAY($F121,2)=6,$F121-1,IF(WEEKDAY($F121,2)=7,$F121-2,$F121)),IF(Recurring!$G$12="Move After",IF(WEEKDAY($F121,2)=6,$F121+2,IF(WEEKDAY($F121,2)=7,$F121+1,$F121)),$F121)))</f>
        <v>46428</v>
      </c>
      <c r="H121" s="78" t="n">
        <f aca="false">IF($G121="",0,IF(AND($G121&gt;='Cash Flow'!$E$6,$G121&lt;'Cash Flow'!$E$6+91),1,0))</f>
        <v>0</v>
      </c>
      <c r="I121" s="78" t="str">
        <f aca="false">IF($H121=1,MAX(1,INT(($G121-'Cash Flow'!$E$6)/7)+1),"")</f>
        <v/>
      </c>
      <c r="J121" s="38" t="str">
        <f aca="false">IF($H121=1,$G121*10000+ROW(),"")</f>
        <v/>
      </c>
      <c r="K121" s="38" t="str">
        <f aca="false">IF($H121=1,$I121*1000+COUNTIFS($I$4:$I$483,$I121,$J$4:$J$483,"&lt;"&amp;$J121)+1,"")</f>
        <v/>
      </c>
    </row>
    <row r="122" customFormat="false" ht="15" hidden="false" customHeight="false" outlineLevel="0" collapsed="false">
      <c r="A122" s="46" t="n">
        <v>8</v>
      </c>
      <c r="B122" s="46" t="n">
        <v>7</v>
      </c>
      <c r="C122" s="38" t="str">
        <f aca="false">IF(OR(Recurring!$B$12="",Recurring!$H$12&lt;&gt;"Yes",Recurring!$D$12=""),"",Recurring!$B$12)</f>
        <v>Central Maine Power Co.</v>
      </c>
      <c r="D122" s="38" t="str">
        <f aca="false">IF($C122="","",Recurring!$C$12)</f>
        <v>Expense</v>
      </c>
      <c r="E122" s="76" t="n">
        <f aca="false">IF($C122="","",Recurring!$D$12)</f>
        <v>163.5</v>
      </c>
      <c r="F122" s="77"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46456</v>
      </c>
      <c r="G122" s="77" t="n">
        <f aca="false">IF($F122="","",IF(Recurring!$G$12="Move Before",IF(WEEKDAY($F122,2)=6,$F122-1,IF(WEEKDAY($F122,2)=7,$F122-2,$F122)),IF(Recurring!$G$12="Move After",IF(WEEKDAY($F122,2)=6,$F122+2,IF(WEEKDAY($F122,2)=7,$F122+1,$F122)),$F122)))</f>
        <v>46456</v>
      </c>
      <c r="H122" s="78" t="n">
        <f aca="false">IF($G122="",0,IF(AND($G122&gt;='Cash Flow'!$E$6,$G122&lt;'Cash Flow'!$E$6+91),1,0))</f>
        <v>0</v>
      </c>
      <c r="I122" s="78" t="str">
        <f aca="false">IF($H122=1,MAX(1,INT(($G122-'Cash Flow'!$E$6)/7)+1),"")</f>
        <v/>
      </c>
      <c r="J122" s="38" t="str">
        <f aca="false">IF($H122=1,$G122*10000+ROW(),"")</f>
        <v/>
      </c>
      <c r="K122" s="38" t="str">
        <f aca="false">IF($H122=1,$I122*1000+COUNTIFS($I$4:$I$483,$I122,$J$4:$J$483,"&lt;"&amp;$J122)+1,"")</f>
        <v/>
      </c>
    </row>
    <row r="123" customFormat="false" ht="15" hidden="false" customHeight="false" outlineLevel="0" collapsed="false">
      <c r="A123" s="46" t="n">
        <v>8</v>
      </c>
      <c r="B123" s="46" t="n">
        <v>8</v>
      </c>
      <c r="C123" s="38" t="str">
        <f aca="false">IF(OR(Recurring!$B$12="",Recurring!$H$12&lt;&gt;"Yes",Recurring!$D$12=""),"",Recurring!$B$12)</f>
        <v>Central Maine Power Co.</v>
      </c>
      <c r="D123" s="38" t="str">
        <f aca="false">IF($C123="","",Recurring!$C$12)</f>
        <v>Expense</v>
      </c>
      <c r="E123" s="76" t="n">
        <f aca="false">IF($C123="","",Recurring!$D$12)</f>
        <v>163.5</v>
      </c>
      <c r="F123" s="77"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46487</v>
      </c>
      <c r="G123" s="77" t="n">
        <f aca="false">IF($F123="","",IF(Recurring!$G$12="Move Before",IF(WEEKDAY($F123,2)=6,$F123-1,IF(WEEKDAY($F123,2)=7,$F123-2,$F123)),IF(Recurring!$G$12="Move After",IF(WEEKDAY($F123,2)=6,$F123+2,IF(WEEKDAY($F123,2)=7,$F123+1,$F123)),$F123)))</f>
        <v>46487</v>
      </c>
      <c r="H123" s="78" t="n">
        <f aca="false">IF($G123="",0,IF(AND($G123&gt;='Cash Flow'!$E$6,$G123&lt;'Cash Flow'!$E$6+91),1,0))</f>
        <v>0</v>
      </c>
      <c r="I123" s="78" t="str">
        <f aca="false">IF($H123=1,MAX(1,INT(($G123-'Cash Flow'!$E$6)/7)+1),"")</f>
        <v/>
      </c>
      <c r="J123" s="38" t="str">
        <f aca="false">IF($H123=1,$G123*10000+ROW(),"")</f>
        <v/>
      </c>
      <c r="K123" s="38" t="str">
        <f aca="false">IF($H123=1,$I123*1000+COUNTIFS($I$4:$I$483,$I123,$J$4:$J$483,"&lt;"&amp;$J123)+1,"")</f>
        <v/>
      </c>
    </row>
    <row r="124" customFormat="false" ht="15" hidden="false" customHeight="false" outlineLevel="0" collapsed="false">
      <c r="A124" s="46" t="n">
        <v>8</v>
      </c>
      <c r="B124" s="46" t="n">
        <v>9</v>
      </c>
      <c r="C124" s="38" t="str">
        <f aca="false">IF(OR(Recurring!$B$12="",Recurring!$H$12&lt;&gt;"Yes",Recurring!$D$12=""),"",Recurring!$B$12)</f>
        <v>Central Maine Power Co.</v>
      </c>
      <c r="D124" s="38" t="str">
        <f aca="false">IF($C124="","",Recurring!$C$12)</f>
        <v>Expense</v>
      </c>
      <c r="E124" s="76" t="n">
        <f aca="false">IF($C124="","",Recurring!$D$12)</f>
        <v>163.5</v>
      </c>
      <c r="F124" s="77"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46517</v>
      </c>
      <c r="G124" s="77" t="n">
        <f aca="false">IF($F124="","",IF(Recurring!$G$12="Move Before",IF(WEEKDAY($F124,2)=6,$F124-1,IF(WEEKDAY($F124,2)=7,$F124-2,$F124)),IF(Recurring!$G$12="Move After",IF(WEEKDAY($F124,2)=6,$F124+2,IF(WEEKDAY($F124,2)=7,$F124+1,$F124)),$F124)))</f>
        <v>46517</v>
      </c>
      <c r="H124" s="78" t="n">
        <f aca="false">IF($G124="",0,IF(AND($G124&gt;='Cash Flow'!$E$6,$G124&lt;'Cash Flow'!$E$6+91),1,0))</f>
        <v>0</v>
      </c>
      <c r="I124" s="78" t="str">
        <f aca="false">IF($H124=1,MAX(1,INT(($G124-'Cash Flow'!$E$6)/7)+1),"")</f>
        <v/>
      </c>
      <c r="J124" s="38" t="str">
        <f aca="false">IF($H124=1,$G124*10000+ROW(),"")</f>
        <v/>
      </c>
      <c r="K124" s="38" t="str">
        <f aca="false">IF($H124=1,$I124*1000+COUNTIFS($I$4:$I$483,$I124,$J$4:$J$483,"&lt;"&amp;$J124)+1,"")</f>
        <v/>
      </c>
    </row>
    <row r="125" customFormat="false" ht="15" hidden="false" customHeight="false" outlineLevel="0" collapsed="false">
      <c r="A125" s="46" t="n">
        <v>8</v>
      </c>
      <c r="B125" s="46" t="n">
        <v>10</v>
      </c>
      <c r="C125" s="38" t="str">
        <f aca="false">IF(OR(Recurring!$B$12="",Recurring!$H$12&lt;&gt;"Yes",Recurring!$D$12=""),"",Recurring!$B$12)</f>
        <v>Central Maine Power Co.</v>
      </c>
      <c r="D125" s="38" t="str">
        <f aca="false">IF($C125="","",Recurring!$C$12)</f>
        <v>Expense</v>
      </c>
      <c r="E125" s="76" t="n">
        <f aca="false">IF($C125="","",Recurring!$D$12)</f>
        <v>163.5</v>
      </c>
      <c r="F125" s="77"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46548</v>
      </c>
      <c r="G125" s="77" t="n">
        <f aca="false">IF($F125="","",IF(Recurring!$G$12="Move Before",IF(WEEKDAY($F125,2)=6,$F125-1,IF(WEEKDAY($F125,2)=7,$F125-2,$F125)),IF(Recurring!$G$12="Move After",IF(WEEKDAY($F125,2)=6,$F125+2,IF(WEEKDAY($F125,2)=7,$F125+1,$F125)),$F125)))</f>
        <v>46548</v>
      </c>
      <c r="H125" s="78" t="n">
        <f aca="false">IF($G125="",0,IF(AND($G125&gt;='Cash Flow'!$E$6,$G125&lt;'Cash Flow'!$E$6+91),1,0))</f>
        <v>0</v>
      </c>
      <c r="I125" s="78" t="str">
        <f aca="false">IF($H125=1,MAX(1,INT(($G125-'Cash Flow'!$E$6)/7)+1),"")</f>
        <v/>
      </c>
      <c r="J125" s="38" t="str">
        <f aca="false">IF($H125=1,$G125*10000+ROW(),"")</f>
        <v/>
      </c>
      <c r="K125" s="38" t="str">
        <f aca="false">IF($H125=1,$I125*1000+COUNTIFS($I$4:$I$483,$I125,$J$4:$J$483,"&lt;"&amp;$J125)+1,"")</f>
        <v/>
      </c>
    </row>
    <row r="126" customFormat="false" ht="15" hidden="false" customHeight="false" outlineLevel="0" collapsed="false">
      <c r="A126" s="46" t="n">
        <v>8</v>
      </c>
      <c r="B126" s="46" t="n">
        <v>11</v>
      </c>
      <c r="C126" s="38" t="str">
        <f aca="false">IF(OR(Recurring!$B$12="",Recurring!$H$12&lt;&gt;"Yes",Recurring!$D$12=""),"",Recurring!$B$12)</f>
        <v>Central Maine Power Co.</v>
      </c>
      <c r="D126" s="38" t="str">
        <f aca="false">IF($C126="","",Recurring!$C$12)</f>
        <v>Expense</v>
      </c>
      <c r="E126" s="76" t="n">
        <f aca="false">IF($C126="","",Recurring!$D$12)</f>
        <v>163.5</v>
      </c>
      <c r="F126" s="77"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46578</v>
      </c>
      <c r="G126" s="77" t="n">
        <f aca="false">IF($F126="","",IF(Recurring!$G$12="Move Before",IF(WEEKDAY($F126,2)=6,$F126-1,IF(WEEKDAY($F126,2)=7,$F126-2,$F126)),IF(Recurring!$G$12="Move After",IF(WEEKDAY($F126,2)=6,$F126+2,IF(WEEKDAY($F126,2)=7,$F126+1,$F126)),$F126)))</f>
        <v>46578</v>
      </c>
      <c r="H126" s="78" t="n">
        <f aca="false">IF($G126="",0,IF(AND($G126&gt;='Cash Flow'!$E$6,$G126&lt;'Cash Flow'!$E$6+91),1,0))</f>
        <v>0</v>
      </c>
      <c r="I126" s="78" t="str">
        <f aca="false">IF($H126=1,MAX(1,INT(($G126-'Cash Flow'!$E$6)/7)+1),"")</f>
        <v/>
      </c>
      <c r="J126" s="38" t="str">
        <f aca="false">IF($H126=1,$G126*10000+ROW(),"")</f>
        <v/>
      </c>
      <c r="K126" s="38" t="str">
        <f aca="false">IF($H126=1,$I126*1000+COUNTIFS($I$4:$I$483,$I126,$J$4:$J$483,"&lt;"&amp;$J126)+1,"")</f>
        <v/>
      </c>
    </row>
    <row r="127" customFormat="false" ht="15" hidden="false" customHeight="false" outlineLevel="0" collapsed="false">
      <c r="A127" s="46" t="n">
        <v>8</v>
      </c>
      <c r="B127" s="46" t="n">
        <v>12</v>
      </c>
      <c r="C127" s="38" t="str">
        <f aca="false">IF(OR(Recurring!$B$12="",Recurring!$H$12&lt;&gt;"Yes",Recurring!$D$12=""),"",Recurring!$B$12)</f>
        <v>Central Maine Power Co.</v>
      </c>
      <c r="D127" s="38" t="str">
        <f aca="false">IF($C127="","",Recurring!$C$12)</f>
        <v>Expense</v>
      </c>
      <c r="E127" s="76" t="n">
        <f aca="false">IF($C127="","",Recurring!$D$12)</f>
        <v>163.5</v>
      </c>
      <c r="F127" s="77"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46609</v>
      </c>
      <c r="G127" s="77" t="n">
        <f aca="false">IF($F127="","",IF(Recurring!$G$12="Move Before",IF(WEEKDAY($F127,2)=6,$F127-1,IF(WEEKDAY($F127,2)=7,$F127-2,$F127)),IF(Recurring!$G$12="Move After",IF(WEEKDAY($F127,2)=6,$F127+2,IF(WEEKDAY($F127,2)=7,$F127+1,$F127)),$F127)))</f>
        <v>46609</v>
      </c>
      <c r="H127" s="78" t="n">
        <f aca="false">IF($G127="",0,IF(AND($G127&gt;='Cash Flow'!$E$6,$G127&lt;'Cash Flow'!$E$6+91),1,0))</f>
        <v>0</v>
      </c>
      <c r="I127" s="78" t="str">
        <f aca="false">IF($H127=1,MAX(1,INT(($G127-'Cash Flow'!$E$6)/7)+1),"")</f>
        <v/>
      </c>
      <c r="J127" s="38" t="str">
        <f aca="false">IF($H127=1,$G127*10000+ROW(),"")</f>
        <v/>
      </c>
      <c r="K127" s="38" t="str">
        <f aca="false">IF($H127=1,$I127*1000+COUNTIFS($I$4:$I$483,$I127,$J$4:$J$483,"&lt;"&amp;$J127)+1,"")</f>
        <v/>
      </c>
    </row>
    <row r="128" customFormat="false" ht="15" hidden="false" customHeight="false" outlineLevel="0" collapsed="false">
      <c r="A128" s="46" t="n">
        <v>8</v>
      </c>
      <c r="B128" s="46" t="n">
        <v>13</v>
      </c>
      <c r="C128" s="38" t="str">
        <f aca="false">IF(OR(Recurring!$B$12="",Recurring!$H$12&lt;&gt;"Yes",Recurring!$D$12=""),"",Recurring!$B$12)</f>
        <v>Central Maine Power Co.</v>
      </c>
      <c r="D128" s="38" t="str">
        <f aca="false">IF($C128="","",Recurring!$C$12)</f>
        <v>Expense</v>
      </c>
      <c r="E128" s="76" t="n">
        <f aca="false">IF($C128="","",Recurring!$D$12)</f>
        <v>163.5</v>
      </c>
      <c r="F128" s="77"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46640</v>
      </c>
      <c r="G128" s="77" t="n">
        <f aca="false">IF($F128="","",IF(Recurring!$G$12="Move Before",IF(WEEKDAY($F128,2)=6,$F128-1,IF(WEEKDAY($F128,2)=7,$F128-2,$F128)),IF(Recurring!$G$12="Move After",IF(WEEKDAY($F128,2)=6,$F128+2,IF(WEEKDAY($F128,2)=7,$F128+1,$F128)),$F128)))</f>
        <v>46640</v>
      </c>
      <c r="H128" s="78" t="n">
        <f aca="false">IF($G128="",0,IF(AND($G128&gt;='Cash Flow'!$E$6,$G128&lt;'Cash Flow'!$E$6+91),1,0))</f>
        <v>0</v>
      </c>
      <c r="I128" s="78" t="str">
        <f aca="false">IF($H128=1,MAX(1,INT(($G128-'Cash Flow'!$E$6)/7)+1),"")</f>
        <v/>
      </c>
      <c r="J128" s="38" t="str">
        <f aca="false">IF($H128=1,$G128*10000+ROW(),"")</f>
        <v/>
      </c>
      <c r="K128" s="38" t="str">
        <f aca="false">IF($H128=1,$I128*1000+COUNTIFS($I$4:$I$483,$I128,$J$4:$J$483,"&lt;"&amp;$J128)+1,"")</f>
        <v/>
      </c>
    </row>
    <row r="129" customFormat="false" ht="15" hidden="false" customHeight="false" outlineLevel="0" collapsed="false">
      <c r="A129" s="46" t="n">
        <v>8</v>
      </c>
      <c r="B129" s="46" t="n">
        <v>14</v>
      </c>
      <c r="C129" s="38" t="str">
        <f aca="false">IF(OR(Recurring!$B$12="",Recurring!$H$12&lt;&gt;"Yes",Recurring!$D$12=""),"",Recurring!$B$12)</f>
        <v>Central Maine Power Co.</v>
      </c>
      <c r="D129" s="38" t="str">
        <f aca="false">IF($C129="","",Recurring!$C$12)</f>
        <v>Expense</v>
      </c>
      <c r="E129" s="76" t="n">
        <f aca="false">IF($C129="","",Recurring!$D$12)</f>
        <v>163.5</v>
      </c>
      <c r="F129" s="77"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46670</v>
      </c>
      <c r="G129" s="77" t="n">
        <f aca="false">IF($F129="","",IF(Recurring!$G$12="Move Before",IF(WEEKDAY($F129,2)=6,$F129-1,IF(WEEKDAY($F129,2)=7,$F129-2,$F129)),IF(Recurring!$G$12="Move After",IF(WEEKDAY($F129,2)=6,$F129+2,IF(WEEKDAY($F129,2)=7,$F129+1,$F129)),$F129)))</f>
        <v>46670</v>
      </c>
      <c r="H129" s="78" t="n">
        <f aca="false">IF($G129="",0,IF(AND($G129&gt;='Cash Flow'!$E$6,$G129&lt;'Cash Flow'!$E$6+91),1,0))</f>
        <v>0</v>
      </c>
      <c r="I129" s="78" t="str">
        <f aca="false">IF($H129=1,MAX(1,INT(($G129-'Cash Flow'!$E$6)/7)+1),"")</f>
        <v/>
      </c>
      <c r="J129" s="38" t="str">
        <f aca="false">IF($H129=1,$G129*10000+ROW(),"")</f>
        <v/>
      </c>
      <c r="K129" s="38" t="str">
        <f aca="false">IF($H129=1,$I129*1000+COUNTIFS($I$4:$I$483,$I129,$J$4:$J$483,"&lt;"&amp;$J129)+1,"")</f>
        <v/>
      </c>
    </row>
    <row r="130" customFormat="false" ht="15" hidden="false" customHeight="false" outlineLevel="0" collapsed="false">
      <c r="A130" s="46" t="n">
        <v>8</v>
      </c>
      <c r="B130" s="46" t="n">
        <v>15</v>
      </c>
      <c r="C130" s="38" t="str">
        <f aca="false">IF(OR(Recurring!$B$12="",Recurring!$H$12&lt;&gt;"Yes",Recurring!$D$12=""),"",Recurring!$B$12)</f>
        <v>Central Maine Power Co.</v>
      </c>
      <c r="D130" s="38" t="str">
        <f aca="false">IF($C130="","",Recurring!$C$12)</f>
        <v>Expense</v>
      </c>
      <c r="E130" s="76" t="n">
        <f aca="false">IF($C130="","",Recurring!$D$12)</f>
        <v>163.5</v>
      </c>
      <c r="F130" s="77"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46701</v>
      </c>
      <c r="G130" s="77" t="n">
        <f aca="false">IF($F130="","",IF(Recurring!$G$12="Move Before",IF(WEEKDAY($F130,2)=6,$F130-1,IF(WEEKDAY($F130,2)=7,$F130-2,$F130)),IF(Recurring!$G$12="Move After",IF(WEEKDAY($F130,2)=6,$F130+2,IF(WEEKDAY($F130,2)=7,$F130+1,$F130)),$F130)))</f>
        <v>46701</v>
      </c>
      <c r="H130" s="78" t="n">
        <f aca="false">IF($G130="",0,IF(AND($G130&gt;='Cash Flow'!$E$6,$G130&lt;'Cash Flow'!$E$6+91),1,0))</f>
        <v>0</v>
      </c>
      <c r="I130" s="78" t="str">
        <f aca="false">IF($H130=1,MAX(1,INT(($G130-'Cash Flow'!$E$6)/7)+1),"")</f>
        <v/>
      </c>
      <c r="J130" s="38" t="str">
        <f aca="false">IF($H130=1,$G130*10000+ROW(),"")</f>
        <v/>
      </c>
      <c r="K130" s="38" t="str">
        <f aca="false">IF($H130=1,$I130*1000+COUNTIFS($I$4:$I$483,$I130,$J$4:$J$483,"&lt;"&amp;$J130)+1,"")</f>
        <v/>
      </c>
    </row>
    <row r="131" customFormat="false" ht="15" hidden="false" customHeight="false" outlineLevel="0" collapsed="false">
      <c r="A131" s="46" t="n">
        <v>8</v>
      </c>
      <c r="B131" s="46" t="n">
        <v>16</v>
      </c>
      <c r="C131" s="38" t="str">
        <f aca="false">IF(OR(Recurring!$B$12="",Recurring!$H$12&lt;&gt;"Yes",Recurring!$D$12=""),"",Recurring!$B$12)</f>
        <v>Central Maine Power Co.</v>
      </c>
      <c r="D131" s="38" t="str">
        <f aca="false">IF($C131="","",Recurring!$C$12)</f>
        <v>Expense</v>
      </c>
      <c r="E131" s="76" t="n">
        <f aca="false">IF($C131="","",Recurring!$D$12)</f>
        <v>163.5</v>
      </c>
      <c r="F131" s="77"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46731</v>
      </c>
      <c r="G131" s="77" t="n">
        <f aca="false">IF($F131="","",IF(Recurring!$G$12="Move Before",IF(WEEKDAY($F131,2)=6,$F131-1,IF(WEEKDAY($F131,2)=7,$F131-2,$F131)),IF(Recurring!$G$12="Move After",IF(WEEKDAY($F131,2)=6,$F131+2,IF(WEEKDAY($F131,2)=7,$F131+1,$F131)),$F131)))</f>
        <v>46731</v>
      </c>
      <c r="H131" s="78" t="n">
        <f aca="false">IF($G131="",0,IF(AND($G131&gt;='Cash Flow'!$E$6,$G131&lt;'Cash Flow'!$E$6+91),1,0))</f>
        <v>0</v>
      </c>
      <c r="I131" s="78" t="str">
        <f aca="false">IF($H131=1,MAX(1,INT(($G131-'Cash Flow'!$E$6)/7)+1),"")</f>
        <v/>
      </c>
      <c r="J131" s="38" t="str">
        <f aca="false">IF($H131=1,$G131*10000+ROW(),"")</f>
        <v/>
      </c>
      <c r="K131" s="38" t="str">
        <f aca="false">IF($H131=1,$I131*1000+COUNTIFS($I$4:$I$483,$I131,$J$4:$J$483,"&lt;"&amp;$J131)+1,"")</f>
        <v/>
      </c>
    </row>
    <row r="132" customFormat="false" ht="15" hidden="false" customHeight="false" outlineLevel="0" collapsed="false">
      <c r="A132" s="46" t="n">
        <v>9</v>
      </c>
      <c r="B132" s="46" t="n">
        <v>1</v>
      </c>
      <c r="C132" s="38" t="str">
        <f aca="false">IF(OR(Recurring!$B$13="",Recurring!$H$13&lt;&gt;"Yes",Recurring!$D$13=""),"",Recurring!$B$13)</f>
        <v>Apple: iCloud</v>
      </c>
      <c r="D132" s="38" t="str">
        <f aca="false">IF($C132="","",Recurring!$C$13)</f>
        <v>Expense</v>
      </c>
      <c r="E132" s="76" t="n">
        <f aca="false">IF($C132="","",Recurring!$D$13)</f>
        <v>2.99</v>
      </c>
      <c r="F132" s="77"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46247</v>
      </c>
      <c r="G132" s="77" t="n">
        <f aca="false">IF($F132="","",IF(Recurring!$G$13="Move Before",IF(WEEKDAY($F132,2)=6,$F132-1,IF(WEEKDAY($F132,2)=7,$F132-2,$F132)),IF(Recurring!$G$13="Move After",IF(WEEKDAY($F132,2)=6,$F132+2,IF(WEEKDAY($F132,2)=7,$F132+1,$F132)),$F132)))</f>
        <v>46247</v>
      </c>
      <c r="H132" s="78" t="n">
        <f aca="false">IF($G132="",0,IF(AND($G132&gt;='Cash Flow'!$E$6-90,$G132&lt;'Cash Flow'!$E$6+91),1,0))</f>
        <v>1</v>
      </c>
      <c r="I132" s="78" t="n">
        <f aca="false">IF($H132=1,MAX(1,INT(($G132-'Cash Flow'!$E$6)/7)+1),"")</f>
        <v>1</v>
      </c>
      <c r="J132" s="38" t="n">
        <f aca="false">IF($H132=1,$G132*10000+ROW(),"")</f>
        <v>462470132</v>
      </c>
      <c r="K132" s="38" t="n">
        <f aca="false">IF($H132=1,$I132*1000+COUNTIFS($I$4:$I$483,$I132,$J$4:$J$483,"&lt;"&amp;$J132)+1,"")</f>
        <v>1005</v>
      </c>
    </row>
    <row r="133" customFormat="false" ht="15" hidden="false" customHeight="false" outlineLevel="0" collapsed="false">
      <c r="A133" s="46" t="n">
        <v>9</v>
      </c>
      <c r="B133" s="46" t="n">
        <v>2</v>
      </c>
      <c r="C133" s="38" t="str">
        <f aca="false">IF(OR(Recurring!$B$13="",Recurring!$H$13&lt;&gt;"Yes",Recurring!$D$13=""),"",Recurring!$B$13)</f>
        <v>Apple: iCloud</v>
      </c>
      <c r="D133" s="38" t="str">
        <f aca="false">IF($C133="","",Recurring!$C$13)</f>
        <v>Expense</v>
      </c>
      <c r="E133" s="76" t="n">
        <f aca="false">IF($C133="","",Recurring!$D$13)</f>
        <v>2.99</v>
      </c>
      <c r="F133" s="77"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46278</v>
      </c>
      <c r="G133" s="77" t="n">
        <f aca="false">IF($F133="","",IF(Recurring!$G$13="Move Before",IF(WEEKDAY($F133,2)=6,$F133-1,IF(WEEKDAY($F133,2)=7,$F133-2,$F133)),IF(Recurring!$G$13="Move After",IF(WEEKDAY($F133,2)=6,$F133+2,IF(WEEKDAY($F133,2)=7,$F133+1,$F133)),$F133)))</f>
        <v>46278</v>
      </c>
      <c r="H133" s="78" t="n">
        <f aca="false">IF($G133="",0,IF(AND($G133&gt;='Cash Flow'!$E$6,$G133&lt;'Cash Flow'!$E$6+91),1,0))</f>
        <v>1</v>
      </c>
      <c r="I133" s="78" t="n">
        <f aca="false">IF($H133=1,MAX(1,INT(($G133-'Cash Flow'!$E$6)/7)+1),"")</f>
        <v>6</v>
      </c>
      <c r="J133" s="38" t="n">
        <f aca="false">IF($H133=1,$G133*10000+ROW(),"")</f>
        <v>462780133</v>
      </c>
      <c r="K133" s="38" t="n">
        <f aca="false">IF($H133=1,$I133*1000+COUNTIFS($I$4:$I$483,$I133,$J$4:$J$483,"&lt;"&amp;$J133)+1,"")</f>
        <v>6002</v>
      </c>
    </row>
    <row r="134" customFormat="false" ht="15" hidden="false" customHeight="false" outlineLevel="0" collapsed="false">
      <c r="A134" s="46" t="n">
        <v>9</v>
      </c>
      <c r="B134" s="46" t="n">
        <v>3</v>
      </c>
      <c r="C134" s="38" t="str">
        <f aca="false">IF(OR(Recurring!$B$13="",Recurring!$H$13&lt;&gt;"Yes",Recurring!$D$13=""),"",Recurring!$B$13)</f>
        <v>Apple: iCloud</v>
      </c>
      <c r="D134" s="38" t="str">
        <f aca="false">IF($C134="","",Recurring!$C$13)</f>
        <v>Expense</v>
      </c>
      <c r="E134" s="76" t="n">
        <f aca="false">IF($C134="","",Recurring!$D$13)</f>
        <v>2.99</v>
      </c>
      <c r="F134" s="77"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46308</v>
      </c>
      <c r="G134" s="77" t="n">
        <f aca="false">IF($F134="","",IF(Recurring!$G$13="Move Before",IF(WEEKDAY($F134,2)=6,$F134-1,IF(WEEKDAY($F134,2)=7,$F134-2,$F134)),IF(Recurring!$G$13="Move After",IF(WEEKDAY($F134,2)=6,$F134+2,IF(WEEKDAY($F134,2)=7,$F134+1,$F134)),$F134)))</f>
        <v>46308</v>
      </c>
      <c r="H134" s="78" t="n">
        <f aca="false">IF($G134="",0,IF(AND($G134&gt;='Cash Flow'!$E$6,$G134&lt;'Cash Flow'!$E$6+91),1,0))</f>
        <v>1</v>
      </c>
      <c r="I134" s="78" t="n">
        <f aca="false">IF($H134=1,MAX(1,INT(($G134-'Cash Flow'!$E$6)/7)+1),"")</f>
        <v>10</v>
      </c>
      <c r="J134" s="38" t="n">
        <f aca="false">IF($H134=1,$G134*10000+ROW(),"")</f>
        <v>463080134</v>
      </c>
      <c r="K134" s="38" t="n">
        <f aca="false">IF($H134=1,$I134*1000+COUNTIFS($I$4:$I$483,$I134,$J$4:$J$483,"&lt;"&amp;$J134)+1,"")</f>
        <v>10003</v>
      </c>
    </row>
    <row r="135" customFormat="false" ht="15" hidden="false" customHeight="false" outlineLevel="0" collapsed="false">
      <c r="A135" s="46" t="n">
        <v>9</v>
      </c>
      <c r="B135" s="46" t="n">
        <v>4</v>
      </c>
      <c r="C135" s="38" t="str">
        <f aca="false">IF(OR(Recurring!$B$13="",Recurring!$H$13&lt;&gt;"Yes",Recurring!$D$13=""),"",Recurring!$B$13)</f>
        <v>Apple: iCloud</v>
      </c>
      <c r="D135" s="38" t="str">
        <f aca="false">IF($C135="","",Recurring!$C$13)</f>
        <v>Expense</v>
      </c>
      <c r="E135" s="76" t="n">
        <f aca="false">IF($C135="","",Recurring!$D$13)</f>
        <v>2.99</v>
      </c>
      <c r="F135" s="77"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46339</v>
      </c>
      <c r="G135" s="77" t="n">
        <f aca="false">IF($F135="","",IF(Recurring!$G$13="Move Before",IF(WEEKDAY($F135,2)=6,$F135-1,IF(WEEKDAY($F135,2)=7,$F135-2,$F135)),IF(Recurring!$G$13="Move After",IF(WEEKDAY($F135,2)=6,$F135+2,IF(WEEKDAY($F135,2)=7,$F135+1,$F135)),$F135)))</f>
        <v>46339</v>
      </c>
      <c r="H135" s="78" t="n">
        <f aca="false">IF($G135="",0,IF(AND($G135&gt;='Cash Flow'!$E$6,$G135&lt;'Cash Flow'!$E$6+91),1,0))</f>
        <v>0</v>
      </c>
      <c r="I135" s="78" t="str">
        <f aca="false">IF($H135=1,MAX(1,INT(($G135-'Cash Flow'!$E$6)/7)+1),"")</f>
        <v/>
      </c>
      <c r="J135" s="38" t="str">
        <f aca="false">IF($H135=1,$G135*10000+ROW(),"")</f>
        <v/>
      </c>
      <c r="K135" s="38" t="str">
        <f aca="false">IF($H135=1,$I135*1000+COUNTIFS($I$4:$I$483,$I135,$J$4:$J$483,"&lt;"&amp;$J135)+1,"")</f>
        <v/>
      </c>
    </row>
    <row r="136" customFormat="false" ht="15" hidden="false" customHeight="false" outlineLevel="0" collapsed="false">
      <c r="A136" s="46" t="n">
        <v>9</v>
      </c>
      <c r="B136" s="46" t="n">
        <v>5</v>
      </c>
      <c r="C136" s="38" t="str">
        <f aca="false">IF(OR(Recurring!$B$13="",Recurring!$H$13&lt;&gt;"Yes",Recurring!$D$13=""),"",Recurring!$B$13)</f>
        <v>Apple: iCloud</v>
      </c>
      <c r="D136" s="38" t="str">
        <f aca="false">IF($C136="","",Recurring!$C$13)</f>
        <v>Expense</v>
      </c>
      <c r="E136" s="76" t="n">
        <f aca="false">IF($C136="","",Recurring!$D$13)</f>
        <v>2.99</v>
      </c>
      <c r="F136" s="77"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46369</v>
      </c>
      <c r="G136" s="77" t="n">
        <f aca="false">IF($F136="","",IF(Recurring!$G$13="Move Before",IF(WEEKDAY($F136,2)=6,$F136-1,IF(WEEKDAY($F136,2)=7,$F136-2,$F136)),IF(Recurring!$G$13="Move After",IF(WEEKDAY($F136,2)=6,$F136+2,IF(WEEKDAY($F136,2)=7,$F136+1,$F136)),$F136)))</f>
        <v>46369</v>
      </c>
      <c r="H136" s="78" t="n">
        <f aca="false">IF($G136="",0,IF(AND($G136&gt;='Cash Flow'!$E$6,$G136&lt;'Cash Flow'!$E$6+91),1,0))</f>
        <v>0</v>
      </c>
      <c r="I136" s="78" t="str">
        <f aca="false">IF($H136=1,MAX(1,INT(($G136-'Cash Flow'!$E$6)/7)+1),"")</f>
        <v/>
      </c>
      <c r="J136" s="38" t="str">
        <f aca="false">IF($H136=1,$G136*10000+ROW(),"")</f>
        <v/>
      </c>
      <c r="K136" s="38" t="str">
        <f aca="false">IF($H136=1,$I136*1000+COUNTIFS($I$4:$I$483,$I136,$J$4:$J$483,"&lt;"&amp;$J136)+1,"")</f>
        <v/>
      </c>
    </row>
    <row r="137" customFormat="false" ht="15" hidden="false" customHeight="false" outlineLevel="0" collapsed="false">
      <c r="A137" s="46" t="n">
        <v>9</v>
      </c>
      <c r="B137" s="46" t="n">
        <v>6</v>
      </c>
      <c r="C137" s="38" t="str">
        <f aca="false">IF(OR(Recurring!$B$13="",Recurring!$H$13&lt;&gt;"Yes",Recurring!$D$13=""),"",Recurring!$B$13)</f>
        <v>Apple: iCloud</v>
      </c>
      <c r="D137" s="38" t="str">
        <f aca="false">IF($C137="","",Recurring!$C$13)</f>
        <v>Expense</v>
      </c>
      <c r="E137" s="76" t="n">
        <f aca="false">IF($C137="","",Recurring!$D$13)</f>
        <v>2.99</v>
      </c>
      <c r="F137" s="77"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46400</v>
      </c>
      <c r="G137" s="77" t="n">
        <f aca="false">IF($F137="","",IF(Recurring!$G$13="Move Before",IF(WEEKDAY($F137,2)=6,$F137-1,IF(WEEKDAY($F137,2)=7,$F137-2,$F137)),IF(Recurring!$G$13="Move After",IF(WEEKDAY($F137,2)=6,$F137+2,IF(WEEKDAY($F137,2)=7,$F137+1,$F137)),$F137)))</f>
        <v>46400</v>
      </c>
      <c r="H137" s="78" t="n">
        <f aca="false">IF($G137="",0,IF(AND($G137&gt;='Cash Flow'!$E$6,$G137&lt;'Cash Flow'!$E$6+91),1,0))</f>
        <v>0</v>
      </c>
      <c r="I137" s="78" t="str">
        <f aca="false">IF($H137=1,MAX(1,INT(($G137-'Cash Flow'!$E$6)/7)+1),"")</f>
        <v/>
      </c>
      <c r="J137" s="38" t="str">
        <f aca="false">IF($H137=1,$G137*10000+ROW(),"")</f>
        <v/>
      </c>
      <c r="K137" s="38" t="str">
        <f aca="false">IF($H137=1,$I137*1000+COUNTIFS($I$4:$I$483,$I137,$J$4:$J$483,"&lt;"&amp;$J137)+1,"")</f>
        <v/>
      </c>
    </row>
    <row r="138" customFormat="false" ht="15" hidden="false" customHeight="false" outlineLevel="0" collapsed="false">
      <c r="A138" s="46" t="n">
        <v>9</v>
      </c>
      <c r="B138" s="46" t="n">
        <v>7</v>
      </c>
      <c r="C138" s="38" t="str">
        <f aca="false">IF(OR(Recurring!$B$13="",Recurring!$H$13&lt;&gt;"Yes",Recurring!$D$13=""),"",Recurring!$B$13)</f>
        <v>Apple: iCloud</v>
      </c>
      <c r="D138" s="38" t="str">
        <f aca="false">IF($C138="","",Recurring!$C$13)</f>
        <v>Expense</v>
      </c>
      <c r="E138" s="76" t="n">
        <f aca="false">IF($C138="","",Recurring!$D$13)</f>
        <v>2.99</v>
      </c>
      <c r="F138" s="77"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46431</v>
      </c>
      <c r="G138" s="77" t="n">
        <f aca="false">IF($F138="","",IF(Recurring!$G$13="Move Before",IF(WEEKDAY($F138,2)=6,$F138-1,IF(WEEKDAY($F138,2)=7,$F138-2,$F138)),IF(Recurring!$G$13="Move After",IF(WEEKDAY($F138,2)=6,$F138+2,IF(WEEKDAY($F138,2)=7,$F138+1,$F138)),$F138)))</f>
        <v>46431</v>
      </c>
      <c r="H138" s="78" t="n">
        <f aca="false">IF($G138="",0,IF(AND($G138&gt;='Cash Flow'!$E$6,$G138&lt;'Cash Flow'!$E$6+91),1,0))</f>
        <v>0</v>
      </c>
      <c r="I138" s="78" t="str">
        <f aca="false">IF($H138=1,MAX(1,INT(($G138-'Cash Flow'!$E$6)/7)+1),"")</f>
        <v/>
      </c>
      <c r="J138" s="38" t="str">
        <f aca="false">IF($H138=1,$G138*10000+ROW(),"")</f>
        <v/>
      </c>
      <c r="K138" s="38" t="str">
        <f aca="false">IF($H138=1,$I138*1000+COUNTIFS($I$4:$I$483,$I138,$J$4:$J$483,"&lt;"&amp;$J138)+1,"")</f>
        <v/>
      </c>
    </row>
    <row r="139" customFormat="false" ht="15" hidden="false" customHeight="false" outlineLevel="0" collapsed="false">
      <c r="A139" s="46" t="n">
        <v>9</v>
      </c>
      <c r="B139" s="46" t="n">
        <v>8</v>
      </c>
      <c r="C139" s="38" t="str">
        <f aca="false">IF(OR(Recurring!$B$13="",Recurring!$H$13&lt;&gt;"Yes",Recurring!$D$13=""),"",Recurring!$B$13)</f>
        <v>Apple: iCloud</v>
      </c>
      <c r="D139" s="38" t="str">
        <f aca="false">IF($C139="","",Recurring!$C$13)</f>
        <v>Expense</v>
      </c>
      <c r="E139" s="76" t="n">
        <f aca="false">IF($C139="","",Recurring!$D$13)</f>
        <v>2.99</v>
      </c>
      <c r="F139" s="77"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46459</v>
      </c>
      <c r="G139" s="77" t="n">
        <f aca="false">IF($F139="","",IF(Recurring!$G$13="Move Before",IF(WEEKDAY($F139,2)=6,$F139-1,IF(WEEKDAY($F139,2)=7,$F139-2,$F139)),IF(Recurring!$G$13="Move After",IF(WEEKDAY($F139,2)=6,$F139+2,IF(WEEKDAY($F139,2)=7,$F139+1,$F139)),$F139)))</f>
        <v>46459</v>
      </c>
      <c r="H139" s="78" t="n">
        <f aca="false">IF($G139="",0,IF(AND($G139&gt;='Cash Flow'!$E$6,$G139&lt;'Cash Flow'!$E$6+91),1,0))</f>
        <v>0</v>
      </c>
      <c r="I139" s="78" t="str">
        <f aca="false">IF($H139=1,MAX(1,INT(($G139-'Cash Flow'!$E$6)/7)+1),"")</f>
        <v/>
      </c>
      <c r="J139" s="38" t="str">
        <f aca="false">IF($H139=1,$G139*10000+ROW(),"")</f>
        <v/>
      </c>
      <c r="K139" s="38" t="str">
        <f aca="false">IF($H139=1,$I139*1000+COUNTIFS($I$4:$I$483,$I139,$J$4:$J$483,"&lt;"&amp;$J139)+1,"")</f>
        <v/>
      </c>
    </row>
    <row r="140" customFormat="false" ht="15" hidden="false" customHeight="false" outlineLevel="0" collapsed="false">
      <c r="A140" s="46" t="n">
        <v>9</v>
      </c>
      <c r="B140" s="46" t="n">
        <v>9</v>
      </c>
      <c r="C140" s="38" t="str">
        <f aca="false">IF(OR(Recurring!$B$13="",Recurring!$H$13&lt;&gt;"Yes",Recurring!$D$13=""),"",Recurring!$B$13)</f>
        <v>Apple: iCloud</v>
      </c>
      <c r="D140" s="38" t="str">
        <f aca="false">IF($C140="","",Recurring!$C$13)</f>
        <v>Expense</v>
      </c>
      <c r="E140" s="76" t="n">
        <f aca="false">IF($C140="","",Recurring!$D$13)</f>
        <v>2.99</v>
      </c>
      <c r="F140" s="77"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46490</v>
      </c>
      <c r="G140" s="77" t="n">
        <f aca="false">IF($F140="","",IF(Recurring!$G$13="Move Before",IF(WEEKDAY($F140,2)=6,$F140-1,IF(WEEKDAY($F140,2)=7,$F140-2,$F140)),IF(Recurring!$G$13="Move After",IF(WEEKDAY($F140,2)=6,$F140+2,IF(WEEKDAY($F140,2)=7,$F140+1,$F140)),$F140)))</f>
        <v>46490</v>
      </c>
      <c r="H140" s="78" t="n">
        <f aca="false">IF($G140="",0,IF(AND($G140&gt;='Cash Flow'!$E$6,$G140&lt;'Cash Flow'!$E$6+91),1,0))</f>
        <v>0</v>
      </c>
      <c r="I140" s="78" t="str">
        <f aca="false">IF($H140=1,MAX(1,INT(($G140-'Cash Flow'!$E$6)/7)+1),"")</f>
        <v/>
      </c>
      <c r="J140" s="38" t="str">
        <f aca="false">IF($H140=1,$G140*10000+ROW(),"")</f>
        <v/>
      </c>
      <c r="K140" s="38" t="str">
        <f aca="false">IF($H140=1,$I140*1000+COUNTIFS($I$4:$I$483,$I140,$J$4:$J$483,"&lt;"&amp;$J140)+1,"")</f>
        <v/>
      </c>
    </row>
    <row r="141" customFormat="false" ht="15" hidden="false" customHeight="false" outlineLevel="0" collapsed="false">
      <c r="A141" s="46" t="n">
        <v>9</v>
      </c>
      <c r="B141" s="46" t="n">
        <v>10</v>
      </c>
      <c r="C141" s="38" t="str">
        <f aca="false">IF(OR(Recurring!$B$13="",Recurring!$H$13&lt;&gt;"Yes",Recurring!$D$13=""),"",Recurring!$B$13)</f>
        <v>Apple: iCloud</v>
      </c>
      <c r="D141" s="38" t="str">
        <f aca="false">IF($C141="","",Recurring!$C$13)</f>
        <v>Expense</v>
      </c>
      <c r="E141" s="76" t="n">
        <f aca="false">IF($C141="","",Recurring!$D$13)</f>
        <v>2.99</v>
      </c>
      <c r="F141" s="77"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46520</v>
      </c>
      <c r="G141" s="77" t="n">
        <f aca="false">IF($F141="","",IF(Recurring!$G$13="Move Before",IF(WEEKDAY($F141,2)=6,$F141-1,IF(WEEKDAY($F141,2)=7,$F141-2,$F141)),IF(Recurring!$G$13="Move After",IF(WEEKDAY($F141,2)=6,$F141+2,IF(WEEKDAY($F141,2)=7,$F141+1,$F141)),$F141)))</f>
        <v>46520</v>
      </c>
      <c r="H141" s="78" t="n">
        <f aca="false">IF($G141="",0,IF(AND($G141&gt;='Cash Flow'!$E$6,$G141&lt;'Cash Flow'!$E$6+91),1,0))</f>
        <v>0</v>
      </c>
      <c r="I141" s="78" t="str">
        <f aca="false">IF($H141=1,MAX(1,INT(($G141-'Cash Flow'!$E$6)/7)+1),"")</f>
        <v/>
      </c>
      <c r="J141" s="38" t="str">
        <f aca="false">IF($H141=1,$G141*10000+ROW(),"")</f>
        <v/>
      </c>
      <c r="K141" s="38" t="str">
        <f aca="false">IF($H141=1,$I141*1000+COUNTIFS($I$4:$I$483,$I141,$J$4:$J$483,"&lt;"&amp;$J141)+1,"")</f>
        <v/>
      </c>
    </row>
    <row r="142" customFormat="false" ht="15" hidden="false" customHeight="false" outlineLevel="0" collapsed="false">
      <c r="A142" s="46" t="n">
        <v>9</v>
      </c>
      <c r="B142" s="46" t="n">
        <v>11</v>
      </c>
      <c r="C142" s="38" t="str">
        <f aca="false">IF(OR(Recurring!$B$13="",Recurring!$H$13&lt;&gt;"Yes",Recurring!$D$13=""),"",Recurring!$B$13)</f>
        <v>Apple: iCloud</v>
      </c>
      <c r="D142" s="38" t="str">
        <f aca="false">IF($C142="","",Recurring!$C$13)</f>
        <v>Expense</v>
      </c>
      <c r="E142" s="76" t="n">
        <f aca="false">IF($C142="","",Recurring!$D$13)</f>
        <v>2.99</v>
      </c>
      <c r="F142" s="77"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46551</v>
      </c>
      <c r="G142" s="77" t="n">
        <f aca="false">IF($F142="","",IF(Recurring!$G$13="Move Before",IF(WEEKDAY($F142,2)=6,$F142-1,IF(WEEKDAY($F142,2)=7,$F142-2,$F142)),IF(Recurring!$G$13="Move After",IF(WEEKDAY($F142,2)=6,$F142+2,IF(WEEKDAY($F142,2)=7,$F142+1,$F142)),$F142)))</f>
        <v>46551</v>
      </c>
      <c r="H142" s="78" t="n">
        <f aca="false">IF($G142="",0,IF(AND($G142&gt;='Cash Flow'!$E$6,$G142&lt;'Cash Flow'!$E$6+91),1,0))</f>
        <v>0</v>
      </c>
      <c r="I142" s="78" t="str">
        <f aca="false">IF($H142=1,MAX(1,INT(($G142-'Cash Flow'!$E$6)/7)+1),"")</f>
        <v/>
      </c>
      <c r="J142" s="38" t="str">
        <f aca="false">IF($H142=1,$G142*10000+ROW(),"")</f>
        <v/>
      </c>
      <c r="K142" s="38" t="str">
        <f aca="false">IF($H142=1,$I142*1000+COUNTIFS($I$4:$I$483,$I142,$J$4:$J$483,"&lt;"&amp;$J142)+1,"")</f>
        <v/>
      </c>
    </row>
    <row r="143" customFormat="false" ht="15" hidden="false" customHeight="false" outlineLevel="0" collapsed="false">
      <c r="A143" s="46" t="n">
        <v>9</v>
      </c>
      <c r="B143" s="46" t="n">
        <v>12</v>
      </c>
      <c r="C143" s="38" t="str">
        <f aca="false">IF(OR(Recurring!$B$13="",Recurring!$H$13&lt;&gt;"Yes",Recurring!$D$13=""),"",Recurring!$B$13)</f>
        <v>Apple: iCloud</v>
      </c>
      <c r="D143" s="38" t="str">
        <f aca="false">IF($C143="","",Recurring!$C$13)</f>
        <v>Expense</v>
      </c>
      <c r="E143" s="76" t="n">
        <f aca="false">IF($C143="","",Recurring!$D$13)</f>
        <v>2.99</v>
      </c>
      <c r="F143" s="77"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46581</v>
      </c>
      <c r="G143" s="77" t="n">
        <f aca="false">IF($F143="","",IF(Recurring!$G$13="Move Before",IF(WEEKDAY($F143,2)=6,$F143-1,IF(WEEKDAY($F143,2)=7,$F143-2,$F143)),IF(Recurring!$G$13="Move After",IF(WEEKDAY($F143,2)=6,$F143+2,IF(WEEKDAY($F143,2)=7,$F143+1,$F143)),$F143)))</f>
        <v>46581</v>
      </c>
      <c r="H143" s="78" t="n">
        <f aca="false">IF($G143="",0,IF(AND($G143&gt;='Cash Flow'!$E$6,$G143&lt;'Cash Flow'!$E$6+91),1,0))</f>
        <v>0</v>
      </c>
      <c r="I143" s="78" t="str">
        <f aca="false">IF($H143=1,MAX(1,INT(($G143-'Cash Flow'!$E$6)/7)+1),"")</f>
        <v/>
      </c>
      <c r="J143" s="38" t="str">
        <f aca="false">IF($H143=1,$G143*10000+ROW(),"")</f>
        <v/>
      </c>
      <c r="K143" s="38" t="str">
        <f aca="false">IF($H143=1,$I143*1000+COUNTIFS($I$4:$I$483,$I143,$J$4:$J$483,"&lt;"&amp;$J143)+1,"")</f>
        <v/>
      </c>
    </row>
    <row r="144" customFormat="false" ht="15" hidden="false" customHeight="false" outlineLevel="0" collapsed="false">
      <c r="A144" s="46" t="n">
        <v>9</v>
      </c>
      <c r="B144" s="46" t="n">
        <v>13</v>
      </c>
      <c r="C144" s="38" t="str">
        <f aca="false">IF(OR(Recurring!$B$13="",Recurring!$H$13&lt;&gt;"Yes",Recurring!$D$13=""),"",Recurring!$B$13)</f>
        <v>Apple: iCloud</v>
      </c>
      <c r="D144" s="38" t="str">
        <f aca="false">IF($C144="","",Recurring!$C$13)</f>
        <v>Expense</v>
      </c>
      <c r="E144" s="76" t="n">
        <f aca="false">IF($C144="","",Recurring!$D$13)</f>
        <v>2.99</v>
      </c>
      <c r="F144" s="77"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46612</v>
      </c>
      <c r="G144" s="77" t="n">
        <f aca="false">IF($F144="","",IF(Recurring!$G$13="Move Before",IF(WEEKDAY($F144,2)=6,$F144-1,IF(WEEKDAY($F144,2)=7,$F144-2,$F144)),IF(Recurring!$G$13="Move After",IF(WEEKDAY($F144,2)=6,$F144+2,IF(WEEKDAY($F144,2)=7,$F144+1,$F144)),$F144)))</f>
        <v>46612</v>
      </c>
      <c r="H144" s="78" t="n">
        <f aca="false">IF($G144="",0,IF(AND($G144&gt;='Cash Flow'!$E$6,$G144&lt;'Cash Flow'!$E$6+91),1,0))</f>
        <v>0</v>
      </c>
      <c r="I144" s="78" t="str">
        <f aca="false">IF($H144=1,MAX(1,INT(($G144-'Cash Flow'!$E$6)/7)+1),"")</f>
        <v/>
      </c>
      <c r="J144" s="38" t="str">
        <f aca="false">IF($H144=1,$G144*10000+ROW(),"")</f>
        <v/>
      </c>
      <c r="K144" s="38" t="str">
        <f aca="false">IF($H144=1,$I144*1000+COUNTIFS($I$4:$I$483,$I144,$J$4:$J$483,"&lt;"&amp;$J144)+1,"")</f>
        <v/>
      </c>
    </row>
    <row r="145" customFormat="false" ht="15" hidden="false" customHeight="false" outlineLevel="0" collapsed="false">
      <c r="A145" s="46" t="n">
        <v>9</v>
      </c>
      <c r="B145" s="46" t="n">
        <v>14</v>
      </c>
      <c r="C145" s="38" t="str">
        <f aca="false">IF(OR(Recurring!$B$13="",Recurring!$H$13&lt;&gt;"Yes",Recurring!$D$13=""),"",Recurring!$B$13)</f>
        <v>Apple: iCloud</v>
      </c>
      <c r="D145" s="38" t="str">
        <f aca="false">IF($C145="","",Recurring!$C$13)</f>
        <v>Expense</v>
      </c>
      <c r="E145" s="76" t="n">
        <f aca="false">IF($C145="","",Recurring!$D$13)</f>
        <v>2.99</v>
      </c>
      <c r="F145" s="77"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46643</v>
      </c>
      <c r="G145" s="77" t="n">
        <f aca="false">IF($F145="","",IF(Recurring!$G$13="Move Before",IF(WEEKDAY($F145,2)=6,$F145-1,IF(WEEKDAY($F145,2)=7,$F145-2,$F145)),IF(Recurring!$G$13="Move After",IF(WEEKDAY($F145,2)=6,$F145+2,IF(WEEKDAY($F145,2)=7,$F145+1,$F145)),$F145)))</f>
        <v>46643</v>
      </c>
      <c r="H145" s="78" t="n">
        <f aca="false">IF($G145="",0,IF(AND($G145&gt;='Cash Flow'!$E$6,$G145&lt;'Cash Flow'!$E$6+91),1,0))</f>
        <v>0</v>
      </c>
      <c r="I145" s="78" t="str">
        <f aca="false">IF($H145=1,MAX(1,INT(($G145-'Cash Flow'!$E$6)/7)+1),"")</f>
        <v/>
      </c>
      <c r="J145" s="38" t="str">
        <f aca="false">IF($H145=1,$G145*10000+ROW(),"")</f>
        <v/>
      </c>
      <c r="K145" s="38" t="str">
        <f aca="false">IF($H145=1,$I145*1000+COUNTIFS($I$4:$I$483,$I145,$J$4:$J$483,"&lt;"&amp;$J145)+1,"")</f>
        <v/>
      </c>
    </row>
    <row r="146" customFormat="false" ht="15" hidden="false" customHeight="false" outlineLevel="0" collapsed="false">
      <c r="A146" s="46" t="n">
        <v>9</v>
      </c>
      <c r="B146" s="46" t="n">
        <v>15</v>
      </c>
      <c r="C146" s="38" t="str">
        <f aca="false">IF(OR(Recurring!$B$13="",Recurring!$H$13&lt;&gt;"Yes",Recurring!$D$13=""),"",Recurring!$B$13)</f>
        <v>Apple: iCloud</v>
      </c>
      <c r="D146" s="38" t="str">
        <f aca="false">IF($C146="","",Recurring!$C$13)</f>
        <v>Expense</v>
      </c>
      <c r="E146" s="76" t="n">
        <f aca="false">IF($C146="","",Recurring!$D$13)</f>
        <v>2.99</v>
      </c>
      <c r="F146" s="77"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46673</v>
      </c>
      <c r="G146" s="77" t="n">
        <f aca="false">IF($F146="","",IF(Recurring!$G$13="Move Before",IF(WEEKDAY($F146,2)=6,$F146-1,IF(WEEKDAY($F146,2)=7,$F146-2,$F146)),IF(Recurring!$G$13="Move After",IF(WEEKDAY($F146,2)=6,$F146+2,IF(WEEKDAY($F146,2)=7,$F146+1,$F146)),$F146)))</f>
        <v>46673</v>
      </c>
      <c r="H146" s="78" t="n">
        <f aca="false">IF($G146="",0,IF(AND($G146&gt;='Cash Flow'!$E$6,$G146&lt;'Cash Flow'!$E$6+91),1,0))</f>
        <v>0</v>
      </c>
      <c r="I146" s="78" t="str">
        <f aca="false">IF($H146=1,MAX(1,INT(($G146-'Cash Flow'!$E$6)/7)+1),"")</f>
        <v/>
      </c>
      <c r="J146" s="38" t="str">
        <f aca="false">IF($H146=1,$G146*10000+ROW(),"")</f>
        <v/>
      </c>
      <c r="K146" s="38" t="str">
        <f aca="false">IF($H146=1,$I146*1000+COUNTIFS($I$4:$I$483,$I146,$J$4:$J$483,"&lt;"&amp;$J146)+1,"")</f>
        <v/>
      </c>
    </row>
    <row r="147" customFormat="false" ht="15" hidden="false" customHeight="false" outlineLevel="0" collapsed="false">
      <c r="A147" s="46" t="n">
        <v>9</v>
      </c>
      <c r="B147" s="46" t="n">
        <v>16</v>
      </c>
      <c r="C147" s="38" t="str">
        <f aca="false">IF(OR(Recurring!$B$13="",Recurring!$H$13&lt;&gt;"Yes",Recurring!$D$13=""),"",Recurring!$B$13)</f>
        <v>Apple: iCloud</v>
      </c>
      <c r="D147" s="38" t="str">
        <f aca="false">IF($C147="","",Recurring!$C$13)</f>
        <v>Expense</v>
      </c>
      <c r="E147" s="76" t="n">
        <f aca="false">IF($C147="","",Recurring!$D$13)</f>
        <v>2.99</v>
      </c>
      <c r="F147" s="77"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46704</v>
      </c>
      <c r="G147" s="77" t="n">
        <f aca="false">IF($F147="","",IF(Recurring!$G$13="Move Before",IF(WEEKDAY($F147,2)=6,$F147-1,IF(WEEKDAY($F147,2)=7,$F147-2,$F147)),IF(Recurring!$G$13="Move After",IF(WEEKDAY($F147,2)=6,$F147+2,IF(WEEKDAY($F147,2)=7,$F147+1,$F147)),$F147)))</f>
        <v>46704</v>
      </c>
      <c r="H147" s="78" t="n">
        <f aca="false">IF($G147="",0,IF(AND($G147&gt;='Cash Flow'!$E$6,$G147&lt;'Cash Flow'!$E$6+91),1,0))</f>
        <v>0</v>
      </c>
      <c r="I147" s="78" t="str">
        <f aca="false">IF($H147=1,MAX(1,INT(($G147-'Cash Flow'!$E$6)/7)+1),"")</f>
        <v/>
      </c>
      <c r="J147" s="38" t="str">
        <f aca="false">IF($H147=1,$G147*10000+ROW(),"")</f>
        <v/>
      </c>
      <c r="K147" s="38" t="str">
        <f aca="false">IF($H147=1,$I147*1000+COUNTIFS($I$4:$I$483,$I147,$J$4:$J$483,"&lt;"&amp;$J147)+1,"")</f>
        <v/>
      </c>
    </row>
    <row r="148" customFormat="false" ht="15" hidden="false" customHeight="false" outlineLevel="0" collapsed="false">
      <c r="A148" s="46" t="n">
        <v>10</v>
      </c>
      <c r="B148" s="46" t="n">
        <v>1</v>
      </c>
      <c r="C148" s="38" t="str">
        <f aca="false">IF(OR(Recurring!$B$14="",Recurring!$H$14&lt;&gt;"Yes",Recurring!$D$14=""),"",Recurring!$B$14)</f>
        <v>Patrick Rombalski (rent)</v>
      </c>
      <c r="D148" s="38" t="str">
        <f aca="false">IF($C148="","",Recurring!$C$14)</f>
        <v>Expense</v>
      </c>
      <c r="E148" s="76" t="n">
        <f aca="false">IF($C148="","",Recurring!$D$14)</f>
        <v>350</v>
      </c>
      <c r="F148" s="77"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46249</v>
      </c>
      <c r="G148" s="77" t="n">
        <f aca="false">IF($F148="","",IF(Recurring!$G$14="Move Before",IF(WEEKDAY($F148,2)=6,$F148-1,IF(WEEKDAY($F148,2)=7,$F148-2,$F148)),IF(Recurring!$G$14="Move After",IF(WEEKDAY($F148,2)=6,$F148+2,IF(WEEKDAY($F148,2)=7,$F148+1,$F148)),$F148)))</f>
        <v>46248</v>
      </c>
      <c r="H148" s="78" t="n">
        <f aca="false">IF($G148="",0,IF(AND($G148&gt;='Cash Flow'!$E$6-90,$G148&lt;'Cash Flow'!$E$6+91),1,0))</f>
        <v>1</v>
      </c>
      <c r="I148" s="78" t="n">
        <f aca="false">IF($H148=1,MAX(1,INT(($G148-'Cash Flow'!$E$6)/7)+1),"")</f>
        <v>2</v>
      </c>
      <c r="J148" s="38" t="n">
        <f aca="false">IF($H148=1,$G148*10000+ROW(),"")</f>
        <v>462480148</v>
      </c>
      <c r="K148" s="38" t="n">
        <f aca="false">IF($H148=1,$I148*1000+COUNTIFS($I$4:$I$483,$I148,$J$4:$J$483,"&lt;"&amp;$J148)+1,"")</f>
        <v>2002</v>
      </c>
    </row>
    <row r="149" customFormat="false" ht="15" hidden="false" customHeight="false" outlineLevel="0" collapsed="false">
      <c r="A149" s="46" t="n">
        <v>10</v>
      </c>
      <c r="B149" s="46" t="n">
        <v>2</v>
      </c>
      <c r="C149" s="38" t="str">
        <f aca="false">IF(OR(Recurring!$B$14="",Recurring!$H$14&lt;&gt;"Yes",Recurring!$D$14=""),"",Recurring!$B$14)</f>
        <v>Patrick Rombalski (rent)</v>
      </c>
      <c r="D149" s="38" t="str">
        <f aca="false">IF($C149="","",Recurring!$C$14)</f>
        <v>Expense</v>
      </c>
      <c r="E149" s="76" t="n">
        <f aca="false">IF($C149="","",Recurring!$D$14)</f>
        <v>350</v>
      </c>
      <c r="F149" s="77"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46265</v>
      </c>
      <c r="G149" s="77" t="n">
        <f aca="false">IF($F149="","",IF(Recurring!$G$14="Move Before",IF(WEEKDAY($F149,2)=6,$F149-1,IF(WEEKDAY($F149,2)=7,$F149-2,$F149)),IF(Recurring!$G$14="Move After",IF(WEEKDAY($F149,2)=6,$F149+2,IF(WEEKDAY($F149,2)=7,$F149+1,$F149)),$F149)))</f>
        <v>46265</v>
      </c>
      <c r="H149" s="78" t="n">
        <f aca="false">IF($G149="",0,IF(AND($G149&gt;='Cash Flow'!$E$6,$G149&lt;'Cash Flow'!$E$6+91),1,0))</f>
        <v>1</v>
      </c>
      <c r="I149" s="78" t="n">
        <f aca="false">IF($H149=1,MAX(1,INT(($G149-'Cash Flow'!$E$6)/7)+1),"")</f>
        <v>4</v>
      </c>
      <c r="J149" s="38" t="n">
        <f aca="false">IF($H149=1,$G149*10000+ROW(),"")</f>
        <v>462650149</v>
      </c>
      <c r="K149" s="38" t="n">
        <f aca="false">IF($H149=1,$I149*1000+COUNTIFS($I$4:$I$483,$I149,$J$4:$J$483,"&lt;"&amp;$J149)+1,"")</f>
        <v>4003</v>
      </c>
    </row>
    <row r="150" customFormat="false" ht="15" hidden="false" customHeight="false" outlineLevel="0" collapsed="false">
      <c r="A150" s="46" t="n">
        <v>10</v>
      </c>
      <c r="B150" s="46" t="n">
        <v>3</v>
      </c>
      <c r="C150" s="38" t="str">
        <f aca="false">IF(OR(Recurring!$B$14="",Recurring!$H$14&lt;&gt;"Yes",Recurring!$D$14=""),"",Recurring!$B$14)</f>
        <v>Patrick Rombalski (rent)</v>
      </c>
      <c r="D150" s="38" t="str">
        <f aca="false">IF($C150="","",Recurring!$C$14)</f>
        <v>Expense</v>
      </c>
      <c r="E150" s="76" t="n">
        <f aca="false">IF($C150="","",Recurring!$D$14)</f>
        <v>350</v>
      </c>
      <c r="F150" s="77"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46280</v>
      </c>
      <c r="G150" s="77" t="n">
        <f aca="false">IF($F150="","",IF(Recurring!$G$14="Move Before",IF(WEEKDAY($F150,2)=6,$F150-1,IF(WEEKDAY($F150,2)=7,$F150-2,$F150)),IF(Recurring!$G$14="Move After",IF(WEEKDAY($F150,2)=6,$F150+2,IF(WEEKDAY($F150,2)=7,$F150+1,$F150)),$F150)))</f>
        <v>46280</v>
      </c>
      <c r="H150" s="78" t="n">
        <f aca="false">IF($G150="",0,IF(AND($G150&gt;='Cash Flow'!$E$6,$G150&lt;'Cash Flow'!$E$6+91),1,0))</f>
        <v>1</v>
      </c>
      <c r="I150" s="78" t="n">
        <f aca="false">IF($H150=1,MAX(1,INT(($G150-'Cash Flow'!$E$6)/7)+1),"")</f>
        <v>6</v>
      </c>
      <c r="J150" s="38" t="n">
        <f aca="false">IF($H150=1,$G150*10000+ROW(),"")</f>
        <v>462800150</v>
      </c>
      <c r="K150" s="38" t="n">
        <f aca="false">IF($H150=1,$I150*1000+COUNTIFS($I$4:$I$483,$I150,$J$4:$J$483,"&lt;"&amp;$J150)+1,"")</f>
        <v>6003</v>
      </c>
    </row>
    <row r="151" customFormat="false" ht="15" hidden="false" customHeight="false" outlineLevel="0" collapsed="false">
      <c r="A151" s="46" t="n">
        <v>10</v>
      </c>
      <c r="B151" s="46" t="n">
        <v>4</v>
      </c>
      <c r="C151" s="38" t="str">
        <f aca="false">IF(OR(Recurring!$B$14="",Recurring!$H$14&lt;&gt;"Yes",Recurring!$D$14=""),"",Recurring!$B$14)</f>
        <v>Patrick Rombalski (rent)</v>
      </c>
      <c r="D151" s="38" t="str">
        <f aca="false">IF($C151="","",Recurring!$C$14)</f>
        <v>Expense</v>
      </c>
      <c r="E151" s="76" t="n">
        <f aca="false">IF($C151="","",Recurring!$D$14)</f>
        <v>350</v>
      </c>
      <c r="F151" s="77"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46295</v>
      </c>
      <c r="G151" s="77" t="n">
        <f aca="false">IF($F151="","",IF(Recurring!$G$14="Move Before",IF(WEEKDAY($F151,2)=6,$F151-1,IF(WEEKDAY($F151,2)=7,$F151-2,$F151)),IF(Recurring!$G$14="Move After",IF(WEEKDAY($F151,2)=6,$F151+2,IF(WEEKDAY($F151,2)=7,$F151+1,$F151)),$F151)))</f>
        <v>46295</v>
      </c>
      <c r="H151" s="78" t="n">
        <f aca="false">IF($G151="",0,IF(AND($G151&gt;='Cash Flow'!$E$6,$G151&lt;'Cash Flow'!$E$6+91),1,0))</f>
        <v>1</v>
      </c>
      <c r="I151" s="78" t="n">
        <f aca="false">IF($H151=1,MAX(1,INT(($G151-'Cash Flow'!$E$6)/7)+1),"")</f>
        <v>8</v>
      </c>
      <c r="J151" s="38" t="n">
        <f aca="false">IF($H151=1,$G151*10000+ROW(),"")</f>
        <v>462950151</v>
      </c>
      <c r="K151" s="38" t="n">
        <f aca="false">IF($H151=1,$I151*1000+COUNTIFS($I$4:$I$483,$I151,$J$4:$J$483,"&lt;"&amp;$J151)+1,"")</f>
        <v>8005</v>
      </c>
    </row>
    <row r="152" customFormat="false" ht="15" hidden="false" customHeight="false" outlineLevel="0" collapsed="false">
      <c r="A152" s="46" t="n">
        <v>10</v>
      </c>
      <c r="B152" s="46" t="n">
        <v>5</v>
      </c>
      <c r="C152" s="38" t="str">
        <f aca="false">IF(OR(Recurring!$B$14="",Recurring!$H$14&lt;&gt;"Yes",Recurring!$D$14=""),"",Recurring!$B$14)</f>
        <v>Patrick Rombalski (rent)</v>
      </c>
      <c r="D152" s="38" t="str">
        <f aca="false">IF($C152="","",Recurring!$C$14)</f>
        <v>Expense</v>
      </c>
      <c r="E152" s="76" t="n">
        <f aca="false">IF($C152="","",Recurring!$D$14)</f>
        <v>350</v>
      </c>
      <c r="F152" s="77"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46310</v>
      </c>
      <c r="G152" s="77" t="n">
        <f aca="false">IF($F152="","",IF(Recurring!$G$14="Move Before",IF(WEEKDAY($F152,2)=6,$F152-1,IF(WEEKDAY($F152,2)=7,$F152-2,$F152)),IF(Recurring!$G$14="Move After",IF(WEEKDAY($F152,2)=6,$F152+2,IF(WEEKDAY($F152,2)=7,$F152+1,$F152)),$F152)))</f>
        <v>46310</v>
      </c>
      <c r="H152" s="78" t="n">
        <f aca="false">IF($G152="",0,IF(AND($G152&gt;='Cash Flow'!$E$6,$G152&lt;'Cash Flow'!$E$6+91),1,0))</f>
        <v>1</v>
      </c>
      <c r="I152" s="78" t="n">
        <f aca="false">IF($H152=1,MAX(1,INT(($G152-'Cash Flow'!$E$6)/7)+1),"")</f>
        <v>10</v>
      </c>
      <c r="J152" s="38" t="n">
        <f aca="false">IF($H152=1,$G152*10000+ROW(),"")</f>
        <v>463100152</v>
      </c>
      <c r="K152" s="38" t="n">
        <f aca="false">IF($H152=1,$I152*1000+COUNTIFS($I$4:$I$483,$I152,$J$4:$J$483,"&lt;"&amp;$J152)+1,"")</f>
        <v>10005</v>
      </c>
    </row>
    <row r="153" customFormat="false" ht="15" hidden="false" customHeight="false" outlineLevel="0" collapsed="false">
      <c r="A153" s="46" t="n">
        <v>10</v>
      </c>
      <c r="B153" s="46" t="n">
        <v>6</v>
      </c>
      <c r="C153" s="38" t="str">
        <f aca="false">IF(OR(Recurring!$B$14="",Recurring!$H$14&lt;&gt;"Yes",Recurring!$D$14=""),"",Recurring!$B$14)</f>
        <v>Patrick Rombalski (rent)</v>
      </c>
      <c r="D153" s="38" t="str">
        <f aca="false">IF($C153="","",Recurring!$C$14)</f>
        <v>Expense</v>
      </c>
      <c r="E153" s="76" t="n">
        <f aca="false">IF($C153="","",Recurring!$D$14)</f>
        <v>350</v>
      </c>
      <c r="F153" s="77"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46326</v>
      </c>
      <c r="G153" s="77" t="n">
        <f aca="false">IF($F153="","",IF(Recurring!$G$14="Move Before",IF(WEEKDAY($F153,2)=6,$F153-1,IF(WEEKDAY($F153,2)=7,$F153-2,$F153)),IF(Recurring!$G$14="Move After",IF(WEEKDAY($F153,2)=6,$F153+2,IF(WEEKDAY($F153,2)=7,$F153+1,$F153)),$F153)))</f>
        <v>46325</v>
      </c>
      <c r="H153" s="78" t="n">
        <f aca="false">IF($G153="",0,IF(AND($G153&gt;='Cash Flow'!$E$6,$G153&lt;'Cash Flow'!$E$6+91),1,0))</f>
        <v>1</v>
      </c>
      <c r="I153" s="78" t="n">
        <f aca="false">IF($H153=1,MAX(1,INT(($G153-'Cash Flow'!$E$6)/7)+1),"")</f>
        <v>13</v>
      </c>
      <c r="J153" s="38" t="n">
        <f aca="false">IF($H153=1,$G153*10000+ROW(),"")</f>
        <v>463250153</v>
      </c>
      <c r="K153" s="38" t="n">
        <f aca="false">IF($H153=1,$I153*1000+COUNTIFS($I$4:$I$483,$I153,$J$4:$J$483,"&lt;"&amp;$J153)+1,"")</f>
        <v>13002</v>
      </c>
    </row>
    <row r="154" customFormat="false" ht="15" hidden="false" customHeight="false" outlineLevel="0" collapsed="false">
      <c r="A154" s="46" t="n">
        <v>10</v>
      </c>
      <c r="B154" s="46" t="n">
        <v>7</v>
      </c>
      <c r="C154" s="38" t="str">
        <f aca="false">IF(OR(Recurring!$B$14="",Recurring!$H$14&lt;&gt;"Yes",Recurring!$D$14=""),"",Recurring!$B$14)</f>
        <v>Patrick Rombalski (rent)</v>
      </c>
      <c r="D154" s="38" t="str">
        <f aca="false">IF($C154="","",Recurring!$C$14)</f>
        <v>Expense</v>
      </c>
      <c r="E154" s="76" t="n">
        <f aca="false">IF($C154="","",Recurring!$D$14)</f>
        <v>350</v>
      </c>
      <c r="F154" s="77"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46341</v>
      </c>
      <c r="G154" s="77" t="n">
        <f aca="false">IF($F154="","",IF(Recurring!$G$14="Move Before",IF(WEEKDAY($F154,2)=6,$F154-1,IF(WEEKDAY($F154,2)=7,$F154-2,$F154)),IF(Recurring!$G$14="Move After",IF(WEEKDAY($F154,2)=6,$F154+2,IF(WEEKDAY($F154,2)=7,$F154+1,$F154)),$F154)))</f>
        <v>46339</v>
      </c>
      <c r="H154" s="78" t="n">
        <f aca="false">IF($G154="",0,IF(AND($G154&gt;='Cash Flow'!$E$6,$G154&lt;'Cash Flow'!$E$6+91),1,0))</f>
        <v>0</v>
      </c>
      <c r="I154" s="78" t="str">
        <f aca="false">IF($H154=1,MAX(1,INT(($G154-'Cash Flow'!$E$6)/7)+1),"")</f>
        <v/>
      </c>
      <c r="J154" s="38" t="str">
        <f aca="false">IF($H154=1,$G154*10000+ROW(),"")</f>
        <v/>
      </c>
      <c r="K154" s="38" t="str">
        <f aca="false">IF($H154=1,$I154*1000+COUNTIFS($I$4:$I$483,$I154,$J$4:$J$483,"&lt;"&amp;$J154)+1,"")</f>
        <v/>
      </c>
    </row>
    <row r="155" customFormat="false" ht="15" hidden="false" customHeight="false" outlineLevel="0" collapsed="false">
      <c r="A155" s="46" t="n">
        <v>10</v>
      </c>
      <c r="B155" s="46" t="n">
        <v>8</v>
      </c>
      <c r="C155" s="38" t="str">
        <f aca="false">IF(OR(Recurring!$B$14="",Recurring!$H$14&lt;&gt;"Yes",Recurring!$D$14=""),"",Recurring!$B$14)</f>
        <v>Patrick Rombalski (rent)</v>
      </c>
      <c r="D155" s="38" t="str">
        <f aca="false">IF($C155="","",Recurring!$C$14)</f>
        <v>Expense</v>
      </c>
      <c r="E155" s="76" t="n">
        <f aca="false">IF($C155="","",Recurring!$D$14)</f>
        <v>350</v>
      </c>
      <c r="F155" s="77"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46356</v>
      </c>
      <c r="G155" s="77" t="n">
        <f aca="false">IF($F155="","",IF(Recurring!$G$14="Move Before",IF(WEEKDAY($F155,2)=6,$F155-1,IF(WEEKDAY($F155,2)=7,$F155-2,$F155)),IF(Recurring!$G$14="Move After",IF(WEEKDAY($F155,2)=6,$F155+2,IF(WEEKDAY($F155,2)=7,$F155+1,$F155)),$F155)))</f>
        <v>46356</v>
      </c>
      <c r="H155" s="78" t="n">
        <f aca="false">IF($G155="",0,IF(AND($G155&gt;='Cash Flow'!$E$6,$G155&lt;'Cash Flow'!$E$6+91),1,0))</f>
        <v>0</v>
      </c>
      <c r="I155" s="78" t="str">
        <f aca="false">IF($H155=1,MAX(1,INT(($G155-'Cash Flow'!$E$6)/7)+1),"")</f>
        <v/>
      </c>
      <c r="J155" s="38" t="str">
        <f aca="false">IF($H155=1,$G155*10000+ROW(),"")</f>
        <v/>
      </c>
      <c r="K155" s="38" t="str">
        <f aca="false">IF($H155=1,$I155*1000+COUNTIFS($I$4:$I$483,$I155,$J$4:$J$483,"&lt;"&amp;$J155)+1,"")</f>
        <v/>
      </c>
    </row>
    <row r="156" customFormat="false" ht="15" hidden="false" customHeight="false" outlineLevel="0" collapsed="false">
      <c r="A156" s="46" t="n">
        <v>10</v>
      </c>
      <c r="B156" s="46" t="n">
        <v>9</v>
      </c>
      <c r="C156" s="38" t="str">
        <f aca="false">IF(OR(Recurring!$B$14="",Recurring!$H$14&lt;&gt;"Yes",Recurring!$D$14=""),"",Recurring!$B$14)</f>
        <v>Patrick Rombalski (rent)</v>
      </c>
      <c r="D156" s="38" t="str">
        <f aca="false">IF($C156="","",Recurring!$C$14)</f>
        <v>Expense</v>
      </c>
      <c r="E156" s="76" t="n">
        <f aca="false">IF($C156="","",Recurring!$D$14)</f>
        <v>350</v>
      </c>
      <c r="F156" s="77"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46371</v>
      </c>
      <c r="G156" s="77" t="n">
        <f aca="false">IF($F156="","",IF(Recurring!$G$14="Move Before",IF(WEEKDAY($F156,2)=6,$F156-1,IF(WEEKDAY($F156,2)=7,$F156-2,$F156)),IF(Recurring!$G$14="Move After",IF(WEEKDAY($F156,2)=6,$F156+2,IF(WEEKDAY($F156,2)=7,$F156+1,$F156)),$F156)))</f>
        <v>46371</v>
      </c>
      <c r="H156" s="78" t="n">
        <f aca="false">IF($G156="",0,IF(AND($G156&gt;='Cash Flow'!$E$6,$G156&lt;'Cash Flow'!$E$6+91),1,0))</f>
        <v>0</v>
      </c>
      <c r="I156" s="78" t="str">
        <f aca="false">IF($H156=1,MAX(1,INT(($G156-'Cash Flow'!$E$6)/7)+1),"")</f>
        <v/>
      </c>
      <c r="J156" s="38" t="str">
        <f aca="false">IF($H156=1,$G156*10000+ROW(),"")</f>
        <v/>
      </c>
      <c r="K156" s="38" t="str">
        <f aca="false">IF($H156=1,$I156*1000+COUNTIFS($I$4:$I$483,$I156,$J$4:$J$483,"&lt;"&amp;$J156)+1,"")</f>
        <v/>
      </c>
    </row>
    <row r="157" customFormat="false" ht="15" hidden="false" customHeight="false" outlineLevel="0" collapsed="false">
      <c r="A157" s="46" t="n">
        <v>10</v>
      </c>
      <c r="B157" s="46" t="n">
        <v>10</v>
      </c>
      <c r="C157" s="38" t="str">
        <f aca="false">IF(OR(Recurring!$B$14="",Recurring!$H$14&lt;&gt;"Yes",Recurring!$D$14=""),"",Recurring!$B$14)</f>
        <v>Patrick Rombalski (rent)</v>
      </c>
      <c r="D157" s="38" t="str">
        <f aca="false">IF($C157="","",Recurring!$C$14)</f>
        <v>Expense</v>
      </c>
      <c r="E157" s="76" t="n">
        <f aca="false">IF($C157="","",Recurring!$D$14)</f>
        <v>350</v>
      </c>
      <c r="F157" s="77"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46387</v>
      </c>
      <c r="G157" s="77" t="n">
        <f aca="false">IF($F157="","",IF(Recurring!$G$14="Move Before",IF(WEEKDAY($F157,2)=6,$F157-1,IF(WEEKDAY($F157,2)=7,$F157-2,$F157)),IF(Recurring!$G$14="Move After",IF(WEEKDAY($F157,2)=6,$F157+2,IF(WEEKDAY($F157,2)=7,$F157+1,$F157)),$F157)))</f>
        <v>46387</v>
      </c>
      <c r="H157" s="78" t="n">
        <f aca="false">IF($G157="",0,IF(AND($G157&gt;='Cash Flow'!$E$6,$G157&lt;'Cash Flow'!$E$6+91),1,0))</f>
        <v>0</v>
      </c>
      <c r="I157" s="78" t="str">
        <f aca="false">IF($H157=1,MAX(1,INT(($G157-'Cash Flow'!$E$6)/7)+1),"")</f>
        <v/>
      </c>
      <c r="J157" s="38" t="str">
        <f aca="false">IF($H157=1,$G157*10000+ROW(),"")</f>
        <v/>
      </c>
      <c r="K157" s="38" t="str">
        <f aca="false">IF($H157=1,$I157*1000+COUNTIFS($I$4:$I$483,$I157,$J$4:$J$483,"&lt;"&amp;$J157)+1,"")</f>
        <v/>
      </c>
    </row>
    <row r="158" customFormat="false" ht="15" hidden="false" customHeight="false" outlineLevel="0" collapsed="false">
      <c r="A158" s="46" t="n">
        <v>10</v>
      </c>
      <c r="B158" s="46" t="n">
        <v>11</v>
      </c>
      <c r="C158" s="38" t="str">
        <f aca="false">IF(OR(Recurring!$B$14="",Recurring!$H$14&lt;&gt;"Yes",Recurring!$D$14=""),"",Recurring!$B$14)</f>
        <v>Patrick Rombalski (rent)</v>
      </c>
      <c r="D158" s="38" t="str">
        <f aca="false">IF($C158="","",Recurring!$C$14)</f>
        <v>Expense</v>
      </c>
      <c r="E158" s="76" t="n">
        <f aca="false">IF($C158="","",Recurring!$D$14)</f>
        <v>350</v>
      </c>
      <c r="F158" s="77"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46402</v>
      </c>
      <c r="G158" s="77" t="n">
        <f aca="false">IF($F158="","",IF(Recurring!$G$14="Move Before",IF(WEEKDAY($F158,2)=6,$F158-1,IF(WEEKDAY($F158,2)=7,$F158-2,$F158)),IF(Recurring!$G$14="Move After",IF(WEEKDAY($F158,2)=6,$F158+2,IF(WEEKDAY($F158,2)=7,$F158+1,$F158)),$F158)))</f>
        <v>46402</v>
      </c>
      <c r="H158" s="78" t="n">
        <f aca="false">IF($G158="",0,IF(AND($G158&gt;='Cash Flow'!$E$6,$G158&lt;'Cash Flow'!$E$6+91),1,0))</f>
        <v>0</v>
      </c>
      <c r="I158" s="78" t="str">
        <f aca="false">IF($H158=1,MAX(1,INT(($G158-'Cash Flow'!$E$6)/7)+1),"")</f>
        <v/>
      </c>
      <c r="J158" s="38" t="str">
        <f aca="false">IF($H158=1,$G158*10000+ROW(),"")</f>
        <v/>
      </c>
      <c r="K158" s="38" t="str">
        <f aca="false">IF($H158=1,$I158*1000+COUNTIFS($I$4:$I$483,$I158,$J$4:$J$483,"&lt;"&amp;$J158)+1,"")</f>
        <v/>
      </c>
    </row>
    <row r="159" customFormat="false" ht="15" hidden="false" customHeight="false" outlineLevel="0" collapsed="false">
      <c r="A159" s="46" t="n">
        <v>10</v>
      </c>
      <c r="B159" s="46" t="n">
        <v>12</v>
      </c>
      <c r="C159" s="38" t="str">
        <f aca="false">IF(OR(Recurring!$B$14="",Recurring!$H$14&lt;&gt;"Yes",Recurring!$D$14=""),"",Recurring!$B$14)</f>
        <v>Patrick Rombalski (rent)</v>
      </c>
      <c r="D159" s="38" t="str">
        <f aca="false">IF($C159="","",Recurring!$C$14)</f>
        <v>Expense</v>
      </c>
      <c r="E159" s="76" t="n">
        <f aca="false">IF($C159="","",Recurring!$D$14)</f>
        <v>350</v>
      </c>
      <c r="F159" s="77"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46418</v>
      </c>
      <c r="G159" s="77" t="n">
        <f aca="false">IF($F159="","",IF(Recurring!$G$14="Move Before",IF(WEEKDAY($F159,2)=6,$F159-1,IF(WEEKDAY($F159,2)=7,$F159-2,$F159)),IF(Recurring!$G$14="Move After",IF(WEEKDAY($F159,2)=6,$F159+2,IF(WEEKDAY($F159,2)=7,$F159+1,$F159)),$F159)))</f>
        <v>46416</v>
      </c>
      <c r="H159" s="78" t="n">
        <f aca="false">IF($G159="",0,IF(AND($G159&gt;='Cash Flow'!$E$6,$G159&lt;'Cash Flow'!$E$6+91),1,0))</f>
        <v>0</v>
      </c>
      <c r="I159" s="78" t="str">
        <f aca="false">IF($H159=1,MAX(1,INT(($G159-'Cash Flow'!$E$6)/7)+1),"")</f>
        <v/>
      </c>
      <c r="J159" s="38" t="str">
        <f aca="false">IF($H159=1,$G159*10000+ROW(),"")</f>
        <v/>
      </c>
      <c r="K159" s="38" t="str">
        <f aca="false">IF($H159=1,$I159*1000+COUNTIFS($I$4:$I$483,$I159,$J$4:$J$483,"&lt;"&amp;$J159)+1,"")</f>
        <v/>
      </c>
    </row>
    <row r="160" customFormat="false" ht="15" hidden="false" customHeight="false" outlineLevel="0" collapsed="false">
      <c r="A160" s="46" t="n">
        <v>10</v>
      </c>
      <c r="B160" s="46" t="n">
        <v>13</v>
      </c>
      <c r="C160" s="38" t="str">
        <f aca="false">IF(OR(Recurring!$B$14="",Recurring!$H$14&lt;&gt;"Yes",Recurring!$D$14=""),"",Recurring!$B$14)</f>
        <v>Patrick Rombalski (rent)</v>
      </c>
      <c r="D160" s="38" t="str">
        <f aca="false">IF($C160="","",Recurring!$C$14)</f>
        <v>Expense</v>
      </c>
      <c r="E160" s="76" t="n">
        <f aca="false">IF($C160="","",Recurring!$D$14)</f>
        <v>350</v>
      </c>
      <c r="F160" s="77"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46433</v>
      </c>
      <c r="G160" s="77" t="n">
        <f aca="false">IF($F160="","",IF(Recurring!$G$14="Move Before",IF(WEEKDAY($F160,2)=6,$F160-1,IF(WEEKDAY($F160,2)=7,$F160-2,$F160)),IF(Recurring!$G$14="Move After",IF(WEEKDAY($F160,2)=6,$F160+2,IF(WEEKDAY($F160,2)=7,$F160+1,$F160)),$F160)))</f>
        <v>46433</v>
      </c>
      <c r="H160" s="78" t="n">
        <f aca="false">IF($G160="",0,IF(AND($G160&gt;='Cash Flow'!$E$6,$G160&lt;'Cash Flow'!$E$6+91),1,0))</f>
        <v>0</v>
      </c>
      <c r="I160" s="78" t="str">
        <f aca="false">IF($H160=1,MAX(1,INT(($G160-'Cash Flow'!$E$6)/7)+1),"")</f>
        <v/>
      </c>
      <c r="J160" s="38" t="str">
        <f aca="false">IF($H160=1,$G160*10000+ROW(),"")</f>
        <v/>
      </c>
      <c r="K160" s="38" t="str">
        <f aca="false">IF($H160=1,$I160*1000+COUNTIFS($I$4:$I$483,$I160,$J$4:$J$483,"&lt;"&amp;$J160)+1,"")</f>
        <v/>
      </c>
    </row>
    <row r="161" customFormat="false" ht="15" hidden="false" customHeight="false" outlineLevel="0" collapsed="false">
      <c r="A161" s="46" t="n">
        <v>10</v>
      </c>
      <c r="B161" s="46" t="n">
        <v>14</v>
      </c>
      <c r="C161" s="38" t="str">
        <f aca="false">IF(OR(Recurring!$B$14="",Recurring!$H$14&lt;&gt;"Yes",Recurring!$D$14=""),"",Recurring!$B$14)</f>
        <v>Patrick Rombalski (rent)</v>
      </c>
      <c r="D161" s="38" t="str">
        <f aca="false">IF($C161="","",Recurring!$C$14)</f>
        <v>Expense</v>
      </c>
      <c r="E161" s="76" t="n">
        <f aca="false">IF($C161="","",Recurring!$D$14)</f>
        <v>350</v>
      </c>
      <c r="F161" s="77"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46446</v>
      </c>
      <c r="G161" s="77" t="n">
        <f aca="false">IF($F161="","",IF(Recurring!$G$14="Move Before",IF(WEEKDAY($F161,2)=6,$F161-1,IF(WEEKDAY($F161,2)=7,$F161-2,$F161)),IF(Recurring!$G$14="Move After",IF(WEEKDAY($F161,2)=6,$F161+2,IF(WEEKDAY($F161,2)=7,$F161+1,$F161)),$F161)))</f>
        <v>46444</v>
      </c>
      <c r="H161" s="78" t="n">
        <f aca="false">IF($G161="",0,IF(AND($G161&gt;='Cash Flow'!$E$6,$G161&lt;'Cash Flow'!$E$6+91),1,0))</f>
        <v>0</v>
      </c>
      <c r="I161" s="78" t="str">
        <f aca="false">IF($H161=1,MAX(1,INT(($G161-'Cash Flow'!$E$6)/7)+1),"")</f>
        <v/>
      </c>
      <c r="J161" s="38" t="str">
        <f aca="false">IF($H161=1,$G161*10000+ROW(),"")</f>
        <v/>
      </c>
      <c r="K161" s="38" t="str">
        <f aca="false">IF($H161=1,$I161*1000+COUNTIFS($I$4:$I$483,$I161,$J$4:$J$483,"&lt;"&amp;$J161)+1,"")</f>
        <v/>
      </c>
    </row>
    <row r="162" customFormat="false" ht="15" hidden="false" customHeight="false" outlineLevel="0" collapsed="false">
      <c r="A162" s="46" t="n">
        <v>10</v>
      </c>
      <c r="B162" s="46" t="n">
        <v>15</v>
      </c>
      <c r="C162" s="38" t="str">
        <f aca="false">IF(OR(Recurring!$B$14="",Recurring!$H$14&lt;&gt;"Yes",Recurring!$D$14=""),"",Recurring!$B$14)</f>
        <v>Patrick Rombalski (rent)</v>
      </c>
      <c r="D162" s="38" t="str">
        <f aca="false">IF($C162="","",Recurring!$C$14)</f>
        <v>Expense</v>
      </c>
      <c r="E162" s="76" t="n">
        <f aca="false">IF($C162="","",Recurring!$D$14)</f>
        <v>350</v>
      </c>
      <c r="F162" s="77"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46461</v>
      </c>
      <c r="G162" s="77" t="n">
        <f aca="false">IF($F162="","",IF(Recurring!$G$14="Move Before",IF(WEEKDAY($F162,2)=6,$F162-1,IF(WEEKDAY($F162,2)=7,$F162-2,$F162)),IF(Recurring!$G$14="Move After",IF(WEEKDAY($F162,2)=6,$F162+2,IF(WEEKDAY($F162,2)=7,$F162+1,$F162)),$F162)))</f>
        <v>46461</v>
      </c>
      <c r="H162" s="78" t="n">
        <f aca="false">IF($G162="",0,IF(AND($G162&gt;='Cash Flow'!$E$6,$G162&lt;'Cash Flow'!$E$6+91),1,0))</f>
        <v>0</v>
      </c>
      <c r="I162" s="78" t="str">
        <f aca="false">IF($H162=1,MAX(1,INT(($G162-'Cash Flow'!$E$6)/7)+1),"")</f>
        <v/>
      </c>
      <c r="J162" s="38" t="str">
        <f aca="false">IF($H162=1,$G162*10000+ROW(),"")</f>
        <v/>
      </c>
      <c r="K162" s="38" t="str">
        <f aca="false">IF($H162=1,$I162*1000+COUNTIFS($I$4:$I$483,$I162,$J$4:$J$483,"&lt;"&amp;$J162)+1,"")</f>
        <v/>
      </c>
    </row>
    <row r="163" customFormat="false" ht="15" hidden="false" customHeight="false" outlineLevel="0" collapsed="false">
      <c r="A163" s="46" t="n">
        <v>10</v>
      </c>
      <c r="B163" s="46" t="n">
        <v>16</v>
      </c>
      <c r="C163" s="38" t="str">
        <f aca="false">IF(OR(Recurring!$B$14="",Recurring!$H$14&lt;&gt;"Yes",Recurring!$D$14=""),"",Recurring!$B$14)</f>
        <v>Patrick Rombalski (rent)</v>
      </c>
      <c r="D163" s="38" t="str">
        <f aca="false">IF($C163="","",Recurring!$C$14)</f>
        <v>Expense</v>
      </c>
      <c r="E163" s="76" t="n">
        <f aca="false">IF($C163="","",Recurring!$D$14)</f>
        <v>350</v>
      </c>
      <c r="F163" s="77"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46477</v>
      </c>
      <c r="G163" s="77" t="n">
        <f aca="false">IF($F163="","",IF(Recurring!$G$14="Move Before",IF(WEEKDAY($F163,2)=6,$F163-1,IF(WEEKDAY($F163,2)=7,$F163-2,$F163)),IF(Recurring!$G$14="Move After",IF(WEEKDAY($F163,2)=6,$F163+2,IF(WEEKDAY($F163,2)=7,$F163+1,$F163)),$F163)))</f>
        <v>46477</v>
      </c>
      <c r="H163" s="78" t="n">
        <f aca="false">IF($G163="",0,IF(AND($G163&gt;='Cash Flow'!$E$6,$G163&lt;'Cash Flow'!$E$6+91),1,0))</f>
        <v>0</v>
      </c>
      <c r="I163" s="78" t="str">
        <f aca="false">IF($H163=1,MAX(1,INT(($G163-'Cash Flow'!$E$6)/7)+1),"")</f>
        <v/>
      </c>
      <c r="J163" s="38" t="str">
        <f aca="false">IF($H163=1,$G163*10000+ROW(),"")</f>
        <v/>
      </c>
      <c r="K163" s="38" t="str">
        <f aca="false">IF($H163=1,$I163*1000+COUNTIFS($I$4:$I$483,$I163,$J$4:$J$483,"&lt;"&amp;$J163)+1,"")</f>
        <v/>
      </c>
    </row>
    <row r="164" customFormat="false" ht="15" hidden="false" customHeight="false" outlineLevel="0" collapsed="false">
      <c r="A164" s="46" t="n">
        <v>11</v>
      </c>
      <c r="B164" s="46" t="n">
        <v>1</v>
      </c>
      <c r="C164" s="38" t="str">
        <f aca="false">IF(OR(Recurring!$B$15="",Recurring!$H$15&lt;&gt;"Yes",Recurring!$D$15=""),"",Recurring!$B$15)</f>
        <v>Spectrum</v>
      </c>
      <c r="D164" s="38" t="str">
        <f aca="false">IF($C164="","",Recurring!$C$15)</f>
        <v>Expense</v>
      </c>
      <c r="E164" s="76" t="n">
        <f aca="false">IF($C164="","",Recurring!$D$15)</f>
        <v>171.1</v>
      </c>
      <c r="F164" s="77"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46250</v>
      </c>
      <c r="G164" s="77" t="n">
        <f aca="false">IF($F164="","",IF(Recurring!$G$15="Move Before",IF(WEEKDAY($F164,2)=6,$F164-1,IF(WEEKDAY($F164,2)=7,$F164-2,$F164)),IF(Recurring!$G$15="Move After",IF(WEEKDAY($F164,2)=6,$F164+2,IF(WEEKDAY($F164,2)=7,$F164+1,$F164)),$F164)))</f>
        <v>46250</v>
      </c>
      <c r="H164" s="78" t="n">
        <f aca="false">IF($G164="",0,IF(AND($G164&gt;='Cash Flow'!$E$6-90,$G164&lt;'Cash Flow'!$E$6+91),1,0))</f>
        <v>1</v>
      </c>
      <c r="I164" s="78" t="n">
        <f aca="false">IF($H164=1,MAX(1,INT(($G164-'Cash Flow'!$E$6)/7)+1),"")</f>
        <v>2</v>
      </c>
      <c r="J164" s="38" t="n">
        <f aca="false">IF($H164=1,$G164*10000+ROW(),"")</f>
        <v>462500164</v>
      </c>
      <c r="K164" s="38" t="n">
        <f aca="false">IF($H164=1,$I164*1000+COUNTIFS($I$4:$I$483,$I164,$J$4:$J$483,"&lt;"&amp;$J164)+1,"")</f>
        <v>2003</v>
      </c>
    </row>
    <row r="165" customFormat="false" ht="15" hidden="false" customHeight="false" outlineLevel="0" collapsed="false">
      <c r="A165" s="46" t="n">
        <v>11</v>
      </c>
      <c r="B165" s="46" t="n">
        <v>2</v>
      </c>
      <c r="C165" s="38" t="str">
        <f aca="false">IF(OR(Recurring!$B$15="",Recurring!$H$15&lt;&gt;"Yes",Recurring!$D$15=""),"",Recurring!$B$15)</f>
        <v>Spectrum</v>
      </c>
      <c r="D165" s="38" t="str">
        <f aca="false">IF($C165="","",Recurring!$C$15)</f>
        <v>Expense</v>
      </c>
      <c r="E165" s="76" t="n">
        <f aca="false">IF($C165="","",Recurring!$D$15)</f>
        <v>171.1</v>
      </c>
      <c r="F165" s="77"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46281</v>
      </c>
      <c r="G165" s="77" t="n">
        <f aca="false">IF($F165="","",IF(Recurring!$G$15="Move Before",IF(WEEKDAY($F165,2)=6,$F165-1,IF(WEEKDAY($F165,2)=7,$F165-2,$F165)),IF(Recurring!$G$15="Move After",IF(WEEKDAY($F165,2)=6,$F165+2,IF(WEEKDAY($F165,2)=7,$F165+1,$F165)),$F165)))</f>
        <v>46281</v>
      </c>
      <c r="H165" s="78" t="n">
        <f aca="false">IF($G165="",0,IF(AND($G165&gt;='Cash Flow'!$E$6,$G165&lt;'Cash Flow'!$E$6+91),1,0))</f>
        <v>1</v>
      </c>
      <c r="I165" s="78" t="n">
        <f aca="false">IF($H165=1,MAX(1,INT(($G165-'Cash Flow'!$E$6)/7)+1),"")</f>
        <v>6</v>
      </c>
      <c r="J165" s="38" t="n">
        <f aca="false">IF($H165=1,$G165*10000+ROW(),"")</f>
        <v>462810165</v>
      </c>
      <c r="K165" s="38" t="n">
        <f aca="false">IF($H165=1,$I165*1000+COUNTIFS($I$4:$I$483,$I165,$J$4:$J$483,"&lt;"&amp;$J165)+1,"")</f>
        <v>6005</v>
      </c>
    </row>
    <row r="166" customFormat="false" ht="15" hidden="false" customHeight="false" outlineLevel="0" collapsed="false">
      <c r="A166" s="46" t="n">
        <v>11</v>
      </c>
      <c r="B166" s="46" t="n">
        <v>3</v>
      </c>
      <c r="C166" s="38" t="str">
        <f aca="false">IF(OR(Recurring!$B$15="",Recurring!$H$15&lt;&gt;"Yes",Recurring!$D$15=""),"",Recurring!$B$15)</f>
        <v>Spectrum</v>
      </c>
      <c r="D166" s="38" t="str">
        <f aca="false">IF($C166="","",Recurring!$C$15)</f>
        <v>Expense</v>
      </c>
      <c r="E166" s="76" t="n">
        <f aca="false">IF($C166="","",Recurring!$D$15)</f>
        <v>171.1</v>
      </c>
      <c r="F166" s="77"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46311</v>
      </c>
      <c r="G166" s="77" t="n">
        <f aca="false">IF($F166="","",IF(Recurring!$G$15="Move Before",IF(WEEKDAY($F166,2)=6,$F166-1,IF(WEEKDAY($F166,2)=7,$F166-2,$F166)),IF(Recurring!$G$15="Move After",IF(WEEKDAY($F166,2)=6,$F166+2,IF(WEEKDAY($F166,2)=7,$F166+1,$F166)),$F166)))</f>
        <v>46311</v>
      </c>
      <c r="H166" s="78" t="n">
        <f aca="false">IF($G166="",0,IF(AND($G166&gt;='Cash Flow'!$E$6,$G166&lt;'Cash Flow'!$E$6+91),1,0))</f>
        <v>1</v>
      </c>
      <c r="I166" s="78" t="n">
        <f aca="false">IF($H166=1,MAX(1,INT(($G166-'Cash Flow'!$E$6)/7)+1),"")</f>
        <v>11</v>
      </c>
      <c r="J166" s="38" t="n">
        <f aca="false">IF($H166=1,$G166*10000+ROW(),"")</f>
        <v>463110166</v>
      </c>
      <c r="K166" s="38" t="n">
        <f aca="false">IF($H166=1,$I166*1000+COUNTIFS($I$4:$I$483,$I166,$J$4:$J$483,"&lt;"&amp;$J166)+1,"")</f>
        <v>11002</v>
      </c>
    </row>
    <row r="167" customFormat="false" ht="15" hidden="false" customHeight="false" outlineLevel="0" collapsed="false">
      <c r="A167" s="46" t="n">
        <v>11</v>
      </c>
      <c r="B167" s="46" t="n">
        <v>4</v>
      </c>
      <c r="C167" s="38" t="str">
        <f aca="false">IF(OR(Recurring!$B$15="",Recurring!$H$15&lt;&gt;"Yes",Recurring!$D$15=""),"",Recurring!$B$15)</f>
        <v>Spectrum</v>
      </c>
      <c r="D167" s="38" t="str">
        <f aca="false">IF($C167="","",Recurring!$C$15)</f>
        <v>Expense</v>
      </c>
      <c r="E167" s="76" t="n">
        <f aca="false">IF($C167="","",Recurring!$D$15)</f>
        <v>171.1</v>
      </c>
      <c r="F167" s="77"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46342</v>
      </c>
      <c r="G167" s="77" t="n">
        <f aca="false">IF($F167="","",IF(Recurring!$G$15="Move Before",IF(WEEKDAY($F167,2)=6,$F167-1,IF(WEEKDAY($F167,2)=7,$F167-2,$F167)),IF(Recurring!$G$15="Move After",IF(WEEKDAY($F167,2)=6,$F167+2,IF(WEEKDAY($F167,2)=7,$F167+1,$F167)),$F167)))</f>
        <v>46342</v>
      </c>
      <c r="H167" s="78" t="n">
        <f aca="false">IF($G167="",0,IF(AND($G167&gt;='Cash Flow'!$E$6,$G167&lt;'Cash Flow'!$E$6+91),1,0))</f>
        <v>0</v>
      </c>
      <c r="I167" s="78" t="str">
        <f aca="false">IF($H167=1,MAX(1,INT(($G167-'Cash Flow'!$E$6)/7)+1),"")</f>
        <v/>
      </c>
      <c r="J167" s="38" t="str">
        <f aca="false">IF($H167=1,$G167*10000+ROW(),"")</f>
        <v/>
      </c>
      <c r="K167" s="38" t="str">
        <f aca="false">IF($H167=1,$I167*1000+COUNTIFS($I$4:$I$483,$I167,$J$4:$J$483,"&lt;"&amp;$J167)+1,"")</f>
        <v/>
      </c>
    </row>
    <row r="168" customFormat="false" ht="15" hidden="false" customHeight="false" outlineLevel="0" collapsed="false">
      <c r="A168" s="46" t="n">
        <v>11</v>
      </c>
      <c r="B168" s="46" t="n">
        <v>5</v>
      </c>
      <c r="C168" s="38" t="str">
        <f aca="false">IF(OR(Recurring!$B$15="",Recurring!$H$15&lt;&gt;"Yes",Recurring!$D$15=""),"",Recurring!$B$15)</f>
        <v>Spectrum</v>
      </c>
      <c r="D168" s="38" t="str">
        <f aca="false">IF($C168="","",Recurring!$C$15)</f>
        <v>Expense</v>
      </c>
      <c r="E168" s="76" t="n">
        <f aca="false">IF($C168="","",Recurring!$D$15)</f>
        <v>171.1</v>
      </c>
      <c r="F168" s="77"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46372</v>
      </c>
      <c r="G168" s="77" t="n">
        <f aca="false">IF($F168="","",IF(Recurring!$G$15="Move Before",IF(WEEKDAY($F168,2)=6,$F168-1,IF(WEEKDAY($F168,2)=7,$F168-2,$F168)),IF(Recurring!$G$15="Move After",IF(WEEKDAY($F168,2)=6,$F168+2,IF(WEEKDAY($F168,2)=7,$F168+1,$F168)),$F168)))</f>
        <v>46372</v>
      </c>
      <c r="H168" s="78" t="n">
        <f aca="false">IF($G168="",0,IF(AND($G168&gt;='Cash Flow'!$E$6,$G168&lt;'Cash Flow'!$E$6+91),1,0))</f>
        <v>0</v>
      </c>
      <c r="I168" s="78" t="str">
        <f aca="false">IF($H168=1,MAX(1,INT(($G168-'Cash Flow'!$E$6)/7)+1),"")</f>
        <v/>
      </c>
      <c r="J168" s="38" t="str">
        <f aca="false">IF($H168=1,$G168*10000+ROW(),"")</f>
        <v/>
      </c>
      <c r="K168" s="38" t="str">
        <f aca="false">IF($H168=1,$I168*1000+COUNTIFS($I$4:$I$483,$I168,$J$4:$J$483,"&lt;"&amp;$J168)+1,"")</f>
        <v/>
      </c>
    </row>
    <row r="169" customFormat="false" ht="15" hidden="false" customHeight="false" outlineLevel="0" collapsed="false">
      <c r="A169" s="46" t="n">
        <v>11</v>
      </c>
      <c r="B169" s="46" t="n">
        <v>6</v>
      </c>
      <c r="C169" s="38" t="str">
        <f aca="false">IF(OR(Recurring!$B$15="",Recurring!$H$15&lt;&gt;"Yes",Recurring!$D$15=""),"",Recurring!$B$15)</f>
        <v>Spectrum</v>
      </c>
      <c r="D169" s="38" t="str">
        <f aca="false">IF($C169="","",Recurring!$C$15)</f>
        <v>Expense</v>
      </c>
      <c r="E169" s="76" t="n">
        <f aca="false">IF($C169="","",Recurring!$D$15)</f>
        <v>171.1</v>
      </c>
      <c r="F169" s="77"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46403</v>
      </c>
      <c r="G169" s="77" t="n">
        <f aca="false">IF($F169="","",IF(Recurring!$G$15="Move Before",IF(WEEKDAY($F169,2)=6,$F169-1,IF(WEEKDAY($F169,2)=7,$F169-2,$F169)),IF(Recurring!$G$15="Move After",IF(WEEKDAY($F169,2)=6,$F169+2,IF(WEEKDAY($F169,2)=7,$F169+1,$F169)),$F169)))</f>
        <v>46403</v>
      </c>
      <c r="H169" s="78" t="n">
        <f aca="false">IF($G169="",0,IF(AND($G169&gt;='Cash Flow'!$E$6,$G169&lt;'Cash Flow'!$E$6+91),1,0))</f>
        <v>0</v>
      </c>
      <c r="I169" s="78" t="str">
        <f aca="false">IF($H169=1,MAX(1,INT(($G169-'Cash Flow'!$E$6)/7)+1),"")</f>
        <v/>
      </c>
      <c r="J169" s="38" t="str">
        <f aca="false">IF($H169=1,$G169*10000+ROW(),"")</f>
        <v/>
      </c>
      <c r="K169" s="38" t="str">
        <f aca="false">IF($H169=1,$I169*1000+COUNTIFS($I$4:$I$483,$I169,$J$4:$J$483,"&lt;"&amp;$J169)+1,"")</f>
        <v/>
      </c>
    </row>
    <row r="170" customFormat="false" ht="15" hidden="false" customHeight="false" outlineLevel="0" collapsed="false">
      <c r="A170" s="46" t="n">
        <v>11</v>
      </c>
      <c r="B170" s="46" t="n">
        <v>7</v>
      </c>
      <c r="C170" s="38" t="str">
        <f aca="false">IF(OR(Recurring!$B$15="",Recurring!$H$15&lt;&gt;"Yes",Recurring!$D$15=""),"",Recurring!$B$15)</f>
        <v>Spectrum</v>
      </c>
      <c r="D170" s="38" t="str">
        <f aca="false">IF($C170="","",Recurring!$C$15)</f>
        <v>Expense</v>
      </c>
      <c r="E170" s="76" t="n">
        <f aca="false">IF($C170="","",Recurring!$D$15)</f>
        <v>171.1</v>
      </c>
      <c r="F170" s="77"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46434</v>
      </c>
      <c r="G170" s="77" t="n">
        <f aca="false">IF($F170="","",IF(Recurring!$G$15="Move Before",IF(WEEKDAY($F170,2)=6,$F170-1,IF(WEEKDAY($F170,2)=7,$F170-2,$F170)),IF(Recurring!$G$15="Move After",IF(WEEKDAY($F170,2)=6,$F170+2,IF(WEEKDAY($F170,2)=7,$F170+1,$F170)),$F170)))</f>
        <v>46434</v>
      </c>
      <c r="H170" s="78" t="n">
        <f aca="false">IF($G170="",0,IF(AND($G170&gt;='Cash Flow'!$E$6,$G170&lt;'Cash Flow'!$E$6+91),1,0))</f>
        <v>0</v>
      </c>
      <c r="I170" s="78" t="str">
        <f aca="false">IF($H170=1,MAX(1,INT(($G170-'Cash Flow'!$E$6)/7)+1),"")</f>
        <v/>
      </c>
      <c r="J170" s="38" t="str">
        <f aca="false">IF($H170=1,$G170*10000+ROW(),"")</f>
        <v/>
      </c>
      <c r="K170" s="38" t="str">
        <f aca="false">IF($H170=1,$I170*1000+COUNTIFS($I$4:$I$483,$I170,$J$4:$J$483,"&lt;"&amp;$J170)+1,"")</f>
        <v/>
      </c>
    </row>
    <row r="171" customFormat="false" ht="15" hidden="false" customHeight="false" outlineLevel="0" collapsed="false">
      <c r="A171" s="46" t="n">
        <v>11</v>
      </c>
      <c r="B171" s="46" t="n">
        <v>8</v>
      </c>
      <c r="C171" s="38" t="str">
        <f aca="false">IF(OR(Recurring!$B$15="",Recurring!$H$15&lt;&gt;"Yes",Recurring!$D$15=""),"",Recurring!$B$15)</f>
        <v>Spectrum</v>
      </c>
      <c r="D171" s="38" t="str">
        <f aca="false">IF($C171="","",Recurring!$C$15)</f>
        <v>Expense</v>
      </c>
      <c r="E171" s="76" t="n">
        <f aca="false">IF($C171="","",Recurring!$D$15)</f>
        <v>171.1</v>
      </c>
      <c r="F171" s="77"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46462</v>
      </c>
      <c r="G171" s="77" t="n">
        <f aca="false">IF($F171="","",IF(Recurring!$G$15="Move Before",IF(WEEKDAY($F171,2)=6,$F171-1,IF(WEEKDAY($F171,2)=7,$F171-2,$F171)),IF(Recurring!$G$15="Move After",IF(WEEKDAY($F171,2)=6,$F171+2,IF(WEEKDAY($F171,2)=7,$F171+1,$F171)),$F171)))</f>
        <v>46462</v>
      </c>
      <c r="H171" s="78" t="n">
        <f aca="false">IF($G171="",0,IF(AND($G171&gt;='Cash Flow'!$E$6,$G171&lt;'Cash Flow'!$E$6+91),1,0))</f>
        <v>0</v>
      </c>
      <c r="I171" s="78" t="str">
        <f aca="false">IF($H171=1,MAX(1,INT(($G171-'Cash Flow'!$E$6)/7)+1),"")</f>
        <v/>
      </c>
      <c r="J171" s="38" t="str">
        <f aca="false">IF($H171=1,$G171*10000+ROW(),"")</f>
        <v/>
      </c>
      <c r="K171" s="38" t="str">
        <f aca="false">IF($H171=1,$I171*1000+COUNTIFS($I$4:$I$483,$I171,$J$4:$J$483,"&lt;"&amp;$J171)+1,"")</f>
        <v/>
      </c>
    </row>
    <row r="172" customFormat="false" ht="15" hidden="false" customHeight="false" outlineLevel="0" collapsed="false">
      <c r="A172" s="46" t="n">
        <v>11</v>
      </c>
      <c r="B172" s="46" t="n">
        <v>9</v>
      </c>
      <c r="C172" s="38" t="str">
        <f aca="false">IF(OR(Recurring!$B$15="",Recurring!$H$15&lt;&gt;"Yes",Recurring!$D$15=""),"",Recurring!$B$15)</f>
        <v>Spectrum</v>
      </c>
      <c r="D172" s="38" t="str">
        <f aca="false">IF($C172="","",Recurring!$C$15)</f>
        <v>Expense</v>
      </c>
      <c r="E172" s="76" t="n">
        <f aca="false">IF($C172="","",Recurring!$D$15)</f>
        <v>171.1</v>
      </c>
      <c r="F172" s="77"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46493</v>
      </c>
      <c r="G172" s="77" t="n">
        <f aca="false">IF($F172="","",IF(Recurring!$G$15="Move Before",IF(WEEKDAY($F172,2)=6,$F172-1,IF(WEEKDAY($F172,2)=7,$F172-2,$F172)),IF(Recurring!$G$15="Move After",IF(WEEKDAY($F172,2)=6,$F172+2,IF(WEEKDAY($F172,2)=7,$F172+1,$F172)),$F172)))</f>
        <v>46493</v>
      </c>
      <c r="H172" s="78" t="n">
        <f aca="false">IF($G172="",0,IF(AND($G172&gt;='Cash Flow'!$E$6,$G172&lt;'Cash Flow'!$E$6+91),1,0))</f>
        <v>0</v>
      </c>
      <c r="I172" s="78" t="str">
        <f aca="false">IF($H172=1,MAX(1,INT(($G172-'Cash Flow'!$E$6)/7)+1),"")</f>
        <v/>
      </c>
      <c r="J172" s="38" t="str">
        <f aca="false">IF($H172=1,$G172*10000+ROW(),"")</f>
        <v/>
      </c>
      <c r="K172" s="38" t="str">
        <f aca="false">IF($H172=1,$I172*1000+COUNTIFS($I$4:$I$483,$I172,$J$4:$J$483,"&lt;"&amp;$J172)+1,"")</f>
        <v/>
      </c>
    </row>
    <row r="173" customFormat="false" ht="15" hidden="false" customHeight="false" outlineLevel="0" collapsed="false">
      <c r="A173" s="46" t="n">
        <v>11</v>
      </c>
      <c r="B173" s="46" t="n">
        <v>10</v>
      </c>
      <c r="C173" s="38" t="str">
        <f aca="false">IF(OR(Recurring!$B$15="",Recurring!$H$15&lt;&gt;"Yes",Recurring!$D$15=""),"",Recurring!$B$15)</f>
        <v>Spectrum</v>
      </c>
      <c r="D173" s="38" t="str">
        <f aca="false">IF($C173="","",Recurring!$C$15)</f>
        <v>Expense</v>
      </c>
      <c r="E173" s="76" t="n">
        <f aca="false">IF($C173="","",Recurring!$D$15)</f>
        <v>171.1</v>
      </c>
      <c r="F173" s="77"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46523</v>
      </c>
      <c r="G173" s="77" t="n">
        <f aca="false">IF($F173="","",IF(Recurring!$G$15="Move Before",IF(WEEKDAY($F173,2)=6,$F173-1,IF(WEEKDAY($F173,2)=7,$F173-2,$F173)),IF(Recurring!$G$15="Move After",IF(WEEKDAY($F173,2)=6,$F173+2,IF(WEEKDAY($F173,2)=7,$F173+1,$F173)),$F173)))</f>
        <v>46523</v>
      </c>
      <c r="H173" s="78" t="n">
        <f aca="false">IF($G173="",0,IF(AND($G173&gt;='Cash Flow'!$E$6,$G173&lt;'Cash Flow'!$E$6+91),1,0))</f>
        <v>0</v>
      </c>
      <c r="I173" s="78" t="str">
        <f aca="false">IF($H173=1,MAX(1,INT(($G173-'Cash Flow'!$E$6)/7)+1),"")</f>
        <v/>
      </c>
      <c r="J173" s="38" t="str">
        <f aca="false">IF($H173=1,$G173*10000+ROW(),"")</f>
        <v/>
      </c>
      <c r="K173" s="38" t="str">
        <f aca="false">IF($H173=1,$I173*1000+COUNTIFS($I$4:$I$483,$I173,$J$4:$J$483,"&lt;"&amp;$J173)+1,"")</f>
        <v/>
      </c>
    </row>
    <row r="174" customFormat="false" ht="15" hidden="false" customHeight="false" outlineLevel="0" collapsed="false">
      <c r="A174" s="46" t="n">
        <v>11</v>
      </c>
      <c r="B174" s="46" t="n">
        <v>11</v>
      </c>
      <c r="C174" s="38" t="str">
        <f aca="false">IF(OR(Recurring!$B$15="",Recurring!$H$15&lt;&gt;"Yes",Recurring!$D$15=""),"",Recurring!$B$15)</f>
        <v>Spectrum</v>
      </c>
      <c r="D174" s="38" t="str">
        <f aca="false">IF($C174="","",Recurring!$C$15)</f>
        <v>Expense</v>
      </c>
      <c r="E174" s="76" t="n">
        <f aca="false">IF($C174="","",Recurring!$D$15)</f>
        <v>171.1</v>
      </c>
      <c r="F174" s="77"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46554</v>
      </c>
      <c r="G174" s="77" t="n">
        <f aca="false">IF($F174="","",IF(Recurring!$G$15="Move Before",IF(WEEKDAY($F174,2)=6,$F174-1,IF(WEEKDAY($F174,2)=7,$F174-2,$F174)),IF(Recurring!$G$15="Move After",IF(WEEKDAY($F174,2)=6,$F174+2,IF(WEEKDAY($F174,2)=7,$F174+1,$F174)),$F174)))</f>
        <v>46554</v>
      </c>
      <c r="H174" s="78" t="n">
        <f aca="false">IF($G174="",0,IF(AND($G174&gt;='Cash Flow'!$E$6,$G174&lt;'Cash Flow'!$E$6+91),1,0))</f>
        <v>0</v>
      </c>
      <c r="I174" s="78" t="str">
        <f aca="false">IF($H174=1,MAX(1,INT(($G174-'Cash Flow'!$E$6)/7)+1),"")</f>
        <v/>
      </c>
      <c r="J174" s="38" t="str">
        <f aca="false">IF($H174=1,$G174*10000+ROW(),"")</f>
        <v/>
      </c>
      <c r="K174" s="38" t="str">
        <f aca="false">IF($H174=1,$I174*1000+COUNTIFS($I$4:$I$483,$I174,$J$4:$J$483,"&lt;"&amp;$J174)+1,"")</f>
        <v/>
      </c>
    </row>
    <row r="175" customFormat="false" ht="15" hidden="false" customHeight="false" outlineLevel="0" collapsed="false">
      <c r="A175" s="46" t="n">
        <v>11</v>
      </c>
      <c r="B175" s="46" t="n">
        <v>12</v>
      </c>
      <c r="C175" s="38" t="str">
        <f aca="false">IF(OR(Recurring!$B$15="",Recurring!$H$15&lt;&gt;"Yes",Recurring!$D$15=""),"",Recurring!$B$15)</f>
        <v>Spectrum</v>
      </c>
      <c r="D175" s="38" t="str">
        <f aca="false">IF($C175="","",Recurring!$C$15)</f>
        <v>Expense</v>
      </c>
      <c r="E175" s="76" t="n">
        <f aca="false">IF($C175="","",Recurring!$D$15)</f>
        <v>171.1</v>
      </c>
      <c r="F175" s="77"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46584</v>
      </c>
      <c r="G175" s="77" t="n">
        <f aca="false">IF($F175="","",IF(Recurring!$G$15="Move Before",IF(WEEKDAY($F175,2)=6,$F175-1,IF(WEEKDAY($F175,2)=7,$F175-2,$F175)),IF(Recurring!$G$15="Move After",IF(WEEKDAY($F175,2)=6,$F175+2,IF(WEEKDAY($F175,2)=7,$F175+1,$F175)),$F175)))</f>
        <v>46584</v>
      </c>
      <c r="H175" s="78" t="n">
        <f aca="false">IF($G175="",0,IF(AND($G175&gt;='Cash Flow'!$E$6,$G175&lt;'Cash Flow'!$E$6+91),1,0))</f>
        <v>0</v>
      </c>
      <c r="I175" s="78" t="str">
        <f aca="false">IF($H175=1,MAX(1,INT(($G175-'Cash Flow'!$E$6)/7)+1),"")</f>
        <v/>
      </c>
      <c r="J175" s="38" t="str">
        <f aca="false">IF($H175=1,$G175*10000+ROW(),"")</f>
        <v/>
      </c>
      <c r="K175" s="38" t="str">
        <f aca="false">IF($H175=1,$I175*1000+COUNTIFS($I$4:$I$483,$I175,$J$4:$J$483,"&lt;"&amp;$J175)+1,"")</f>
        <v/>
      </c>
    </row>
    <row r="176" customFormat="false" ht="15" hidden="false" customHeight="false" outlineLevel="0" collapsed="false">
      <c r="A176" s="46" t="n">
        <v>11</v>
      </c>
      <c r="B176" s="46" t="n">
        <v>13</v>
      </c>
      <c r="C176" s="38" t="str">
        <f aca="false">IF(OR(Recurring!$B$15="",Recurring!$H$15&lt;&gt;"Yes",Recurring!$D$15=""),"",Recurring!$B$15)</f>
        <v>Spectrum</v>
      </c>
      <c r="D176" s="38" t="str">
        <f aca="false">IF($C176="","",Recurring!$C$15)</f>
        <v>Expense</v>
      </c>
      <c r="E176" s="76" t="n">
        <f aca="false">IF($C176="","",Recurring!$D$15)</f>
        <v>171.1</v>
      </c>
      <c r="F176" s="77"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46615</v>
      </c>
      <c r="G176" s="77" t="n">
        <f aca="false">IF($F176="","",IF(Recurring!$G$15="Move Before",IF(WEEKDAY($F176,2)=6,$F176-1,IF(WEEKDAY($F176,2)=7,$F176-2,$F176)),IF(Recurring!$G$15="Move After",IF(WEEKDAY($F176,2)=6,$F176+2,IF(WEEKDAY($F176,2)=7,$F176+1,$F176)),$F176)))</f>
        <v>46615</v>
      </c>
      <c r="H176" s="78" t="n">
        <f aca="false">IF($G176="",0,IF(AND($G176&gt;='Cash Flow'!$E$6,$G176&lt;'Cash Flow'!$E$6+91),1,0))</f>
        <v>0</v>
      </c>
      <c r="I176" s="78" t="str">
        <f aca="false">IF($H176=1,MAX(1,INT(($G176-'Cash Flow'!$E$6)/7)+1),"")</f>
        <v/>
      </c>
      <c r="J176" s="38" t="str">
        <f aca="false">IF($H176=1,$G176*10000+ROW(),"")</f>
        <v/>
      </c>
      <c r="K176" s="38" t="str">
        <f aca="false">IF($H176=1,$I176*1000+COUNTIFS($I$4:$I$483,$I176,$J$4:$J$483,"&lt;"&amp;$J176)+1,"")</f>
        <v/>
      </c>
    </row>
    <row r="177" customFormat="false" ht="15" hidden="false" customHeight="false" outlineLevel="0" collapsed="false">
      <c r="A177" s="46" t="n">
        <v>11</v>
      </c>
      <c r="B177" s="46" t="n">
        <v>14</v>
      </c>
      <c r="C177" s="38" t="str">
        <f aca="false">IF(OR(Recurring!$B$15="",Recurring!$H$15&lt;&gt;"Yes",Recurring!$D$15=""),"",Recurring!$B$15)</f>
        <v>Spectrum</v>
      </c>
      <c r="D177" s="38" t="str">
        <f aca="false">IF($C177="","",Recurring!$C$15)</f>
        <v>Expense</v>
      </c>
      <c r="E177" s="76" t="n">
        <f aca="false">IF($C177="","",Recurring!$D$15)</f>
        <v>171.1</v>
      </c>
      <c r="F177" s="77"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46646</v>
      </c>
      <c r="G177" s="77" t="n">
        <f aca="false">IF($F177="","",IF(Recurring!$G$15="Move Before",IF(WEEKDAY($F177,2)=6,$F177-1,IF(WEEKDAY($F177,2)=7,$F177-2,$F177)),IF(Recurring!$G$15="Move After",IF(WEEKDAY($F177,2)=6,$F177+2,IF(WEEKDAY($F177,2)=7,$F177+1,$F177)),$F177)))</f>
        <v>46646</v>
      </c>
      <c r="H177" s="78" t="n">
        <f aca="false">IF($G177="",0,IF(AND($G177&gt;='Cash Flow'!$E$6,$G177&lt;'Cash Flow'!$E$6+91),1,0))</f>
        <v>0</v>
      </c>
      <c r="I177" s="78" t="str">
        <f aca="false">IF($H177=1,MAX(1,INT(($G177-'Cash Flow'!$E$6)/7)+1),"")</f>
        <v/>
      </c>
      <c r="J177" s="38" t="str">
        <f aca="false">IF($H177=1,$G177*10000+ROW(),"")</f>
        <v/>
      </c>
      <c r="K177" s="38" t="str">
        <f aca="false">IF($H177=1,$I177*1000+COUNTIFS($I$4:$I$483,$I177,$J$4:$J$483,"&lt;"&amp;$J177)+1,"")</f>
        <v/>
      </c>
    </row>
    <row r="178" customFormat="false" ht="15" hidden="false" customHeight="false" outlineLevel="0" collapsed="false">
      <c r="A178" s="46" t="n">
        <v>11</v>
      </c>
      <c r="B178" s="46" t="n">
        <v>15</v>
      </c>
      <c r="C178" s="38" t="str">
        <f aca="false">IF(OR(Recurring!$B$15="",Recurring!$H$15&lt;&gt;"Yes",Recurring!$D$15=""),"",Recurring!$B$15)</f>
        <v>Spectrum</v>
      </c>
      <c r="D178" s="38" t="str">
        <f aca="false">IF($C178="","",Recurring!$C$15)</f>
        <v>Expense</v>
      </c>
      <c r="E178" s="76" t="n">
        <f aca="false">IF($C178="","",Recurring!$D$15)</f>
        <v>171.1</v>
      </c>
      <c r="F178" s="77"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46676</v>
      </c>
      <c r="G178" s="77" t="n">
        <f aca="false">IF($F178="","",IF(Recurring!$G$15="Move Before",IF(WEEKDAY($F178,2)=6,$F178-1,IF(WEEKDAY($F178,2)=7,$F178-2,$F178)),IF(Recurring!$G$15="Move After",IF(WEEKDAY($F178,2)=6,$F178+2,IF(WEEKDAY($F178,2)=7,$F178+1,$F178)),$F178)))</f>
        <v>46676</v>
      </c>
      <c r="H178" s="78" t="n">
        <f aca="false">IF($G178="",0,IF(AND($G178&gt;='Cash Flow'!$E$6,$G178&lt;'Cash Flow'!$E$6+91),1,0))</f>
        <v>0</v>
      </c>
      <c r="I178" s="78" t="str">
        <f aca="false">IF($H178=1,MAX(1,INT(($G178-'Cash Flow'!$E$6)/7)+1),"")</f>
        <v/>
      </c>
      <c r="J178" s="38" t="str">
        <f aca="false">IF($H178=1,$G178*10000+ROW(),"")</f>
        <v/>
      </c>
      <c r="K178" s="38" t="str">
        <f aca="false">IF($H178=1,$I178*1000+COUNTIFS($I$4:$I$483,$I178,$J$4:$J$483,"&lt;"&amp;$J178)+1,"")</f>
        <v/>
      </c>
    </row>
    <row r="179" customFormat="false" ht="15" hidden="false" customHeight="false" outlineLevel="0" collapsed="false">
      <c r="A179" s="46" t="n">
        <v>11</v>
      </c>
      <c r="B179" s="46" t="n">
        <v>16</v>
      </c>
      <c r="C179" s="38" t="str">
        <f aca="false">IF(OR(Recurring!$B$15="",Recurring!$H$15&lt;&gt;"Yes",Recurring!$D$15=""),"",Recurring!$B$15)</f>
        <v>Spectrum</v>
      </c>
      <c r="D179" s="38" t="str">
        <f aca="false">IF($C179="","",Recurring!$C$15)</f>
        <v>Expense</v>
      </c>
      <c r="E179" s="76" t="n">
        <f aca="false">IF($C179="","",Recurring!$D$15)</f>
        <v>171.1</v>
      </c>
      <c r="F179" s="77"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46707</v>
      </c>
      <c r="G179" s="77" t="n">
        <f aca="false">IF($F179="","",IF(Recurring!$G$15="Move Before",IF(WEEKDAY($F179,2)=6,$F179-1,IF(WEEKDAY($F179,2)=7,$F179-2,$F179)),IF(Recurring!$G$15="Move After",IF(WEEKDAY($F179,2)=6,$F179+2,IF(WEEKDAY($F179,2)=7,$F179+1,$F179)),$F179)))</f>
        <v>46707</v>
      </c>
      <c r="H179" s="78" t="n">
        <f aca="false">IF($G179="",0,IF(AND($G179&gt;='Cash Flow'!$E$6,$G179&lt;'Cash Flow'!$E$6+91),1,0))</f>
        <v>0</v>
      </c>
      <c r="I179" s="78" t="str">
        <f aca="false">IF($H179=1,MAX(1,INT(($G179-'Cash Flow'!$E$6)/7)+1),"")</f>
        <v/>
      </c>
      <c r="J179" s="38" t="str">
        <f aca="false">IF($H179=1,$G179*10000+ROW(),"")</f>
        <v/>
      </c>
      <c r="K179" s="38" t="str">
        <f aca="false">IF($H179=1,$I179*1000+COUNTIFS($I$4:$I$483,$I179,$J$4:$J$483,"&lt;"&amp;$J179)+1,"")</f>
        <v/>
      </c>
    </row>
    <row r="180" customFormat="false" ht="15" hidden="false" customHeight="false" outlineLevel="0" collapsed="false">
      <c r="A180" s="46" t="n">
        <v>12</v>
      </c>
      <c r="B180" s="46" t="n">
        <v>1</v>
      </c>
      <c r="C180" s="38" t="str">
        <f aca="false">IF(OR(Recurring!$B$16="",Recurring!$H$16&lt;&gt;"Yes",Recurring!$D$16=""),"",Recurring!$B$16)</f>
        <v>Maine Revenue Services</v>
      </c>
      <c r="D180" s="38" t="str">
        <f aca="false">IF($C180="","",Recurring!$C$16)</f>
        <v>Expense</v>
      </c>
      <c r="E180" s="76" t="n">
        <f aca="false">IF($C180="","",Recurring!$D$16)</f>
        <v>45</v>
      </c>
      <c r="F180" s="77"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77" t="n">
        <f aca="false">IF($F180="","",IF(Recurring!$G$16="Move Before",IF(WEEKDAY($F180,2)=6,$F180-1,IF(WEEKDAY($F180,2)=7,$F180-2,$F180)),IF(Recurring!$G$16="Move After",IF(WEEKDAY($F180,2)=6,$F180+2,IF(WEEKDAY($F180,2)=7,$F180+1,$F180)),$F180)))</f>
        <v>46250</v>
      </c>
      <c r="H180" s="78" t="n">
        <f aca="false">IF($G180="",0,IF(AND($G180&gt;='Cash Flow'!$E$6-90,$G180&lt;'Cash Flow'!$E$6+91),1,0))</f>
        <v>1</v>
      </c>
      <c r="I180" s="78" t="n">
        <f aca="false">IF($H180=1,MAX(1,INT(($G180-'Cash Flow'!$E$6)/7)+1),"")</f>
        <v>2</v>
      </c>
      <c r="J180" s="38" t="n">
        <f aca="false">IF($H180=1,$G180*10000+ROW(),"")</f>
        <v>462500180</v>
      </c>
      <c r="K180" s="38" t="n">
        <f aca="false">IF($H180=1,$I180*1000+COUNTIFS($I$4:$I$483,$I180,$J$4:$J$483,"&lt;"&amp;$J180)+1,"")</f>
        <v>2004</v>
      </c>
    </row>
    <row r="181" customFormat="false" ht="15" hidden="false" customHeight="false" outlineLevel="0" collapsed="false">
      <c r="A181" s="46" t="n">
        <v>12</v>
      </c>
      <c r="B181" s="46" t="n">
        <v>2</v>
      </c>
      <c r="C181" s="38" t="str">
        <f aca="false">IF(OR(Recurring!$B$16="",Recurring!$H$16&lt;&gt;"Yes",Recurring!$D$16=""),"",Recurring!$B$16)</f>
        <v>Maine Revenue Services</v>
      </c>
      <c r="D181" s="38" t="str">
        <f aca="false">IF($C181="","",Recurring!$C$16)</f>
        <v>Expense</v>
      </c>
      <c r="E181" s="76" t="n">
        <f aca="false">IF($C181="","",Recurring!$D$16)</f>
        <v>45</v>
      </c>
      <c r="F181" s="77"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77" t="n">
        <f aca="false">IF($F181="","",IF(Recurring!$G$16="Move Before",IF(WEEKDAY($F181,2)=6,$F181-1,IF(WEEKDAY($F181,2)=7,$F181-2,$F181)),IF(Recurring!$G$16="Move After",IF(WEEKDAY($F181,2)=6,$F181+2,IF(WEEKDAY($F181,2)=7,$F181+1,$F181)),$F181)))</f>
        <v>46281</v>
      </c>
      <c r="H181" s="78" t="n">
        <f aca="false">IF($G181="",0,IF(AND($G181&gt;='Cash Flow'!$E$6,$G181&lt;'Cash Flow'!$E$6+91),1,0))</f>
        <v>1</v>
      </c>
      <c r="I181" s="78" t="n">
        <f aca="false">IF($H181=1,MAX(1,INT(($G181-'Cash Flow'!$E$6)/7)+1),"")</f>
        <v>6</v>
      </c>
      <c r="J181" s="38" t="n">
        <f aca="false">IF($H181=1,$G181*10000+ROW(),"")</f>
        <v>462810181</v>
      </c>
      <c r="K181" s="38" t="n">
        <f aca="false">IF($H181=1,$I181*1000+COUNTIFS($I$4:$I$483,$I181,$J$4:$J$483,"&lt;"&amp;$J181)+1,"")</f>
        <v>6006</v>
      </c>
    </row>
    <row r="182" customFormat="false" ht="15" hidden="false" customHeight="false" outlineLevel="0" collapsed="false">
      <c r="A182" s="46" t="n">
        <v>12</v>
      </c>
      <c r="B182" s="46" t="n">
        <v>3</v>
      </c>
      <c r="C182" s="38" t="str">
        <f aca="false">IF(OR(Recurring!$B$16="",Recurring!$H$16&lt;&gt;"Yes",Recurring!$D$16=""),"",Recurring!$B$16)</f>
        <v>Maine Revenue Services</v>
      </c>
      <c r="D182" s="38" t="str">
        <f aca="false">IF($C182="","",Recurring!$C$16)</f>
        <v>Expense</v>
      </c>
      <c r="E182" s="76" t="n">
        <f aca="false">IF($C182="","",Recurring!$D$16)</f>
        <v>45</v>
      </c>
      <c r="F182" s="77"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77" t="n">
        <f aca="false">IF($F182="","",IF(Recurring!$G$16="Move Before",IF(WEEKDAY($F182,2)=6,$F182-1,IF(WEEKDAY($F182,2)=7,$F182-2,$F182)),IF(Recurring!$G$16="Move After",IF(WEEKDAY($F182,2)=6,$F182+2,IF(WEEKDAY($F182,2)=7,$F182+1,$F182)),$F182)))</f>
        <v>46311</v>
      </c>
      <c r="H182" s="78" t="n">
        <f aca="false">IF($G182="",0,IF(AND($G182&gt;='Cash Flow'!$E$6,$G182&lt;'Cash Flow'!$E$6+91),1,0))</f>
        <v>1</v>
      </c>
      <c r="I182" s="78" t="n">
        <f aca="false">IF($H182=1,MAX(1,INT(($G182-'Cash Flow'!$E$6)/7)+1),"")</f>
        <v>11</v>
      </c>
      <c r="J182" s="38" t="n">
        <f aca="false">IF($H182=1,$G182*10000+ROW(),"")</f>
        <v>463110182</v>
      </c>
      <c r="K182" s="38" t="n">
        <f aca="false">IF($H182=1,$I182*1000+COUNTIFS($I$4:$I$483,$I182,$J$4:$J$483,"&lt;"&amp;$J182)+1,"")</f>
        <v>11003</v>
      </c>
    </row>
    <row r="183" customFormat="false" ht="15" hidden="false" customHeight="false" outlineLevel="0" collapsed="false">
      <c r="A183" s="46" t="n">
        <v>12</v>
      </c>
      <c r="B183" s="46" t="n">
        <v>4</v>
      </c>
      <c r="C183" s="38" t="str">
        <f aca="false">IF(OR(Recurring!$B$16="",Recurring!$H$16&lt;&gt;"Yes",Recurring!$D$16=""),"",Recurring!$B$16)</f>
        <v>Maine Revenue Services</v>
      </c>
      <c r="D183" s="38" t="str">
        <f aca="false">IF($C183="","",Recurring!$C$16)</f>
        <v>Expense</v>
      </c>
      <c r="E183" s="76" t="n">
        <f aca="false">IF($C183="","",Recurring!$D$16)</f>
        <v>45</v>
      </c>
      <c r="F183" s="77"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77" t="n">
        <f aca="false">IF($F183="","",IF(Recurring!$G$16="Move Before",IF(WEEKDAY($F183,2)=6,$F183-1,IF(WEEKDAY($F183,2)=7,$F183-2,$F183)),IF(Recurring!$G$16="Move After",IF(WEEKDAY($F183,2)=6,$F183+2,IF(WEEKDAY($F183,2)=7,$F183+1,$F183)),$F183)))</f>
        <v>46342</v>
      </c>
      <c r="H183" s="78" t="n">
        <f aca="false">IF($G183="",0,IF(AND($G183&gt;='Cash Flow'!$E$6,$G183&lt;'Cash Flow'!$E$6+91),1,0))</f>
        <v>0</v>
      </c>
      <c r="I183" s="78" t="str">
        <f aca="false">IF($H183=1,MAX(1,INT(($G183-'Cash Flow'!$E$6)/7)+1),"")</f>
        <v/>
      </c>
      <c r="J183" s="38" t="str">
        <f aca="false">IF($H183=1,$G183*10000+ROW(),"")</f>
        <v/>
      </c>
      <c r="K183" s="38" t="str">
        <f aca="false">IF($H183=1,$I183*1000+COUNTIFS($I$4:$I$483,$I183,$J$4:$J$483,"&lt;"&amp;$J183)+1,"")</f>
        <v/>
      </c>
    </row>
    <row r="184" customFormat="false" ht="15" hidden="false" customHeight="false" outlineLevel="0" collapsed="false">
      <c r="A184" s="46" t="n">
        <v>12</v>
      </c>
      <c r="B184" s="46" t="n">
        <v>5</v>
      </c>
      <c r="C184" s="38" t="str">
        <f aca="false">IF(OR(Recurring!$B$16="",Recurring!$H$16&lt;&gt;"Yes",Recurring!$D$16=""),"",Recurring!$B$16)</f>
        <v>Maine Revenue Services</v>
      </c>
      <c r="D184" s="38" t="str">
        <f aca="false">IF($C184="","",Recurring!$C$16)</f>
        <v>Expense</v>
      </c>
      <c r="E184" s="76" t="n">
        <f aca="false">IF($C184="","",Recurring!$D$16)</f>
        <v>45</v>
      </c>
      <c r="F184" s="77"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77" t="n">
        <f aca="false">IF($F184="","",IF(Recurring!$G$16="Move Before",IF(WEEKDAY($F184,2)=6,$F184-1,IF(WEEKDAY($F184,2)=7,$F184-2,$F184)),IF(Recurring!$G$16="Move After",IF(WEEKDAY($F184,2)=6,$F184+2,IF(WEEKDAY($F184,2)=7,$F184+1,$F184)),$F184)))</f>
        <v>46372</v>
      </c>
      <c r="H184" s="78" t="n">
        <f aca="false">IF($G184="",0,IF(AND($G184&gt;='Cash Flow'!$E$6,$G184&lt;'Cash Flow'!$E$6+91),1,0))</f>
        <v>0</v>
      </c>
      <c r="I184" s="78" t="str">
        <f aca="false">IF($H184=1,MAX(1,INT(($G184-'Cash Flow'!$E$6)/7)+1),"")</f>
        <v/>
      </c>
      <c r="J184" s="38" t="str">
        <f aca="false">IF($H184=1,$G184*10000+ROW(),"")</f>
        <v/>
      </c>
      <c r="K184" s="38" t="str">
        <f aca="false">IF($H184=1,$I184*1000+COUNTIFS($I$4:$I$483,$I184,$J$4:$J$483,"&lt;"&amp;$J184)+1,"")</f>
        <v/>
      </c>
    </row>
    <row r="185" customFormat="false" ht="15" hidden="false" customHeight="false" outlineLevel="0" collapsed="false">
      <c r="A185" s="46" t="n">
        <v>12</v>
      </c>
      <c r="B185" s="46" t="n">
        <v>6</v>
      </c>
      <c r="C185" s="38" t="str">
        <f aca="false">IF(OR(Recurring!$B$16="",Recurring!$H$16&lt;&gt;"Yes",Recurring!$D$16=""),"",Recurring!$B$16)</f>
        <v>Maine Revenue Services</v>
      </c>
      <c r="D185" s="38" t="str">
        <f aca="false">IF($C185="","",Recurring!$C$16)</f>
        <v>Expense</v>
      </c>
      <c r="E185" s="76" t="n">
        <f aca="false">IF($C185="","",Recurring!$D$16)</f>
        <v>45</v>
      </c>
      <c r="F185" s="77"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77" t="n">
        <f aca="false">IF($F185="","",IF(Recurring!$G$16="Move Before",IF(WEEKDAY($F185,2)=6,$F185-1,IF(WEEKDAY($F185,2)=7,$F185-2,$F185)),IF(Recurring!$G$16="Move After",IF(WEEKDAY($F185,2)=6,$F185+2,IF(WEEKDAY($F185,2)=7,$F185+1,$F185)),$F185)))</f>
        <v>46403</v>
      </c>
      <c r="H185" s="78" t="n">
        <f aca="false">IF($G185="",0,IF(AND($G185&gt;='Cash Flow'!$E$6,$G185&lt;'Cash Flow'!$E$6+91),1,0))</f>
        <v>0</v>
      </c>
      <c r="I185" s="78" t="str">
        <f aca="false">IF($H185=1,MAX(1,INT(($G185-'Cash Flow'!$E$6)/7)+1),"")</f>
        <v/>
      </c>
      <c r="J185" s="38" t="str">
        <f aca="false">IF($H185=1,$G185*10000+ROW(),"")</f>
        <v/>
      </c>
      <c r="K185" s="38" t="str">
        <f aca="false">IF($H185=1,$I185*1000+COUNTIFS($I$4:$I$483,$I185,$J$4:$J$483,"&lt;"&amp;$J185)+1,"")</f>
        <v/>
      </c>
    </row>
    <row r="186" customFormat="false" ht="15" hidden="false" customHeight="false" outlineLevel="0" collapsed="false">
      <c r="A186" s="46" t="n">
        <v>12</v>
      </c>
      <c r="B186" s="46" t="n">
        <v>7</v>
      </c>
      <c r="C186" s="38" t="str">
        <f aca="false">IF(OR(Recurring!$B$16="",Recurring!$H$16&lt;&gt;"Yes",Recurring!$D$16=""),"",Recurring!$B$16)</f>
        <v>Maine Revenue Services</v>
      </c>
      <c r="D186" s="38" t="str">
        <f aca="false">IF($C186="","",Recurring!$C$16)</f>
        <v>Expense</v>
      </c>
      <c r="E186" s="76" t="n">
        <f aca="false">IF($C186="","",Recurring!$D$16)</f>
        <v>45</v>
      </c>
      <c r="F186" s="77"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77" t="n">
        <f aca="false">IF($F186="","",IF(Recurring!$G$16="Move Before",IF(WEEKDAY($F186,2)=6,$F186-1,IF(WEEKDAY($F186,2)=7,$F186-2,$F186)),IF(Recurring!$G$16="Move After",IF(WEEKDAY($F186,2)=6,$F186+2,IF(WEEKDAY($F186,2)=7,$F186+1,$F186)),$F186)))</f>
        <v>46434</v>
      </c>
      <c r="H186" s="78" t="n">
        <f aca="false">IF($G186="",0,IF(AND($G186&gt;='Cash Flow'!$E$6,$G186&lt;'Cash Flow'!$E$6+91),1,0))</f>
        <v>0</v>
      </c>
      <c r="I186" s="78" t="str">
        <f aca="false">IF($H186=1,MAX(1,INT(($G186-'Cash Flow'!$E$6)/7)+1),"")</f>
        <v/>
      </c>
      <c r="J186" s="38" t="str">
        <f aca="false">IF($H186=1,$G186*10000+ROW(),"")</f>
        <v/>
      </c>
      <c r="K186" s="38" t="str">
        <f aca="false">IF($H186=1,$I186*1000+COUNTIFS($I$4:$I$483,$I186,$J$4:$J$483,"&lt;"&amp;$J186)+1,"")</f>
        <v/>
      </c>
    </row>
    <row r="187" customFormat="false" ht="15" hidden="false" customHeight="false" outlineLevel="0" collapsed="false">
      <c r="A187" s="46" t="n">
        <v>12</v>
      </c>
      <c r="B187" s="46" t="n">
        <v>8</v>
      </c>
      <c r="C187" s="38" t="str">
        <f aca="false">IF(OR(Recurring!$B$16="",Recurring!$H$16&lt;&gt;"Yes",Recurring!$D$16=""),"",Recurring!$B$16)</f>
        <v>Maine Revenue Services</v>
      </c>
      <c r="D187" s="38" t="str">
        <f aca="false">IF($C187="","",Recurring!$C$16)</f>
        <v>Expense</v>
      </c>
      <c r="E187" s="76" t="n">
        <f aca="false">IF($C187="","",Recurring!$D$16)</f>
        <v>45</v>
      </c>
      <c r="F187" s="77"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77" t="n">
        <f aca="false">IF($F187="","",IF(Recurring!$G$16="Move Before",IF(WEEKDAY($F187,2)=6,$F187-1,IF(WEEKDAY($F187,2)=7,$F187-2,$F187)),IF(Recurring!$G$16="Move After",IF(WEEKDAY($F187,2)=6,$F187+2,IF(WEEKDAY($F187,2)=7,$F187+1,$F187)),$F187)))</f>
        <v>46462</v>
      </c>
      <c r="H187" s="78" t="n">
        <f aca="false">IF($G187="",0,IF(AND($G187&gt;='Cash Flow'!$E$6,$G187&lt;'Cash Flow'!$E$6+91),1,0))</f>
        <v>0</v>
      </c>
      <c r="I187" s="78" t="str">
        <f aca="false">IF($H187=1,MAX(1,INT(($G187-'Cash Flow'!$E$6)/7)+1),"")</f>
        <v/>
      </c>
      <c r="J187" s="38" t="str">
        <f aca="false">IF($H187=1,$G187*10000+ROW(),"")</f>
        <v/>
      </c>
      <c r="K187" s="38" t="str">
        <f aca="false">IF($H187=1,$I187*1000+COUNTIFS($I$4:$I$483,$I187,$J$4:$J$483,"&lt;"&amp;$J187)+1,"")</f>
        <v/>
      </c>
    </row>
    <row r="188" customFormat="false" ht="15" hidden="false" customHeight="false" outlineLevel="0" collapsed="false">
      <c r="A188" s="46" t="n">
        <v>12</v>
      </c>
      <c r="B188" s="46" t="n">
        <v>9</v>
      </c>
      <c r="C188" s="38" t="str">
        <f aca="false">IF(OR(Recurring!$B$16="",Recurring!$H$16&lt;&gt;"Yes",Recurring!$D$16=""),"",Recurring!$B$16)</f>
        <v>Maine Revenue Services</v>
      </c>
      <c r="D188" s="38" t="str">
        <f aca="false">IF($C188="","",Recurring!$C$16)</f>
        <v>Expense</v>
      </c>
      <c r="E188" s="76" t="n">
        <f aca="false">IF($C188="","",Recurring!$D$16)</f>
        <v>45</v>
      </c>
      <c r="F188" s="77"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77" t="n">
        <f aca="false">IF($F188="","",IF(Recurring!$G$16="Move Before",IF(WEEKDAY($F188,2)=6,$F188-1,IF(WEEKDAY($F188,2)=7,$F188-2,$F188)),IF(Recurring!$G$16="Move After",IF(WEEKDAY($F188,2)=6,$F188+2,IF(WEEKDAY($F188,2)=7,$F188+1,$F188)),$F188)))</f>
        <v>46493</v>
      </c>
      <c r="H188" s="78" t="n">
        <f aca="false">IF($G188="",0,IF(AND($G188&gt;='Cash Flow'!$E$6,$G188&lt;'Cash Flow'!$E$6+91),1,0))</f>
        <v>0</v>
      </c>
      <c r="I188" s="78" t="str">
        <f aca="false">IF($H188=1,MAX(1,INT(($G188-'Cash Flow'!$E$6)/7)+1),"")</f>
        <v/>
      </c>
      <c r="J188" s="38" t="str">
        <f aca="false">IF($H188=1,$G188*10000+ROW(),"")</f>
        <v/>
      </c>
      <c r="K188" s="38" t="str">
        <f aca="false">IF($H188=1,$I188*1000+COUNTIFS($I$4:$I$483,$I188,$J$4:$J$483,"&lt;"&amp;$J188)+1,"")</f>
        <v/>
      </c>
    </row>
    <row r="189" customFormat="false" ht="15" hidden="false" customHeight="false" outlineLevel="0" collapsed="false">
      <c r="A189" s="46" t="n">
        <v>12</v>
      </c>
      <c r="B189" s="46" t="n">
        <v>10</v>
      </c>
      <c r="C189" s="38" t="str">
        <f aca="false">IF(OR(Recurring!$B$16="",Recurring!$H$16&lt;&gt;"Yes",Recurring!$D$16=""),"",Recurring!$B$16)</f>
        <v>Maine Revenue Services</v>
      </c>
      <c r="D189" s="38" t="str">
        <f aca="false">IF($C189="","",Recurring!$C$16)</f>
        <v>Expense</v>
      </c>
      <c r="E189" s="76" t="n">
        <f aca="false">IF($C189="","",Recurring!$D$16)</f>
        <v>45</v>
      </c>
      <c r="F189" s="77"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77" t="n">
        <f aca="false">IF($F189="","",IF(Recurring!$G$16="Move Before",IF(WEEKDAY($F189,2)=6,$F189-1,IF(WEEKDAY($F189,2)=7,$F189-2,$F189)),IF(Recurring!$G$16="Move After",IF(WEEKDAY($F189,2)=6,$F189+2,IF(WEEKDAY($F189,2)=7,$F189+1,$F189)),$F189)))</f>
        <v>46523</v>
      </c>
      <c r="H189" s="78" t="n">
        <f aca="false">IF($G189="",0,IF(AND($G189&gt;='Cash Flow'!$E$6,$G189&lt;'Cash Flow'!$E$6+91),1,0))</f>
        <v>0</v>
      </c>
      <c r="I189" s="78" t="str">
        <f aca="false">IF($H189=1,MAX(1,INT(($G189-'Cash Flow'!$E$6)/7)+1),"")</f>
        <v/>
      </c>
      <c r="J189" s="38" t="str">
        <f aca="false">IF($H189=1,$G189*10000+ROW(),"")</f>
        <v/>
      </c>
      <c r="K189" s="38" t="str">
        <f aca="false">IF($H189=1,$I189*1000+COUNTIFS($I$4:$I$483,$I189,$J$4:$J$483,"&lt;"&amp;$J189)+1,"")</f>
        <v/>
      </c>
    </row>
    <row r="190" customFormat="false" ht="15" hidden="false" customHeight="false" outlineLevel="0" collapsed="false">
      <c r="A190" s="46" t="n">
        <v>12</v>
      </c>
      <c r="B190" s="46" t="n">
        <v>11</v>
      </c>
      <c r="C190" s="38" t="str">
        <f aca="false">IF(OR(Recurring!$B$16="",Recurring!$H$16&lt;&gt;"Yes",Recurring!$D$16=""),"",Recurring!$B$16)</f>
        <v>Maine Revenue Services</v>
      </c>
      <c r="D190" s="38" t="str">
        <f aca="false">IF($C190="","",Recurring!$C$16)</f>
        <v>Expense</v>
      </c>
      <c r="E190" s="76" t="n">
        <f aca="false">IF($C190="","",Recurring!$D$16)</f>
        <v>45</v>
      </c>
      <c r="F190" s="77"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77" t="n">
        <f aca="false">IF($F190="","",IF(Recurring!$G$16="Move Before",IF(WEEKDAY($F190,2)=6,$F190-1,IF(WEEKDAY($F190,2)=7,$F190-2,$F190)),IF(Recurring!$G$16="Move After",IF(WEEKDAY($F190,2)=6,$F190+2,IF(WEEKDAY($F190,2)=7,$F190+1,$F190)),$F190)))</f>
        <v>46554</v>
      </c>
      <c r="H190" s="78" t="n">
        <f aca="false">IF($G190="",0,IF(AND($G190&gt;='Cash Flow'!$E$6,$G190&lt;'Cash Flow'!$E$6+91),1,0))</f>
        <v>0</v>
      </c>
      <c r="I190" s="78" t="str">
        <f aca="false">IF($H190=1,MAX(1,INT(($G190-'Cash Flow'!$E$6)/7)+1),"")</f>
        <v/>
      </c>
      <c r="J190" s="38" t="str">
        <f aca="false">IF($H190=1,$G190*10000+ROW(),"")</f>
        <v/>
      </c>
      <c r="K190" s="38" t="str">
        <f aca="false">IF($H190=1,$I190*1000+COUNTIFS($I$4:$I$483,$I190,$J$4:$J$483,"&lt;"&amp;$J190)+1,"")</f>
        <v/>
      </c>
    </row>
    <row r="191" customFormat="false" ht="15" hidden="false" customHeight="false" outlineLevel="0" collapsed="false">
      <c r="A191" s="46" t="n">
        <v>12</v>
      </c>
      <c r="B191" s="46" t="n">
        <v>12</v>
      </c>
      <c r="C191" s="38" t="str">
        <f aca="false">IF(OR(Recurring!$B$16="",Recurring!$H$16&lt;&gt;"Yes",Recurring!$D$16=""),"",Recurring!$B$16)</f>
        <v>Maine Revenue Services</v>
      </c>
      <c r="D191" s="38" t="str">
        <f aca="false">IF($C191="","",Recurring!$C$16)</f>
        <v>Expense</v>
      </c>
      <c r="E191" s="76" t="n">
        <f aca="false">IF($C191="","",Recurring!$D$16)</f>
        <v>45</v>
      </c>
      <c r="F191" s="77"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77" t="n">
        <f aca="false">IF($F191="","",IF(Recurring!$G$16="Move Before",IF(WEEKDAY($F191,2)=6,$F191-1,IF(WEEKDAY($F191,2)=7,$F191-2,$F191)),IF(Recurring!$G$16="Move After",IF(WEEKDAY($F191,2)=6,$F191+2,IF(WEEKDAY($F191,2)=7,$F191+1,$F191)),$F191)))</f>
        <v>46584</v>
      </c>
      <c r="H191" s="78" t="n">
        <f aca="false">IF($G191="",0,IF(AND($G191&gt;='Cash Flow'!$E$6,$G191&lt;'Cash Flow'!$E$6+91),1,0))</f>
        <v>0</v>
      </c>
      <c r="I191" s="78" t="str">
        <f aca="false">IF($H191=1,MAX(1,INT(($G191-'Cash Flow'!$E$6)/7)+1),"")</f>
        <v/>
      </c>
      <c r="J191" s="38" t="str">
        <f aca="false">IF($H191=1,$G191*10000+ROW(),"")</f>
        <v/>
      </c>
      <c r="K191" s="38" t="str">
        <f aca="false">IF($H191=1,$I191*1000+COUNTIFS($I$4:$I$483,$I191,$J$4:$J$483,"&lt;"&amp;$J191)+1,"")</f>
        <v/>
      </c>
    </row>
    <row r="192" customFormat="false" ht="15" hidden="false" customHeight="false" outlineLevel="0" collapsed="false">
      <c r="A192" s="46" t="n">
        <v>12</v>
      </c>
      <c r="B192" s="46" t="n">
        <v>13</v>
      </c>
      <c r="C192" s="38" t="str">
        <f aca="false">IF(OR(Recurring!$B$16="",Recurring!$H$16&lt;&gt;"Yes",Recurring!$D$16=""),"",Recurring!$B$16)</f>
        <v>Maine Revenue Services</v>
      </c>
      <c r="D192" s="38" t="str">
        <f aca="false">IF($C192="","",Recurring!$C$16)</f>
        <v>Expense</v>
      </c>
      <c r="E192" s="76" t="n">
        <f aca="false">IF($C192="","",Recurring!$D$16)</f>
        <v>45</v>
      </c>
      <c r="F192" s="77"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77" t="n">
        <f aca="false">IF($F192="","",IF(Recurring!$G$16="Move Before",IF(WEEKDAY($F192,2)=6,$F192-1,IF(WEEKDAY($F192,2)=7,$F192-2,$F192)),IF(Recurring!$G$16="Move After",IF(WEEKDAY($F192,2)=6,$F192+2,IF(WEEKDAY($F192,2)=7,$F192+1,$F192)),$F192)))</f>
        <v>46615</v>
      </c>
      <c r="H192" s="78" t="n">
        <f aca="false">IF($G192="",0,IF(AND($G192&gt;='Cash Flow'!$E$6,$G192&lt;'Cash Flow'!$E$6+91),1,0))</f>
        <v>0</v>
      </c>
      <c r="I192" s="78" t="str">
        <f aca="false">IF($H192=1,MAX(1,INT(($G192-'Cash Flow'!$E$6)/7)+1),"")</f>
        <v/>
      </c>
      <c r="J192" s="38" t="str">
        <f aca="false">IF($H192=1,$G192*10000+ROW(),"")</f>
        <v/>
      </c>
      <c r="K192" s="38" t="str">
        <f aca="false">IF($H192=1,$I192*1000+COUNTIFS($I$4:$I$483,$I192,$J$4:$J$483,"&lt;"&amp;$J192)+1,"")</f>
        <v/>
      </c>
    </row>
    <row r="193" customFormat="false" ht="15" hidden="false" customHeight="false" outlineLevel="0" collapsed="false">
      <c r="A193" s="46" t="n">
        <v>12</v>
      </c>
      <c r="B193" s="46" t="n">
        <v>14</v>
      </c>
      <c r="C193" s="38" t="str">
        <f aca="false">IF(OR(Recurring!$B$16="",Recurring!$H$16&lt;&gt;"Yes",Recurring!$D$16=""),"",Recurring!$B$16)</f>
        <v>Maine Revenue Services</v>
      </c>
      <c r="D193" s="38" t="str">
        <f aca="false">IF($C193="","",Recurring!$C$16)</f>
        <v>Expense</v>
      </c>
      <c r="E193" s="76" t="n">
        <f aca="false">IF($C193="","",Recurring!$D$16)</f>
        <v>45</v>
      </c>
      <c r="F193" s="77"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77" t="n">
        <f aca="false">IF($F193="","",IF(Recurring!$G$16="Move Before",IF(WEEKDAY($F193,2)=6,$F193-1,IF(WEEKDAY($F193,2)=7,$F193-2,$F193)),IF(Recurring!$G$16="Move After",IF(WEEKDAY($F193,2)=6,$F193+2,IF(WEEKDAY($F193,2)=7,$F193+1,$F193)),$F193)))</f>
        <v>46646</v>
      </c>
      <c r="H193" s="78" t="n">
        <f aca="false">IF($G193="",0,IF(AND($G193&gt;='Cash Flow'!$E$6,$G193&lt;'Cash Flow'!$E$6+91),1,0))</f>
        <v>0</v>
      </c>
      <c r="I193" s="78" t="str">
        <f aca="false">IF($H193=1,MAX(1,INT(($G193-'Cash Flow'!$E$6)/7)+1),"")</f>
        <v/>
      </c>
      <c r="J193" s="38" t="str">
        <f aca="false">IF($H193=1,$G193*10000+ROW(),"")</f>
        <v/>
      </c>
      <c r="K193" s="38" t="str">
        <f aca="false">IF($H193=1,$I193*1000+COUNTIFS($I$4:$I$483,$I193,$J$4:$J$483,"&lt;"&amp;$J193)+1,"")</f>
        <v/>
      </c>
    </row>
    <row r="194" customFormat="false" ht="15" hidden="false" customHeight="false" outlineLevel="0" collapsed="false">
      <c r="A194" s="46" t="n">
        <v>12</v>
      </c>
      <c r="B194" s="46" t="n">
        <v>15</v>
      </c>
      <c r="C194" s="38" t="str">
        <f aca="false">IF(OR(Recurring!$B$16="",Recurring!$H$16&lt;&gt;"Yes",Recurring!$D$16=""),"",Recurring!$B$16)</f>
        <v>Maine Revenue Services</v>
      </c>
      <c r="D194" s="38" t="str">
        <f aca="false">IF($C194="","",Recurring!$C$16)</f>
        <v>Expense</v>
      </c>
      <c r="E194" s="76" t="n">
        <f aca="false">IF($C194="","",Recurring!$D$16)</f>
        <v>45</v>
      </c>
      <c r="F194" s="77"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77" t="n">
        <f aca="false">IF($F194="","",IF(Recurring!$G$16="Move Before",IF(WEEKDAY($F194,2)=6,$F194-1,IF(WEEKDAY($F194,2)=7,$F194-2,$F194)),IF(Recurring!$G$16="Move After",IF(WEEKDAY($F194,2)=6,$F194+2,IF(WEEKDAY($F194,2)=7,$F194+1,$F194)),$F194)))</f>
        <v>46676</v>
      </c>
      <c r="H194" s="78" t="n">
        <f aca="false">IF($G194="",0,IF(AND($G194&gt;='Cash Flow'!$E$6,$G194&lt;'Cash Flow'!$E$6+91),1,0))</f>
        <v>0</v>
      </c>
      <c r="I194" s="78" t="str">
        <f aca="false">IF($H194=1,MAX(1,INT(($G194-'Cash Flow'!$E$6)/7)+1),"")</f>
        <v/>
      </c>
      <c r="J194" s="38" t="str">
        <f aca="false">IF($H194=1,$G194*10000+ROW(),"")</f>
        <v/>
      </c>
      <c r="K194" s="38" t="str">
        <f aca="false">IF($H194=1,$I194*1000+COUNTIFS($I$4:$I$483,$I194,$J$4:$J$483,"&lt;"&amp;$J194)+1,"")</f>
        <v/>
      </c>
    </row>
    <row r="195" customFormat="false" ht="15" hidden="false" customHeight="false" outlineLevel="0" collapsed="false">
      <c r="A195" s="46" t="n">
        <v>12</v>
      </c>
      <c r="B195" s="46" t="n">
        <v>16</v>
      </c>
      <c r="C195" s="38" t="str">
        <f aca="false">IF(OR(Recurring!$B$16="",Recurring!$H$16&lt;&gt;"Yes",Recurring!$D$16=""),"",Recurring!$B$16)</f>
        <v>Maine Revenue Services</v>
      </c>
      <c r="D195" s="38" t="str">
        <f aca="false">IF($C195="","",Recurring!$C$16)</f>
        <v>Expense</v>
      </c>
      <c r="E195" s="76" t="n">
        <f aca="false">IF($C195="","",Recurring!$D$16)</f>
        <v>45</v>
      </c>
      <c r="F195" s="77"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77" t="n">
        <f aca="false">IF($F195="","",IF(Recurring!$G$16="Move Before",IF(WEEKDAY($F195,2)=6,$F195-1,IF(WEEKDAY($F195,2)=7,$F195-2,$F195)),IF(Recurring!$G$16="Move After",IF(WEEKDAY($F195,2)=6,$F195+2,IF(WEEKDAY($F195,2)=7,$F195+1,$F195)),$F195)))</f>
        <v>46707</v>
      </c>
      <c r="H195" s="78" t="n">
        <f aca="false">IF($G195="",0,IF(AND($G195&gt;='Cash Flow'!$E$6,$G195&lt;'Cash Flow'!$E$6+91),1,0))</f>
        <v>0</v>
      </c>
      <c r="I195" s="78" t="str">
        <f aca="false">IF($H195=1,MAX(1,INT(($G195-'Cash Flow'!$E$6)/7)+1),"")</f>
        <v/>
      </c>
      <c r="J195" s="38" t="str">
        <f aca="false">IF($H195=1,$G195*10000+ROW(),"")</f>
        <v/>
      </c>
      <c r="K195" s="38" t="str">
        <f aca="false">IF($H195=1,$I195*1000+COUNTIFS($I$4:$I$483,$I195,$J$4:$J$483,"&lt;"&amp;$J195)+1,"")</f>
        <v/>
      </c>
    </row>
    <row r="196" customFormat="false" ht="15" hidden="false" customHeight="false" outlineLevel="0" collapsed="false">
      <c r="A196" s="46" t="n">
        <v>13</v>
      </c>
      <c r="B196" s="46" t="n">
        <v>1</v>
      </c>
      <c r="C196" s="38" t="str">
        <f aca="false">IF(OR(Recurring!$B$17="",Recurring!$H$17&lt;&gt;"Yes",Recurring!$D$17=""),"",Recurring!$B$17)</f>
        <v>Metal Copy</v>
      </c>
      <c r="D196" s="38" t="str">
        <f aca="false">IF($C196="","",Recurring!$C$17)</f>
        <v>Expense</v>
      </c>
      <c r="E196" s="76" t="n">
        <f aca="false">IF($C196="","",Recurring!$D$17)</f>
        <v>16.99</v>
      </c>
      <c r="F196" s="77" t="n">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46252</v>
      </c>
      <c r="G196" s="77" t="n">
        <f aca="false">IF($F196="","",IF(Recurring!$G$17="Move Before",IF(WEEKDAY($F196,2)=6,$F196-1,IF(WEEKDAY($F196,2)=7,$F196-2,$F196)),IF(Recurring!$G$17="Move After",IF(WEEKDAY($F196,2)=6,$F196+2,IF(WEEKDAY($F196,2)=7,$F196+1,$F196)),$F196)))</f>
        <v>46252</v>
      </c>
      <c r="H196" s="78" t="n">
        <f aca="false">IF($G196="",0,IF(AND($G196&gt;='Cash Flow'!$E$6-90,$G196&lt;'Cash Flow'!$E$6+91),1,0))</f>
        <v>1</v>
      </c>
      <c r="I196" s="78" t="n">
        <f aca="false">IF($H196=1,MAX(1,INT(($G196-'Cash Flow'!$E$6)/7)+1),"")</f>
        <v>2</v>
      </c>
      <c r="J196" s="38" t="n">
        <f aca="false">IF($H196=1,$G196*10000+ROW(),"")</f>
        <v>462520196</v>
      </c>
      <c r="K196" s="38" t="n">
        <f aca="false">IF($H196=1,$I196*1000+COUNTIFS($I$4:$I$483,$I196,$J$4:$J$483,"&lt;"&amp;$J196)+1,"")</f>
        <v>2005</v>
      </c>
    </row>
    <row r="197" customFormat="false" ht="15" hidden="false" customHeight="false" outlineLevel="0" collapsed="false">
      <c r="A197" s="46" t="n">
        <v>13</v>
      </c>
      <c r="B197" s="46" t="n">
        <v>2</v>
      </c>
      <c r="C197" s="38" t="str">
        <f aca="false">IF(OR(Recurring!$B$17="",Recurring!$H$17&lt;&gt;"Yes",Recurring!$D$17=""),"",Recurring!$B$17)</f>
        <v>Metal Copy</v>
      </c>
      <c r="D197" s="38" t="str">
        <f aca="false">IF($C197="","",Recurring!$C$17)</f>
        <v>Expense</v>
      </c>
      <c r="E197" s="76" t="n">
        <f aca="false">IF($C197="","",Recurring!$D$17)</f>
        <v>16.99</v>
      </c>
      <c r="F197" s="77" t="n">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46283</v>
      </c>
      <c r="G197" s="77" t="n">
        <f aca="false">IF($F197="","",IF(Recurring!$G$17="Move Before",IF(WEEKDAY($F197,2)=6,$F197-1,IF(WEEKDAY($F197,2)=7,$F197-2,$F197)),IF(Recurring!$G$17="Move After",IF(WEEKDAY($F197,2)=6,$F197+2,IF(WEEKDAY($F197,2)=7,$F197+1,$F197)),$F197)))</f>
        <v>46283</v>
      </c>
      <c r="H197" s="78" t="n">
        <f aca="false">IF($G197="",0,IF(AND($G197&gt;='Cash Flow'!$E$6,$G197&lt;'Cash Flow'!$E$6+91),1,0))</f>
        <v>1</v>
      </c>
      <c r="I197" s="78" t="n">
        <f aca="false">IF($H197=1,MAX(1,INT(($G197-'Cash Flow'!$E$6)/7)+1),"")</f>
        <v>7</v>
      </c>
      <c r="J197" s="38" t="n">
        <f aca="false">IF($H197=1,$G197*10000+ROW(),"")</f>
        <v>462830197</v>
      </c>
      <c r="K197" s="38" t="n">
        <f aca="false">IF($H197=1,$I197*1000+COUNTIFS($I$4:$I$483,$I197,$J$4:$J$483,"&lt;"&amp;$J197)+1,"")</f>
        <v>7002</v>
      </c>
    </row>
    <row r="198" customFormat="false" ht="15" hidden="false" customHeight="false" outlineLevel="0" collapsed="false">
      <c r="A198" s="46" t="n">
        <v>13</v>
      </c>
      <c r="B198" s="46" t="n">
        <v>3</v>
      </c>
      <c r="C198" s="38" t="str">
        <f aca="false">IF(OR(Recurring!$B$17="",Recurring!$H$17&lt;&gt;"Yes",Recurring!$D$17=""),"",Recurring!$B$17)</f>
        <v>Metal Copy</v>
      </c>
      <c r="D198" s="38" t="str">
        <f aca="false">IF($C198="","",Recurring!$C$17)</f>
        <v>Expense</v>
      </c>
      <c r="E198" s="76" t="n">
        <f aca="false">IF($C198="","",Recurring!$D$17)</f>
        <v>16.99</v>
      </c>
      <c r="F198" s="77" t="n">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46313</v>
      </c>
      <c r="G198" s="77" t="n">
        <f aca="false">IF($F198="","",IF(Recurring!$G$17="Move Before",IF(WEEKDAY($F198,2)=6,$F198-1,IF(WEEKDAY($F198,2)=7,$F198-2,$F198)),IF(Recurring!$G$17="Move After",IF(WEEKDAY($F198,2)=6,$F198+2,IF(WEEKDAY($F198,2)=7,$F198+1,$F198)),$F198)))</f>
        <v>46313</v>
      </c>
      <c r="H198" s="78" t="n">
        <f aca="false">IF($G198="",0,IF(AND($G198&gt;='Cash Flow'!$E$6,$G198&lt;'Cash Flow'!$E$6+91),1,0))</f>
        <v>1</v>
      </c>
      <c r="I198" s="78" t="n">
        <f aca="false">IF($H198=1,MAX(1,INT(($G198-'Cash Flow'!$E$6)/7)+1),"")</f>
        <v>11</v>
      </c>
      <c r="J198" s="38" t="n">
        <f aca="false">IF($H198=1,$G198*10000+ROW(),"")</f>
        <v>463130198</v>
      </c>
      <c r="K198" s="38" t="n">
        <f aca="false">IF($H198=1,$I198*1000+COUNTIFS($I$4:$I$483,$I198,$J$4:$J$483,"&lt;"&amp;$J198)+1,"")</f>
        <v>11004</v>
      </c>
    </row>
    <row r="199" customFormat="false" ht="15" hidden="false" customHeight="false" outlineLevel="0" collapsed="false">
      <c r="A199" s="46" t="n">
        <v>13</v>
      </c>
      <c r="B199" s="46" t="n">
        <v>4</v>
      </c>
      <c r="C199" s="38" t="str">
        <f aca="false">IF(OR(Recurring!$B$17="",Recurring!$H$17&lt;&gt;"Yes",Recurring!$D$17=""),"",Recurring!$B$17)</f>
        <v>Metal Copy</v>
      </c>
      <c r="D199" s="38" t="str">
        <f aca="false">IF($C199="","",Recurring!$C$17)</f>
        <v>Expense</v>
      </c>
      <c r="E199" s="76" t="n">
        <f aca="false">IF($C199="","",Recurring!$D$17)</f>
        <v>16.99</v>
      </c>
      <c r="F199" s="77" t="n">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46344</v>
      </c>
      <c r="G199" s="77" t="n">
        <f aca="false">IF($F199="","",IF(Recurring!$G$17="Move Before",IF(WEEKDAY($F199,2)=6,$F199-1,IF(WEEKDAY($F199,2)=7,$F199-2,$F199)),IF(Recurring!$G$17="Move After",IF(WEEKDAY($F199,2)=6,$F199+2,IF(WEEKDAY($F199,2)=7,$F199+1,$F199)),$F199)))</f>
        <v>46344</v>
      </c>
      <c r="H199" s="78" t="n">
        <f aca="false">IF($G199="",0,IF(AND($G199&gt;='Cash Flow'!$E$6,$G199&lt;'Cash Flow'!$E$6+91),1,0))</f>
        <v>0</v>
      </c>
      <c r="I199" s="78" t="str">
        <f aca="false">IF($H199=1,MAX(1,INT(($G199-'Cash Flow'!$E$6)/7)+1),"")</f>
        <v/>
      </c>
      <c r="J199" s="38" t="str">
        <f aca="false">IF($H199=1,$G199*10000+ROW(),"")</f>
        <v/>
      </c>
      <c r="K199" s="38" t="str">
        <f aca="false">IF($H199=1,$I199*1000+COUNTIFS($I$4:$I$483,$I199,$J$4:$J$483,"&lt;"&amp;$J199)+1,"")</f>
        <v/>
      </c>
    </row>
    <row r="200" customFormat="false" ht="15" hidden="false" customHeight="false" outlineLevel="0" collapsed="false">
      <c r="A200" s="46" t="n">
        <v>13</v>
      </c>
      <c r="B200" s="46" t="n">
        <v>5</v>
      </c>
      <c r="C200" s="38" t="str">
        <f aca="false">IF(OR(Recurring!$B$17="",Recurring!$H$17&lt;&gt;"Yes",Recurring!$D$17=""),"",Recurring!$B$17)</f>
        <v>Metal Copy</v>
      </c>
      <c r="D200" s="38" t="str">
        <f aca="false">IF($C200="","",Recurring!$C$17)</f>
        <v>Expense</v>
      </c>
      <c r="E200" s="76" t="n">
        <f aca="false">IF($C200="","",Recurring!$D$17)</f>
        <v>16.99</v>
      </c>
      <c r="F200" s="77" t="n">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46374</v>
      </c>
      <c r="G200" s="77" t="n">
        <f aca="false">IF($F200="","",IF(Recurring!$G$17="Move Before",IF(WEEKDAY($F200,2)=6,$F200-1,IF(WEEKDAY($F200,2)=7,$F200-2,$F200)),IF(Recurring!$G$17="Move After",IF(WEEKDAY($F200,2)=6,$F200+2,IF(WEEKDAY($F200,2)=7,$F200+1,$F200)),$F200)))</f>
        <v>46374</v>
      </c>
      <c r="H200" s="78" t="n">
        <f aca="false">IF($G200="",0,IF(AND($G200&gt;='Cash Flow'!$E$6,$G200&lt;'Cash Flow'!$E$6+91),1,0))</f>
        <v>0</v>
      </c>
      <c r="I200" s="78" t="str">
        <f aca="false">IF($H200=1,MAX(1,INT(($G200-'Cash Flow'!$E$6)/7)+1),"")</f>
        <v/>
      </c>
      <c r="J200" s="38" t="str">
        <f aca="false">IF($H200=1,$G200*10000+ROW(),"")</f>
        <v/>
      </c>
      <c r="K200" s="38" t="str">
        <f aca="false">IF($H200=1,$I200*1000+COUNTIFS($I$4:$I$483,$I200,$J$4:$J$483,"&lt;"&amp;$J200)+1,"")</f>
        <v/>
      </c>
    </row>
    <row r="201" customFormat="false" ht="15" hidden="false" customHeight="false" outlineLevel="0" collapsed="false">
      <c r="A201" s="46" t="n">
        <v>13</v>
      </c>
      <c r="B201" s="46" t="n">
        <v>6</v>
      </c>
      <c r="C201" s="38" t="str">
        <f aca="false">IF(OR(Recurring!$B$17="",Recurring!$H$17&lt;&gt;"Yes",Recurring!$D$17=""),"",Recurring!$B$17)</f>
        <v>Metal Copy</v>
      </c>
      <c r="D201" s="38" t="str">
        <f aca="false">IF($C201="","",Recurring!$C$17)</f>
        <v>Expense</v>
      </c>
      <c r="E201" s="76" t="n">
        <f aca="false">IF($C201="","",Recurring!$D$17)</f>
        <v>16.99</v>
      </c>
      <c r="F201" s="77" t="n">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46405</v>
      </c>
      <c r="G201" s="77" t="n">
        <f aca="false">IF($F201="","",IF(Recurring!$G$17="Move Before",IF(WEEKDAY($F201,2)=6,$F201-1,IF(WEEKDAY($F201,2)=7,$F201-2,$F201)),IF(Recurring!$G$17="Move After",IF(WEEKDAY($F201,2)=6,$F201+2,IF(WEEKDAY($F201,2)=7,$F201+1,$F201)),$F201)))</f>
        <v>46405</v>
      </c>
      <c r="H201" s="78" t="n">
        <f aca="false">IF($G201="",0,IF(AND($G201&gt;='Cash Flow'!$E$6,$G201&lt;'Cash Flow'!$E$6+91),1,0))</f>
        <v>0</v>
      </c>
      <c r="I201" s="78" t="str">
        <f aca="false">IF($H201=1,MAX(1,INT(($G201-'Cash Flow'!$E$6)/7)+1),"")</f>
        <v/>
      </c>
      <c r="J201" s="38" t="str">
        <f aca="false">IF($H201=1,$G201*10000+ROW(),"")</f>
        <v/>
      </c>
      <c r="K201" s="38" t="str">
        <f aca="false">IF($H201=1,$I201*1000+COUNTIFS($I$4:$I$483,$I201,$J$4:$J$483,"&lt;"&amp;$J201)+1,"")</f>
        <v/>
      </c>
    </row>
    <row r="202" customFormat="false" ht="15" hidden="false" customHeight="false" outlineLevel="0" collapsed="false">
      <c r="A202" s="46" t="n">
        <v>13</v>
      </c>
      <c r="B202" s="46" t="n">
        <v>7</v>
      </c>
      <c r="C202" s="38" t="str">
        <f aca="false">IF(OR(Recurring!$B$17="",Recurring!$H$17&lt;&gt;"Yes",Recurring!$D$17=""),"",Recurring!$B$17)</f>
        <v>Metal Copy</v>
      </c>
      <c r="D202" s="38" t="str">
        <f aca="false">IF($C202="","",Recurring!$C$17)</f>
        <v>Expense</v>
      </c>
      <c r="E202" s="76" t="n">
        <f aca="false">IF($C202="","",Recurring!$D$17)</f>
        <v>16.99</v>
      </c>
      <c r="F202" s="77" t="n">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46436</v>
      </c>
      <c r="G202" s="77" t="n">
        <f aca="false">IF($F202="","",IF(Recurring!$G$17="Move Before",IF(WEEKDAY($F202,2)=6,$F202-1,IF(WEEKDAY($F202,2)=7,$F202-2,$F202)),IF(Recurring!$G$17="Move After",IF(WEEKDAY($F202,2)=6,$F202+2,IF(WEEKDAY($F202,2)=7,$F202+1,$F202)),$F202)))</f>
        <v>46436</v>
      </c>
      <c r="H202" s="78" t="n">
        <f aca="false">IF($G202="",0,IF(AND($G202&gt;='Cash Flow'!$E$6,$G202&lt;'Cash Flow'!$E$6+91),1,0))</f>
        <v>0</v>
      </c>
      <c r="I202" s="78" t="str">
        <f aca="false">IF($H202=1,MAX(1,INT(($G202-'Cash Flow'!$E$6)/7)+1),"")</f>
        <v/>
      </c>
      <c r="J202" s="38" t="str">
        <f aca="false">IF($H202=1,$G202*10000+ROW(),"")</f>
        <v/>
      </c>
      <c r="K202" s="38" t="str">
        <f aca="false">IF($H202=1,$I202*1000+COUNTIFS($I$4:$I$483,$I202,$J$4:$J$483,"&lt;"&amp;$J202)+1,"")</f>
        <v/>
      </c>
    </row>
    <row r="203" customFormat="false" ht="15" hidden="false" customHeight="false" outlineLevel="0" collapsed="false">
      <c r="A203" s="46" t="n">
        <v>13</v>
      </c>
      <c r="B203" s="46" t="n">
        <v>8</v>
      </c>
      <c r="C203" s="38" t="str">
        <f aca="false">IF(OR(Recurring!$B$17="",Recurring!$H$17&lt;&gt;"Yes",Recurring!$D$17=""),"",Recurring!$B$17)</f>
        <v>Metal Copy</v>
      </c>
      <c r="D203" s="38" t="str">
        <f aca="false">IF($C203="","",Recurring!$C$17)</f>
        <v>Expense</v>
      </c>
      <c r="E203" s="76" t="n">
        <f aca="false">IF($C203="","",Recurring!$D$17)</f>
        <v>16.99</v>
      </c>
      <c r="F203" s="77" t="n">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46464</v>
      </c>
      <c r="G203" s="77" t="n">
        <f aca="false">IF($F203="","",IF(Recurring!$G$17="Move Before",IF(WEEKDAY($F203,2)=6,$F203-1,IF(WEEKDAY($F203,2)=7,$F203-2,$F203)),IF(Recurring!$G$17="Move After",IF(WEEKDAY($F203,2)=6,$F203+2,IF(WEEKDAY($F203,2)=7,$F203+1,$F203)),$F203)))</f>
        <v>46464</v>
      </c>
      <c r="H203" s="78" t="n">
        <f aca="false">IF($G203="",0,IF(AND($G203&gt;='Cash Flow'!$E$6,$G203&lt;'Cash Flow'!$E$6+91),1,0))</f>
        <v>0</v>
      </c>
      <c r="I203" s="78" t="str">
        <f aca="false">IF($H203=1,MAX(1,INT(($G203-'Cash Flow'!$E$6)/7)+1),"")</f>
        <v/>
      </c>
      <c r="J203" s="38" t="str">
        <f aca="false">IF($H203=1,$G203*10000+ROW(),"")</f>
        <v/>
      </c>
      <c r="K203" s="38" t="str">
        <f aca="false">IF($H203=1,$I203*1000+COUNTIFS($I$4:$I$483,$I203,$J$4:$J$483,"&lt;"&amp;$J203)+1,"")</f>
        <v/>
      </c>
    </row>
    <row r="204" customFormat="false" ht="15" hidden="false" customHeight="false" outlineLevel="0" collapsed="false">
      <c r="A204" s="46" t="n">
        <v>13</v>
      </c>
      <c r="B204" s="46" t="n">
        <v>9</v>
      </c>
      <c r="C204" s="38" t="str">
        <f aca="false">IF(OR(Recurring!$B$17="",Recurring!$H$17&lt;&gt;"Yes",Recurring!$D$17=""),"",Recurring!$B$17)</f>
        <v>Metal Copy</v>
      </c>
      <c r="D204" s="38" t="str">
        <f aca="false">IF($C204="","",Recurring!$C$17)</f>
        <v>Expense</v>
      </c>
      <c r="E204" s="76" t="n">
        <f aca="false">IF($C204="","",Recurring!$D$17)</f>
        <v>16.99</v>
      </c>
      <c r="F204" s="77" t="n">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46495</v>
      </c>
      <c r="G204" s="77" t="n">
        <f aca="false">IF($F204="","",IF(Recurring!$G$17="Move Before",IF(WEEKDAY($F204,2)=6,$F204-1,IF(WEEKDAY($F204,2)=7,$F204-2,$F204)),IF(Recurring!$G$17="Move After",IF(WEEKDAY($F204,2)=6,$F204+2,IF(WEEKDAY($F204,2)=7,$F204+1,$F204)),$F204)))</f>
        <v>46495</v>
      </c>
      <c r="H204" s="78" t="n">
        <f aca="false">IF($G204="",0,IF(AND($G204&gt;='Cash Flow'!$E$6,$G204&lt;'Cash Flow'!$E$6+91),1,0))</f>
        <v>0</v>
      </c>
      <c r="I204" s="78" t="str">
        <f aca="false">IF($H204=1,MAX(1,INT(($G204-'Cash Flow'!$E$6)/7)+1),"")</f>
        <v/>
      </c>
      <c r="J204" s="38" t="str">
        <f aca="false">IF($H204=1,$G204*10000+ROW(),"")</f>
        <v/>
      </c>
      <c r="K204" s="38" t="str">
        <f aca="false">IF($H204=1,$I204*1000+COUNTIFS($I$4:$I$483,$I204,$J$4:$J$483,"&lt;"&amp;$J204)+1,"")</f>
        <v/>
      </c>
    </row>
    <row r="205" customFormat="false" ht="15" hidden="false" customHeight="false" outlineLevel="0" collapsed="false">
      <c r="A205" s="46" t="n">
        <v>13</v>
      </c>
      <c r="B205" s="46" t="n">
        <v>10</v>
      </c>
      <c r="C205" s="38" t="str">
        <f aca="false">IF(OR(Recurring!$B$17="",Recurring!$H$17&lt;&gt;"Yes",Recurring!$D$17=""),"",Recurring!$B$17)</f>
        <v>Metal Copy</v>
      </c>
      <c r="D205" s="38" t="str">
        <f aca="false">IF($C205="","",Recurring!$C$17)</f>
        <v>Expense</v>
      </c>
      <c r="E205" s="76" t="n">
        <f aca="false">IF($C205="","",Recurring!$D$17)</f>
        <v>16.99</v>
      </c>
      <c r="F205" s="77" t="n">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46525</v>
      </c>
      <c r="G205" s="77" t="n">
        <f aca="false">IF($F205="","",IF(Recurring!$G$17="Move Before",IF(WEEKDAY($F205,2)=6,$F205-1,IF(WEEKDAY($F205,2)=7,$F205-2,$F205)),IF(Recurring!$G$17="Move After",IF(WEEKDAY($F205,2)=6,$F205+2,IF(WEEKDAY($F205,2)=7,$F205+1,$F205)),$F205)))</f>
        <v>46525</v>
      </c>
      <c r="H205" s="78" t="n">
        <f aca="false">IF($G205="",0,IF(AND($G205&gt;='Cash Flow'!$E$6,$G205&lt;'Cash Flow'!$E$6+91),1,0))</f>
        <v>0</v>
      </c>
      <c r="I205" s="78" t="str">
        <f aca="false">IF($H205=1,MAX(1,INT(($G205-'Cash Flow'!$E$6)/7)+1),"")</f>
        <v/>
      </c>
      <c r="J205" s="38" t="str">
        <f aca="false">IF($H205=1,$G205*10000+ROW(),"")</f>
        <v/>
      </c>
      <c r="K205" s="38" t="str">
        <f aca="false">IF($H205=1,$I205*1000+COUNTIFS($I$4:$I$483,$I205,$J$4:$J$483,"&lt;"&amp;$J205)+1,"")</f>
        <v/>
      </c>
    </row>
    <row r="206" customFormat="false" ht="15" hidden="false" customHeight="false" outlineLevel="0" collapsed="false">
      <c r="A206" s="46" t="n">
        <v>13</v>
      </c>
      <c r="B206" s="46" t="n">
        <v>11</v>
      </c>
      <c r="C206" s="38" t="str">
        <f aca="false">IF(OR(Recurring!$B$17="",Recurring!$H$17&lt;&gt;"Yes",Recurring!$D$17=""),"",Recurring!$B$17)</f>
        <v>Metal Copy</v>
      </c>
      <c r="D206" s="38" t="str">
        <f aca="false">IF($C206="","",Recurring!$C$17)</f>
        <v>Expense</v>
      </c>
      <c r="E206" s="76" t="n">
        <f aca="false">IF($C206="","",Recurring!$D$17)</f>
        <v>16.99</v>
      </c>
      <c r="F206" s="77" t="n">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46556</v>
      </c>
      <c r="G206" s="77" t="n">
        <f aca="false">IF($F206="","",IF(Recurring!$G$17="Move Before",IF(WEEKDAY($F206,2)=6,$F206-1,IF(WEEKDAY($F206,2)=7,$F206-2,$F206)),IF(Recurring!$G$17="Move After",IF(WEEKDAY($F206,2)=6,$F206+2,IF(WEEKDAY($F206,2)=7,$F206+1,$F206)),$F206)))</f>
        <v>46556</v>
      </c>
      <c r="H206" s="78" t="n">
        <f aca="false">IF($G206="",0,IF(AND($G206&gt;='Cash Flow'!$E$6,$G206&lt;'Cash Flow'!$E$6+91),1,0))</f>
        <v>0</v>
      </c>
      <c r="I206" s="78" t="str">
        <f aca="false">IF($H206=1,MAX(1,INT(($G206-'Cash Flow'!$E$6)/7)+1),"")</f>
        <v/>
      </c>
      <c r="J206" s="38" t="str">
        <f aca="false">IF($H206=1,$G206*10000+ROW(),"")</f>
        <v/>
      </c>
      <c r="K206" s="38" t="str">
        <f aca="false">IF($H206=1,$I206*1000+COUNTIFS($I$4:$I$483,$I206,$J$4:$J$483,"&lt;"&amp;$J206)+1,"")</f>
        <v/>
      </c>
    </row>
    <row r="207" customFormat="false" ht="15" hidden="false" customHeight="false" outlineLevel="0" collapsed="false">
      <c r="A207" s="46" t="n">
        <v>13</v>
      </c>
      <c r="B207" s="46" t="n">
        <v>12</v>
      </c>
      <c r="C207" s="38" t="str">
        <f aca="false">IF(OR(Recurring!$B$17="",Recurring!$H$17&lt;&gt;"Yes",Recurring!$D$17=""),"",Recurring!$B$17)</f>
        <v>Metal Copy</v>
      </c>
      <c r="D207" s="38" t="str">
        <f aca="false">IF($C207="","",Recurring!$C$17)</f>
        <v>Expense</v>
      </c>
      <c r="E207" s="76" t="n">
        <f aca="false">IF($C207="","",Recurring!$D$17)</f>
        <v>16.99</v>
      </c>
      <c r="F207" s="77" t="n">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46586</v>
      </c>
      <c r="G207" s="77" t="n">
        <f aca="false">IF($F207="","",IF(Recurring!$G$17="Move Before",IF(WEEKDAY($F207,2)=6,$F207-1,IF(WEEKDAY($F207,2)=7,$F207-2,$F207)),IF(Recurring!$G$17="Move After",IF(WEEKDAY($F207,2)=6,$F207+2,IF(WEEKDAY($F207,2)=7,$F207+1,$F207)),$F207)))</f>
        <v>46586</v>
      </c>
      <c r="H207" s="78" t="n">
        <f aca="false">IF($G207="",0,IF(AND($G207&gt;='Cash Flow'!$E$6,$G207&lt;'Cash Flow'!$E$6+91),1,0))</f>
        <v>0</v>
      </c>
      <c r="I207" s="78" t="str">
        <f aca="false">IF($H207=1,MAX(1,INT(($G207-'Cash Flow'!$E$6)/7)+1),"")</f>
        <v/>
      </c>
      <c r="J207" s="38" t="str">
        <f aca="false">IF($H207=1,$G207*10000+ROW(),"")</f>
        <v/>
      </c>
      <c r="K207" s="38" t="str">
        <f aca="false">IF($H207=1,$I207*1000+COUNTIFS($I$4:$I$483,$I207,$J$4:$J$483,"&lt;"&amp;$J207)+1,"")</f>
        <v/>
      </c>
    </row>
    <row r="208" customFormat="false" ht="15" hidden="false" customHeight="false" outlineLevel="0" collapsed="false">
      <c r="A208" s="46" t="n">
        <v>13</v>
      </c>
      <c r="B208" s="46" t="n">
        <v>13</v>
      </c>
      <c r="C208" s="38" t="str">
        <f aca="false">IF(OR(Recurring!$B$17="",Recurring!$H$17&lt;&gt;"Yes",Recurring!$D$17=""),"",Recurring!$B$17)</f>
        <v>Metal Copy</v>
      </c>
      <c r="D208" s="38" t="str">
        <f aca="false">IF($C208="","",Recurring!$C$17)</f>
        <v>Expense</v>
      </c>
      <c r="E208" s="76" t="n">
        <f aca="false">IF($C208="","",Recurring!$D$17)</f>
        <v>16.99</v>
      </c>
      <c r="F208" s="77" t="n">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46617</v>
      </c>
      <c r="G208" s="77" t="n">
        <f aca="false">IF($F208="","",IF(Recurring!$G$17="Move Before",IF(WEEKDAY($F208,2)=6,$F208-1,IF(WEEKDAY($F208,2)=7,$F208-2,$F208)),IF(Recurring!$G$17="Move After",IF(WEEKDAY($F208,2)=6,$F208+2,IF(WEEKDAY($F208,2)=7,$F208+1,$F208)),$F208)))</f>
        <v>46617</v>
      </c>
      <c r="H208" s="78" t="n">
        <f aca="false">IF($G208="",0,IF(AND($G208&gt;='Cash Flow'!$E$6,$G208&lt;'Cash Flow'!$E$6+91),1,0))</f>
        <v>0</v>
      </c>
      <c r="I208" s="78" t="str">
        <f aca="false">IF($H208=1,MAX(1,INT(($G208-'Cash Flow'!$E$6)/7)+1),"")</f>
        <v/>
      </c>
      <c r="J208" s="38" t="str">
        <f aca="false">IF($H208=1,$G208*10000+ROW(),"")</f>
        <v/>
      </c>
      <c r="K208" s="38" t="str">
        <f aca="false">IF($H208=1,$I208*1000+COUNTIFS($I$4:$I$483,$I208,$J$4:$J$483,"&lt;"&amp;$J208)+1,"")</f>
        <v/>
      </c>
    </row>
    <row r="209" customFormat="false" ht="15" hidden="false" customHeight="false" outlineLevel="0" collapsed="false">
      <c r="A209" s="46" t="n">
        <v>13</v>
      </c>
      <c r="B209" s="46" t="n">
        <v>14</v>
      </c>
      <c r="C209" s="38" t="str">
        <f aca="false">IF(OR(Recurring!$B$17="",Recurring!$H$17&lt;&gt;"Yes",Recurring!$D$17=""),"",Recurring!$B$17)</f>
        <v>Metal Copy</v>
      </c>
      <c r="D209" s="38" t="str">
        <f aca="false">IF($C209="","",Recurring!$C$17)</f>
        <v>Expense</v>
      </c>
      <c r="E209" s="76" t="n">
        <f aca="false">IF($C209="","",Recurring!$D$17)</f>
        <v>16.99</v>
      </c>
      <c r="F209" s="77" t="n">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46648</v>
      </c>
      <c r="G209" s="77" t="n">
        <f aca="false">IF($F209="","",IF(Recurring!$G$17="Move Before",IF(WEEKDAY($F209,2)=6,$F209-1,IF(WEEKDAY($F209,2)=7,$F209-2,$F209)),IF(Recurring!$G$17="Move After",IF(WEEKDAY($F209,2)=6,$F209+2,IF(WEEKDAY($F209,2)=7,$F209+1,$F209)),$F209)))</f>
        <v>46648</v>
      </c>
      <c r="H209" s="78" t="n">
        <f aca="false">IF($G209="",0,IF(AND($G209&gt;='Cash Flow'!$E$6,$G209&lt;'Cash Flow'!$E$6+91),1,0))</f>
        <v>0</v>
      </c>
      <c r="I209" s="78" t="str">
        <f aca="false">IF($H209=1,MAX(1,INT(($G209-'Cash Flow'!$E$6)/7)+1),"")</f>
        <v/>
      </c>
      <c r="J209" s="38" t="str">
        <f aca="false">IF($H209=1,$G209*10000+ROW(),"")</f>
        <v/>
      </c>
      <c r="K209" s="38" t="str">
        <f aca="false">IF($H209=1,$I209*1000+COUNTIFS($I$4:$I$483,$I209,$J$4:$J$483,"&lt;"&amp;$J209)+1,"")</f>
        <v/>
      </c>
    </row>
    <row r="210" customFormat="false" ht="15" hidden="false" customHeight="false" outlineLevel="0" collapsed="false">
      <c r="A210" s="46" t="n">
        <v>13</v>
      </c>
      <c r="B210" s="46" t="n">
        <v>15</v>
      </c>
      <c r="C210" s="38" t="str">
        <f aca="false">IF(OR(Recurring!$B$17="",Recurring!$H$17&lt;&gt;"Yes",Recurring!$D$17=""),"",Recurring!$B$17)</f>
        <v>Metal Copy</v>
      </c>
      <c r="D210" s="38" t="str">
        <f aca="false">IF($C210="","",Recurring!$C$17)</f>
        <v>Expense</v>
      </c>
      <c r="E210" s="76" t="n">
        <f aca="false">IF($C210="","",Recurring!$D$17)</f>
        <v>16.99</v>
      </c>
      <c r="F210" s="77" t="n">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46678</v>
      </c>
      <c r="G210" s="77" t="n">
        <f aca="false">IF($F210="","",IF(Recurring!$G$17="Move Before",IF(WEEKDAY($F210,2)=6,$F210-1,IF(WEEKDAY($F210,2)=7,$F210-2,$F210)),IF(Recurring!$G$17="Move After",IF(WEEKDAY($F210,2)=6,$F210+2,IF(WEEKDAY($F210,2)=7,$F210+1,$F210)),$F210)))</f>
        <v>46678</v>
      </c>
      <c r="H210" s="78" t="n">
        <f aca="false">IF($G210="",0,IF(AND($G210&gt;='Cash Flow'!$E$6,$G210&lt;'Cash Flow'!$E$6+91),1,0))</f>
        <v>0</v>
      </c>
      <c r="I210" s="78" t="str">
        <f aca="false">IF($H210=1,MAX(1,INT(($G210-'Cash Flow'!$E$6)/7)+1),"")</f>
        <v/>
      </c>
      <c r="J210" s="38" t="str">
        <f aca="false">IF($H210=1,$G210*10000+ROW(),"")</f>
        <v/>
      </c>
      <c r="K210" s="38" t="str">
        <f aca="false">IF($H210=1,$I210*1000+COUNTIFS($I$4:$I$483,$I210,$J$4:$J$483,"&lt;"&amp;$J210)+1,"")</f>
        <v/>
      </c>
    </row>
    <row r="211" customFormat="false" ht="15" hidden="false" customHeight="false" outlineLevel="0" collapsed="false">
      <c r="A211" s="46" t="n">
        <v>13</v>
      </c>
      <c r="B211" s="46" t="n">
        <v>16</v>
      </c>
      <c r="C211" s="38" t="str">
        <f aca="false">IF(OR(Recurring!$B$17="",Recurring!$H$17&lt;&gt;"Yes",Recurring!$D$17=""),"",Recurring!$B$17)</f>
        <v>Metal Copy</v>
      </c>
      <c r="D211" s="38" t="str">
        <f aca="false">IF($C211="","",Recurring!$C$17)</f>
        <v>Expense</v>
      </c>
      <c r="E211" s="76" t="n">
        <f aca="false">IF($C211="","",Recurring!$D$17)</f>
        <v>16.99</v>
      </c>
      <c r="F211" s="77" t="n">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46709</v>
      </c>
      <c r="G211" s="77" t="n">
        <f aca="false">IF($F211="","",IF(Recurring!$G$17="Move Before",IF(WEEKDAY($F211,2)=6,$F211-1,IF(WEEKDAY($F211,2)=7,$F211-2,$F211)),IF(Recurring!$G$17="Move After",IF(WEEKDAY($F211,2)=6,$F211+2,IF(WEEKDAY($F211,2)=7,$F211+1,$F211)),$F211)))</f>
        <v>46709</v>
      </c>
      <c r="H211" s="78" t="n">
        <f aca="false">IF($G211="",0,IF(AND($G211&gt;='Cash Flow'!$E$6,$G211&lt;'Cash Flow'!$E$6+91),1,0))</f>
        <v>0</v>
      </c>
      <c r="I211" s="78" t="str">
        <f aca="false">IF($H211=1,MAX(1,INT(($G211-'Cash Flow'!$E$6)/7)+1),"")</f>
        <v/>
      </c>
      <c r="J211" s="38" t="str">
        <f aca="false">IF($H211=1,$G211*10000+ROW(),"")</f>
        <v/>
      </c>
      <c r="K211" s="38" t="str">
        <f aca="false">IF($H211=1,$I211*1000+COUNTIFS($I$4:$I$483,$I211,$J$4:$J$483,"&lt;"&amp;$J211)+1,"")</f>
        <v/>
      </c>
    </row>
    <row r="212" customFormat="false" ht="15" hidden="false" customHeight="false" outlineLevel="0" collapsed="false">
      <c r="A212" s="46" t="n">
        <v>14</v>
      </c>
      <c r="B212" s="46" t="n">
        <v>1</v>
      </c>
      <c r="C212" s="38" t="str">
        <f aca="false">IF(OR(Recurring!$B$18="",Recurring!$H$18&lt;&gt;"Yes",Recurring!$D$18=""),"",Recurring!$B$18)</f>
        <v>Microsoft</v>
      </c>
      <c r="D212" s="38" t="str">
        <f aca="false">IF($C212="","",Recurring!$C$18)</f>
        <v>Expense</v>
      </c>
      <c r="E212" s="76" t="n">
        <f aca="false">IF($C212="","",Recurring!$D$18)</f>
        <v>13.7</v>
      </c>
      <c r="F212" s="77"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46259</v>
      </c>
      <c r="G212" s="77" t="n">
        <f aca="false">IF($F212="","",IF(Recurring!$G$18="Move Before",IF(WEEKDAY($F212,2)=6,$F212-1,IF(WEEKDAY($F212,2)=7,$F212-2,$F212)),IF(Recurring!$G$18="Move After",IF(WEEKDAY($F212,2)=6,$F212+2,IF(WEEKDAY($F212,2)=7,$F212+1,$F212)),$F212)))</f>
        <v>46259</v>
      </c>
      <c r="H212" s="78" t="n">
        <f aca="false">IF($G212="",0,IF(AND($G212&gt;='Cash Flow'!$E$6-90,$G212&lt;'Cash Flow'!$E$6+91),1,0))</f>
        <v>1</v>
      </c>
      <c r="I212" s="78" t="n">
        <f aca="false">IF($H212=1,MAX(1,INT(($G212-'Cash Flow'!$E$6)/7)+1),"")</f>
        <v>3</v>
      </c>
      <c r="J212" s="38" t="n">
        <f aca="false">IF($H212=1,$G212*10000+ROW(),"")</f>
        <v>462590212</v>
      </c>
      <c r="K212" s="38" t="n">
        <f aca="false">IF($H212=1,$I212*1000+COUNTIFS($I$4:$I$483,$I212,$J$4:$J$483,"&lt;"&amp;$J212)+1,"")</f>
        <v>3002</v>
      </c>
    </row>
    <row r="213" customFormat="false" ht="15" hidden="false" customHeight="false" outlineLevel="0" collapsed="false">
      <c r="A213" s="46" t="n">
        <v>14</v>
      </c>
      <c r="B213" s="46" t="n">
        <v>2</v>
      </c>
      <c r="C213" s="38" t="str">
        <f aca="false">IF(OR(Recurring!$B$18="",Recurring!$H$18&lt;&gt;"Yes",Recurring!$D$18=""),"",Recurring!$B$18)</f>
        <v>Microsoft</v>
      </c>
      <c r="D213" s="38" t="str">
        <f aca="false">IF($C213="","",Recurring!$C$18)</f>
        <v>Expense</v>
      </c>
      <c r="E213" s="76" t="n">
        <f aca="false">IF($C213="","",Recurring!$D$18)</f>
        <v>13.7</v>
      </c>
      <c r="F213" s="77"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46290</v>
      </c>
      <c r="G213" s="77" t="n">
        <f aca="false">IF($F213="","",IF(Recurring!$G$18="Move Before",IF(WEEKDAY($F213,2)=6,$F213-1,IF(WEEKDAY($F213,2)=7,$F213-2,$F213)),IF(Recurring!$G$18="Move After",IF(WEEKDAY($F213,2)=6,$F213+2,IF(WEEKDAY($F213,2)=7,$F213+1,$F213)),$F213)))</f>
        <v>46290</v>
      </c>
      <c r="H213" s="78" t="n">
        <f aca="false">IF($G213="",0,IF(AND($G213&gt;='Cash Flow'!$E$6,$G213&lt;'Cash Flow'!$E$6+91),1,0))</f>
        <v>1</v>
      </c>
      <c r="I213" s="78" t="n">
        <f aca="false">IF($H213=1,MAX(1,INT(($G213-'Cash Flow'!$E$6)/7)+1),"")</f>
        <v>8</v>
      </c>
      <c r="J213" s="38" t="n">
        <f aca="false">IF($H213=1,$G213*10000+ROW(),"")</f>
        <v>462900213</v>
      </c>
      <c r="K213" s="38" t="n">
        <f aca="false">IF($H213=1,$I213*1000+COUNTIFS($I$4:$I$483,$I213,$J$4:$J$483,"&lt;"&amp;$J213)+1,"")</f>
        <v>8002</v>
      </c>
    </row>
    <row r="214" customFormat="false" ht="15" hidden="false" customHeight="false" outlineLevel="0" collapsed="false">
      <c r="A214" s="46" t="n">
        <v>14</v>
      </c>
      <c r="B214" s="46" t="n">
        <v>3</v>
      </c>
      <c r="C214" s="38" t="str">
        <f aca="false">IF(OR(Recurring!$B$18="",Recurring!$H$18&lt;&gt;"Yes",Recurring!$D$18=""),"",Recurring!$B$18)</f>
        <v>Microsoft</v>
      </c>
      <c r="D214" s="38" t="str">
        <f aca="false">IF($C214="","",Recurring!$C$18)</f>
        <v>Expense</v>
      </c>
      <c r="E214" s="76" t="n">
        <f aca="false">IF($C214="","",Recurring!$D$18)</f>
        <v>13.7</v>
      </c>
      <c r="F214" s="77"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46320</v>
      </c>
      <c r="G214" s="77" t="n">
        <f aca="false">IF($F214="","",IF(Recurring!$G$18="Move Before",IF(WEEKDAY($F214,2)=6,$F214-1,IF(WEEKDAY($F214,2)=7,$F214-2,$F214)),IF(Recurring!$G$18="Move After",IF(WEEKDAY($F214,2)=6,$F214+2,IF(WEEKDAY($F214,2)=7,$F214+1,$F214)),$F214)))</f>
        <v>46320</v>
      </c>
      <c r="H214" s="78" t="n">
        <f aca="false">IF($G214="",0,IF(AND($G214&gt;='Cash Flow'!$E$6,$G214&lt;'Cash Flow'!$E$6+91),1,0))</f>
        <v>1</v>
      </c>
      <c r="I214" s="78" t="n">
        <f aca="false">IF($H214=1,MAX(1,INT(($G214-'Cash Flow'!$E$6)/7)+1),"")</f>
        <v>12</v>
      </c>
      <c r="J214" s="38" t="n">
        <f aca="false">IF($H214=1,$G214*10000+ROW(),"")</f>
        <v>463200214</v>
      </c>
      <c r="K214" s="38" t="n">
        <f aca="false">IF($H214=1,$I214*1000+COUNTIFS($I$4:$I$483,$I214,$J$4:$J$483,"&lt;"&amp;$J214)+1,"")</f>
        <v>12002</v>
      </c>
    </row>
    <row r="215" customFormat="false" ht="15" hidden="false" customHeight="false" outlineLevel="0" collapsed="false">
      <c r="A215" s="46" t="n">
        <v>14</v>
      </c>
      <c r="B215" s="46" t="n">
        <v>4</v>
      </c>
      <c r="C215" s="38" t="str">
        <f aca="false">IF(OR(Recurring!$B$18="",Recurring!$H$18&lt;&gt;"Yes",Recurring!$D$18=""),"",Recurring!$B$18)</f>
        <v>Microsoft</v>
      </c>
      <c r="D215" s="38" t="str">
        <f aca="false">IF($C215="","",Recurring!$C$18)</f>
        <v>Expense</v>
      </c>
      <c r="E215" s="76" t="n">
        <f aca="false">IF($C215="","",Recurring!$D$18)</f>
        <v>13.7</v>
      </c>
      <c r="F215" s="77"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46351</v>
      </c>
      <c r="G215" s="77" t="n">
        <f aca="false">IF($F215="","",IF(Recurring!$G$18="Move Before",IF(WEEKDAY($F215,2)=6,$F215-1,IF(WEEKDAY($F215,2)=7,$F215-2,$F215)),IF(Recurring!$G$18="Move After",IF(WEEKDAY($F215,2)=6,$F215+2,IF(WEEKDAY($F215,2)=7,$F215+1,$F215)),$F215)))</f>
        <v>46351</v>
      </c>
      <c r="H215" s="78" t="n">
        <f aca="false">IF($G215="",0,IF(AND($G215&gt;='Cash Flow'!$E$6,$G215&lt;'Cash Flow'!$E$6+91),1,0))</f>
        <v>0</v>
      </c>
      <c r="I215" s="78" t="str">
        <f aca="false">IF($H215=1,MAX(1,INT(($G215-'Cash Flow'!$E$6)/7)+1),"")</f>
        <v/>
      </c>
      <c r="J215" s="38" t="str">
        <f aca="false">IF($H215=1,$G215*10000+ROW(),"")</f>
        <v/>
      </c>
      <c r="K215" s="38" t="str">
        <f aca="false">IF($H215=1,$I215*1000+COUNTIFS($I$4:$I$483,$I215,$J$4:$J$483,"&lt;"&amp;$J215)+1,"")</f>
        <v/>
      </c>
    </row>
    <row r="216" customFormat="false" ht="15" hidden="false" customHeight="false" outlineLevel="0" collapsed="false">
      <c r="A216" s="46" t="n">
        <v>14</v>
      </c>
      <c r="B216" s="46" t="n">
        <v>5</v>
      </c>
      <c r="C216" s="38" t="str">
        <f aca="false">IF(OR(Recurring!$B$18="",Recurring!$H$18&lt;&gt;"Yes",Recurring!$D$18=""),"",Recurring!$B$18)</f>
        <v>Microsoft</v>
      </c>
      <c r="D216" s="38" t="str">
        <f aca="false">IF($C216="","",Recurring!$C$18)</f>
        <v>Expense</v>
      </c>
      <c r="E216" s="76" t="n">
        <f aca="false">IF($C216="","",Recurring!$D$18)</f>
        <v>13.7</v>
      </c>
      <c r="F216" s="77"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46381</v>
      </c>
      <c r="G216" s="77" t="n">
        <f aca="false">IF($F216="","",IF(Recurring!$G$18="Move Before",IF(WEEKDAY($F216,2)=6,$F216-1,IF(WEEKDAY($F216,2)=7,$F216-2,$F216)),IF(Recurring!$G$18="Move After",IF(WEEKDAY($F216,2)=6,$F216+2,IF(WEEKDAY($F216,2)=7,$F216+1,$F216)),$F216)))</f>
        <v>46381</v>
      </c>
      <c r="H216" s="78" t="n">
        <f aca="false">IF($G216="",0,IF(AND($G216&gt;='Cash Flow'!$E$6,$G216&lt;'Cash Flow'!$E$6+91),1,0))</f>
        <v>0</v>
      </c>
      <c r="I216" s="78" t="str">
        <f aca="false">IF($H216=1,MAX(1,INT(($G216-'Cash Flow'!$E$6)/7)+1),"")</f>
        <v/>
      </c>
      <c r="J216" s="38" t="str">
        <f aca="false">IF($H216=1,$G216*10000+ROW(),"")</f>
        <v/>
      </c>
      <c r="K216" s="38" t="str">
        <f aca="false">IF($H216=1,$I216*1000+COUNTIFS($I$4:$I$483,$I216,$J$4:$J$483,"&lt;"&amp;$J216)+1,"")</f>
        <v/>
      </c>
    </row>
    <row r="217" customFormat="false" ht="15" hidden="false" customHeight="false" outlineLevel="0" collapsed="false">
      <c r="A217" s="46" t="n">
        <v>14</v>
      </c>
      <c r="B217" s="46" t="n">
        <v>6</v>
      </c>
      <c r="C217" s="38" t="str">
        <f aca="false">IF(OR(Recurring!$B$18="",Recurring!$H$18&lt;&gt;"Yes",Recurring!$D$18=""),"",Recurring!$B$18)</f>
        <v>Microsoft</v>
      </c>
      <c r="D217" s="38" t="str">
        <f aca="false">IF($C217="","",Recurring!$C$18)</f>
        <v>Expense</v>
      </c>
      <c r="E217" s="76" t="n">
        <f aca="false">IF($C217="","",Recurring!$D$18)</f>
        <v>13.7</v>
      </c>
      <c r="F217" s="77"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46412</v>
      </c>
      <c r="G217" s="77" t="n">
        <f aca="false">IF($F217="","",IF(Recurring!$G$18="Move Before",IF(WEEKDAY($F217,2)=6,$F217-1,IF(WEEKDAY($F217,2)=7,$F217-2,$F217)),IF(Recurring!$G$18="Move After",IF(WEEKDAY($F217,2)=6,$F217+2,IF(WEEKDAY($F217,2)=7,$F217+1,$F217)),$F217)))</f>
        <v>46412</v>
      </c>
      <c r="H217" s="78" t="n">
        <f aca="false">IF($G217="",0,IF(AND($G217&gt;='Cash Flow'!$E$6,$G217&lt;'Cash Flow'!$E$6+91),1,0))</f>
        <v>0</v>
      </c>
      <c r="I217" s="78" t="str">
        <f aca="false">IF($H217=1,MAX(1,INT(($G217-'Cash Flow'!$E$6)/7)+1),"")</f>
        <v/>
      </c>
      <c r="J217" s="38" t="str">
        <f aca="false">IF($H217=1,$G217*10000+ROW(),"")</f>
        <v/>
      </c>
      <c r="K217" s="38" t="str">
        <f aca="false">IF($H217=1,$I217*1000+COUNTIFS($I$4:$I$483,$I217,$J$4:$J$483,"&lt;"&amp;$J217)+1,"")</f>
        <v/>
      </c>
    </row>
    <row r="218" customFormat="false" ht="15" hidden="false" customHeight="false" outlineLevel="0" collapsed="false">
      <c r="A218" s="46" t="n">
        <v>14</v>
      </c>
      <c r="B218" s="46" t="n">
        <v>7</v>
      </c>
      <c r="C218" s="38" t="str">
        <f aca="false">IF(OR(Recurring!$B$18="",Recurring!$H$18&lt;&gt;"Yes",Recurring!$D$18=""),"",Recurring!$B$18)</f>
        <v>Microsoft</v>
      </c>
      <c r="D218" s="38" t="str">
        <f aca="false">IF($C218="","",Recurring!$C$18)</f>
        <v>Expense</v>
      </c>
      <c r="E218" s="76" t="n">
        <f aca="false">IF($C218="","",Recurring!$D$18)</f>
        <v>13.7</v>
      </c>
      <c r="F218" s="77"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46443</v>
      </c>
      <c r="G218" s="77" t="n">
        <f aca="false">IF($F218="","",IF(Recurring!$G$18="Move Before",IF(WEEKDAY($F218,2)=6,$F218-1,IF(WEEKDAY($F218,2)=7,$F218-2,$F218)),IF(Recurring!$G$18="Move After",IF(WEEKDAY($F218,2)=6,$F218+2,IF(WEEKDAY($F218,2)=7,$F218+1,$F218)),$F218)))</f>
        <v>46443</v>
      </c>
      <c r="H218" s="78" t="n">
        <f aca="false">IF($G218="",0,IF(AND($G218&gt;='Cash Flow'!$E$6,$G218&lt;'Cash Flow'!$E$6+91),1,0))</f>
        <v>0</v>
      </c>
      <c r="I218" s="78" t="str">
        <f aca="false">IF($H218=1,MAX(1,INT(($G218-'Cash Flow'!$E$6)/7)+1),"")</f>
        <v/>
      </c>
      <c r="J218" s="38" t="str">
        <f aca="false">IF($H218=1,$G218*10000+ROW(),"")</f>
        <v/>
      </c>
      <c r="K218" s="38" t="str">
        <f aca="false">IF($H218=1,$I218*1000+COUNTIFS($I$4:$I$483,$I218,$J$4:$J$483,"&lt;"&amp;$J218)+1,"")</f>
        <v/>
      </c>
    </row>
    <row r="219" customFormat="false" ht="15" hidden="false" customHeight="false" outlineLevel="0" collapsed="false">
      <c r="A219" s="46" t="n">
        <v>14</v>
      </c>
      <c r="B219" s="46" t="n">
        <v>8</v>
      </c>
      <c r="C219" s="38" t="str">
        <f aca="false">IF(OR(Recurring!$B$18="",Recurring!$H$18&lt;&gt;"Yes",Recurring!$D$18=""),"",Recurring!$B$18)</f>
        <v>Microsoft</v>
      </c>
      <c r="D219" s="38" t="str">
        <f aca="false">IF($C219="","",Recurring!$C$18)</f>
        <v>Expense</v>
      </c>
      <c r="E219" s="76" t="n">
        <f aca="false">IF($C219="","",Recurring!$D$18)</f>
        <v>13.7</v>
      </c>
      <c r="F219" s="77"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46471</v>
      </c>
      <c r="G219" s="77" t="n">
        <f aca="false">IF($F219="","",IF(Recurring!$G$18="Move Before",IF(WEEKDAY($F219,2)=6,$F219-1,IF(WEEKDAY($F219,2)=7,$F219-2,$F219)),IF(Recurring!$G$18="Move After",IF(WEEKDAY($F219,2)=6,$F219+2,IF(WEEKDAY($F219,2)=7,$F219+1,$F219)),$F219)))</f>
        <v>46471</v>
      </c>
      <c r="H219" s="78" t="n">
        <f aca="false">IF($G219="",0,IF(AND($G219&gt;='Cash Flow'!$E$6,$G219&lt;'Cash Flow'!$E$6+91),1,0))</f>
        <v>0</v>
      </c>
      <c r="I219" s="78" t="str">
        <f aca="false">IF($H219=1,MAX(1,INT(($G219-'Cash Flow'!$E$6)/7)+1),"")</f>
        <v/>
      </c>
      <c r="J219" s="38" t="str">
        <f aca="false">IF($H219=1,$G219*10000+ROW(),"")</f>
        <v/>
      </c>
      <c r="K219" s="38" t="str">
        <f aca="false">IF($H219=1,$I219*1000+COUNTIFS($I$4:$I$483,$I219,$J$4:$J$483,"&lt;"&amp;$J219)+1,"")</f>
        <v/>
      </c>
    </row>
    <row r="220" customFormat="false" ht="15" hidden="false" customHeight="false" outlineLevel="0" collapsed="false">
      <c r="A220" s="46" t="n">
        <v>14</v>
      </c>
      <c r="B220" s="46" t="n">
        <v>9</v>
      </c>
      <c r="C220" s="38" t="str">
        <f aca="false">IF(OR(Recurring!$B$18="",Recurring!$H$18&lt;&gt;"Yes",Recurring!$D$18=""),"",Recurring!$B$18)</f>
        <v>Microsoft</v>
      </c>
      <c r="D220" s="38" t="str">
        <f aca="false">IF($C220="","",Recurring!$C$18)</f>
        <v>Expense</v>
      </c>
      <c r="E220" s="76" t="n">
        <f aca="false">IF($C220="","",Recurring!$D$18)</f>
        <v>13.7</v>
      </c>
      <c r="F220" s="77"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46502</v>
      </c>
      <c r="G220" s="77" t="n">
        <f aca="false">IF($F220="","",IF(Recurring!$G$18="Move Before",IF(WEEKDAY($F220,2)=6,$F220-1,IF(WEEKDAY($F220,2)=7,$F220-2,$F220)),IF(Recurring!$G$18="Move After",IF(WEEKDAY($F220,2)=6,$F220+2,IF(WEEKDAY($F220,2)=7,$F220+1,$F220)),$F220)))</f>
        <v>46502</v>
      </c>
      <c r="H220" s="78" t="n">
        <f aca="false">IF($G220="",0,IF(AND($G220&gt;='Cash Flow'!$E$6,$G220&lt;'Cash Flow'!$E$6+91),1,0))</f>
        <v>0</v>
      </c>
      <c r="I220" s="78" t="str">
        <f aca="false">IF($H220=1,MAX(1,INT(($G220-'Cash Flow'!$E$6)/7)+1),"")</f>
        <v/>
      </c>
      <c r="J220" s="38" t="str">
        <f aca="false">IF($H220=1,$G220*10000+ROW(),"")</f>
        <v/>
      </c>
      <c r="K220" s="38" t="str">
        <f aca="false">IF($H220=1,$I220*1000+COUNTIFS($I$4:$I$483,$I220,$J$4:$J$483,"&lt;"&amp;$J220)+1,"")</f>
        <v/>
      </c>
    </row>
    <row r="221" customFormat="false" ht="15" hidden="false" customHeight="false" outlineLevel="0" collapsed="false">
      <c r="A221" s="46" t="n">
        <v>14</v>
      </c>
      <c r="B221" s="46" t="n">
        <v>10</v>
      </c>
      <c r="C221" s="38" t="str">
        <f aca="false">IF(OR(Recurring!$B$18="",Recurring!$H$18&lt;&gt;"Yes",Recurring!$D$18=""),"",Recurring!$B$18)</f>
        <v>Microsoft</v>
      </c>
      <c r="D221" s="38" t="str">
        <f aca="false">IF($C221="","",Recurring!$C$18)</f>
        <v>Expense</v>
      </c>
      <c r="E221" s="76" t="n">
        <f aca="false">IF($C221="","",Recurring!$D$18)</f>
        <v>13.7</v>
      </c>
      <c r="F221" s="77"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46532</v>
      </c>
      <c r="G221" s="77" t="n">
        <f aca="false">IF($F221="","",IF(Recurring!$G$18="Move Before",IF(WEEKDAY($F221,2)=6,$F221-1,IF(WEEKDAY($F221,2)=7,$F221-2,$F221)),IF(Recurring!$G$18="Move After",IF(WEEKDAY($F221,2)=6,$F221+2,IF(WEEKDAY($F221,2)=7,$F221+1,$F221)),$F221)))</f>
        <v>46532</v>
      </c>
      <c r="H221" s="78" t="n">
        <f aca="false">IF($G221="",0,IF(AND($G221&gt;='Cash Flow'!$E$6,$G221&lt;'Cash Flow'!$E$6+91),1,0))</f>
        <v>0</v>
      </c>
      <c r="I221" s="78" t="str">
        <f aca="false">IF($H221=1,MAX(1,INT(($G221-'Cash Flow'!$E$6)/7)+1),"")</f>
        <v/>
      </c>
      <c r="J221" s="38" t="str">
        <f aca="false">IF($H221=1,$G221*10000+ROW(),"")</f>
        <v/>
      </c>
      <c r="K221" s="38" t="str">
        <f aca="false">IF($H221=1,$I221*1000+COUNTIFS($I$4:$I$483,$I221,$J$4:$J$483,"&lt;"&amp;$J221)+1,"")</f>
        <v/>
      </c>
    </row>
    <row r="222" customFormat="false" ht="15" hidden="false" customHeight="false" outlineLevel="0" collapsed="false">
      <c r="A222" s="46" t="n">
        <v>14</v>
      </c>
      <c r="B222" s="46" t="n">
        <v>11</v>
      </c>
      <c r="C222" s="38" t="str">
        <f aca="false">IF(OR(Recurring!$B$18="",Recurring!$H$18&lt;&gt;"Yes",Recurring!$D$18=""),"",Recurring!$B$18)</f>
        <v>Microsoft</v>
      </c>
      <c r="D222" s="38" t="str">
        <f aca="false">IF($C222="","",Recurring!$C$18)</f>
        <v>Expense</v>
      </c>
      <c r="E222" s="76" t="n">
        <f aca="false">IF($C222="","",Recurring!$D$18)</f>
        <v>13.7</v>
      </c>
      <c r="F222" s="77"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46563</v>
      </c>
      <c r="G222" s="77" t="n">
        <f aca="false">IF($F222="","",IF(Recurring!$G$18="Move Before",IF(WEEKDAY($F222,2)=6,$F222-1,IF(WEEKDAY($F222,2)=7,$F222-2,$F222)),IF(Recurring!$G$18="Move After",IF(WEEKDAY($F222,2)=6,$F222+2,IF(WEEKDAY($F222,2)=7,$F222+1,$F222)),$F222)))</f>
        <v>46563</v>
      </c>
      <c r="H222" s="78" t="n">
        <f aca="false">IF($G222="",0,IF(AND($G222&gt;='Cash Flow'!$E$6,$G222&lt;'Cash Flow'!$E$6+91),1,0))</f>
        <v>0</v>
      </c>
      <c r="I222" s="78" t="str">
        <f aca="false">IF($H222=1,MAX(1,INT(($G222-'Cash Flow'!$E$6)/7)+1),"")</f>
        <v/>
      </c>
      <c r="J222" s="38" t="str">
        <f aca="false">IF($H222=1,$G222*10000+ROW(),"")</f>
        <v/>
      </c>
      <c r="K222" s="38" t="str">
        <f aca="false">IF($H222=1,$I222*1000+COUNTIFS($I$4:$I$483,$I222,$J$4:$J$483,"&lt;"&amp;$J222)+1,"")</f>
        <v/>
      </c>
    </row>
    <row r="223" customFormat="false" ht="15" hidden="false" customHeight="false" outlineLevel="0" collapsed="false">
      <c r="A223" s="46" t="n">
        <v>14</v>
      </c>
      <c r="B223" s="46" t="n">
        <v>12</v>
      </c>
      <c r="C223" s="38" t="str">
        <f aca="false">IF(OR(Recurring!$B$18="",Recurring!$H$18&lt;&gt;"Yes",Recurring!$D$18=""),"",Recurring!$B$18)</f>
        <v>Microsoft</v>
      </c>
      <c r="D223" s="38" t="str">
        <f aca="false">IF($C223="","",Recurring!$C$18)</f>
        <v>Expense</v>
      </c>
      <c r="E223" s="76" t="n">
        <f aca="false">IF($C223="","",Recurring!$D$18)</f>
        <v>13.7</v>
      </c>
      <c r="F223" s="77"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46593</v>
      </c>
      <c r="G223" s="77" t="n">
        <f aca="false">IF($F223="","",IF(Recurring!$G$18="Move Before",IF(WEEKDAY($F223,2)=6,$F223-1,IF(WEEKDAY($F223,2)=7,$F223-2,$F223)),IF(Recurring!$G$18="Move After",IF(WEEKDAY($F223,2)=6,$F223+2,IF(WEEKDAY($F223,2)=7,$F223+1,$F223)),$F223)))</f>
        <v>46593</v>
      </c>
      <c r="H223" s="78" t="n">
        <f aca="false">IF($G223="",0,IF(AND($G223&gt;='Cash Flow'!$E$6,$G223&lt;'Cash Flow'!$E$6+91),1,0))</f>
        <v>0</v>
      </c>
      <c r="I223" s="78" t="str">
        <f aca="false">IF($H223=1,MAX(1,INT(($G223-'Cash Flow'!$E$6)/7)+1),"")</f>
        <v/>
      </c>
      <c r="J223" s="38" t="str">
        <f aca="false">IF($H223=1,$G223*10000+ROW(),"")</f>
        <v/>
      </c>
      <c r="K223" s="38" t="str">
        <f aca="false">IF($H223=1,$I223*1000+COUNTIFS($I$4:$I$483,$I223,$J$4:$J$483,"&lt;"&amp;$J223)+1,"")</f>
        <v/>
      </c>
    </row>
    <row r="224" customFormat="false" ht="15" hidden="false" customHeight="false" outlineLevel="0" collapsed="false">
      <c r="A224" s="46" t="n">
        <v>14</v>
      </c>
      <c r="B224" s="46" t="n">
        <v>13</v>
      </c>
      <c r="C224" s="38" t="str">
        <f aca="false">IF(OR(Recurring!$B$18="",Recurring!$H$18&lt;&gt;"Yes",Recurring!$D$18=""),"",Recurring!$B$18)</f>
        <v>Microsoft</v>
      </c>
      <c r="D224" s="38" t="str">
        <f aca="false">IF($C224="","",Recurring!$C$18)</f>
        <v>Expense</v>
      </c>
      <c r="E224" s="76" t="n">
        <f aca="false">IF($C224="","",Recurring!$D$18)</f>
        <v>13.7</v>
      </c>
      <c r="F224" s="77"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46624</v>
      </c>
      <c r="G224" s="77" t="n">
        <f aca="false">IF($F224="","",IF(Recurring!$G$18="Move Before",IF(WEEKDAY($F224,2)=6,$F224-1,IF(WEEKDAY($F224,2)=7,$F224-2,$F224)),IF(Recurring!$G$18="Move After",IF(WEEKDAY($F224,2)=6,$F224+2,IF(WEEKDAY($F224,2)=7,$F224+1,$F224)),$F224)))</f>
        <v>46624</v>
      </c>
      <c r="H224" s="78" t="n">
        <f aca="false">IF($G224="",0,IF(AND($G224&gt;='Cash Flow'!$E$6,$G224&lt;'Cash Flow'!$E$6+91),1,0))</f>
        <v>0</v>
      </c>
      <c r="I224" s="78" t="str">
        <f aca="false">IF($H224=1,MAX(1,INT(($G224-'Cash Flow'!$E$6)/7)+1),"")</f>
        <v/>
      </c>
      <c r="J224" s="38" t="str">
        <f aca="false">IF($H224=1,$G224*10000+ROW(),"")</f>
        <v/>
      </c>
      <c r="K224" s="38" t="str">
        <f aca="false">IF($H224=1,$I224*1000+COUNTIFS($I$4:$I$483,$I224,$J$4:$J$483,"&lt;"&amp;$J224)+1,"")</f>
        <v/>
      </c>
    </row>
    <row r="225" customFormat="false" ht="15" hidden="false" customHeight="false" outlineLevel="0" collapsed="false">
      <c r="A225" s="46" t="n">
        <v>14</v>
      </c>
      <c r="B225" s="46" t="n">
        <v>14</v>
      </c>
      <c r="C225" s="38" t="str">
        <f aca="false">IF(OR(Recurring!$B$18="",Recurring!$H$18&lt;&gt;"Yes",Recurring!$D$18=""),"",Recurring!$B$18)</f>
        <v>Microsoft</v>
      </c>
      <c r="D225" s="38" t="str">
        <f aca="false">IF($C225="","",Recurring!$C$18)</f>
        <v>Expense</v>
      </c>
      <c r="E225" s="76" t="n">
        <f aca="false">IF($C225="","",Recurring!$D$18)</f>
        <v>13.7</v>
      </c>
      <c r="F225" s="77"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46655</v>
      </c>
      <c r="G225" s="77" t="n">
        <f aca="false">IF($F225="","",IF(Recurring!$G$18="Move Before",IF(WEEKDAY($F225,2)=6,$F225-1,IF(WEEKDAY($F225,2)=7,$F225-2,$F225)),IF(Recurring!$G$18="Move After",IF(WEEKDAY($F225,2)=6,$F225+2,IF(WEEKDAY($F225,2)=7,$F225+1,$F225)),$F225)))</f>
        <v>46655</v>
      </c>
      <c r="H225" s="78" t="n">
        <f aca="false">IF($G225="",0,IF(AND($G225&gt;='Cash Flow'!$E$6,$G225&lt;'Cash Flow'!$E$6+91),1,0))</f>
        <v>0</v>
      </c>
      <c r="I225" s="78" t="str">
        <f aca="false">IF($H225=1,MAX(1,INT(($G225-'Cash Flow'!$E$6)/7)+1),"")</f>
        <v/>
      </c>
      <c r="J225" s="38" t="str">
        <f aca="false">IF($H225=1,$G225*10000+ROW(),"")</f>
        <v/>
      </c>
      <c r="K225" s="38" t="str">
        <f aca="false">IF($H225=1,$I225*1000+COUNTIFS($I$4:$I$483,$I225,$J$4:$J$483,"&lt;"&amp;$J225)+1,"")</f>
        <v/>
      </c>
    </row>
    <row r="226" customFormat="false" ht="15" hidden="false" customHeight="false" outlineLevel="0" collapsed="false">
      <c r="A226" s="46" t="n">
        <v>14</v>
      </c>
      <c r="B226" s="46" t="n">
        <v>15</v>
      </c>
      <c r="C226" s="38" t="str">
        <f aca="false">IF(OR(Recurring!$B$18="",Recurring!$H$18&lt;&gt;"Yes",Recurring!$D$18=""),"",Recurring!$B$18)</f>
        <v>Microsoft</v>
      </c>
      <c r="D226" s="38" t="str">
        <f aca="false">IF($C226="","",Recurring!$C$18)</f>
        <v>Expense</v>
      </c>
      <c r="E226" s="76" t="n">
        <f aca="false">IF($C226="","",Recurring!$D$18)</f>
        <v>13.7</v>
      </c>
      <c r="F226" s="77"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46685</v>
      </c>
      <c r="G226" s="77" t="n">
        <f aca="false">IF($F226="","",IF(Recurring!$G$18="Move Before",IF(WEEKDAY($F226,2)=6,$F226-1,IF(WEEKDAY($F226,2)=7,$F226-2,$F226)),IF(Recurring!$G$18="Move After",IF(WEEKDAY($F226,2)=6,$F226+2,IF(WEEKDAY($F226,2)=7,$F226+1,$F226)),$F226)))</f>
        <v>46685</v>
      </c>
      <c r="H226" s="78" t="n">
        <f aca="false">IF($G226="",0,IF(AND($G226&gt;='Cash Flow'!$E$6,$G226&lt;'Cash Flow'!$E$6+91),1,0))</f>
        <v>0</v>
      </c>
      <c r="I226" s="78" t="str">
        <f aca="false">IF($H226=1,MAX(1,INT(($G226-'Cash Flow'!$E$6)/7)+1),"")</f>
        <v/>
      </c>
      <c r="J226" s="38" t="str">
        <f aca="false">IF($H226=1,$G226*10000+ROW(),"")</f>
        <v/>
      </c>
      <c r="K226" s="38" t="str">
        <f aca="false">IF($H226=1,$I226*1000+COUNTIFS($I$4:$I$483,$I226,$J$4:$J$483,"&lt;"&amp;$J226)+1,"")</f>
        <v/>
      </c>
    </row>
    <row r="227" customFormat="false" ht="15" hidden="false" customHeight="false" outlineLevel="0" collapsed="false">
      <c r="A227" s="46" t="n">
        <v>14</v>
      </c>
      <c r="B227" s="46" t="n">
        <v>16</v>
      </c>
      <c r="C227" s="38" t="str">
        <f aca="false">IF(OR(Recurring!$B$18="",Recurring!$H$18&lt;&gt;"Yes",Recurring!$D$18=""),"",Recurring!$B$18)</f>
        <v>Microsoft</v>
      </c>
      <c r="D227" s="38" t="str">
        <f aca="false">IF($C227="","",Recurring!$C$18)</f>
        <v>Expense</v>
      </c>
      <c r="E227" s="76" t="n">
        <f aca="false">IF($C227="","",Recurring!$D$18)</f>
        <v>13.7</v>
      </c>
      <c r="F227" s="77"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46716</v>
      </c>
      <c r="G227" s="77" t="n">
        <f aca="false">IF($F227="","",IF(Recurring!$G$18="Move Before",IF(WEEKDAY($F227,2)=6,$F227-1,IF(WEEKDAY($F227,2)=7,$F227-2,$F227)),IF(Recurring!$G$18="Move After",IF(WEEKDAY($F227,2)=6,$F227+2,IF(WEEKDAY($F227,2)=7,$F227+1,$F227)),$F227)))</f>
        <v>46716</v>
      </c>
      <c r="H227" s="78" t="n">
        <f aca="false">IF($G227="",0,IF(AND($G227&gt;='Cash Flow'!$E$6,$G227&lt;'Cash Flow'!$E$6+91),1,0))</f>
        <v>0</v>
      </c>
      <c r="I227" s="78" t="str">
        <f aca="false">IF($H227=1,MAX(1,INT(($G227-'Cash Flow'!$E$6)/7)+1),"")</f>
        <v/>
      </c>
      <c r="J227" s="38" t="str">
        <f aca="false">IF($H227=1,$G227*10000+ROW(),"")</f>
        <v/>
      </c>
      <c r="K227" s="38" t="str">
        <f aca="false">IF($H227=1,$I227*1000+COUNTIFS($I$4:$I$483,$I227,$J$4:$J$483,"&lt;"&amp;$J227)+1,"")</f>
        <v/>
      </c>
    </row>
    <row r="228" customFormat="false" ht="15" hidden="false" customHeight="false" outlineLevel="0" collapsed="false">
      <c r="A228" s="46" t="n">
        <v>15</v>
      </c>
      <c r="B228" s="46" t="n">
        <v>1</v>
      </c>
      <c r="C228" s="38" t="str">
        <f aca="false">IF(OR(Recurring!$B$19="",Recurring!$H$19&lt;&gt;"Yes",Recurring!$D$19=""),"",Recurring!$B$19)</f>
        <v>Central Maine Power: Payment Plan</v>
      </c>
      <c r="D228" s="38" t="str">
        <f aca="false">IF($C228="","",Recurring!$C$19)</f>
        <v>Expense</v>
      </c>
      <c r="E228" s="76" t="n">
        <f aca="false">IF($C228="","",Recurring!$D$19)</f>
        <v>43.87</v>
      </c>
      <c r="F228" s="77" t="n">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46259</v>
      </c>
      <c r="G228" s="77" t="n">
        <f aca="false">IF($F228="","",IF(Recurring!$G$19="Move Before",IF(WEEKDAY($F228,2)=6,$F228-1,IF(WEEKDAY($F228,2)=7,$F228-2,$F228)),IF(Recurring!$G$19="Move After",IF(WEEKDAY($F228,2)=6,$F228+2,IF(WEEKDAY($F228,2)=7,$F228+1,$F228)),$F228)))</f>
        <v>46259</v>
      </c>
      <c r="H228" s="78" t="n">
        <f aca="false">IF($G228="",0,IF(AND($G228&gt;='Cash Flow'!$E$6-90,$G228&lt;'Cash Flow'!$E$6+91),1,0))</f>
        <v>1</v>
      </c>
      <c r="I228" s="78" t="n">
        <f aca="false">IF($H228=1,MAX(1,INT(($G228-'Cash Flow'!$E$6)/7)+1),"")</f>
        <v>3</v>
      </c>
      <c r="J228" s="38" t="n">
        <f aca="false">IF($H228=1,$G228*10000+ROW(),"")</f>
        <v>462590228</v>
      </c>
      <c r="K228" s="38" t="n">
        <f aca="false">IF($H228=1,$I228*1000+COUNTIFS($I$4:$I$483,$I228,$J$4:$J$483,"&lt;"&amp;$J228)+1,"")</f>
        <v>3003</v>
      </c>
    </row>
    <row r="229" customFormat="false" ht="15" hidden="false" customHeight="false" outlineLevel="0" collapsed="false">
      <c r="A229" s="46" t="n">
        <v>15</v>
      </c>
      <c r="B229" s="46" t="n">
        <v>2</v>
      </c>
      <c r="C229" s="38" t="str">
        <f aca="false">IF(OR(Recurring!$B$19="",Recurring!$H$19&lt;&gt;"Yes",Recurring!$D$19=""),"",Recurring!$B$19)</f>
        <v>Central Maine Power: Payment Plan</v>
      </c>
      <c r="D229" s="38" t="str">
        <f aca="false">IF($C229="","",Recurring!$C$19)</f>
        <v>Expense</v>
      </c>
      <c r="E229" s="76" t="n">
        <f aca="false">IF($C229="","",Recurring!$D$19)</f>
        <v>43.87</v>
      </c>
      <c r="F229" s="77" t="n">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46290</v>
      </c>
      <c r="G229" s="77" t="n">
        <f aca="false">IF($F229="","",IF(Recurring!$G$19="Move Before",IF(WEEKDAY($F229,2)=6,$F229-1,IF(WEEKDAY($F229,2)=7,$F229-2,$F229)),IF(Recurring!$G$19="Move After",IF(WEEKDAY($F229,2)=6,$F229+2,IF(WEEKDAY($F229,2)=7,$F229+1,$F229)),$F229)))</f>
        <v>46290</v>
      </c>
      <c r="H229" s="78" t="n">
        <f aca="false">IF($G229="",0,IF(AND($G229&gt;='Cash Flow'!$E$6,$G229&lt;'Cash Flow'!$E$6+91),1,0))</f>
        <v>1</v>
      </c>
      <c r="I229" s="78" t="n">
        <f aca="false">IF($H229=1,MAX(1,INT(($G229-'Cash Flow'!$E$6)/7)+1),"")</f>
        <v>8</v>
      </c>
      <c r="J229" s="38" t="n">
        <f aca="false">IF($H229=1,$G229*10000+ROW(),"")</f>
        <v>462900229</v>
      </c>
      <c r="K229" s="38" t="n">
        <f aca="false">IF($H229=1,$I229*1000+COUNTIFS($I$4:$I$483,$I229,$J$4:$J$483,"&lt;"&amp;$J229)+1,"")</f>
        <v>8003</v>
      </c>
    </row>
    <row r="230" customFormat="false" ht="15" hidden="false" customHeight="false" outlineLevel="0" collapsed="false">
      <c r="A230" s="46" t="n">
        <v>15</v>
      </c>
      <c r="B230" s="46" t="n">
        <v>3</v>
      </c>
      <c r="C230" s="38" t="str">
        <f aca="false">IF(OR(Recurring!$B$19="",Recurring!$H$19&lt;&gt;"Yes",Recurring!$D$19=""),"",Recurring!$B$19)</f>
        <v>Central Maine Power: Payment Plan</v>
      </c>
      <c r="D230" s="38" t="str">
        <f aca="false">IF($C230="","",Recurring!$C$19)</f>
        <v>Expense</v>
      </c>
      <c r="E230" s="76" t="n">
        <f aca="false">IF($C230="","",Recurring!$D$19)</f>
        <v>43.87</v>
      </c>
      <c r="F230" s="77" t="n">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46320</v>
      </c>
      <c r="G230" s="77" t="n">
        <f aca="false">IF($F230="","",IF(Recurring!$G$19="Move Before",IF(WEEKDAY($F230,2)=6,$F230-1,IF(WEEKDAY($F230,2)=7,$F230-2,$F230)),IF(Recurring!$G$19="Move After",IF(WEEKDAY($F230,2)=6,$F230+2,IF(WEEKDAY($F230,2)=7,$F230+1,$F230)),$F230)))</f>
        <v>46320</v>
      </c>
      <c r="H230" s="78" t="n">
        <f aca="false">IF($G230="",0,IF(AND($G230&gt;='Cash Flow'!$E$6,$G230&lt;'Cash Flow'!$E$6+91),1,0))</f>
        <v>1</v>
      </c>
      <c r="I230" s="78" t="n">
        <f aca="false">IF($H230=1,MAX(1,INT(($G230-'Cash Flow'!$E$6)/7)+1),"")</f>
        <v>12</v>
      </c>
      <c r="J230" s="38" t="n">
        <f aca="false">IF($H230=1,$G230*10000+ROW(),"")</f>
        <v>463200230</v>
      </c>
      <c r="K230" s="38" t="n">
        <f aca="false">IF($H230=1,$I230*1000+COUNTIFS($I$4:$I$483,$I230,$J$4:$J$483,"&lt;"&amp;$J230)+1,"")</f>
        <v>12003</v>
      </c>
    </row>
    <row r="231" customFormat="false" ht="15" hidden="false" customHeight="false" outlineLevel="0" collapsed="false">
      <c r="A231" s="46" t="n">
        <v>15</v>
      </c>
      <c r="B231" s="46" t="n">
        <v>4</v>
      </c>
      <c r="C231" s="38" t="str">
        <f aca="false">IF(OR(Recurring!$B$19="",Recurring!$H$19&lt;&gt;"Yes",Recurring!$D$19=""),"",Recurring!$B$19)</f>
        <v>Central Maine Power: Payment Plan</v>
      </c>
      <c r="D231" s="38" t="str">
        <f aca="false">IF($C231="","",Recurring!$C$19)</f>
        <v>Expense</v>
      </c>
      <c r="E231" s="76" t="n">
        <f aca="false">IF($C231="","",Recurring!$D$19)</f>
        <v>43.87</v>
      </c>
      <c r="F231" s="77" t="n">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46351</v>
      </c>
      <c r="G231" s="77" t="n">
        <f aca="false">IF($F231="","",IF(Recurring!$G$19="Move Before",IF(WEEKDAY($F231,2)=6,$F231-1,IF(WEEKDAY($F231,2)=7,$F231-2,$F231)),IF(Recurring!$G$19="Move After",IF(WEEKDAY($F231,2)=6,$F231+2,IF(WEEKDAY($F231,2)=7,$F231+1,$F231)),$F231)))</f>
        <v>46351</v>
      </c>
      <c r="H231" s="78" t="n">
        <f aca="false">IF($G231="",0,IF(AND($G231&gt;='Cash Flow'!$E$6,$G231&lt;'Cash Flow'!$E$6+91),1,0))</f>
        <v>0</v>
      </c>
      <c r="I231" s="78" t="str">
        <f aca="false">IF($H231=1,MAX(1,INT(($G231-'Cash Flow'!$E$6)/7)+1),"")</f>
        <v/>
      </c>
      <c r="J231" s="38" t="str">
        <f aca="false">IF($H231=1,$G231*10000+ROW(),"")</f>
        <v/>
      </c>
      <c r="K231" s="38" t="str">
        <f aca="false">IF($H231=1,$I231*1000+COUNTIFS($I$4:$I$483,$I231,$J$4:$J$483,"&lt;"&amp;$J231)+1,"")</f>
        <v/>
      </c>
    </row>
    <row r="232" customFormat="false" ht="15" hidden="false" customHeight="false" outlineLevel="0" collapsed="false">
      <c r="A232" s="46" t="n">
        <v>15</v>
      </c>
      <c r="B232" s="46" t="n">
        <v>5</v>
      </c>
      <c r="C232" s="38" t="str">
        <f aca="false">IF(OR(Recurring!$B$19="",Recurring!$H$19&lt;&gt;"Yes",Recurring!$D$19=""),"",Recurring!$B$19)</f>
        <v>Central Maine Power: Payment Plan</v>
      </c>
      <c r="D232" s="38" t="str">
        <f aca="false">IF($C232="","",Recurring!$C$19)</f>
        <v>Expense</v>
      </c>
      <c r="E232" s="76" t="n">
        <f aca="false">IF($C232="","",Recurring!$D$19)</f>
        <v>43.87</v>
      </c>
      <c r="F232" s="77" t="n">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46381</v>
      </c>
      <c r="G232" s="77" t="n">
        <f aca="false">IF($F232="","",IF(Recurring!$G$19="Move Before",IF(WEEKDAY($F232,2)=6,$F232-1,IF(WEEKDAY($F232,2)=7,$F232-2,$F232)),IF(Recurring!$G$19="Move After",IF(WEEKDAY($F232,2)=6,$F232+2,IF(WEEKDAY($F232,2)=7,$F232+1,$F232)),$F232)))</f>
        <v>46381</v>
      </c>
      <c r="H232" s="78" t="n">
        <f aca="false">IF($G232="",0,IF(AND($G232&gt;='Cash Flow'!$E$6,$G232&lt;'Cash Flow'!$E$6+91),1,0))</f>
        <v>0</v>
      </c>
      <c r="I232" s="78" t="str">
        <f aca="false">IF($H232=1,MAX(1,INT(($G232-'Cash Flow'!$E$6)/7)+1),"")</f>
        <v/>
      </c>
      <c r="J232" s="38" t="str">
        <f aca="false">IF($H232=1,$G232*10000+ROW(),"")</f>
        <v/>
      </c>
      <c r="K232" s="38" t="str">
        <f aca="false">IF($H232=1,$I232*1000+COUNTIFS($I$4:$I$483,$I232,$J$4:$J$483,"&lt;"&amp;$J232)+1,"")</f>
        <v/>
      </c>
    </row>
    <row r="233" customFormat="false" ht="15" hidden="false" customHeight="false" outlineLevel="0" collapsed="false">
      <c r="A233" s="46" t="n">
        <v>15</v>
      </c>
      <c r="B233" s="46" t="n">
        <v>6</v>
      </c>
      <c r="C233" s="38" t="str">
        <f aca="false">IF(OR(Recurring!$B$19="",Recurring!$H$19&lt;&gt;"Yes",Recurring!$D$19=""),"",Recurring!$B$19)</f>
        <v>Central Maine Power: Payment Plan</v>
      </c>
      <c r="D233" s="38" t="str">
        <f aca="false">IF($C233="","",Recurring!$C$19)</f>
        <v>Expense</v>
      </c>
      <c r="E233" s="76" t="n">
        <f aca="false">IF($C233="","",Recurring!$D$19)</f>
        <v>43.87</v>
      </c>
      <c r="F233" s="77" t="n">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46412</v>
      </c>
      <c r="G233" s="77" t="n">
        <f aca="false">IF($F233="","",IF(Recurring!$G$19="Move Before",IF(WEEKDAY($F233,2)=6,$F233-1,IF(WEEKDAY($F233,2)=7,$F233-2,$F233)),IF(Recurring!$G$19="Move After",IF(WEEKDAY($F233,2)=6,$F233+2,IF(WEEKDAY($F233,2)=7,$F233+1,$F233)),$F233)))</f>
        <v>46412</v>
      </c>
      <c r="H233" s="78" t="n">
        <f aca="false">IF($G233="",0,IF(AND($G233&gt;='Cash Flow'!$E$6,$G233&lt;'Cash Flow'!$E$6+91),1,0))</f>
        <v>0</v>
      </c>
      <c r="I233" s="78" t="str">
        <f aca="false">IF($H233=1,MAX(1,INT(($G233-'Cash Flow'!$E$6)/7)+1),"")</f>
        <v/>
      </c>
      <c r="J233" s="38" t="str">
        <f aca="false">IF($H233=1,$G233*10000+ROW(),"")</f>
        <v/>
      </c>
      <c r="K233" s="38" t="str">
        <f aca="false">IF($H233=1,$I233*1000+COUNTIFS($I$4:$I$483,$I233,$J$4:$J$483,"&lt;"&amp;$J233)+1,"")</f>
        <v/>
      </c>
    </row>
    <row r="234" customFormat="false" ht="15" hidden="false" customHeight="false" outlineLevel="0" collapsed="false">
      <c r="A234" s="46" t="n">
        <v>15</v>
      </c>
      <c r="B234" s="46" t="n">
        <v>7</v>
      </c>
      <c r="C234" s="38" t="str">
        <f aca="false">IF(OR(Recurring!$B$19="",Recurring!$H$19&lt;&gt;"Yes",Recurring!$D$19=""),"",Recurring!$B$19)</f>
        <v>Central Maine Power: Payment Plan</v>
      </c>
      <c r="D234" s="38" t="str">
        <f aca="false">IF($C234="","",Recurring!$C$19)</f>
        <v>Expense</v>
      </c>
      <c r="E234" s="76" t="n">
        <f aca="false">IF($C234="","",Recurring!$D$19)</f>
        <v>43.87</v>
      </c>
      <c r="F234" s="77" t="n">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46443</v>
      </c>
      <c r="G234" s="77" t="n">
        <f aca="false">IF($F234="","",IF(Recurring!$G$19="Move Before",IF(WEEKDAY($F234,2)=6,$F234-1,IF(WEEKDAY($F234,2)=7,$F234-2,$F234)),IF(Recurring!$G$19="Move After",IF(WEEKDAY($F234,2)=6,$F234+2,IF(WEEKDAY($F234,2)=7,$F234+1,$F234)),$F234)))</f>
        <v>46443</v>
      </c>
      <c r="H234" s="78" t="n">
        <f aca="false">IF($G234="",0,IF(AND($G234&gt;='Cash Flow'!$E$6,$G234&lt;'Cash Flow'!$E$6+91),1,0))</f>
        <v>0</v>
      </c>
      <c r="I234" s="78" t="str">
        <f aca="false">IF($H234=1,MAX(1,INT(($G234-'Cash Flow'!$E$6)/7)+1),"")</f>
        <v/>
      </c>
      <c r="J234" s="38" t="str">
        <f aca="false">IF($H234=1,$G234*10000+ROW(),"")</f>
        <v/>
      </c>
      <c r="K234" s="38" t="str">
        <f aca="false">IF($H234=1,$I234*1000+COUNTIFS($I$4:$I$483,$I234,$J$4:$J$483,"&lt;"&amp;$J234)+1,"")</f>
        <v/>
      </c>
    </row>
    <row r="235" customFormat="false" ht="15" hidden="false" customHeight="false" outlineLevel="0" collapsed="false">
      <c r="A235" s="46" t="n">
        <v>15</v>
      </c>
      <c r="B235" s="46" t="n">
        <v>8</v>
      </c>
      <c r="C235" s="38" t="str">
        <f aca="false">IF(OR(Recurring!$B$19="",Recurring!$H$19&lt;&gt;"Yes",Recurring!$D$19=""),"",Recurring!$B$19)</f>
        <v>Central Maine Power: Payment Plan</v>
      </c>
      <c r="D235" s="38" t="str">
        <f aca="false">IF($C235="","",Recurring!$C$19)</f>
        <v>Expense</v>
      </c>
      <c r="E235" s="76" t="n">
        <f aca="false">IF($C235="","",Recurring!$D$19)</f>
        <v>43.87</v>
      </c>
      <c r="F235" s="77" t="n">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46471</v>
      </c>
      <c r="G235" s="77" t="n">
        <f aca="false">IF($F235="","",IF(Recurring!$G$19="Move Before",IF(WEEKDAY($F235,2)=6,$F235-1,IF(WEEKDAY($F235,2)=7,$F235-2,$F235)),IF(Recurring!$G$19="Move After",IF(WEEKDAY($F235,2)=6,$F235+2,IF(WEEKDAY($F235,2)=7,$F235+1,$F235)),$F235)))</f>
        <v>46471</v>
      </c>
      <c r="H235" s="78" t="n">
        <f aca="false">IF($G235="",0,IF(AND($G235&gt;='Cash Flow'!$E$6,$G235&lt;'Cash Flow'!$E$6+91),1,0))</f>
        <v>0</v>
      </c>
      <c r="I235" s="78" t="str">
        <f aca="false">IF($H235=1,MAX(1,INT(($G235-'Cash Flow'!$E$6)/7)+1),"")</f>
        <v/>
      </c>
      <c r="J235" s="38" t="str">
        <f aca="false">IF($H235=1,$G235*10000+ROW(),"")</f>
        <v/>
      </c>
      <c r="K235" s="38" t="str">
        <f aca="false">IF($H235=1,$I235*1000+COUNTIFS($I$4:$I$483,$I235,$J$4:$J$483,"&lt;"&amp;$J235)+1,"")</f>
        <v/>
      </c>
    </row>
    <row r="236" customFormat="false" ht="15" hidden="false" customHeight="false" outlineLevel="0" collapsed="false">
      <c r="A236" s="46" t="n">
        <v>15</v>
      </c>
      <c r="B236" s="46" t="n">
        <v>9</v>
      </c>
      <c r="C236" s="38" t="str">
        <f aca="false">IF(OR(Recurring!$B$19="",Recurring!$H$19&lt;&gt;"Yes",Recurring!$D$19=""),"",Recurring!$B$19)</f>
        <v>Central Maine Power: Payment Plan</v>
      </c>
      <c r="D236" s="38" t="str">
        <f aca="false">IF($C236="","",Recurring!$C$19)</f>
        <v>Expense</v>
      </c>
      <c r="E236" s="76" t="n">
        <f aca="false">IF($C236="","",Recurring!$D$19)</f>
        <v>43.87</v>
      </c>
      <c r="F236" s="77" t="n">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46502</v>
      </c>
      <c r="G236" s="77" t="n">
        <f aca="false">IF($F236="","",IF(Recurring!$G$19="Move Before",IF(WEEKDAY($F236,2)=6,$F236-1,IF(WEEKDAY($F236,2)=7,$F236-2,$F236)),IF(Recurring!$G$19="Move After",IF(WEEKDAY($F236,2)=6,$F236+2,IF(WEEKDAY($F236,2)=7,$F236+1,$F236)),$F236)))</f>
        <v>46502</v>
      </c>
      <c r="H236" s="78" t="n">
        <f aca="false">IF($G236="",0,IF(AND($G236&gt;='Cash Flow'!$E$6,$G236&lt;'Cash Flow'!$E$6+91),1,0))</f>
        <v>0</v>
      </c>
      <c r="I236" s="78" t="str">
        <f aca="false">IF($H236=1,MAX(1,INT(($G236-'Cash Flow'!$E$6)/7)+1),"")</f>
        <v/>
      </c>
      <c r="J236" s="38" t="str">
        <f aca="false">IF($H236=1,$G236*10000+ROW(),"")</f>
        <v/>
      </c>
      <c r="K236" s="38" t="str">
        <f aca="false">IF($H236=1,$I236*1000+COUNTIFS($I$4:$I$483,$I236,$J$4:$J$483,"&lt;"&amp;$J236)+1,"")</f>
        <v/>
      </c>
    </row>
    <row r="237" customFormat="false" ht="15" hidden="false" customHeight="false" outlineLevel="0" collapsed="false">
      <c r="A237" s="46" t="n">
        <v>15</v>
      </c>
      <c r="B237" s="46" t="n">
        <v>10</v>
      </c>
      <c r="C237" s="38" t="str">
        <f aca="false">IF(OR(Recurring!$B$19="",Recurring!$H$19&lt;&gt;"Yes",Recurring!$D$19=""),"",Recurring!$B$19)</f>
        <v>Central Maine Power: Payment Plan</v>
      </c>
      <c r="D237" s="38" t="str">
        <f aca="false">IF($C237="","",Recurring!$C$19)</f>
        <v>Expense</v>
      </c>
      <c r="E237" s="76" t="n">
        <f aca="false">IF($C237="","",Recurring!$D$19)</f>
        <v>43.87</v>
      </c>
      <c r="F237" s="77" t="n">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46532</v>
      </c>
      <c r="G237" s="77" t="n">
        <f aca="false">IF($F237="","",IF(Recurring!$G$19="Move Before",IF(WEEKDAY($F237,2)=6,$F237-1,IF(WEEKDAY($F237,2)=7,$F237-2,$F237)),IF(Recurring!$G$19="Move After",IF(WEEKDAY($F237,2)=6,$F237+2,IF(WEEKDAY($F237,2)=7,$F237+1,$F237)),$F237)))</f>
        <v>46532</v>
      </c>
      <c r="H237" s="78" t="n">
        <f aca="false">IF($G237="",0,IF(AND($G237&gt;='Cash Flow'!$E$6,$G237&lt;'Cash Flow'!$E$6+91),1,0))</f>
        <v>0</v>
      </c>
      <c r="I237" s="78" t="str">
        <f aca="false">IF($H237=1,MAX(1,INT(($G237-'Cash Flow'!$E$6)/7)+1),"")</f>
        <v/>
      </c>
      <c r="J237" s="38" t="str">
        <f aca="false">IF($H237=1,$G237*10000+ROW(),"")</f>
        <v/>
      </c>
      <c r="K237" s="38" t="str">
        <f aca="false">IF($H237=1,$I237*1000+COUNTIFS($I$4:$I$483,$I237,$J$4:$J$483,"&lt;"&amp;$J237)+1,"")</f>
        <v/>
      </c>
    </row>
    <row r="238" customFormat="false" ht="15" hidden="false" customHeight="false" outlineLevel="0" collapsed="false">
      <c r="A238" s="46" t="n">
        <v>15</v>
      </c>
      <c r="B238" s="46" t="n">
        <v>11</v>
      </c>
      <c r="C238" s="38" t="str">
        <f aca="false">IF(OR(Recurring!$B$19="",Recurring!$H$19&lt;&gt;"Yes",Recurring!$D$19=""),"",Recurring!$B$19)</f>
        <v>Central Maine Power: Payment Plan</v>
      </c>
      <c r="D238" s="38" t="str">
        <f aca="false">IF($C238="","",Recurring!$C$19)</f>
        <v>Expense</v>
      </c>
      <c r="E238" s="76" t="n">
        <f aca="false">IF($C238="","",Recurring!$D$19)</f>
        <v>43.87</v>
      </c>
      <c r="F238" s="77" t="n">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46563</v>
      </c>
      <c r="G238" s="77" t="n">
        <f aca="false">IF($F238="","",IF(Recurring!$G$19="Move Before",IF(WEEKDAY($F238,2)=6,$F238-1,IF(WEEKDAY($F238,2)=7,$F238-2,$F238)),IF(Recurring!$G$19="Move After",IF(WEEKDAY($F238,2)=6,$F238+2,IF(WEEKDAY($F238,2)=7,$F238+1,$F238)),$F238)))</f>
        <v>46563</v>
      </c>
      <c r="H238" s="78" t="n">
        <f aca="false">IF($G238="",0,IF(AND($G238&gt;='Cash Flow'!$E$6,$G238&lt;'Cash Flow'!$E$6+91),1,0))</f>
        <v>0</v>
      </c>
      <c r="I238" s="78" t="str">
        <f aca="false">IF($H238=1,MAX(1,INT(($G238-'Cash Flow'!$E$6)/7)+1),"")</f>
        <v/>
      </c>
      <c r="J238" s="38" t="str">
        <f aca="false">IF($H238=1,$G238*10000+ROW(),"")</f>
        <v/>
      </c>
      <c r="K238" s="38" t="str">
        <f aca="false">IF($H238=1,$I238*1000+COUNTIFS($I$4:$I$483,$I238,$J$4:$J$483,"&lt;"&amp;$J238)+1,"")</f>
        <v/>
      </c>
    </row>
    <row r="239" customFormat="false" ht="15" hidden="false" customHeight="false" outlineLevel="0" collapsed="false">
      <c r="A239" s="46" t="n">
        <v>15</v>
      </c>
      <c r="B239" s="46" t="n">
        <v>12</v>
      </c>
      <c r="C239" s="38" t="str">
        <f aca="false">IF(OR(Recurring!$B$19="",Recurring!$H$19&lt;&gt;"Yes",Recurring!$D$19=""),"",Recurring!$B$19)</f>
        <v>Central Maine Power: Payment Plan</v>
      </c>
      <c r="D239" s="38" t="str">
        <f aca="false">IF($C239="","",Recurring!$C$19)</f>
        <v>Expense</v>
      </c>
      <c r="E239" s="76" t="n">
        <f aca="false">IF($C239="","",Recurring!$D$19)</f>
        <v>43.87</v>
      </c>
      <c r="F239" s="77" t="n">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46593</v>
      </c>
      <c r="G239" s="77" t="n">
        <f aca="false">IF($F239="","",IF(Recurring!$G$19="Move Before",IF(WEEKDAY($F239,2)=6,$F239-1,IF(WEEKDAY($F239,2)=7,$F239-2,$F239)),IF(Recurring!$G$19="Move After",IF(WEEKDAY($F239,2)=6,$F239+2,IF(WEEKDAY($F239,2)=7,$F239+1,$F239)),$F239)))</f>
        <v>46593</v>
      </c>
      <c r="H239" s="78" t="n">
        <f aca="false">IF($G239="",0,IF(AND($G239&gt;='Cash Flow'!$E$6,$G239&lt;'Cash Flow'!$E$6+91),1,0))</f>
        <v>0</v>
      </c>
      <c r="I239" s="78" t="str">
        <f aca="false">IF($H239=1,MAX(1,INT(($G239-'Cash Flow'!$E$6)/7)+1),"")</f>
        <v/>
      </c>
      <c r="J239" s="38" t="str">
        <f aca="false">IF($H239=1,$G239*10000+ROW(),"")</f>
        <v/>
      </c>
      <c r="K239" s="38" t="str">
        <f aca="false">IF($H239=1,$I239*1000+COUNTIFS($I$4:$I$483,$I239,$J$4:$J$483,"&lt;"&amp;$J239)+1,"")</f>
        <v/>
      </c>
    </row>
    <row r="240" customFormat="false" ht="15" hidden="false" customHeight="false" outlineLevel="0" collapsed="false">
      <c r="A240" s="46" t="n">
        <v>15</v>
      </c>
      <c r="B240" s="46" t="n">
        <v>13</v>
      </c>
      <c r="C240" s="38" t="str">
        <f aca="false">IF(OR(Recurring!$B$19="",Recurring!$H$19&lt;&gt;"Yes",Recurring!$D$19=""),"",Recurring!$B$19)</f>
        <v>Central Maine Power: Payment Plan</v>
      </c>
      <c r="D240" s="38" t="str">
        <f aca="false">IF($C240="","",Recurring!$C$19)</f>
        <v>Expense</v>
      </c>
      <c r="E240" s="76" t="n">
        <f aca="false">IF($C240="","",Recurring!$D$19)</f>
        <v>43.87</v>
      </c>
      <c r="F240" s="77" t="n">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46624</v>
      </c>
      <c r="G240" s="77" t="n">
        <f aca="false">IF($F240="","",IF(Recurring!$G$19="Move Before",IF(WEEKDAY($F240,2)=6,$F240-1,IF(WEEKDAY($F240,2)=7,$F240-2,$F240)),IF(Recurring!$G$19="Move After",IF(WEEKDAY($F240,2)=6,$F240+2,IF(WEEKDAY($F240,2)=7,$F240+1,$F240)),$F240)))</f>
        <v>46624</v>
      </c>
      <c r="H240" s="78" t="n">
        <f aca="false">IF($G240="",0,IF(AND($G240&gt;='Cash Flow'!$E$6,$G240&lt;'Cash Flow'!$E$6+91),1,0))</f>
        <v>0</v>
      </c>
      <c r="I240" s="78" t="str">
        <f aca="false">IF($H240=1,MAX(1,INT(($G240-'Cash Flow'!$E$6)/7)+1),"")</f>
        <v/>
      </c>
      <c r="J240" s="38" t="str">
        <f aca="false">IF($H240=1,$G240*10000+ROW(),"")</f>
        <v/>
      </c>
      <c r="K240" s="38" t="str">
        <f aca="false">IF($H240=1,$I240*1000+COUNTIFS($I$4:$I$483,$I240,$J$4:$J$483,"&lt;"&amp;$J240)+1,"")</f>
        <v/>
      </c>
    </row>
    <row r="241" customFormat="false" ht="15" hidden="false" customHeight="false" outlineLevel="0" collapsed="false">
      <c r="A241" s="46" t="n">
        <v>15</v>
      </c>
      <c r="B241" s="46" t="n">
        <v>14</v>
      </c>
      <c r="C241" s="38" t="str">
        <f aca="false">IF(OR(Recurring!$B$19="",Recurring!$H$19&lt;&gt;"Yes",Recurring!$D$19=""),"",Recurring!$B$19)</f>
        <v>Central Maine Power: Payment Plan</v>
      </c>
      <c r="D241" s="38" t="str">
        <f aca="false">IF($C241="","",Recurring!$C$19)</f>
        <v>Expense</v>
      </c>
      <c r="E241" s="76" t="n">
        <f aca="false">IF($C241="","",Recurring!$D$19)</f>
        <v>43.87</v>
      </c>
      <c r="F241" s="77" t="n">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46655</v>
      </c>
      <c r="G241" s="77" t="n">
        <f aca="false">IF($F241="","",IF(Recurring!$G$19="Move Before",IF(WEEKDAY($F241,2)=6,$F241-1,IF(WEEKDAY($F241,2)=7,$F241-2,$F241)),IF(Recurring!$G$19="Move After",IF(WEEKDAY($F241,2)=6,$F241+2,IF(WEEKDAY($F241,2)=7,$F241+1,$F241)),$F241)))</f>
        <v>46655</v>
      </c>
      <c r="H241" s="78" t="n">
        <f aca="false">IF($G241="",0,IF(AND($G241&gt;='Cash Flow'!$E$6,$G241&lt;'Cash Flow'!$E$6+91),1,0))</f>
        <v>0</v>
      </c>
      <c r="I241" s="78" t="str">
        <f aca="false">IF($H241=1,MAX(1,INT(($G241-'Cash Flow'!$E$6)/7)+1),"")</f>
        <v/>
      </c>
      <c r="J241" s="38" t="str">
        <f aca="false">IF($H241=1,$G241*10000+ROW(),"")</f>
        <v/>
      </c>
      <c r="K241" s="38" t="str">
        <f aca="false">IF($H241=1,$I241*1000+COUNTIFS($I$4:$I$483,$I241,$J$4:$J$483,"&lt;"&amp;$J241)+1,"")</f>
        <v/>
      </c>
    </row>
    <row r="242" customFormat="false" ht="15" hidden="false" customHeight="false" outlineLevel="0" collapsed="false">
      <c r="A242" s="46" t="n">
        <v>15</v>
      </c>
      <c r="B242" s="46" t="n">
        <v>15</v>
      </c>
      <c r="C242" s="38" t="str">
        <f aca="false">IF(OR(Recurring!$B$19="",Recurring!$H$19&lt;&gt;"Yes",Recurring!$D$19=""),"",Recurring!$B$19)</f>
        <v>Central Maine Power: Payment Plan</v>
      </c>
      <c r="D242" s="38" t="str">
        <f aca="false">IF($C242="","",Recurring!$C$19)</f>
        <v>Expense</v>
      </c>
      <c r="E242" s="76" t="n">
        <f aca="false">IF($C242="","",Recurring!$D$19)</f>
        <v>43.87</v>
      </c>
      <c r="F242" s="77" t="n">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46685</v>
      </c>
      <c r="G242" s="77" t="n">
        <f aca="false">IF($F242="","",IF(Recurring!$G$19="Move Before",IF(WEEKDAY($F242,2)=6,$F242-1,IF(WEEKDAY($F242,2)=7,$F242-2,$F242)),IF(Recurring!$G$19="Move After",IF(WEEKDAY($F242,2)=6,$F242+2,IF(WEEKDAY($F242,2)=7,$F242+1,$F242)),$F242)))</f>
        <v>46685</v>
      </c>
      <c r="H242" s="78" t="n">
        <f aca="false">IF($G242="",0,IF(AND($G242&gt;='Cash Flow'!$E$6,$G242&lt;'Cash Flow'!$E$6+91),1,0))</f>
        <v>0</v>
      </c>
      <c r="I242" s="78" t="str">
        <f aca="false">IF($H242=1,MAX(1,INT(($G242-'Cash Flow'!$E$6)/7)+1),"")</f>
        <v/>
      </c>
      <c r="J242" s="38" t="str">
        <f aca="false">IF($H242=1,$G242*10000+ROW(),"")</f>
        <v/>
      </c>
      <c r="K242" s="38" t="str">
        <f aca="false">IF($H242=1,$I242*1000+COUNTIFS($I$4:$I$483,$I242,$J$4:$J$483,"&lt;"&amp;$J242)+1,"")</f>
        <v/>
      </c>
    </row>
    <row r="243" customFormat="false" ht="15" hidden="false" customHeight="false" outlineLevel="0" collapsed="false">
      <c r="A243" s="46" t="n">
        <v>15</v>
      </c>
      <c r="B243" s="46" t="n">
        <v>16</v>
      </c>
      <c r="C243" s="38" t="str">
        <f aca="false">IF(OR(Recurring!$B$19="",Recurring!$H$19&lt;&gt;"Yes",Recurring!$D$19=""),"",Recurring!$B$19)</f>
        <v>Central Maine Power: Payment Plan</v>
      </c>
      <c r="D243" s="38" t="str">
        <f aca="false">IF($C243="","",Recurring!$C$19)</f>
        <v>Expense</v>
      </c>
      <c r="E243" s="76" t="n">
        <f aca="false">IF($C243="","",Recurring!$D$19)</f>
        <v>43.87</v>
      </c>
      <c r="F243" s="77" t="n">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46716</v>
      </c>
      <c r="G243" s="77" t="n">
        <f aca="false">IF($F243="","",IF(Recurring!$G$19="Move Before",IF(WEEKDAY($F243,2)=6,$F243-1,IF(WEEKDAY($F243,2)=7,$F243-2,$F243)),IF(Recurring!$G$19="Move After",IF(WEEKDAY($F243,2)=6,$F243+2,IF(WEEKDAY($F243,2)=7,$F243+1,$F243)),$F243)))</f>
        <v>46716</v>
      </c>
      <c r="H243" s="78" t="n">
        <f aca="false">IF($G243="",0,IF(AND($G243&gt;='Cash Flow'!$E$6,$G243&lt;'Cash Flow'!$E$6+91),1,0))</f>
        <v>0</v>
      </c>
      <c r="I243" s="78" t="str">
        <f aca="false">IF($H243=1,MAX(1,INT(($G243-'Cash Flow'!$E$6)/7)+1),"")</f>
        <v/>
      </c>
      <c r="J243" s="38" t="str">
        <f aca="false">IF($H243=1,$G243*10000+ROW(),"")</f>
        <v/>
      </c>
      <c r="K243" s="38" t="str">
        <f aca="false">IF($H243=1,$I243*1000+COUNTIFS($I$4:$I$483,$I243,$J$4:$J$483,"&lt;"&amp;$J243)+1,"")</f>
        <v/>
      </c>
    </row>
    <row r="244" customFormat="false" ht="15" hidden="false" customHeight="false" outlineLevel="0" collapsed="false">
      <c r="A244" s="46" t="n">
        <v>16</v>
      </c>
      <c r="B244" s="46" t="n">
        <v>1</v>
      </c>
      <c r="C244" s="38" t="str">
        <f aca="false">IF(OR(Recurring!$B$20="",Recurring!$H$20&lt;&gt;"Yes",Recurring!$D$20=""),"",Recurring!$B$20)</f>
        <v>Maine Revenue Services (2)</v>
      </c>
      <c r="D244" s="38" t="str">
        <f aca="false">IF($C244="","",Recurring!$C$20)</f>
        <v>Expense</v>
      </c>
      <c r="E244" s="76" t="n">
        <f aca="false">IF($C244="","",Recurring!$D$20)</f>
        <v>150</v>
      </c>
      <c r="F244" s="77"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77" t="n">
        <f aca="false">IF($F244="","",IF(Recurring!$G$20="Move Before",IF(WEEKDAY($F244,2)=6,$F244-1,IF(WEEKDAY($F244,2)=7,$F244-2,$F244)),IF(Recurring!$G$20="Move After",IF(WEEKDAY($F244,2)=6,$F244+2,IF(WEEKDAY($F244,2)=7,$F244+1,$F244)),$F244)))</f>
        <v>46264</v>
      </c>
      <c r="H244" s="78" t="n">
        <f aca="false">IF($G244="",0,IF(AND($G244&gt;='Cash Flow'!$E$6-90,$G244&lt;'Cash Flow'!$E$6+91),1,0))</f>
        <v>1</v>
      </c>
      <c r="I244" s="78" t="n">
        <f aca="false">IF($H244=1,MAX(1,INT(($G244-'Cash Flow'!$E$6)/7)+1),"")</f>
        <v>4</v>
      </c>
      <c r="J244" s="38" t="n">
        <f aca="false">IF($H244=1,$G244*10000+ROW(),"")</f>
        <v>462640244</v>
      </c>
      <c r="K244" s="38" t="n">
        <f aca="false">IF($H244=1,$I244*1000+COUNTIFS($I$4:$I$483,$I244,$J$4:$J$483,"&lt;"&amp;$J244)+1,"")</f>
        <v>4002</v>
      </c>
    </row>
    <row r="245" customFormat="false" ht="15" hidden="false" customHeight="false" outlineLevel="0" collapsed="false">
      <c r="A245" s="46" t="n">
        <v>16</v>
      </c>
      <c r="B245" s="46" t="n">
        <v>2</v>
      </c>
      <c r="C245" s="38" t="str">
        <f aca="false">IF(OR(Recurring!$B$20="",Recurring!$H$20&lt;&gt;"Yes",Recurring!$D$20=""),"",Recurring!$B$20)</f>
        <v>Maine Revenue Services (2)</v>
      </c>
      <c r="D245" s="38" t="str">
        <f aca="false">IF($C245="","",Recurring!$C$20)</f>
        <v>Expense</v>
      </c>
      <c r="E245" s="76" t="n">
        <f aca="false">IF($C245="","",Recurring!$D$20)</f>
        <v>150</v>
      </c>
      <c r="F245" s="77"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77" t="n">
        <f aca="false">IF($F245="","",IF(Recurring!$G$20="Move Before",IF(WEEKDAY($F245,2)=6,$F245-1,IF(WEEKDAY($F245,2)=7,$F245-2,$F245)),IF(Recurring!$G$20="Move After",IF(WEEKDAY($F245,2)=6,$F245+2,IF(WEEKDAY($F245,2)=7,$F245+1,$F245)),$F245)))</f>
        <v>46295</v>
      </c>
      <c r="H245" s="78" t="n">
        <f aca="false">IF($G245="",0,IF(AND($G245&gt;='Cash Flow'!$E$6,$G245&lt;'Cash Flow'!$E$6+91),1,0))</f>
        <v>1</v>
      </c>
      <c r="I245" s="78" t="n">
        <f aca="false">IF($H245=1,MAX(1,INT(($G245-'Cash Flow'!$E$6)/7)+1),"")</f>
        <v>8</v>
      </c>
      <c r="J245" s="38" t="n">
        <f aca="false">IF($H245=1,$G245*10000+ROW(),"")</f>
        <v>462950245</v>
      </c>
      <c r="K245" s="38" t="n">
        <f aca="false">IF($H245=1,$I245*1000+COUNTIFS($I$4:$I$483,$I245,$J$4:$J$483,"&lt;"&amp;$J245)+1,"")</f>
        <v>8006</v>
      </c>
    </row>
    <row r="246" customFormat="false" ht="15" hidden="false" customHeight="false" outlineLevel="0" collapsed="false">
      <c r="A246" s="46" t="n">
        <v>16</v>
      </c>
      <c r="B246" s="46" t="n">
        <v>3</v>
      </c>
      <c r="C246" s="38" t="str">
        <f aca="false">IF(OR(Recurring!$B$20="",Recurring!$H$20&lt;&gt;"Yes",Recurring!$D$20=""),"",Recurring!$B$20)</f>
        <v>Maine Revenue Services (2)</v>
      </c>
      <c r="D246" s="38" t="str">
        <f aca="false">IF($C246="","",Recurring!$C$20)</f>
        <v>Expense</v>
      </c>
      <c r="E246" s="76" t="n">
        <f aca="false">IF($C246="","",Recurring!$D$20)</f>
        <v>150</v>
      </c>
      <c r="F246" s="77"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77" t="n">
        <f aca="false">IF($F246="","",IF(Recurring!$G$20="Move Before",IF(WEEKDAY($F246,2)=6,$F246-1,IF(WEEKDAY($F246,2)=7,$F246-2,$F246)),IF(Recurring!$G$20="Move After",IF(WEEKDAY($F246,2)=6,$F246+2,IF(WEEKDAY($F246,2)=7,$F246+1,$F246)),$F246)))</f>
        <v>46325</v>
      </c>
      <c r="H246" s="78" t="n">
        <f aca="false">IF($G246="",0,IF(AND($G246&gt;='Cash Flow'!$E$6,$G246&lt;'Cash Flow'!$E$6+91),1,0))</f>
        <v>1</v>
      </c>
      <c r="I246" s="78" t="n">
        <f aca="false">IF($H246=1,MAX(1,INT(($G246-'Cash Flow'!$E$6)/7)+1),"")</f>
        <v>13</v>
      </c>
      <c r="J246" s="38" t="n">
        <f aca="false">IF($H246=1,$G246*10000+ROW(),"")</f>
        <v>463250246</v>
      </c>
      <c r="K246" s="38" t="n">
        <f aca="false">IF($H246=1,$I246*1000+COUNTIFS($I$4:$I$483,$I246,$J$4:$J$483,"&lt;"&amp;$J246)+1,"")</f>
        <v>13003</v>
      </c>
    </row>
    <row r="247" customFormat="false" ht="15" hidden="false" customHeight="false" outlineLevel="0" collapsed="false">
      <c r="A247" s="46" t="n">
        <v>16</v>
      </c>
      <c r="B247" s="46" t="n">
        <v>4</v>
      </c>
      <c r="C247" s="38" t="str">
        <f aca="false">IF(OR(Recurring!$B$20="",Recurring!$H$20&lt;&gt;"Yes",Recurring!$D$20=""),"",Recurring!$B$20)</f>
        <v>Maine Revenue Services (2)</v>
      </c>
      <c r="D247" s="38" t="str">
        <f aca="false">IF($C247="","",Recurring!$C$20)</f>
        <v>Expense</v>
      </c>
      <c r="E247" s="76" t="n">
        <f aca="false">IF($C247="","",Recurring!$D$20)</f>
        <v>150</v>
      </c>
      <c r="F247" s="77"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77" t="n">
        <f aca="false">IF($F247="","",IF(Recurring!$G$20="Move Before",IF(WEEKDAY($F247,2)=6,$F247-1,IF(WEEKDAY($F247,2)=7,$F247-2,$F247)),IF(Recurring!$G$20="Move After",IF(WEEKDAY($F247,2)=6,$F247+2,IF(WEEKDAY($F247,2)=7,$F247+1,$F247)),$F247)))</f>
        <v>46356</v>
      </c>
      <c r="H247" s="78" t="n">
        <f aca="false">IF($G247="",0,IF(AND($G247&gt;='Cash Flow'!$E$6,$G247&lt;'Cash Flow'!$E$6+91),1,0))</f>
        <v>0</v>
      </c>
      <c r="I247" s="78" t="str">
        <f aca="false">IF($H247=1,MAX(1,INT(($G247-'Cash Flow'!$E$6)/7)+1),"")</f>
        <v/>
      </c>
      <c r="J247" s="38" t="str">
        <f aca="false">IF($H247=1,$G247*10000+ROW(),"")</f>
        <v/>
      </c>
      <c r="K247" s="38" t="str">
        <f aca="false">IF($H247=1,$I247*1000+COUNTIFS($I$4:$I$483,$I247,$J$4:$J$483,"&lt;"&amp;$J247)+1,"")</f>
        <v/>
      </c>
    </row>
    <row r="248" customFormat="false" ht="15" hidden="false" customHeight="false" outlineLevel="0" collapsed="false">
      <c r="A248" s="46" t="n">
        <v>16</v>
      </c>
      <c r="B248" s="46" t="n">
        <v>5</v>
      </c>
      <c r="C248" s="38" t="str">
        <f aca="false">IF(OR(Recurring!$B$20="",Recurring!$H$20&lt;&gt;"Yes",Recurring!$D$20=""),"",Recurring!$B$20)</f>
        <v>Maine Revenue Services (2)</v>
      </c>
      <c r="D248" s="38" t="str">
        <f aca="false">IF($C248="","",Recurring!$C$20)</f>
        <v>Expense</v>
      </c>
      <c r="E248" s="76" t="n">
        <f aca="false">IF($C248="","",Recurring!$D$20)</f>
        <v>150</v>
      </c>
      <c r="F248" s="77"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77" t="n">
        <f aca="false">IF($F248="","",IF(Recurring!$G$20="Move Before",IF(WEEKDAY($F248,2)=6,$F248-1,IF(WEEKDAY($F248,2)=7,$F248-2,$F248)),IF(Recurring!$G$20="Move After",IF(WEEKDAY($F248,2)=6,$F248+2,IF(WEEKDAY($F248,2)=7,$F248+1,$F248)),$F248)))</f>
        <v>46386</v>
      </c>
      <c r="H248" s="78" t="n">
        <f aca="false">IF($G248="",0,IF(AND($G248&gt;='Cash Flow'!$E$6,$G248&lt;'Cash Flow'!$E$6+91),1,0))</f>
        <v>0</v>
      </c>
      <c r="I248" s="78" t="str">
        <f aca="false">IF($H248=1,MAX(1,INT(($G248-'Cash Flow'!$E$6)/7)+1),"")</f>
        <v/>
      </c>
      <c r="J248" s="38" t="str">
        <f aca="false">IF($H248=1,$G248*10000+ROW(),"")</f>
        <v/>
      </c>
      <c r="K248" s="38" t="str">
        <f aca="false">IF($H248=1,$I248*1000+COUNTIFS($I$4:$I$483,$I248,$J$4:$J$483,"&lt;"&amp;$J248)+1,"")</f>
        <v/>
      </c>
    </row>
    <row r="249" customFormat="false" ht="15" hidden="false" customHeight="false" outlineLevel="0" collapsed="false">
      <c r="A249" s="46" t="n">
        <v>16</v>
      </c>
      <c r="B249" s="46" t="n">
        <v>6</v>
      </c>
      <c r="C249" s="38" t="str">
        <f aca="false">IF(OR(Recurring!$B$20="",Recurring!$H$20&lt;&gt;"Yes",Recurring!$D$20=""),"",Recurring!$B$20)</f>
        <v>Maine Revenue Services (2)</v>
      </c>
      <c r="D249" s="38" t="str">
        <f aca="false">IF($C249="","",Recurring!$C$20)</f>
        <v>Expense</v>
      </c>
      <c r="E249" s="76" t="n">
        <f aca="false">IF($C249="","",Recurring!$D$20)</f>
        <v>150</v>
      </c>
      <c r="F249" s="77"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77" t="n">
        <f aca="false">IF($F249="","",IF(Recurring!$G$20="Move Before",IF(WEEKDAY($F249,2)=6,$F249-1,IF(WEEKDAY($F249,2)=7,$F249-2,$F249)),IF(Recurring!$G$20="Move After",IF(WEEKDAY($F249,2)=6,$F249+2,IF(WEEKDAY($F249,2)=7,$F249+1,$F249)),$F249)))</f>
        <v>46417</v>
      </c>
      <c r="H249" s="78" t="n">
        <f aca="false">IF($G249="",0,IF(AND($G249&gt;='Cash Flow'!$E$6,$G249&lt;'Cash Flow'!$E$6+91),1,0))</f>
        <v>0</v>
      </c>
      <c r="I249" s="78" t="str">
        <f aca="false">IF($H249=1,MAX(1,INT(($G249-'Cash Flow'!$E$6)/7)+1),"")</f>
        <v/>
      </c>
      <c r="J249" s="38" t="str">
        <f aca="false">IF($H249=1,$G249*10000+ROW(),"")</f>
        <v/>
      </c>
      <c r="K249" s="38" t="str">
        <f aca="false">IF($H249=1,$I249*1000+COUNTIFS($I$4:$I$483,$I249,$J$4:$J$483,"&lt;"&amp;$J249)+1,"")</f>
        <v/>
      </c>
    </row>
    <row r="250" customFormat="false" ht="15" hidden="false" customHeight="false" outlineLevel="0" collapsed="false">
      <c r="A250" s="46" t="n">
        <v>16</v>
      </c>
      <c r="B250" s="46" t="n">
        <v>7</v>
      </c>
      <c r="C250" s="38" t="str">
        <f aca="false">IF(OR(Recurring!$B$20="",Recurring!$H$20&lt;&gt;"Yes",Recurring!$D$20=""),"",Recurring!$B$20)</f>
        <v>Maine Revenue Services (2)</v>
      </c>
      <c r="D250" s="38" t="str">
        <f aca="false">IF($C250="","",Recurring!$C$20)</f>
        <v>Expense</v>
      </c>
      <c r="E250" s="76" t="n">
        <f aca="false">IF($C250="","",Recurring!$D$20)</f>
        <v>150</v>
      </c>
      <c r="F250" s="77"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77" t="n">
        <f aca="false">IF($F250="","",IF(Recurring!$G$20="Move Before",IF(WEEKDAY($F250,2)=6,$F250-1,IF(WEEKDAY($F250,2)=7,$F250-2,$F250)),IF(Recurring!$G$20="Move After",IF(WEEKDAY($F250,2)=6,$F250+2,IF(WEEKDAY($F250,2)=7,$F250+1,$F250)),$F250)))</f>
        <v>46446</v>
      </c>
      <c r="H250" s="78" t="n">
        <f aca="false">IF($G250="",0,IF(AND($G250&gt;='Cash Flow'!$E$6,$G250&lt;'Cash Flow'!$E$6+91),1,0))</f>
        <v>0</v>
      </c>
      <c r="I250" s="78" t="str">
        <f aca="false">IF($H250=1,MAX(1,INT(($G250-'Cash Flow'!$E$6)/7)+1),"")</f>
        <v/>
      </c>
      <c r="J250" s="38" t="str">
        <f aca="false">IF($H250=1,$G250*10000+ROW(),"")</f>
        <v/>
      </c>
      <c r="K250" s="38" t="str">
        <f aca="false">IF($H250=1,$I250*1000+COUNTIFS($I$4:$I$483,$I250,$J$4:$J$483,"&lt;"&amp;$J250)+1,"")</f>
        <v/>
      </c>
    </row>
    <row r="251" customFormat="false" ht="15" hidden="false" customHeight="false" outlineLevel="0" collapsed="false">
      <c r="A251" s="46" t="n">
        <v>16</v>
      </c>
      <c r="B251" s="46" t="n">
        <v>8</v>
      </c>
      <c r="C251" s="38" t="str">
        <f aca="false">IF(OR(Recurring!$B$20="",Recurring!$H$20&lt;&gt;"Yes",Recurring!$D$20=""),"",Recurring!$B$20)</f>
        <v>Maine Revenue Services (2)</v>
      </c>
      <c r="D251" s="38" t="str">
        <f aca="false">IF($C251="","",Recurring!$C$20)</f>
        <v>Expense</v>
      </c>
      <c r="E251" s="76" t="n">
        <f aca="false">IF($C251="","",Recurring!$D$20)</f>
        <v>150</v>
      </c>
      <c r="F251" s="77"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77" t="n">
        <f aca="false">IF($F251="","",IF(Recurring!$G$20="Move Before",IF(WEEKDAY($F251,2)=6,$F251-1,IF(WEEKDAY($F251,2)=7,$F251-2,$F251)),IF(Recurring!$G$20="Move After",IF(WEEKDAY($F251,2)=6,$F251+2,IF(WEEKDAY($F251,2)=7,$F251+1,$F251)),$F251)))</f>
        <v>46476</v>
      </c>
      <c r="H251" s="78" t="n">
        <f aca="false">IF($G251="",0,IF(AND($G251&gt;='Cash Flow'!$E$6,$G251&lt;'Cash Flow'!$E$6+91),1,0))</f>
        <v>0</v>
      </c>
      <c r="I251" s="78" t="str">
        <f aca="false">IF($H251=1,MAX(1,INT(($G251-'Cash Flow'!$E$6)/7)+1),"")</f>
        <v/>
      </c>
      <c r="J251" s="38" t="str">
        <f aca="false">IF($H251=1,$G251*10000+ROW(),"")</f>
        <v/>
      </c>
      <c r="K251" s="38" t="str">
        <f aca="false">IF($H251=1,$I251*1000+COUNTIFS($I$4:$I$483,$I251,$J$4:$J$483,"&lt;"&amp;$J251)+1,"")</f>
        <v/>
      </c>
    </row>
    <row r="252" customFormat="false" ht="15" hidden="false" customHeight="false" outlineLevel="0" collapsed="false">
      <c r="A252" s="46" t="n">
        <v>16</v>
      </c>
      <c r="B252" s="46" t="n">
        <v>9</v>
      </c>
      <c r="C252" s="38" t="str">
        <f aca="false">IF(OR(Recurring!$B$20="",Recurring!$H$20&lt;&gt;"Yes",Recurring!$D$20=""),"",Recurring!$B$20)</f>
        <v>Maine Revenue Services (2)</v>
      </c>
      <c r="D252" s="38" t="str">
        <f aca="false">IF($C252="","",Recurring!$C$20)</f>
        <v>Expense</v>
      </c>
      <c r="E252" s="76" t="n">
        <f aca="false">IF($C252="","",Recurring!$D$20)</f>
        <v>150</v>
      </c>
      <c r="F252" s="77"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77" t="n">
        <f aca="false">IF($F252="","",IF(Recurring!$G$20="Move Before",IF(WEEKDAY($F252,2)=6,$F252-1,IF(WEEKDAY($F252,2)=7,$F252-2,$F252)),IF(Recurring!$G$20="Move After",IF(WEEKDAY($F252,2)=6,$F252+2,IF(WEEKDAY($F252,2)=7,$F252+1,$F252)),$F252)))</f>
        <v>46507</v>
      </c>
      <c r="H252" s="78" t="n">
        <f aca="false">IF($G252="",0,IF(AND($G252&gt;='Cash Flow'!$E$6,$G252&lt;'Cash Flow'!$E$6+91),1,0))</f>
        <v>0</v>
      </c>
      <c r="I252" s="78" t="str">
        <f aca="false">IF($H252=1,MAX(1,INT(($G252-'Cash Flow'!$E$6)/7)+1),"")</f>
        <v/>
      </c>
      <c r="J252" s="38" t="str">
        <f aca="false">IF($H252=1,$G252*10000+ROW(),"")</f>
        <v/>
      </c>
      <c r="K252" s="38" t="str">
        <f aca="false">IF($H252=1,$I252*1000+COUNTIFS($I$4:$I$483,$I252,$J$4:$J$483,"&lt;"&amp;$J252)+1,"")</f>
        <v/>
      </c>
    </row>
    <row r="253" customFormat="false" ht="15" hidden="false" customHeight="false" outlineLevel="0" collapsed="false">
      <c r="A253" s="46" t="n">
        <v>16</v>
      </c>
      <c r="B253" s="46" t="n">
        <v>10</v>
      </c>
      <c r="C253" s="38" t="str">
        <f aca="false">IF(OR(Recurring!$B$20="",Recurring!$H$20&lt;&gt;"Yes",Recurring!$D$20=""),"",Recurring!$B$20)</f>
        <v>Maine Revenue Services (2)</v>
      </c>
      <c r="D253" s="38" t="str">
        <f aca="false">IF($C253="","",Recurring!$C$20)</f>
        <v>Expense</v>
      </c>
      <c r="E253" s="76" t="n">
        <f aca="false">IF($C253="","",Recurring!$D$20)</f>
        <v>150</v>
      </c>
      <c r="F253" s="77"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77" t="n">
        <f aca="false">IF($F253="","",IF(Recurring!$G$20="Move Before",IF(WEEKDAY($F253,2)=6,$F253-1,IF(WEEKDAY($F253,2)=7,$F253-2,$F253)),IF(Recurring!$G$20="Move After",IF(WEEKDAY($F253,2)=6,$F253+2,IF(WEEKDAY($F253,2)=7,$F253+1,$F253)),$F253)))</f>
        <v>46537</v>
      </c>
      <c r="H253" s="78" t="n">
        <f aca="false">IF($G253="",0,IF(AND($G253&gt;='Cash Flow'!$E$6,$G253&lt;'Cash Flow'!$E$6+91),1,0))</f>
        <v>0</v>
      </c>
      <c r="I253" s="78" t="str">
        <f aca="false">IF($H253=1,MAX(1,INT(($G253-'Cash Flow'!$E$6)/7)+1),"")</f>
        <v/>
      </c>
      <c r="J253" s="38" t="str">
        <f aca="false">IF($H253=1,$G253*10000+ROW(),"")</f>
        <v/>
      </c>
      <c r="K253" s="38" t="str">
        <f aca="false">IF($H253=1,$I253*1000+COUNTIFS($I$4:$I$483,$I253,$J$4:$J$483,"&lt;"&amp;$J253)+1,"")</f>
        <v/>
      </c>
    </row>
    <row r="254" customFormat="false" ht="15" hidden="false" customHeight="false" outlineLevel="0" collapsed="false">
      <c r="A254" s="46" t="n">
        <v>16</v>
      </c>
      <c r="B254" s="46" t="n">
        <v>11</v>
      </c>
      <c r="C254" s="38" t="str">
        <f aca="false">IF(OR(Recurring!$B$20="",Recurring!$H$20&lt;&gt;"Yes",Recurring!$D$20=""),"",Recurring!$B$20)</f>
        <v>Maine Revenue Services (2)</v>
      </c>
      <c r="D254" s="38" t="str">
        <f aca="false">IF($C254="","",Recurring!$C$20)</f>
        <v>Expense</v>
      </c>
      <c r="E254" s="76" t="n">
        <f aca="false">IF($C254="","",Recurring!$D$20)</f>
        <v>150</v>
      </c>
      <c r="F254" s="77"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77" t="n">
        <f aca="false">IF($F254="","",IF(Recurring!$G$20="Move Before",IF(WEEKDAY($F254,2)=6,$F254-1,IF(WEEKDAY($F254,2)=7,$F254-2,$F254)),IF(Recurring!$G$20="Move After",IF(WEEKDAY($F254,2)=6,$F254+2,IF(WEEKDAY($F254,2)=7,$F254+1,$F254)),$F254)))</f>
        <v>46568</v>
      </c>
      <c r="H254" s="78" t="n">
        <f aca="false">IF($G254="",0,IF(AND($G254&gt;='Cash Flow'!$E$6,$G254&lt;'Cash Flow'!$E$6+91),1,0))</f>
        <v>0</v>
      </c>
      <c r="I254" s="78" t="str">
        <f aca="false">IF($H254=1,MAX(1,INT(($G254-'Cash Flow'!$E$6)/7)+1),"")</f>
        <v/>
      </c>
      <c r="J254" s="38" t="str">
        <f aca="false">IF($H254=1,$G254*10000+ROW(),"")</f>
        <v/>
      </c>
      <c r="K254" s="38" t="str">
        <f aca="false">IF($H254=1,$I254*1000+COUNTIFS($I$4:$I$483,$I254,$J$4:$J$483,"&lt;"&amp;$J254)+1,"")</f>
        <v/>
      </c>
    </row>
    <row r="255" customFormat="false" ht="15" hidden="false" customHeight="false" outlineLevel="0" collapsed="false">
      <c r="A255" s="46" t="n">
        <v>16</v>
      </c>
      <c r="B255" s="46" t="n">
        <v>12</v>
      </c>
      <c r="C255" s="38" t="str">
        <f aca="false">IF(OR(Recurring!$B$20="",Recurring!$H$20&lt;&gt;"Yes",Recurring!$D$20=""),"",Recurring!$B$20)</f>
        <v>Maine Revenue Services (2)</v>
      </c>
      <c r="D255" s="38" t="str">
        <f aca="false">IF($C255="","",Recurring!$C$20)</f>
        <v>Expense</v>
      </c>
      <c r="E255" s="76" t="n">
        <f aca="false">IF($C255="","",Recurring!$D$20)</f>
        <v>150</v>
      </c>
      <c r="F255" s="77"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77" t="n">
        <f aca="false">IF($F255="","",IF(Recurring!$G$20="Move Before",IF(WEEKDAY($F255,2)=6,$F255-1,IF(WEEKDAY($F255,2)=7,$F255-2,$F255)),IF(Recurring!$G$20="Move After",IF(WEEKDAY($F255,2)=6,$F255+2,IF(WEEKDAY($F255,2)=7,$F255+1,$F255)),$F255)))</f>
        <v>46598</v>
      </c>
      <c r="H255" s="78" t="n">
        <f aca="false">IF($G255="",0,IF(AND($G255&gt;='Cash Flow'!$E$6,$G255&lt;'Cash Flow'!$E$6+91),1,0))</f>
        <v>0</v>
      </c>
      <c r="I255" s="78" t="str">
        <f aca="false">IF($H255=1,MAX(1,INT(($G255-'Cash Flow'!$E$6)/7)+1),"")</f>
        <v/>
      </c>
      <c r="J255" s="38" t="str">
        <f aca="false">IF($H255=1,$G255*10000+ROW(),"")</f>
        <v/>
      </c>
      <c r="K255" s="38" t="str">
        <f aca="false">IF($H255=1,$I255*1000+COUNTIFS($I$4:$I$483,$I255,$J$4:$J$483,"&lt;"&amp;$J255)+1,"")</f>
        <v/>
      </c>
    </row>
    <row r="256" customFormat="false" ht="15" hidden="false" customHeight="false" outlineLevel="0" collapsed="false">
      <c r="A256" s="46" t="n">
        <v>16</v>
      </c>
      <c r="B256" s="46" t="n">
        <v>13</v>
      </c>
      <c r="C256" s="38" t="str">
        <f aca="false">IF(OR(Recurring!$B$20="",Recurring!$H$20&lt;&gt;"Yes",Recurring!$D$20=""),"",Recurring!$B$20)</f>
        <v>Maine Revenue Services (2)</v>
      </c>
      <c r="D256" s="38" t="str">
        <f aca="false">IF($C256="","",Recurring!$C$20)</f>
        <v>Expense</v>
      </c>
      <c r="E256" s="76" t="n">
        <f aca="false">IF($C256="","",Recurring!$D$20)</f>
        <v>150</v>
      </c>
      <c r="F256" s="77"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77" t="n">
        <f aca="false">IF($F256="","",IF(Recurring!$G$20="Move Before",IF(WEEKDAY($F256,2)=6,$F256-1,IF(WEEKDAY($F256,2)=7,$F256-2,$F256)),IF(Recurring!$G$20="Move After",IF(WEEKDAY($F256,2)=6,$F256+2,IF(WEEKDAY($F256,2)=7,$F256+1,$F256)),$F256)))</f>
        <v>46629</v>
      </c>
      <c r="H256" s="78" t="n">
        <f aca="false">IF($G256="",0,IF(AND($G256&gt;='Cash Flow'!$E$6,$G256&lt;'Cash Flow'!$E$6+91),1,0))</f>
        <v>0</v>
      </c>
      <c r="I256" s="78" t="str">
        <f aca="false">IF($H256=1,MAX(1,INT(($G256-'Cash Flow'!$E$6)/7)+1),"")</f>
        <v/>
      </c>
      <c r="J256" s="38" t="str">
        <f aca="false">IF($H256=1,$G256*10000+ROW(),"")</f>
        <v/>
      </c>
      <c r="K256" s="38" t="str">
        <f aca="false">IF($H256=1,$I256*1000+COUNTIFS($I$4:$I$483,$I256,$J$4:$J$483,"&lt;"&amp;$J256)+1,"")</f>
        <v/>
      </c>
    </row>
    <row r="257" customFormat="false" ht="15" hidden="false" customHeight="false" outlineLevel="0" collapsed="false">
      <c r="A257" s="46" t="n">
        <v>16</v>
      </c>
      <c r="B257" s="46" t="n">
        <v>14</v>
      </c>
      <c r="C257" s="38" t="str">
        <f aca="false">IF(OR(Recurring!$B$20="",Recurring!$H$20&lt;&gt;"Yes",Recurring!$D$20=""),"",Recurring!$B$20)</f>
        <v>Maine Revenue Services (2)</v>
      </c>
      <c r="D257" s="38" t="str">
        <f aca="false">IF($C257="","",Recurring!$C$20)</f>
        <v>Expense</v>
      </c>
      <c r="E257" s="76" t="n">
        <f aca="false">IF($C257="","",Recurring!$D$20)</f>
        <v>150</v>
      </c>
      <c r="F257" s="77"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77" t="n">
        <f aca="false">IF($F257="","",IF(Recurring!$G$20="Move Before",IF(WEEKDAY($F257,2)=6,$F257-1,IF(WEEKDAY($F257,2)=7,$F257-2,$F257)),IF(Recurring!$G$20="Move After",IF(WEEKDAY($F257,2)=6,$F257+2,IF(WEEKDAY($F257,2)=7,$F257+1,$F257)),$F257)))</f>
        <v>46660</v>
      </c>
      <c r="H257" s="78" t="n">
        <f aca="false">IF($G257="",0,IF(AND($G257&gt;='Cash Flow'!$E$6,$G257&lt;'Cash Flow'!$E$6+91),1,0))</f>
        <v>0</v>
      </c>
      <c r="I257" s="78" t="str">
        <f aca="false">IF($H257=1,MAX(1,INT(($G257-'Cash Flow'!$E$6)/7)+1),"")</f>
        <v/>
      </c>
      <c r="J257" s="38" t="str">
        <f aca="false">IF($H257=1,$G257*10000+ROW(),"")</f>
        <v/>
      </c>
      <c r="K257" s="38" t="str">
        <f aca="false">IF($H257=1,$I257*1000+COUNTIFS($I$4:$I$483,$I257,$J$4:$J$483,"&lt;"&amp;$J257)+1,"")</f>
        <v/>
      </c>
    </row>
    <row r="258" customFormat="false" ht="15" hidden="false" customHeight="false" outlineLevel="0" collapsed="false">
      <c r="A258" s="46" t="n">
        <v>16</v>
      </c>
      <c r="B258" s="46" t="n">
        <v>15</v>
      </c>
      <c r="C258" s="38" t="str">
        <f aca="false">IF(OR(Recurring!$B$20="",Recurring!$H$20&lt;&gt;"Yes",Recurring!$D$20=""),"",Recurring!$B$20)</f>
        <v>Maine Revenue Services (2)</v>
      </c>
      <c r="D258" s="38" t="str">
        <f aca="false">IF($C258="","",Recurring!$C$20)</f>
        <v>Expense</v>
      </c>
      <c r="E258" s="76" t="n">
        <f aca="false">IF($C258="","",Recurring!$D$20)</f>
        <v>150</v>
      </c>
      <c r="F258" s="77"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77" t="n">
        <f aca="false">IF($F258="","",IF(Recurring!$G$20="Move Before",IF(WEEKDAY($F258,2)=6,$F258-1,IF(WEEKDAY($F258,2)=7,$F258-2,$F258)),IF(Recurring!$G$20="Move After",IF(WEEKDAY($F258,2)=6,$F258+2,IF(WEEKDAY($F258,2)=7,$F258+1,$F258)),$F258)))</f>
        <v>46690</v>
      </c>
      <c r="H258" s="78" t="n">
        <f aca="false">IF($G258="",0,IF(AND($G258&gt;='Cash Flow'!$E$6,$G258&lt;'Cash Flow'!$E$6+91),1,0))</f>
        <v>0</v>
      </c>
      <c r="I258" s="78" t="str">
        <f aca="false">IF($H258=1,MAX(1,INT(($G258-'Cash Flow'!$E$6)/7)+1),"")</f>
        <v/>
      </c>
      <c r="J258" s="38" t="str">
        <f aca="false">IF($H258=1,$G258*10000+ROW(),"")</f>
        <v/>
      </c>
      <c r="K258" s="38" t="str">
        <f aca="false">IF($H258=1,$I258*1000+COUNTIFS($I$4:$I$483,$I258,$J$4:$J$483,"&lt;"&amp;$J258)+1,"")</f>
        <v/>
      </c>
    </row>
    <row r="259" customFormat="false" ht="15" hidden="false" customHeight="false" outlineLevel="0" collapsed="false">
      <c r="A259" s="46" t="n">
        <v>16</v>
      </c>
      <c r="B259" s="46" t="n">
        <v>16</v>
      </c>
      <c r="C259" s="38" t="str">
        <f aca="false">IF(OR(Recurring!$B$20="",Recurring!$H$20&lt;&gt;"Yes",Recurring!$D$20=""),"",Recurring!$B$20)</f>
        <v>Maine Revenue Services (2)</v>
      </c>
      <c r="D259" s="38" t="str">
        <f aca="false">IF($C259="","",Recurring!$C$20)</f>
        <v>Expense</v>
      </c>
      <c r="E259" s="76" t="n">
        <f aca="false">IF($C259="","",Recurring!$D$20)</f>
        <v>150</v>
      </c>
      <c r="F259" s="77"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77" t="n">
        <f aca="false">IF($F259="","",IF(Recurring!$G$20="Move Before",IF(WEEKDAY($F259,2)=6,$F259-1,IF(WEEKDAY($F259,2)=7,$F259-2,$F259)),IF(Recurring!$G$20="Move After",IF(WEEKDAY($F259,2)=6,$F259+2,IF(WEEKDAY($F259,2)=7,$F259+1,$F259)),$F259)))</f>
        <v>46721</v>
      </c>
      <c r="H259" s="78" t="n">
        <f aca="false">IF($G259="",0,IF(AND($G259&gt;='Cash Flow'!$E$6,$G259&lt;'Cash Flow'!$E$6+91),1,0))</f>
        <v>0</v>
      </c>
      <c r="I259" s="78" t="str">
        <f aca="false">IF($H259=1,MAX(1,INT(($G259-'Cash Flow'!$E$6)/7)+1),"")</f>
        <v/>
      </c>
      <c r="J259" s="38" t="str">
        <f aca="false">IF($H259=1,$G259*10000+ROW(),"")</f>
        <v/>
      </c>
      <c r="K259" s="38" t="str">
        <f aca="false">IF($H259=1,$I259*1000+COUNTIFS($I$4:$I$483,$I259,$J$4:$J$483,"&lt;"&amp;$J259)+1,"")</f>
        <v/>
      </c>
    </row>
    <row r="260" customFormat="false" ht="15" hidden="false" customHeight="false" outlineLevel="0" collapsed="false">
      <c r="A260" s="46" t="n">
        <v>17</v>
      </c>
      <c r="B260" s="46" t="n">
        <v>1</v>
      </c>
      <c r="C260" s="38" t="str">
        <f aca="false">IF(OR(Recurring!$B$21="",Recurring!$H$21&lt;&gt;"Yes",Recurring!$D$21=""),"",Recurring!$B$21)</f>
        <v>Progressive Insurance</v>
      </c>
      <c r="D260" s="38" t="str">
        <f aca="false">IF($C260="","",Recurring!$C$21)</f>
        <v>Expense</v>
      </c>
      <c r="E260" s="76" t="n">
        <f aca="false">IF($C260="","",Recurring!$D$21)</f>
        <v>143.37</v>
      </c>
      <c r="F260" s="77"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77" t="n">
        <f aca="false">IF($F260="","",IF(Recurring!$G$21="Move Before",IF(WEEKDAY($F260,2)=6,$F260-1,IF(WEEKDAY($F260,2)=7,$F260-2,$F260)),IF(Recurring!$G$21="Move After",IF(WEEKDAY($F260,2)=6,$F260+2,IF(WEEKDAY($F260,2)=7,$F260+1,$F260)),$F260)))</f>
        <v>46265</v>
      </c>
      <c r="H260" s="78" t="n">
        <f aca="false">IF($G260="",0,IF(AND($G260&gt;='Cash Flow'!$E$6-90,$G260&lt;'Cash Flow'!$E$6+91),1,0))</f>
        <v>1</v>
      </c>
      <c r="I260" s="78" t="n">
        <f aca="false">IF($H260=1,MAX(1,INT(($G260-'Cash Flow'!$E$6)/7)+1),"")</f>
        <v>4</v>
      </c>
      <c r="J260" s="38" t="n">
        <f aca="false">IF($H260=1,$G260*10000+ROW(),"")</f>
        <v>462650260</v>
      </c>
      <c r="K260" s="38" t="n">
        <f aca="false">IF($H260=1,$I260*1000+COUNTIFS($I$4:$I$483,$I260,$J$4:$J$483,"&lt;"&amp;$J260)+1,"")</f>
        <v>4004</v>
      </c>
    </row>
    <row r="261" customFormat="false" ht="15" hidden="false" customHeight="false" outlineLevel="0" collapsed="false">
      <c r="A261" s="46" t="n">
        <v>17</v>
      </c>
      <c r="B261" s="46" t="n">
        <v>2</v>
      </c>
      <c r="C261" s="38" t="str">
        <f aca="false">IF(OR(Recurring!$B$21="",Recurring!$H$21&lt;&gt;"Yes",Recurring!$D$21=""),"",Recurring!$B$21)</f>
        <v>Progressive Insurance</v>
      </c>
      <c r="D261" s="38" t="str">
        <f aca="false">IF($C261="","",Recurring!$C$21)</f>
        <v>Expense</v>
      </c>
      <c r="E261" s="76" t="n">
        <f aca="false">IF($C261="","",Recurring!$D$21)</f>
        <v>143.37</v>
      </c>
      <c r="F261" s="77"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77" t="n">
        <f aca="false">IF($F261="","",IF(Recurring!$G$21="Move Before",IF(WEEKDAY($F261,2)=6,$F261-1,IF(WEEKDAY($F261,2)=7,$F261-2,$F261)),IF(Recurring!$G$21="Move After",IF(WEEKDAY($F261,2)=6,$F261+2,IF(WEEKDAY($F261,2)=7,$F261+1,$F261)),$F261)))</f>
        <v>46295</v>
      </c>
      <c r="H261" s="78" t="n">
        <f aca="false">IF($G261="",0,IF(AND($G261&gt;='Cash Flow'!$E$6,$G261&lt;'Cash Flow'!$E$6+91),1,0))</f>
        <v>1</v>
      </c>
      <c r="I261" s="78" t="n">
        <f aca="false">IF($H261=1,MAX(1,INT(($G261-'Cash Flow'!$E$6)/7)+1),"")</f>
        <v>8</v>
      </c>
      <c r="J261" s="38" t="n">
        <f aca="false">IF($H261=1,$G261*10000+ROW(),"")</f>
        <v>462950261</v>
      </c>
      <c r="K261" s="38" t="n">
        <f aca="false">IF($H261=1,$I261*1000+COUNTIFS($I$4:$I$483,$I261,$J$4:$J$483,"&lt;"&amp;$J261)+1,"")</f>
        <v>8007</v>
      </c>
    </row>
    <row r="262" customFormat="false" ht="15" hidden="false" customHeight="false" outlineLevel="0" collapsed="false">
      <c r="A262" s="46" t="n">
        <v>17</v>
      </c>
      <c r="B262" s="46" t="n">
        <v>3</v>
      </c>
      <c r="C262" s="38" t="str">
        <f aca="false">IF(OR(Recurring!$B$21="",Recurring!$H$21&lt;&gt;"Yes",Recurring!$D$21=""),"",Recurring!$B$21)</f>
        <v>Progressive Insurance</v>
      </c>
      <c r="D262" s="38" t="str">
        <f aca="false">IF($C262="","",Recurring!$C$21)</f>
        <v>Expense</v>
      </c>
      <c r="E262" s="76" t="n">
        <f aca="false">IF($C262="","",Recurring!$D$21)</f>
        <v>143.37</v>
      </c>
      <c r="F262" s="77"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77" t="n">
        <f aca="false">IF($F262="","",IF(Recurring!$G$21="Move Before",IF(WEEKDAY($F262,2)=6,$F262-1,IF(WEEKDAY($F262,2)=7,$F262-2,$F262)),IF(Recurring!$G$21="Move After",IF(WEEKDAY($F262,2)=6,$F262+2,IF(WEEKDAY($F262,2)=7,$F262+1,$F262)),$F262)))</f>
        <v>46326</v>
      </c>
      <c r="H262" s="78" t="n">
        <f aca="false">IF($G262="",0,IF(AND($G262&gt;='Cash Flow'!$E$6,$G262&lt;'Cash Flow'!$E$6+91),1,0))</f>
        <v>1</v>
      </c>
      <c r="I262" s="78" t="n">
        <f aca="false">IF($H262=1,MAX(1,INT(($G262-'Cash Flow'!$E$6)/7)+1),"")</f>
        <v>13</v>
      </c>
      <c r="J262" s="38" t="n">
        <f aca="false">IF($H262=1,$G262*10000+ROW(),"")</f>
        <v>463260262</v>
      </c>
      <c r="K262" s="38" t="n">
        <f aca="false">IF($H262=1,$I262*1000+COUNTIFS($I$4:$I$483,$I262,$J$4:$J$483,"&lt;"&amp;$J262)+1,"")</f>
        <v>13004</v>
      </c>
    </row>
    <row r="263" customFormat="false" ht="15" hidden="false" customHeight="false" outlineLevel="0" collapsed="false">
      <c r="A263" s="46" t="n">
        <v>17</v>
      </c>
      <c r="B263" s="46" t="n">
        <v>4</v>
      </c>
      <c r="C263" s="38" t="str">
        <f aca="false">IF(OR(Recurring!$B$21="",Recurring!$H$21&lt;&gt;"Yes",Recurring!$D$21=""),"",Recurring!$B$21)</f>
        <v>Progressive Insurance</v>
      </c>
      <c r="D263" s="38" t="str">
        <f aca="false">IF($C263="","",Recurring!$C$21)</f>
        <v>Expense</v>
      </c>
      <c r="E263" s="76" t="n">
        <f aca="false">IF($C263="","",Recurring!$D$21)</f>
        <v>143.37</v>
      </c>
      <c r="F263" s="77"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77" t="n">
        <f aca="false">IF($F263="","",IF(Recurring!$G$21="Move Before",IF(WEEKDAY($F263,2)=6,$F263-1,IF(WEEKDAY($F263,2)=7,$F263-2,$F263)),IF(Recurring!$G$21="Move After",IF(WEEKDAY($F263,2)=6,$F263+2,IF(WEEKDAY($F263,2)=7,$F263+1,$F263)),$F263)))</f>
        <v>46356</v>
      </c>
      <c r="H263" s="78" t="n">
        <f aca="false">IF($G263="",0,IF(AND($G263&gt;='Cash Flow'!$E$6,$G263&lt;'Cash Flow'!$E$6+91),1,0))</f>
        <v>0</v>
      </c>
      <c r="I263" s="78" t="str">
        <f aca="false">IF($H263=1,MAX(1,INT(($G263-'Cash Flow'!$E$6)/7)+1),"")</f>
        <v/>
      </c>
      <c r="J263" s="38" t="str">
        <f aca="false">IF($H263=1,$G263*10000+ROW(),"")</f>
        <v/>
      </c>
      <c r="K263" s="38" t="str">
        <f aca="false">IF($H263=1,$I263*1000+COUNTIFS($I$4:$I$483,$I263,$J$4:$J$483,"&lt;"&amp;$J263)+1,"")</f>
        <v/>
      </c>
    </row>
    <row r="264" customFormat="false" ht="15" hidden="false" customHeight="false" outlineLevel="0" collapsed="false">
      <c r="A264" s="46" t="n">
        <v>17</v>
      </c>
      <c r="B264" s="46" t="n">
        <v>5</v>
      </c>
      <c r="C264" s="38" t="str">
        <f aca="false">IF(OR(Recurring!$B$21="",Recurring!$H$21&lt;&gt;"Yes",Recurring!$D$21=""),"",Recurring!$B$21)</f>
        <v>Progressive Insurance</v>
      </c>
      <c r="D264" s="38" t="str">
        <f aca="false">IF($C264="","",Recurring!$C$21)</f>
        <v>Expense</v>
      </c>
      <c r="E264" s="76" t="n">
        <f aca="false">IF($C264="","",Recurring!$D$21)</f>
        <v>143.37</v>
      </c>
      <c r="F264" s="77"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77" t="n">
        <f aca="false">IF($F264="","",IF(Recurring!$G$21="Move Before",IF(WEEKDAY($F264,2)=6,$F264-1,IF(WEEKDAY($F264,2)=7,$F264-2,$F264)),IF(Recurring!$G$21="Move After",IF(WEEKDAY($F264,2)=6,$F264+2,IF(WEEKDAY($F264,2)=7,$F264+1,$F264)),$F264)))</f>
        <v>46387</v>
      </c>
      <c r="H264" s="78" t="n">
        <f aca="false">IF($G264="",0,IF(AND($G264&gt;='Cash Flow'!$E$6,$G264&lt;'Cash Flow'!$E$6+91),1,0))</f>
        <v>0</v>
      </c>
      <c r="I264" s="78" t="str">
        <f aca="false">IF($H264=1,MAX(1,INT(($G264-'Cash Flow'!$E$6)/7)+1),"")</f>
        <v/>
      </c>
      <c r="J264" s="38" t="str">
        <f aca="false">IF($H264=1,$G264*10000+ROW(),"")</f>
        <v/>
      </c>
      <c r="K264" s="38" t="str">
        <f aca="false">IF($H264=1,$I264*1000+COUNTIFS($I$4:$I$483,$I264,$J$4:$J$483,"&lt;"&amp;$J264)+1,"")</f>
        <v/>
      </c>
    </row>
    <row r="265" customFormat="false" ht="15" hidden="false" customHeight="false" outlineLevel="0" collapsed="false">
      <c r="A265" s="46" t="n">
        <v>17</v>
      </c>
      <c r="B265" s="46" t="n">
        <v>6</v>
      </c>
      <c r="C265" s="38" t="str">
        <f aca="false">IF(OR(Recurring!$B$21="",Recurring!$H$21&lt;&gt;"Yes",Recurring!$D$21=""),"",Recurring!$B$21)</f>
        <v>Progressive Insurance</v>
      </c>
      <c r="D265" s="38" t="str">
        <f aca="false">IF($C265="","",Recurring!$C$21)</f>
        <v>Expense</v>
      </c>
      <c r="E265" s="76" t="n">
        <f aca="false">IF($C265="","",Recurring!$D$21)</f>
        <v>143.37</v>
      </c>
      <c r="F265" s="77"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77" t="n">
        <f aca="false">IF($F265="","",IF(Recurring!$G$21="Move Before",IF(WEEKDAY($F265,2)=6,$F265-1,IF(WEEKDAY($F265,2)=7,$F265-2,$F265)),IF(Recurring!$G$21="Move After",IF(WEEKDAY($F265,2)=6,$F265+2,IF(WEEKDAY($F265,2)=7,$F265+1,$F265)),$F265)))</f>
        <v>46418</v>
      </c>
      <c r="H265" s="78" t="n">
        <f aca="false">IF($G265="",0,IF(AND($G265&gt;='Cash Flow'!$E$6,$G265&lt;'Cash Flow'!$E$6+91),1,0))</f>
        <v>0</v>
      </c>
      <c r="I265" s="78" t="str">
        <f aca="false">IF($H265=1,MAX(1,INT(($G265-'Cash Flow'!$E$6)/7)+1),"")</f>
        <v/>
      </c>
      <c r="J265" s="38" t="str">
        <f aca="false">IF($H265=1,$G265*10000+ROW(),"")</f>
        <v/>
      </c>
      <c r="K265" s="38" t="str">
        <f aca="false">IF($H265=1,$I265*1000+COUNTIFS($I$4:$I$483,$I265,$J$4:$J$483,"&lt;"&amp;$J265)+1,"")</f>
        <v/>
      </c>
    </row>
    <row r="266" customFormat="false" ht="15" hidden="false" customHeight="false" outlineLevel="0" collapsed="false">
      <c r="A266" s="46" t="n">
        <v>17</v>
      </c>
      <c r="B266" s="46" t="n">
        <v>7</v>
      </c>
      <c r="C266" s="38" t="str">
        <f aca="false">IF(OR(Recurring!$B$21="",Recurring!$H$21&lt;&gt;"Yes",Recurring!$D$21=""),"",Recurring!$B$21)</f>
        <v>Progressive Insurance</v>
      </c>
      <c r="D266" s="38" t="str">
        <f aca="false">IF($C266="","",Recurring!$C$21)</f>
        <v>Expense</v>
      </c>
      <c r="E266" s="76" t="n">
        <f aca="false">IF($C266="","",Recurring!$D$21)</f>
        <v>143.37</v>
      </c>
      <c r="F266" s="77"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77" t="n">
        <f aca="false">IF($F266="","",IF(Recurring!$G$21="Move Before",IF(WEEKDAY($F266,2)=6,$F266-1,IF(WEEKDAY($F266,2)=7,$F266-2,$F266)),IF(Recurring!$G$21="Move After",IF(WEEKDAY($F266,2)=6,$F266+2,IF(WEEKDAY($F266,2)=7,$F266+1,$F266)),$F266)))</f>
        <v>46446</v>
      </c>
      <c r="H266" s="78" t="n">
        <f aca="false">IF($G266="",0,IF(AND($G266&gt;='Cash Flow'!$E$6,$G266&lt;'Cash Flow'!$E$6+91),1,0))</f>
        <v>0</v>
      </c>
      <c r="I266" s="78" t="str">
        <f aca="false">IF($H266=1,MAX(1,INT(($G266-'Cash Flow'!$E$6)/7)+1),"")</f>
        <v/>
      </c>
      <c r="J266" s="38" t="str">
        <f aca="false">IF($H266=1,$G266*10000+ROW(),"")</f>
        <v/>
      </c>
      <c r="K266" s="38" t="str">
        <f aca="false">IF($H266=1,$I266*1000+COUNTIFS($I$4:$I$483,$I266,$J$4:$J$483,"&lt;"&amp;$J266)+1,"")</f>
        <v/>
      </c>
    </row>
    <row r="267" customFormat="false" ht="15" hidden="false" customHeight="false" outlineLevel="0" collapsed="false">
      <c r="A267" s="46" t="n">
        <v>17</v>
      </c>
      <c r="B267" s="46" t="n">
        <v>8</v>
      </c>
      <c r="C267" s="38" t="str">
        <f aca="false">IF(OR(Recurring!$B$21="",Recurring!$H$21&lt;&gt;"Yes",Recurring!$D$21=""),"",Recurring!$B$21)</f>
        <v>Progressive Insurance</v>
      </c>
      <c r="D267" s="38" t="str">
        <f aca="false">IF($C267="","",Recurring!$C$21)</f>
        <v>Expense</v>
      </c>
      <c r="E267" s="76" t="n">
        <f aca="false">IF($C267="","",Recurring!$D$21)</f>
        <v>143.37</v>
      </c>
      <c r="F267" s="77"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77" t="n">
        <f aca="false">IF($F267="","",IF(Recurring!$G$21="Move Before",IF(WEEKDAY($F267,2)=6,$F267-1,IF(WEEKDAY($F267,2)=7,$F267-2,$F267)),IF(Recurring!$G$21="Move After",IF(WEEKDAY($F267,2)=6,$F267+2,IF(WEEKDAY($F267,2)=7,$F267+1,$F267)),$F267)))</f>
        <v>46477</v>
      </c>
      <c r="H267" s="78" t="n">
        <f aca="false">IF($G267="",0,IF(AND($G267&gt;='Cash Flow'!$E$6,$G267&lt;'Cash Flow'!$E$6+91),1,0))</f>
        <v>0</v>
      </c>
      <c r="I267" s="78" t="str">
        <f aca="false">IF($H267=1,MAX(1,INT(($G267-'Cash Flow'!$E$6)/7)+1),"")</f>
        <v/>
      </c>
      <c r="J267" s="38" t="str">
        <f aca="false">IF($H267=1,$G267*10000+ROW(),"")</f>
        <v/>
      </c>
      <c r="K267" s="38" t="str">
        <f aca="false">IF($H267=1,$I267*1000+COUNTIFS($I$4:$I$483,$I267,$J$4:$J$483,"&lt;"&amp;$J267)+1,"")</f>
        <v/>
      </c>
    </row>
    <row r="268" customFormat="false" ht="15" hidden="false" customHeight="false" outlineLevel="0" collapsed="false">
      <c r="A268" s="46" t="n">
        <v>17</v>
      </c>
      <c r="B268" s="46" t="n">
        <v>9</v>
      </c>
      <c r="C268" s="38" t="str">
        <f aca="false">IF(OR(Recurring!$B$21="",Recurring!$H$21&lt;&gt;"Yes",Recurring!$D$21=""),"",Recurring!$B$21)</f>
        <v>Progressive Insurance</v>
      </c>
      <c r="D268" s="38" t="str">
        <f aca="false">IF($C268="","",Recurring!$C$21)</f>
        <v>Expense</v>
      </c>
      <c r="E268" s="76" t="n">
        <f aca="false">IF($C268="","",Recurring!$D$21)</f>
        <v>143.37</v>
      </c>
      <c r="F268" s="77"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77" t="n">
        <f aca="false">IF($F268="","",IF(Recurring!$G$21="Move Before",IF(WEEKDAY($F268,2)=6,$F268-1,IF(WEEKDAY($F268,2)=7,$F268-2,$F268)),IF(Recurring!$G$21="Move After",IF(WEEKDAY($F268,2)=6,$F268+2,IF(WEEKDAY($F268,2)=7,$F268+1,$F268)),$F268)))</f>
        <v>46507</v>
      </c>
      <c r="H268" s="78" t="n">
        <f aca="false">IF($G268="",0,IF(AND($G268&gt;='Cash Flow'!$E$6,$G268&lt;'Cash Flow'!$E$6+91),1,0))</f>
        <v>0</v>
      </c>
      <c r="I268" s="78" t="str">
        <f aca="false">IF($H268=1,MAX(1,INT(($G268-'Cash Flow'!$E$6)/7)+1),"")</f>
        <v/>
      </c>
      <c r="J268" s="38" t="str">
        <f aca="false">IF($H268=1,$G268*10000+ROW(),"")</f>
        <v/>
      </c>
      <c r="K268" s="38" t="str">
        <f aca="false">IF($H268=1,$I268*1000+COUNTIFS($I$4:$I$483,$I268,$J$4:$J$483,"&lt;"&amp;$J268)+1,"")</f>
        <v/>
      </c>
    </row>
    <row r="269" customFormat="false" ht="15" hidden="false" customHeight="false" outlineLevel="0" collapsed="false">
      <c r="A269" s="46" t="n">
        <v>17</v>
      </c>
      <c r="B269" s="46" t="n">
        <v>10</v>
      </c>
      <c r="C269" s="38" t="str">
        <f aca="false">IF(OR(Recurring!$B$21="",Recurring!$H$21&lt;&gt;"Yes",Recurring!$D$21=""),"",Recurring!$B$21)</f>
        <v>Progressive Insurance</v>
      </c>
      <c r="D269" s="38" t="str">
        <f aca="false">IF($C269="","",Recurring!$C$21)</f>
        <v>Expense</v>
      </c>
      <c r="E269" s="76" t="n">
        <f aca="false">IF($C269="","",Recurring!$D$21)</f>
        <v>143.37</v>
      </c>
      <c r="F269" s="77"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77" t="n">
        <f aca="false">IF($F269="","",IF(Recurring!$G$21="Move Before",IF(WEEKDAY($F269,2)=6,$F269-1,IF(WEEKDAY($F269,2)=7,$F269-2,$F269)),IF(Recurring!$G$21="Move After",IF(WEEKDAY($F269,2)=6,$F269+2,IF(WEEKDAY($F269,2)=7,$F269+1,$F269)),$F269)))</f>
        <v>46538</v>
      </c>
      <c r="H269" s="78" t="n">
        <f aca="false">IF($G269="",0,IF(AND($G269&gt;='Cash Flow'!$E$6,$G269&lt;'Cash Flow'!$E$6+91),1,0))</f>
        <v>0</v>
      </c>
      <c r="I269" s="78" t="str">
        <f aca="false">IF($H269=1,MAX(1,INT(($G269-'Cash Flow'!$E$6)/7)+1),"")</f>
        <v/>
      </c>
      <c r="J269" s="38" t="str">
        <f aca="false">IF($H269=1,$G269*10000+ROW(),"")</f>
        <v/>
      </c>
      <c r="K269" s="38" t="str">
        <f aca="false">IF($H269=1,$I269*1000+COUNTIFS($I$4:$I$483,$I269,$J$4:$J$483,"&lt;"&amp;$J269)+1,"")</f>
        <v/>
      </c>
    </row>
    <row r="270" customFormat="false" ht="15" hidden="false" customHeight="false" outlineLevel="0" collapsed="false">
      <c r="A270" s="46" t="n">
        <v>17</v>
      </c>
      <c r="B270" s="46" t="n">
        <v>11</v>
      </c>
      <c r="C270" s="38" t="str">
        <f aca="false">IF(OR(Recurring!$B$21="",Recurring!$H$21&lt;&gt;"Yes",Recurring!$D$21=""),"",Recurring!$B$21)</f>
        <v>Progressive Insurance</v>
      </c>
      <c r="D270" s="38" t="str">
        <f aca="false">IF($C270="","",Recurring!$C$21)</f>
        <v>Expense</v>
      </c>
      <c r="E270" s="76" t="n">
        <f aca="false">IF($C270="","",Recurring!$D$21)</f>
        <v>143.37</v>
      </c>
      <c r="F270" s="77"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77" t="n">
        <f aca="false">IF($F270="","",IF(Recurring!$G$21="Move Before",IF(WEEKDAY($F270,2)=6,$F270-1,IF(WEEKDAY($F270,2)=7,$F270-2,$F270)),IF(Recurring!$G$21="Move After",IF(WEEKDAY($F270,2)=6,$F270+2,IF(WEEKDAY($F270,2)=7,$F270+1,$F270)),$F270)))</f>
        <v>46568</v>
      </c>
      <c r="H270" s="78" t="n">
        <f aca="false">IF($G270="",0,IF(AND($G270&gt;='Cash Flow'!$E$6,$G270&lt;'Cash Flow'!$E$6+91),1,0))</f>
        <v>0</v>
      </c>
      <c r="I270" s="78" t="str">
        <f aca="false">IF($H270=1,MAX(1,INT(($G270-'Cash Flow'!$E$6)/7)+1),"")</f>
        <v/>
      </c>
      <c r="J270" s="38" t="str">
        <f aca="false">IF($H270=1,$G270*10000+ROW(),"")</f>
        <v/>
      </c>
      <c r="K270" s="38" t="str">
        <f aca="false">IF($H270=1,$I270*1000+COUNTIFS($I$4:$I$483,$I270,$J$4:$J$483,"&lt;"&amp;$J270)+1,"")</f>
        <v/>
      </c>
    </row>
    <row r="271" customFormat="false" ht="15" hidden="false" customHeight="false" outlineLevel="0" collapsed="false">
      <c r="A271" s="46" t="n">
        <v>17</v>
      </c>
      <c r="B271" s="46" t="n">
        <v>12</v>
      </c>
      <c r="C271" s="38" t="str">
        <f aca="false">IF(OR(Recurring!$B$21="",Recurring!$H$21&lt;&gt;"Yes",Recurring!$D$21=""),"",Recurring!$B$21)</f>
        <v>Progressive Insurance</v>
      </c>
      <c r="D271" s="38" t="str">
        <f aca="false">IF($C271="","",Recurring!$C$21)</f>
        <v>Expense</v>
      </c>
      <c r="E271" s="76" t="n">
        <f aca="false">IF($C271="","",Recurring!$D$21)</f>
        <v>143.37</v>
      </c>
      <c r="F271" s="77"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77" t="n">
        <f aca="false">IF($F271="","",IF(Recurring!$G$21="Move Before",IF(WEEKDAY($F271,2)=6,$F271-1,IF(WEEKDAY($F271,2)=7,$F271-2,$F271)),IF(Recurring!$G$21="Move After",IF(WEEKDAY($F271,2)=6,$F271+2,IF(WEEKDAY($F271,2)=7,$F271+1,$F271)),$F271)))</f>
        <v>46599</v>
      </c>
      <c r="H271" s="78" t="n">
        <f aca="false">IF($G271="",0,IF(AND($G271&gt;='Cash Flow'!$E$6,$G271&lt;'Cash Flow'!$E$6+91),1,0))</f>
        <v>0</v>
      </c>
      <c r="I271" s="78" t="str">
        <f aca="false">IF($H271=1,MAX(1,INT(($G271-'Cash Flow'!$E$6)/7)+1),"")</f>
        <v/>
      </c>
      <c r="J271" s="38" t="str">
        <f aca="false">IF($H271=1,$G271*10000+ROW(),"")</f>
        <v/>
      </c>
      <c r="K271" s="38" t="str">
        <f aca="false">IF($H271=1,$I271*1000+COUNTIFS($I$4:$I$483,$I271,$J$4:$J$483,"&lt;"&amp;$J271)+1,"")</f>
        <v/>
      </c>
    </row>
    <row r="272" customFormat="false" ht="15" hidden="false" customHeight="false" outlineLevel="0" collapsed="false">
      <c r="A272" s="46" t="n">
        <v>17</v>
      </c>
      <c r="B272" s="46" t="n">
        <v>13</v>
      </c>
      <c r="C272" s="38" t="str">
        <f aca="false">IF(OR(Recurring!$B$21="",Recurring!$H$21&lt;&gt;"Yes",Recurring!$D$21=""),"",Recurring!$B$21)</f>
        <v>Progressive Insurance</v>
      </c>
      <c r="D272" s="38" t="str">
        <f aca="false">IF($C272="","",Recurring!$C$21)</f>
        <v>Expense</v>
      </c>
      <c r="E272" s="76" t="n">
        <f aca="false">IF($C272="","",Recurring!$D$21)</f>
        <v>143.37</v>
      </c>
      <c r="F272" s="77"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77" t="n">
        <f aca="false">IF($F272="","",IF(Recurring!$G$21="Move Before",IF(WEEKDAY($F272,2)=6,$F272-1,IF(WEEKDAY($F272,2)=7,$F272-2,$F272)),IF(Recurring!$G$21="Move After",IF(WEEKDAY($F272,2)=6,$F272+2,IF(WEEKDAY($F272,2)=7,$F272+1,$F272)),$F272)))</f>
        <v>46630</v>
      </c>
      <c r="H272" s="78" t="n">
        <f aca="false">IF($G272="",0,IF(AND($G272&gt;='Cash Flow'!$E$6,$G272&lt;'Cash Flow'!$E$6+91),1,0))</f>
        <v>0</v>
      </c>
      <c r="I272" s="78" t="str">
        <f aca="false">IF($H272=1,MAX(1,INT(($G272-'Cash Flow'!$E$6)/7)+1),"")</f>
        <v/>
      </c>
      <c r="J272" s="38" t="str">
        <f aca="false">IF($H272=1,$G272*10000+ROW(),"")</f>
        <v/>
      </c>
      <c r="K272" s="38" t="str">
        <f aca="false">IF($H272=1,$I272*1000+COUNTIFS($I$4:$I$483,$I272,$J$4:$J$483,"&lt;"&amp;$J272)+1,"")</f>
        <v/>
      </c>
    </row>
    <row r="273" customFormat="false" ht="15" hidden="false" customHeight="false" outlineLevel="0" collapsed="false">
      <c r="A273" s="46" t="n">
        <v>17</v>
      </c>
      <c r="B273" s="46" t="n">
        <v>14</v>
      </c>
      <c r="C273" s="38" t="str">
        <f aca="false">IF(OR(Recurring!$B$21="",Recurring!$H$21&lt;&gt;"Yes",Recurring!$D$21=""),"",Recurring!$B$21)</f>
        <v>Progressive Insurance</v>
      </c>
      <c r="D273" s="38" t="str">
        <f aca="false">IF($C273="","",Recurring!$C$21)</f>
        <v>Expense</v>
      </c>
      <c r="E273" s="76" t="n">
        <f aca="false">IF($C273="","",Recurring!$D$21)</f>
        <v>143.37</v>
      </c>
      <c r="F273" s="77"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77" t="n">
        <f aca="false">IF($F273="","",IF(Recurring!$G$21="Move Before",IF(WEEKDAY($F273,2)=6,$F273-1,IF(WEEKDAY($F273,2)=7,$F273-2,$F273)),IF(Recurring!$G$21="Move After",IF(WEEKDAY($F273,2)=6,$F273+2,IF(WEEKDAY($F273,2)=7,$F273+1,$F273)),$F273)))</f>
        <v>46660</v>
      </c>
      <c r="H273" s="78" t="n">
        <f aca="false">IF($G273="",0,IF(AND($G273&gt;='Cash Flow'!$E$6,$G273&lt;'Cash Flow'!$E$6+91),1,0))</f>
        <v>0</v>
      </c>
      <c r="I273" s="78" t="str">
        <f aca="false">IF($H273=1,MAX(1,INT(($G273-'Cash Flow'!$E$6)/7)+1),"")</f>
        <v/>
      </c>
      <c r="J273" s="38" t="str">
        <f aca="false">IF($H273=1,$G273*10000+ROW(),"")</f>
        <v/>
      </c>
      <c r="K273" s="38" t="str">
        <f aca="false">IF($H273=1,$I273*1000+COUNTIFS($I$4:$I$483,$I273,$J$4:$J$483,"&lt;"&amp;$J273)+1,"")</f>
        <v/>
      </c>
    </row>
    <row r="274" customFormat="false" ht="15" hidden="false" customHeight="false" outlineLevel="0" collapsed="false">
      <c r="A274" s="46" t="n">
        <v>17</v>
      </c>
      <c r="B274" s="46" t="n">
        <v>15</v>
      </c>
      <c r="C274" s="38" t="str">
        <f aca="false">IF(OR(Recurring!$B$21="",Recurring!$H$21&lt;&gt;"Yes",Recurring!$D$21=""),"",Recurring!$B$21)</f>
        <v>Progressive Insurance</v>
      </c>
      <c r="D274" s="38" t="str">
        <f aca="false">IF($C274="","",Recurring!$C$21)</f>
        <v>Expense</v>
      </c>
      <c r="E274" s="76" t="n">
        <f aca="false">IF($C274="","",Recurring!$D$21)</f>
        <v>143.37</v>
      </c>
      <c r="F274" s="77"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77" t="n">
        <f aca="false">IF($F274="","",IF(Recurring!$G$21="Move Before",IF(WEEKDAY($F274,2)=6,$F274-1,IF(WEEKDAY($F274,2)=7,$F274-2,$F274)),IF(Recurring!$G$21="Move After",IF(WEEKDAY($F274,2)=6,$F274+2,IF(WEEKDAY($F274,2)=7,$F274+1,$F274)),$F274)))</f>
        <v>46691</v>
      </c>
      <c r="H274" s="78" t="n">
        <f aca="false">IF($G274="",0,IF(AND($G274&gt;='Cash Flow'!$E$6,$G274&lt;'Cash Flow'!$E$6+91),1,0))</f>
        <v>0</v>
      </c>
      <c r="I274" s="78" t="str">
        <f aca="false">IF($H274=1,MAX(1,INT(($G274-'Cash Flow'!$E$6)/7)+1),"")</f>
        <v/>
      </c>
      <c r="J274" s="38" t="str">
        <f aca="false">IF($H274=1,$G274*10000+ROW(),"")</f>
        <v/>
      </c>
      <c r="K274" s="38" t="str">
        <f aca="false">IF($H274=1,$I274*1000+COUNTIFS($I$4:$I$483,$I274,$J$4:$J$483,"&lt;"&amp;$J274)+1,"")</f>
        <v/>
      </c>
    </row>
    <row r="275" customFormat="false" ht="15" hidden="false" customHeight="false" outlineLevel="0" collapsed="false">
      <c r="A275" s="46" t="n">
        <v>17</v>
      </c>
      <c r="B275" s="46" t="n">
        <v>16</v>
      </c>
      <c r="C275" s="38" t="str">
        <f aca="false">IF(OR(Recurring!$B$21="",Recurring!$H$21&lt;&gt;"Yes",Recurring!$D$21=""),"",Recurring!$B$21)</f>
        <v>Progressive Insurance</v>
      </c>
      <c r="D275" s="38" t="str">
        <f aca="false">IF($C275="","",Recurring!$C$21)</f>
        <v>Expense</v>
      </c>
      <c r="E275" s="76" t="n">
        <f aca="false">IF($C275="","",Recurring!$D$21)</f>
        <v>143.37</v>
      </c>
      <c r="F275" s="77"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77" t="n">
        <f aca="false">IF($F275="","",IF(Recurring!$G$21="Move Before",IF(WEEKDAY($F275,2)=6,$F275-1,IF(WEEKDAY($F275,2)=7,$F275-2,$F275)),IF(Recurring!$G$21="Move After",IF(WEEKDAY($F275,2)=6,$F275+2,IF(WEEKDAY($F275,2)=7,$F275+1,$F275)),$F275)))</f>
        <v>46721</v>
      </c>
      <c r="H275" s="78" t="n">
        <f aca="false">IF($G275="",0,IF(AND($G275&gt;='Cash Flow'!$E$6,$G275&lt;'Cash Flow'!$E$6+91),1,0))</f>
        <v>0</v>
      </c>
      <c r="I275" s="78" t="str">
        <f aca="false">IF($H275=1,MAX(1,INT(($G275-'Cash Flow'!$E$6)/7)+1),"")</f>
        <v/>
      </c>
      <c r="J275" s="38" t="str">
        <f aca="false">IF($H275=1,$G275*10000+ROW(),"")</f>
        <v/>
      </c>
      <c r="K275" s="38" t="str">
        <f aca="false">IF($H275=1,$I275*1000+COUNTIFS($I$4:$I$483,$I275,$J$4:$J$483,"&lt;"&amp;$J275)+1,"")</f>
        <v/>
      </c>
    </row>
    <row r="276" customFormat="false" ht="15" hidden="false" customHeight="false" outlineLevel="0" collapsed="false">
      <c r="A276" s="46" t="n">
        <v>18</v>
      </c>
      <c r="B276" s="46" t="n">
        <v>1</v>
      </c>
      <c r="C276" s="38" t="str">
        <f aca="false">IF(OR(Recurring!$B$22="",Recurring!$H$22&lt;&gt;"Yes",Recurring!$D$22=""),"",Recurring!$B$22)</f>
        <v/>
      </c>
      <c r="D276" s="38" t="str">
        <f aca="false">IF($C276="","",Recurring!$C$22)</f>
        <v/>
      </c>
      <c r="E276" s="76" t="str">
        <f aca="false">IF($C276="","",Recurring!$D$22)</f>
        <v/>
      </c>
      <c r="F276" s="77" t="str">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77" t="str">
        <f aca="false">IF($F276="","",IF(Recurring!$G$22="Move Before",IF(WEEKDAY($F276,2)=6,$F276-1,IF(WEEKDAY($F276,2)=7,$F276-2,$F276)),IF(Recurring!$G$22="Move After",IF(WEEKDAY($F276,2)=6,$F276+2,IF(WEEKDAY($F276,2)=7,$F276+1,$F276)),$F276)))</f>
        <v/>
      </c>
      <c r="H276" s="78" t="n">
        <f aca="false">IF($G276="",0,IF(AND($G276&gt;='Cash Flow'!$E$6-90,$G276&lt;'Cash Flow'!$E$6+91),1,0))</f>
        <v>0</v>
      </c>
      <c r="I276" s="78" t="str">
        <f aca="false">IF($H276=1,MAX(1,INT(($G276-'Cash Flow'!$E$6)/7)+1),"")</f>
        <v/>
      </c>
      <c r="J276" s="38" t="str">
        <f aca="false">IF($H276=1,$G276*10000+ROW(),"")</f>
        <v/>
      </c>
      <c r="K276" s="38" t="str">
        <f aca="false">IF($H276=1,$I276*1000+COUNTIFS($I$4:$I$483,$I276,$J$4:$J$483,"&lt;"&amp;$J276)+1,"")</f>
        <v/>
      </c>
    </row>
    <row r="277" customFormat="false" ht="15" hidden="false" customHeight="false" outlineLevel="0" collapsed="false">
      <c r="A277" s="46" t="n">
        <v>18</v>
      </c>
      <c r="B277" s="46" t="n">
        <v>2</v>
      </c>
      <c r="C277" s="38" t="str">
        <f aca="false">IF(OR(Recurring!$B$22="",Recurring!$H$22&lt;&gt;"Yes",Recurring!$D$22=""),"",Recurring!$B$22)</f>
        <v/>
      </c>
      <c r="D277" s="38" t="str">
        <f aca="false">IF($C277="","",Recurring!$C$22)</f>
        <v/>
      </c>
      <c r="E277" s="76" t="str">
        <f aca="false">IF($C277="","",Recurring!$D$22)</f>
        <v/>
      </c>
      <c r="F277" s="77"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77" t="str">
        <f aca="false">IF($F277="","",IF(Recurring!$G$22="Move Before",IF(WEEKDAY($F277,2)=6,$F277-1,IF(WEEKDAY($F277,2)=7,$F277-2,$F277)),IF(Recurring!$G$22="Move After",IF(WEEKDAY($F277,2)=6,$F277+2,IF(WEEKDAY($F277,2)=7,$F277+1,$F277)),$F277)))</f>
        <v/>
      </c>
      <c r="H277" s="78" t="n">
        <f aca="false">IF($G277="",0,IF(AND($G277&gt;='Cash Flow'!$E$6,$G277&lt;'Cash Flow'!$E$6+91),1,0))</f>
        <v>0</v>
      </c>
      <c r="I277" s="78" t="str">
        <f aca="false">IF($H277=1,MAX(1,INT(($G277-'Cash Flow'!$E$6)/7)+1),"")</f>
        <v/>
      </c>
      <c r="J277" s="38" t="str">
        <f aca="false">IF($H277=1,$G277*10000+ROW(),"")</f>
        <v/>
      </c>
      <c r="K277" s="38" t="str">
        <f aca="false">IF($H277=1,$I277*1000+COUNTIFS($I$4:$I$483,$I277,$J$4:$J$483,"&lt;"&amp;$J277)+1,"")</f>
        <v/>
      </c>
    </row>
    <row r="278" customFormat="false" ht="15" hidden="false" customHeight="false" outlineLevel="0" collapsed="false">
      <c r="A278" s="46" t="n">
        <v>18</v>
      </c>
      <c r="B278" s="46" t="n">
        <v>3</v>
      </c>
      <c r="C278" s="38" t="str">
        <f aca="false">IF(OR(Recurring!$B$22="",Recurring!$H$22&lt;&gt;"Yes",Recurring!$D$22=""),"",Recurring!$B$22)</f>
        <v/>
      </c>
      <c r="D278" s="38" t="str">
        <f aca="false">IF($C278="","",Recurring!$C$22)</f>
        <v/>
      </c>
      <c r="E278" s="76" t="str">
        <f aca="false">IF($C278="","",Recurring!$D$22)</f>
        <v/>
      </c>
      <c r="F278" s="77"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77" t="str">
        <f aca="false">IF($F278="","",IF(Recurring!$G$22="Move Before",IF(WEEKDAY($F278,2)=6,$F278-1,IF(WEEKDAY($F278,2)=7,$F278-2,$F278)),IF(Recurring!$G$22="Move After",IF(WEEKDAY($F278,2)=6,$F278+2,IF(WEEKDAY($F278,2)=7,$F278+1,$F278)),$F278)))</f>
        <v/>
      </c>
      <c r="H278" s="78" t="n">
        <f aca="false">IF($G278="",0,IF(AND($G278&gt;='Cash Flow'!$E$6,$G278&lt;'Cash Flow'!$E$6+91),1,0))</f>
        <v>0</v>
      </c>
      <c r="I278" s="78" t="str">
        <f aca="false">IF($H278=1,MAX(1,INT(($G278-'Cash Flow'!$E$6)/7)+1),"")</f>
        <v/>
      </c>
      <c r="J278" s="38" t="str">
        <f aca="false">IF($H278=1,$G278*10000+ROW(),"")</f>
        <v/>
      </c>
      <c r="K278" s="38" t="str">
        <f aca="false">IF($H278=1,$I278*1000+COUNTIFS($I$4:$I$483,$I278,$J$4:$J$483,"&lt;"&amp;$J278)+1,"")</f>
        <v/>
      </c>
    </row>
    <row r="279" customFormat="false" ht="15" hidden="false" customHeight="false" outlineLevel="0" collapsed="false">
      <c r="A279" s="46" t="n">
        <v>18</v>
      </c>
      <c r="B279" s="46" t="n">
        <v>4</v>
      </c>
      <c r="C279" s="38" t="str">
        <f aca="false">IF(OR(Recurring!$B$22="",Recurring!$H$22&lt;&gt;"Yes",Recurring!$D$22=""),"",Recurring!$B$22)</f>
        <v/>
      </c>
      <c r="D279" s="38" t="str">
        <f aca="false">IF($C279="","",Recurring!$C$22)</f>
        <v/>
      </c>
      <c r="E279" s="76" t="str">
        <f aca="false">IF($C279="","",Recurring!$D$22)</f>
        <v/>
      </c>
      <c r="F279" s="77"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77" t="str">
        <f aca="false">IF($F279="","",IF(Recurring!$G$22="Move Before",IF(WEEKDAY($F279,2)=6,$F279-1,IF(WEEKDAY($F279,2)=7,$F279-2,$F279)),IF(Recurring!$G$22="Move After",IF(WEEKDAY($F279,2)=6,$F279+2,IF(WEEKDAY($F279,2)=7,$F279+1,$F279)),$F279)))</f>
        <v/>
      </c>
      <c r="H279" s="78" t="n">
        <f aca="false">IF($G279="",0,IF(AND($G279&gt;='Cash Flow'!$E$6,$G279&lt;'Cash Flow'!$E$6+91),1,0))</f>
        <v>0</v>
      </c>
      <c r="I279" s="78" t="str">
        <f aca="false">IF($H279=1,MAX(1,INT(($G279-'Cash Flow'!$E$6)/7)+1),"")</f>
        <v/>
      </c>
      <c r="J279" s="38" t="str">
        <f aca="false">IF($H279=1,$G279*10000+ROW(),"")</f>
        <v/>
      </c>
      <c r="K279" s="38" t="str">
        <f aca="false">IF($H279=1,$I279*1000+COUNTIFS($I$4:$I$483,$I279,$J$4:$J$483,"&lt;"&amp;$J279)+1,"")</f>
        <v/>
      </c>
    </row>
    <row r="280" customFormat="false" ht="15" hidden="false" customHeight="false" outlineLevel="0" collapsed="false">
      <c r="A280" s="46" t="n">
        <v>18</v>
      </c>
      <c r="B280" s="46" t="n">
        <v>5</v>
      </c>
      <c r="C280" s="38" t="str">
        <f aca="false">IF(OR(Recurring!$B$22="",Recurring!$H$22&lt;&gt;"Yes",Recurring!$D$22=""),"",Recurring!$B$22)</f>
        <v/>
      </c>
      <c r="D280" s="38" t="str">
        <f aca="false">IF($C280="","",Recurring!$C$22)</f>
        <v/>
      </c>
      <c r="E280" s="76" t="str">
        <f aca="false">IF($C280="","",Recurring!$D$22)</f>
        <v/>
      </c>
      <c r="F280" s="77"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77" t="str">
        <f aca="false">IF($F280="","",IF(Recurring!$G$22="Move Before",IF(WEEKDAY($F280,2)=6,$F280-1,IF(WEEKDAY($F280,2)=7,$F280-2,$F280)),IF(Recurring!$G$22="Move After",IF(WEEKDAY($F280,2)=6,$F280+2,IF(WEEKDAY($F280,2)=7,$F280+1,$F280)),$F280)))</f>
        <v/>
      </c>
      <c r="H280" s="78" t="n">
        <f aca="false">IF($G280="",0,IF(AND($G280&gt;='Cash Flow'!$E$6,$G280&lt;'Cash Flow'!$E$6+91),1,0))</f>
        <v>0</v>
      </c>
      <c r="I280" s="78" t="str">
        <f aca="false">IF($H280=1,MAX(1,INT(($G280-'Cash Flow'!$E$6)/7)+1),"")</f>
        <v/>
      </c>
      <c r="J280" s="38" t="str">
        <f aca="false">IF($H280=1,$G280*10000+ROW(),"")</f>
        <v/>
      </c>
      <c r="K280" s="38" t="str">
        <f aca="false">IF($H280=1,$I280*1000+COUNTIFS($I$4:$I$483,$I280,$J$4:$J$483,"&lt;"&amp;$J280)+1,"")</f>
        <v/>
      </c>
    </row>
    <row r="281" customFormat="false" ht="15" hidden="false" customHeight="false" outlineLevel="0" collapsed="false">
      <c r="A281" s="46" t="n">
        <v>18</v>
      </c>
      <c r="B281" s="46" t="n">
        <v>6</v>
      </c>
      <c r="C281" s="38" t="str">
        <f aca="false">IF(OR(Recurring!$B$22="",Recurring!$H$22&lt;&gt;"Yes",Recurring!$D$22=""),"",Recurring!$B$22)</f>
        <v/>
      </c>
      <c r="D281" s="38" t="str">
        <f aca="false">IF($C281="","",Recurring!$C$22)</f>
        <v/>
      </c>
      <c r="E281" s="76" t="str">
        <f aca="false">IF($C281="","",Recurring!$D$22)</f>
        <v/>
      </c>
      <c r="F281" s="77"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77" t="str">
        <f aca="false">IF($F281="","",IF(Recurring!$G$22="Move Before",IF(WEEKDAY($F281,2)=6,$F281-1,IF(WEEKDAY($F281,2)=7,$F281-2,$F281)),IF(Recurring!$G$22="Move After",IF(WEEKDAY($F281,2)=6,$F281+2,IF(WEEKDAY($F281,2)=7,$F281+1,$F281)),$F281)))</f>
        <v/>
      </c>
      <c r="H281" s="78" t="n">
        <f aca="false">IF($G281="",0,IF(AND($G281&gt;='Cash Flow'!$E$6,$G281&lt;'Cash Flow'!$E$6+91),1,0))</f>
        <v>0</v>
      </c>
      <c r="I281" s="78" t="str">
        <f aca="false">IF($H281=1,MAX(1,INT(($G281-'Cash Flow'!$E$6)/7)+1),"")</f>
        <v/>
      </c>
      <c r="J281" s="38" t="str">
        <f aca="false">IF($H281=1,$G281*10000+ROW(),"")</f>
        <v/>
      </c>
      <c r="K281" s="38" t="str">
        <f aca="false">IF($H281=1,$I281*1000+COUNTIFS($I$4:$I$483,$I281,$J$4:$J$483,"&lt;"&amp;$J281)+1,"")</f>
        <v/>
      </c>
    </row>
    <row r="282" customFormat="false" ht="15" hidden="false" customHeight="false" outlineLevel="0" collapsed="false">
      <c r="A282" s="46" t="n">
        <v>18</v>
      </c>
      <c r="B282" s="46" t="n">
        <v>7</v>
      </c>
      <c r="C282" s="38" t="str">
        <f aca="false">IF(OR(Recurring!$B$22="",Recurring!$H$22&lt;&gt;"Yes",Recurring!$D$22=""),"",Recurring!$B$22)</f>
        <v/>
      </c>
      <c r="D282" s="38" t="str">
        <f aca="false">IF($C282="","",Recurring!$C$22)</f>
        <v/>
      </c>
      <c r="E282" s="76" t="str">
        <f aca="false">IF($C282="","",Recurring!$D$22)</f>
        <v/>
      </c>
      <c r="F282" s="77"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77" t="str">
        <f aca="false">IF($F282="","",IF(Recurring!$G$22="Move Before",IF(WEEKDAY($F282,2)=6,$F282-1,IF(WEEKDAY($F282,2)=7,$F282-2,$F282)),IF(Recurring!$G$22="Move After",IF(WEEKDAY($F282,2)=6,$F282+2,IF(WEEKDAY($F282,2)=7,$F282+1,$F282)),$F282)))</f>
        <v/>
      </c>
      <c r="H282" s="78" t="n">
        <f aca="false">IF($G282="",0,IF(AND($G282&gt;='Cash Flow'!$E$6,$G282&lt;'Cash Flow'!$E$6+91),1,0))</f>
        <v>0</v>
      </c>
      <c r="I282" s="78" t="str">
        <f aca="false">IF($H282=1,MAX(1,INT(($G282-'Cash Flow'!$E$6)/7)+1),"")</f>
        <v/>
      </c>
      <c r="J282" s="38" t="str">
        <f aca="false">IF($H282=1,$G282*10000+ROW(),"")</f>
        <v/>
      </c>
      <c r="K282" s="38" t="str">
        <f aca="false">IF($H282=1,$I282*1000+COUNTIFS($I$4:$I$483,$I282,$J$4:$J$483,"&lt;"&amp;$J282)+1,"")</f>
        <v/>
      </c>
    </row>
    <row r="283" customFormat="false" ht="15" hidden="false" customHeight="false" outlineLevel="0" collapsed="false">
      <c r="A283" s="46" t="n">
        <v>18</v>
      </c>
      <c r="B283" s="46" t="n">
        <v>8</v>
      </c>
      <c r="C283" s="38" t="str">
        <f aca="false">IF(OR(Recurring!$B$22="",Recurring!$H$22&lt;&gt;"Yes",Recurring!$D$22=""),"",Recurring!$B$22)</f>
        <v/>
      </c>
      <c r="D283" s="38" t="str">
        <f aca="false">IF($C283="","",Recurring!$C$22)</f>
        <v/>
      </c>
      <c r="E283" s="76" t="str">
        <f aca="false">IF($C283="","",Recurring!$D$22)</f>
        <v/>
      </c>
      <c r="F283" s="77"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77" t="str">
        <f aca="false">IF($F283="","",IF(Recurring!$G$22="Move Before",IF(WEEKDAY($F283,2)=6,$F283-1,IF(WEEKDAY($F283,2)=7,$F283-2,$F283)),IF(Recurring!$G$22="Move After",IF(WEEKDAY($F283,2)=6,$F283+2,IF(WEEKDAY($F283,2)=7,$F283+1,$F283)),$F283)))</f>
        <v/>
      </c>
      <c r="H283" s="78" t="n">
        <f aca="false">IF($G283="",0,IF(AND($G283&gt;='Cash Flow'!$E$6,$G283&lt;'Cash Flow'!$E$6+91),1,0))</f>
        <v>0</v>
      </c>
      <c r="I283" s="78" t="str">
        <f aca="false">IF($H283=1,MAX(1,INT(($G283-'Cash Flow'!$E$6)/7)+1),"")</f>
        <v/>
      </c>
      <c r="J283" s="38" t="str">
        <f aca="false">IF($H283=1,$G283*10000+ROW(),"")</f>
        <v/>
      </c>
      <c r="K283" s="38" t="str">
        <f aca="false">IF($H283=1,$I283*1000+COUNTIFS($I$4:$I$483,$I283,$J$4:$J$483,"&lt;"&amp;$J283)+1,"")</f>
        <v/>
      </c>
    </row>
    <row r="284" customFormat="false" ht="15" hidden="false" customHeight="false" outlineLevel="0" collapsed="false">
      <c r="A284" s="46" t="n">
        <v>18</v>
      </c>
      <c r="B284" s="46" t="n">
        <v>9</v>
      </c>
      <c r="C284" s="38" t="str">
        <f aca="false">IF(OR(Recurring!$B$22="",Recurring!$H$22&lt;&gt;"Yes",Recurring!$D$22=""),"",Recurring!$B$22)</f>
        <v/>
      </c>
      <c r="D284" s="38" t="str">
        <f aca="false">IF($C284="","",Recurring!$C$22)</f>
        <v/>
      </c>
      <c r="E284" s="76" t="str">
        <f aca="false">IF($C284="","",Recurring!$D$22)</f>
        <v/>
      </c>
      <c r="F284" s="77"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77" t="str">
        <f aca="false">IF($F284="","",IF(Recurring!$G$22="Move Before",IF(WEEKDAY($F284,2)=6,$F284-1,IF(WEEKDAY($F284,2)=7,$F284-2,$F284)),IF(Recurring!$G$22="Move After",IF(WEEKDAY($F284,2)=6,$F284+2,IF(WEEKDAY($F284,2)=7,$F284+1,$F284)),$F284)))</f>
        <v/>
      </c>
      <c r="H284" s="78" t="n">
        <f aca="false">IF($G284="",0,IF(AND($G284&gt;='Cash Flow'!$E$6,$G284&lt;'Cash Flow'!$E$6+91),1,0))</f>
        <v>0</v>
      </c>
      <c r="I284" s="78" t="str">
        <f aca="false">IF($H284=1,MAX(1,INT(($G284-'Cash Flow'!$E$6)/7)+1),"")</f>
        <v/>
      </c>
      <c r="J284" s="38" t="str">
        <f aca="false">IF($H284=1,$G284*10000+ROW(),"")</f>
        <v/>
      </c>
      <c r="K284" s="38" t="str">
        <f aca="false">IF($H284=1,$I284*1000+COUNTIFS($I$4:$I$483,$I284,$J$4:$J$483,"&lt;"&amp;$J284)+1,"")</f>
        <v/>
      </c>
    </row>
    <row r="285" customFormat="false" ht="15" hidden="false" customHeight="false" outlineLevel="0" collapsed="false">
      <c r="A285" s="46" t="n">
        <v>18</v>
      </c>
      <c r="B285" s="46" t="n">
        <v>10</v>
      </c>
      <c r="C285" s="38" t="str">
        <f aca="false">IF(OR(Recurring!$B$22="",Recurring!$H$22&lt;&gt;"Yes",Recurring!$D$22=""),"",Recurring!$B$22)</f>
        <v/>
      </c>
      <c r="D285" s="38" t="str">
        <f aca="false">IF($C285="","",Recurring!$C$22)</f>
        <v/>
      </c>
      <c r="E285" s="76" t="str">
        <f aca="false">IF($C285="","",Recurring!$D$22)</f>
        <v/>
      </c>
      <c r="F285" s="77"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77" t="str">
        <f aca="false">IF($F285="","",IF(Recurring!$G$22="Move Before",IF(WEEKDAY($F285,2)=6,$F285-1,IF(WEEKDAY($F285,2)=7,$F285-2,$F285)),IF(Recurring!$G$22="Move After",IF(WEEKDAY($F285,2)=6,$F285+2,IF(WEEKDAY($F285,2)=7,$F285+1,$F285)),$F285)))</f>
        <v/>
      </c>
      <c r="H285" s="78" t="n">
        <f aca="false">IF($G285="",0,IF(AND($G285&gt;='Cash Flow'!$E$6,$G285&lt;'Cash Flow'!$E$6+91),1,0))</f>
        <v>0</v>
      </c>
      <c r="I285" s="78" t="str">
        <f aca="false">IF($H285=1,MAX(1,INT(($G285-'Cash Flow'!$E$6)/7)+1),"")</f>
        <v/>
      </c>
      <c r="J285" s="38" t="str">
        <f aca="false">IF($H285=1,$G285*10000+ROW(),"")</f>
        <v/>
      </c>
      <c r="K285" s="38" t="str">
        <f aca="false">IF($H285=1,$I285*1000+COUNTIFS($I$4:$I$483,$I285,$J$4:$J$483,"&lt;"&amp;$J285)+1,"")</f>
        <v/>
      </c>
    </row>
    <row r="286" customFormat="false" ht="15" hidden="false" customHeight="false" outlineLevel="0" collapsed="false">
      <c r="A286" s="46" t="n">
        <v>18</v>
      </c>
      <c r="B286" s="46" t="n">
        <v>11</v>
      </c>
      <c r="C286" s="38" t="str">
        <f aca="false">IF(OR(Recurring!$B$22="",Recurring!$H$22&lt;&gt;"Yes",Recurring!$D$22=""),"",Recurring!$B$22)</f>
        <v/>
      </c>
      <c r="D286" s="38" t="str">
        <f aca="false">IF($C286="","",Recurring!$C$22)</f>
        <v/>
      </c>
      <c r="E286" s="76" t="str">
        <f aca="false">IF($C286="","",Recurring!$D$22)</f>
        <v/>
      </c>
      <c r="F286" s="77"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77" t="str">
        <f aca="false">IF($F286="","",IF(Recurring!$G$22="Move Before",IF(WEEKDAY($F286,2)=6,$F286-1,IF(WEEKDAY($F286,2)=7,$F286-2,$F286)),IF(Recurring!$G$22="Move After",IF(WEEKDAY($F286,2)=6,$F286+2,IF(WEEKDAY($F286,2)=7,$F286+1,$F286)),$F286)))</f>
        <v/>
      </c>
      <c r="H286" s="78" t="n">
        <f aca="false">IF($G286="",0,IF(AND($G286&gt;='Cash Flow'!$E$6,$G286&lt;'Cash Flow'!$E$6+91),1,0))</f>
        <v>0</v>
      </c>
      <c r="I286" s="78" t="str">
        <f aca="false">IF($H286=1,MAX(1,INT(($G286-'Cash Flow'!$E$6)/7)+1),"")</f>
        <v/>
      </c>
      <c r="J286" s="38" t="str">
        <f aca="false">IF($H286=1,$G286*10000+ROW(),"")</f>
        <v/>
      </c>
      <c r="K286" s="38" t="str">
        <f aca="false">IF($H286=1,$I286*1000+COUNTIFS($I$4:$I$483,$I286,$J$4:$J$483,"&lt;"&amp;$J286)+1,"")</f>
        <v/>
      </c>
    </row>
    <row r="287" customFormat="false" ht="15" hidden="false" customHeight="false" outlineLevel="0" collapsed="false">
      <c r="A287" s="46" t="n">
        <v>18</v>
      </c>
      <c r="B287" s="46" t="n">
        <v>12</v>
      </c>
      <c r="C287" s="38" t="str">
        <f aca="false">IF(OR(Recurring!$B$22="",Recurring!$H$22&lt;&gt;"Yes",Recurring!$D$22=""),"",Recurring!$B$22)</f>
        <v/>
      </c>
      <c r="D287" s="38" t="str">
        <f aca="false">IF($C287="","",Recurring!$C$22)</f>
        <v/>
      </c>
      <c r="E287" s="76" t="str">
        <f aca="false">IF($C287="","",Recurring!$D$22)</f>
        <v/>
      </c>
      <c r="F287" s="77"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77" t="str">
        <f aca="false">IF($F287="","",IF(Recurring!$G$22="Move Before",IF(WEEKDAY($F287,2)=6,$F287-1,IF(WEEKDAY($F287,2)=7,$F287-2,$F287)),IF(Recurring!$G$22="Move After",IF(WEEKDAY($F287,2)=6,$F287+2,IF(WEEKDAY($F287,2)=7,$F287+1,$F287)),$F287)))</f>
        <v/>
      </c>
      <c r="H287" s="78" t="n">
        <f aca="false">IF($G287="",0,IF(AND($G287&gt;='Cash Flow'!$E$6,$G287&lt;'Cash Flow'!$E$6+91),1,0))</f>
        <v>0</v>
      </c>
      <c r="I287" s="78" t="str">
        <f aca="false">IF($H287=1,MAX(1,INT(($G287-'Cash Flow'!$E$6)/7)+1),"")</f>
        <v/>
      </c>
      <c r="J287" s="38" t="str">
        <f aca="false">IF($H287=1,$G287*10000+ROW(),"")</f>
        <v/>
      </c>
      <c r="K287" s="38" t="str">
        <f aca="false">IF($H287=1,$I287*1000+COUNTIFS($I$4:$I$483,$I287,$J$4:$J$483,"&lt;"&amp;$J287)+1,"")</f>
        <v/>
      </c>
    </row>
    <row r="288" customFormat="false" ht="15" hidden="false" customHeight="false" outlineLevel="0" collapsed="false">
      <c r="A288" s="46" t="n">
        <v>18</v>
      </c>
      <c r="B288" s="46" t="n">
        <v>13</v>
      </c>
      <c r="C288" s="38" t="str">
        <f aca="false">IF(OR(Recurring!$B$22="",Recurring!$H$22&lt;&gt;"Yes",Recurring!$D$22=""),"",Recurring!$B$22)</f>
        <v/>
      </c>
      <c r="D288" s="38" t="str">
        <f aca="false">IF($C288="","",Recurring!$C$22)</f>
        <v/>
      </c>
      <c r="E288" s="76" t="str">
        <f aca="false">IF($C288="","",Recurring!$D$22)</f>
        <v/>
      </c>
      <c r="F288" s="77"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77" t="str">
        <f aca="false">IF($F288="","",IF(Recurring!$G$22="Move Before",IF(WEEKDAY($F288,2)=6,$F288-1,IF(WEEKDAY($F288,2)=7,$F288-2,$F288)),IF(Recurring!$G$22="Move After",IF(WEEKDAY($F288,2)=6,$F288+2,IF(WEEKDAY($F288,2)=7,$F288+1,$F288)),$F288)))</f>
        <v/>
      </c>
      <c r="H288" s="78" t="n">
        <f aca="false">IF($G288="",0,IF(AND($G288&gt;='Cash Flow'!$E$6,$G288&lt;'Cash Flow'!$E$6+91),1,0))</f>
        <v>0</v>
      </c>
      <c r="I288" s="78" t="str">
        <f aca="false">IF($H288=1,MAX(1,INT(($G288-'Cash Flow'!$E$6)/7)+1),"")</f>
        <v/>
      </c>
      <c r="J288" s="38" t="str">
        <f aca="false">IF($H288=1,$G288*10000+ROW(),"")</f>
        <v/>
      </c>
      <c r="K288" s="38" t="str">
        <f aca="false">IF($H288=1,$I288*1000+COUNTIFS($I$4:$I$483,$I288,$J$4:$J$483,"&lt;"&amp;$J288)+1,"")</f>
        <v/>
      </c>
    </row>
    <row r="289" customFormat="false" ht="15" hidden="false" customHeight="false" outlineLevel="0" collapsed="false">
      <c r="A289" s="46" t="n">
        <v>18</v>
      </c>
      <c r="B289" s="46" t="n">
        <v>14</v>
      </c>
      <c r="C289" s="38" t="str">
        <f aca="false">IF(OR(Recurring!$B$22="",Recurring!$H$22&lt;&gt;"Yes",Recurring!$D$22=""),"",Recurring!$B$22)</f>
        <v/>
      </c>
      <c r="D289" s="38" t="str">
        <f aca="false">IF($C289="","",Recurring!$C$22)</f>
        <v/>
      </c>
      <c r="E289" s="76" t="str">
        <f aca="false">IF($C289="","",Recurring!$D$22)</f>
        <v/>
      </c>
      <c r="F289" s="77"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77" t="str">
        <f aca="false">IF($F289="","",IF(Recurring!$G$22="Move Before",IF(WEEKDAY($F289,2)=6,$F289-1,IF(WEEKDAY($F289,2)=7,$F289-2,$F289)),IF(Recurring!$G$22="Move After",IF(WEEKDAY($F289,2)=6,$F289+2,IF(WEEKDAY($F289,2)=7,$F289+1,$F289)),$F289)))</f>
        <v/>
      </c>
      <c r="H289" s="78" t="n">
        <f aca="false">IF($G289="",0,IF(AND($G289&gt;='Cash Flow'!$E$6,$G289&lt;'Cash Flow'!$E$6+91),1,0))</f>
        <v>0</v>
      </c>
      <c r="I289" s="78" t="str">
        <f aca="false">IF($H289=1,MAX(1,INT(($G289-'Cash Flow'!$E$6)/7)+1),"")</f>
        <v/>
      </c>
      <c r="J289" s="38" t="str">
        <f aca="false">IF($H289=1,$G289*10000+ROW(),"")</f>
        <v/>
      </c>
      <c r="K289" s="38" t="str">
        <f aca="false">IF($H289=1,$I289*1000+COUNTIFS($I$4:$I$483,$I289,$J$4:$J$483,"&lt;"&amp;$J289)+1,"")</f>
        <v/>
      </c>
    </row>
    <row r="290" customFormat="false" ht="15" hidden="false" customHeight="false" outlineLevel="0" collapsed="false">
      <c r="A290" s="46" t="n">
        <v>18</v>
      </c>
      <c r="B290" s="46" t="n">
        <v>15</v>
      </c>
      <c r="C290" s="38" t="str">
        <f aca="false">IF(OR(Recurring!$B$22="",Recurring!$H$22&lt;&gt;"Yes",Recurring!$D$22=""),"",Recurring!$B$22)</f>
        <v/>
      </c>
      <c r="D290" s="38" t="str">
        <f aca="false">IF($C290="","",Recurring!$C$22)</f>
        <v/>
      </c>
      <c r="E290" s="76" t="str">
        <f aca="false">IF($C290="","",Recurring!$D$22)</f>
        <v/>
      </c>
      <c r="F290" s="77"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77" t="str">
        <f aca="false">IF($F290="","",IF(Recurring!$G$22="Move Before",IF(WEEKDAY($F290,2)=6,$F290-1,IF(WEEKDAY($F290,2)=7,$F290-2,$F290)),IF(Recurring!$G$22="Move After",IF(WEEKDAY($F290,2)=6,$F290+2,IF(WEEKDAY($F290,2)=7,$F290+1,$F290)),$F290)))</f>
        <v/>
      </c>
      <c r="H290" s="78" t="n">
        <f aca="false">IF($G290="",0,IF(AND($G290&gt;='Cash Flow'!$E$6,$G290&lt;'Cash Flow'!$E$6+91),1,0))</f>
        <v>0</v>
      </c>
      <c r="I290" s="78" t="str">
        <f aca="false">IF($H290=1,MAX(1,INT(($G290-'Cash Flow'!$E$6)/7)+1),"")</f>
        <v/>
      </c>
      <c r="J290" s="38" t="str">
        <f aca="false">IF($H290=1,$G290*10000+ROW(),"")</f>
        <v/>
      </c>
      <c r="K290" s="38" t="str">
        <f aca="false">IF($H290=1,$I290*1000+COUNTIFS($I$4:$I$483,$I290,$J$4:$J$483,"&lt;"&amp;$J290)+1,"")</f>
        <v/>
      </c>
    </row>
    <row r="291" customFormat="false" ht="15" hidden="false" customHeight="false" outlineLevel="0" collapsed="false">
      <c r="A291" s="46" t="n">
        <v>18</v>
      </c>
      <c r="B291" s="46" t="n">
        <v>16</v>
      </c>
      <c r="C291" s="38" t="str">
        <f aca="false">IF(OR(Recurring!$B$22="",Recurring!$H$22&lt;&gt;"Yes",Recurring!$D$22=""),"",Recurring!$B$22)</f>
        <v/>
      </c>
      <c r="D291" s="38" t="str">
        <f aca="false">IF($C291="","",Recurring!$C$22)</f>
        <v/>
      </c>
      <c r="E291" s="76" t="str">
        <f aca="false">IF($C291="","",Recurring!$D$22)</f>
        <v/>
      </c>
      <c r="F291" s="77"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77" t="str">
        <f aca="false">IF($F291="","",IF(Recurring!$G$22="Move Before",IF(WEEKDAY($F291,2)=6,$F291-1,IF(WEEKDAY($F291,2)=7,$F291-2,$F291)),IF(Recurring!$G$22="Move After",IF(WEEKDAY($F291,2)=6,$F291+2,IF(WEEKDAY($F291,2)=7,$F291+1,$F291)),$F291)))</f>
        <v/>
      </c>
      <c r="H291" s="78" t="n">
        <f aca="false">IF($G291="",0,IF(AND($G291&gt;='Cash Flow'!$E$6,$G291&lt;'Cash Flow'!$E$6+91),1,0))</f>
        <v>0</v>
      </c>
      <c r="I291" s="78" t="str">
        <f aca="false">IF($H291=1,MAX(1,INT(($G291-'Cash Flow'!$E$6)/7)+1),"")</f>
        <v/>
      </c>
      <c r="J291" s="38" t="str">
        <f aca="false">IF($H291=1,$G291*10000+ROW(),"")</f>
        <v/>
      </c>
      <c r="K291" s="38" t="str">
        <f aca="false">IF($H291=1,$I291*1000+COUNTIFS($I$4:$I$483,$I291,$J$4:$J$483,"&lt;"&amp;$J291)+1,"")</f>
        <v/>
      </c>
    </row>
    <row r="292" customFormat="false" ht="15" hidden="false" customHeight="false" outlineLevel="0" collapsed="false">
      <c r="A292" s="46" t="n">
        <v>19</v>
      </c>
      <c r="B292" s="46" t="n">
        <v>1</v>
      </c>
      <c r="C292" s="38" t="str">
        <f aca="false">IF(OR(Recurring!$B$23="",Recurring!$H$23&lt;&gt;"Yes",Recurring!$D$23=""),"",Recurring!$B$23)</f>
        <v/>
      </c>
      <c r="D292" s="38" t="str">
        <f aca="false">IF($C292="","",Recurring!$C$23)</f>
        <v/>
      </c>
      <c r="E292" s="76" t="str">
        <f aca="false">IF($C292="","",Recurring!$D$23)</f>
        <v/>
      </c>
      <c r="F292" s="77"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77" t="str">
        <f aca="false">IF($F292="","",IF(Recurring!$G$23="Move Before",IF(WEEKDAY($F292,2)=6,$F292-1,IF(WEEKDAY($F292,2)=7,$F292-2,$F292)),IF(Recurring!$G$23="Move After",IF(WEEKDAY($F292,2)=6,$F292+2,IF(WEEKDAY($F292,2)=7,$F292+1,$F292)),$F292)))</f>
        <v/>
      </c>
      <c r="H292" s="78" t="n">
        <f aca="false">IF($G292="",0,IF(AND($G292&gt;='Cash Flow'!$E$6-90,$G292&lt;'Cash Flow'!$E$6+91),1,0))</f>
        <v>0</v>
      </c>
      <c r="I292" s="78" t="str">
        <f aca="false">IF($H292=1,MAX(1,INT(($G292-'Cash Flow'!$E$6)/7)+1),"")</f>
        <v/>
      </c>
      <c r="J292" s="38" t="str">
        <f aca="false">IF($H292=1,$G292*10000+ROW(),"")</f>
        <v/>
      </c>
      <c r="K292" s="38" t="str">
        <f aca="false">IF($H292=1,$I292*1000+COUNTIFS($I$4:$I$483,$I292,$J$4:$J$483,"&lt;"&amp;$J292)+1,"")</f>
        <v/>
      </c>
    </row>
    <row r="293" customFormat="false" ht="15" hidden="false" customHeight="false" outlineLevel="0" collapsed="false">
      <c r="A293" s="46" t="n">
        <v>19</v>
      </c>
      <c r="B293" s="46" t="n">
        <v>2</v>
      </c>
      <c r="C293" s="38" t="str">
        <f aca="false">IF(OR(Recurring!$B$23="",Recurring!$H$23&lt;&gt;"Yes",Recurring!$D$23=""),"",Recurring!$B$23)</f>
        <v/>
      </c>
      <c r="D293" s="38" t="str">
        <f aca="false">IF($C293="","",Recurring!$C$23)</f>
        <v/>
      </c>
      <c r="E293" s="76" t="str">
        <f aca="false">IF($C293="","",Recurring!$D$23)</f>
        <v/>
      </c>
      <c r="F293" s="77"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77" t="str">
        <f aca="false">IF($F293="","",IF(Recurring!$G$23="Move Before",IF(WEEKDAY($F293,2)=6,$F293-1,IF(WEEKDAY($F293,2)=7,$F293-2,$F293)),IF(Recurring!$G$23="Move After",IF(WEEKDAY($F293,2)=6,$F293+2,IF(WEEKDAY($F293,2)=7,$F293+1,$F293)),$F293)))</f>
        <v/>
      </c>
      <c r="H293" s="78" t="n">
        <f aca="false">IF($G293="",0,IF(AND($G293&gt;='Cash Flow'!$E$6,$G293&lt;'Cash Flow'!$E$6+91),1,0))</f>
        <v>0</v>
      </c>
      <c r="I293" s="78" t="str">
        <f aca="false">IF($H293=1,MAX(1,INT(($G293-'Cash Flow'!$E$6)/7)+1),"")</f>
        <v/>
      </c>
      <c r="J293" s="38" t="str">
        <f aca="false">IF($H293=1,$G293*10000+ROW(),"")</f>
        <v/>
      </c>
      <c r="K293" s="38" t="str">
        <f aca="false">IF($H293=1,$I293*1000+COUNTIFS($I$4:$I$483,$I293,$J$4:$J$483,"&lt;"&amp;$J293)+1,"")</f>
        <v/>
      </c>
    </row>
    <row r="294" customFormat="false" ht="15" hidden="false" customHeight="false" outlineLevel="0" collapsed="false">
      <c r="A294" s="46" t="n">
        <v>19</v>
      </c>
      <c r="B294" s="46" t="n">
        <v>3</v>
      </c>
      <c r="C294" s="38" t="str">
        <f aca="false">IF(OR(Recurring!$B$23="",Recurring!$H$23&lt;&gt;"Yes",Recurring!$D$23=""),"",Recurring!$B$23)</f>
        <v/>
      </c>
      <c r="D294" s="38" t="str">
        <f aca="false">IF($C294="","",Recurring!$C$23)</f>
        <v/>
      </c>
      <c r="E294" s="76" t="str">
        <f aca="false">IF($C294="","",Recurring!$D$23)</f>
        <v/>
      </c>
      <c r="F294" s="77"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77" t="str">
        <f aca="false">IF($F294="","",IF(Recurring!$G$23="Move Before",IF(WEEKDAY($F294,2)=6,$F294-1,IF(WEEKDAY($F294,2)=7,$F294-2,$F294)),IF(Recurring!$G$23="Move After",IF(WEEKDAY($F294,2)=6,$F294+2,IF(WEEKDAY($F294,2)=7,$F294+1,$F294)),$F294)))</f>
        <v/>
      </c>
      <c r="H294" s="78" t="n">
        <f aca="false">IF($G294="",0,IF(AND($G294&gt;='Cash Flow'!$E$6,$G294&lt;'Cash Flow'!$E$6+91),1,0))</f>
        <v>0</v>
      </c>
      <c r="I294" s="78" t="str">
        <f aca="false">IF($H294=1,MAX(1,INT(($G294-'Cash Flow'!$E$6)/7)+1),"")</f>
        <v/>
      </c>
      <c r="J294" s="38" t="str">
        <f aca="false">IF($H294=1,$G294*10000+ROW(),"")</f>
        <v/>
      </c>
      <c r="K294" s="38" t="str">
        <f aca="false">IF($H294=1,$I294*1000+COUNTIFS($I$4:$I$483,$I294,$J$4:$J$483,"&lt;"&amp;$J294)+1,"")</f>
        <v/>
      </c>
    </row>
    <row r="295" customFormat="false" ht="15" hidden="false" customHeight="false" outlineLevel="0" collapsed="false">
      <c r="A295" s="46" t="n">
        <v>19</v>
      </c>
      <c r="B295" s="46" t="n">
        <v>4</v>
      </c>
      <c r="C295" s="38" t="str">
        <f aca="false">IF(OR(Recurring!$B$23="",Recurring!$H$23&lt;&gt;"Yes",Recurring!$D$23=""),"",Recurring!$B$23)</f>
        <v/>
      </c>
      <c r="D295" s="38" t="str">
        <f aca="false">IF($C295="","",Recurring!$C$23)</f>
        <v/>
      </c>
      <c r="E295" s="76" t="str">
        <f aca="false">IF($C295="","",Recurring!$D$23)</f>
        <v/>
      </c>
      <c r="F295" s="77"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77" t="str">
        <f aca="false">IF($F295="","",IF(Recurring!$G$23="Move Before",IF(WEEKDAY($F295,2)=6,$F295-1,IF(WEEKDAY($F295,2)=7,$F295-2,$F295)),IF(Recurring!$G$23="Move After",IF(WEEKDAY($F295,2)=6,$F295+2,IF(WEEKDAY($F295,2)=7,$F295+1,$F295)),$F295)))</f>
        <v/>
      </c>
      <c r="H295" s="78" t="n">
        <f aca="false">IF($G295="",0,IF(AND($G295&gt;='Cash Flow'!$E$6,$G295&lt;'Cash Flow'!$E$6+91),1,0))</f>
        <v>0</v>
      </c>
      <c r="I295" s="78" t="str">
        <f aca="false">IF($H295=1,MAX(1,INT(($G295-'Cash Flow'!$E$6)/7)+1),"")</f>
        <v/>
      </c>
      <c r="J295" s="38" t="str">
        <f aca="false">IF($H295=1,$G295*10000+ROW(),"")</f>
        <v/>
      </c>
      <c r="K295" s="38" t="str">
        <f aca="false">IF($H295=1,$I295*1000+COUNTIFS($I$4:$I$483,$I295,$J$4:$J$483,"&lt;"&amp;$J295)+1,"")</f>
        <v/>
      </c>
    </row>
    <row r="296" customFormat="false" ht="15" hidden="false" customHeight="false" outlineLevel="0" collapsed="false">
      <c r="A296" s="46" t="n">
        <v>19</v>
      </c>
      <c r="B296" s="46" t="n">
        <v>5</v>
      </c>
      <c r="C296" s="38" t="str">
        <f aca="false">IF(OR(Recurring!$B$23="",Recurring!$H$23&lt;&gt;"Yes",Recurring!$D$23=""),"",Recurring!$B$23)</f>
        <v/>
      </c>
      <c r="D296" s="38" t="str">
        <f aca="false">IF($C296="","",Recurring!$C$23)</f>
        <v/>
      </c>
      <c r="E296" s="76" t="str">
        <f aca="false">IF($C296="","",Recurring!$D$23)</f>
        <v/>
      </c>
      <c r="F296" s="77"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77" t="str">
        <f aca="false">IF($F296="","",IF(Recurring!$G$23="Move Before",IF(WEEKDAY($F296,2)=6,$F296-1,IF(WEEKDAY($F296,2)=7,$F296-2,$F296)),IF(Recurring!$G$23="Move After",IF(WEEKDAY($F296,2)=6,$F296+2,IF(WEEKDAY($F296,2)=7,$F296+1,$F296)),$F296)))</f>
        <v/>
      </c>
      <c r="H296" s="78" t="n">
        <f aca="false">IF($G296="",0,IF(AND($G296&gt;='Cash Flow'!$E$6,$G296&lt;'Cash Flow'!$E$6+91),1,0))</f>
        <v>0</v>
      </c>
      <c r="I296" s="78" t="str">
        <f aca="false">IF($H296=1,MAX(1,INT(($G296-'Cash Flow'!$E$6)/7)+1),"")</f>
        <v/>
      </c>
      <c r="J296" s="38" t="str">
        <f aca="false">IF($H296=1,$G296*10000+ROW(),"")</f>
        <v/>
      </c>
      <c r="K296" s="38" t="str">
        <f aca="false">IF($H296=1,$I296*1000+COUNTIFS($I$4:$I$483,$I296,$J$4:$J$483,"&lt;"&amp;$J296)+1,"")</f>
        <v/>
      </c>
    </row>
    <row r="297" customFormat="false" ht="15" hidden="false" customHeight="false" outlineLevel="0" collapsed="false">
      <c r="A297" s="46" t="n">
        <v>19</v>
      </c>
      <c r="B297" s="46" t="n">
        <v>6</v>
      </c>
      <c r="C297" s="38" t="str">
        <f aca="false">IF(OR(Recurring!$B$23="",Recurring!$H$23&lt;&gt;"Yes",Recurring!$D$23=""),"",Recurring!$B$23)</f>
        <v/>
      </c>
      <c r="D297" s="38" t="str">
        <f aca="false">IF($C297="","",Recurring!$C$23)</f>
        <v/>
      </c>
      <c r="E297" s="76" t="str">
        <f aca="false">IF($C297="","",Recurring!$D$23)</f>
        <v/>
      </c>
      <c r="F297" s="77"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77" t="str">
        <f aca="false">IF($F297="","",IF(Recurring!$G$23="Move Before",IF(WEEKDAY($F297,2)=6,$F297-1,IF(WEEKDAY($F297,2)=7,$F297-2,$F297)),IF(Recurring!$G$23="Move After",IF(WEEKDAY($F297,2)=6,$F297+2,IF(WEEKDAY($F297,2)=7,$F297+1,$F297)),$F297)))</f>
        <v/>
      </c>
      <c r="H297" s="78" t="n">
        <f aca="false">IF($G297="",0,IF(AND($G297&gt;='Cash Flow'!$E$6,$G297&lt;'Cash Flow'!$E$6+91),1,0))</f>
        <v>0</v>
      </c>
      <c r="I297" s="78" t="str">
        <f aca="false">IF($H297=1,MAX(1,INT(($G297-'Cash Flow'!$E$6)/7)+1),"")</f>
        <v/>
      </c>
      <c r="J297" s="38" t="str">
        <f aca="false">IF($H297=1,$G297*10000+ROW(),"")</f>
        <v/>
      </c>
      <c r="K297" s="38" t="str">
        <f aca="false">IF($H297=1,$I297*1000+COUNTIFS($I$4:$I$483,$I297,$J$4:$J$483,"&lt;"&amp;$J297)+1,"")</f>
        <v/>
      </c>
    </row>
    <row r="298" customFormat="false" ht="15" hidden="false" customHeight="false" outlineLevel="0" collapsed="false">
      <c r="A298" s="46" t="n">
        <v>19</v>
      </c>
      <c r="B298" s="46" t="n">
        <v>7</v>
      </c>
      <c r="C298" s="38" t="str">
        <f aca="false">IF(OR(Recurring!$B$23="",Recurring!$H$23&lt;&gt;"Yes",Recurring!$D$23=""),"",Recurring!$B$23)</f>
        <v/>
      </c>
      <c r="D298" s="38" t="str">
        <f aca="false">IF($C298="","",Recurring!$C$23)</f>
        <v/>
      </c>
      <c r="E298" s="76" t="str">
        <f aca="false">IF($C298="","",Recurring!$D$23)</f>
        <v/>
      </c>
      <c r="F298" s="77"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77" t="str">
        <f aca="false">IF($F298="","",IF(Recurring!$G$23="Move Before",IF(WEEKDAY($F298,2)=6,$F298-1,IF(WEEKDAY($F298,2)=7,$F298-2,$F298)),IF(Recurring!$G$23="Move After",IF(WEEKDAY($F298,2)=6,$F298+2,IF(WEEKDAY($F298,2)=7,$F298+1,$F298)),$F298)))</f>
        <v/>
      </c>
      <c r="H298" s="78" t="n">
        <f aca="false">IF($G298="",0,IF(AND($G298&gt;='Cash Flow'!$E$6,$G298&lt;'Cash Flow'!$E$6+91),1,0))</f>
        <v>0</v>
      </c>
      <c r="I298" s="78" t="str">
        <f aca="false">IF($H298=1,MAX(1,INT(($G298-'Cash Flow'!$E$6)/7)+1),"")</f>
        <v/>
      </c>
      <c r="J298" s="38" t="str">
        <f aca="false">IF($H298=1,$G298*10000+ROW(),"")</f>
        <v/>
      </c>
      <c r="K298" s="38" t="str">
        <f aca="false">IF($H298=1,$I298*1000+COUNTIFS($I$4:$I$483,$I298,$J$4:$J$483,"&lt;"&amp;$J298)+1,"")</f>
        <v/>
      </c>
    </row>
    <row r="299" customFormat="false" ht="15" hidden="false" customHeight="false" outlineLevel="0" collapsed="false">
      <c r="A299" s="46" t="n">
        <v>19</v>
      </c>
      <c r="B299" s="46" t="n">
        <v>8</v>
      </c>
      <c r="C299" s="38" t="str">
        <f aca="false">IF(OR(Recurring!$B$23="",Recurring!$H$23&lt;&gt;"Yes",Recurring!$D$23=""),"",Recurring!$B$23)</f>
        <v/>
      </c>
      <c r="D299" s="38" t="str">
        <f aca="false">IF($C299="","",Recurring!$C$23)</f>
        <v/>
      </c>
      <c r="E299" s="76" t="str">
        <f aca="false">IF($C299="","",Recurring!$D$23)</f>
        <v/>
      </c>
      <c r="F299" s="77"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77" t="str">
        <f aca="false">IF($F299="","",IF(Recurring!$G$23="Move Before",IF(WEEKDAY($F299,2)=6,$F299-1,IF(WEEKDAY($F299,2)=7,$F299-2,$F299)),IF(Recurring!$G$23="Move After",IF(WEEKDAY($F299,2)=6,$F299+2,IF(WEEKDAY($F299,2)=7,$F299+1,$F299)),$F299)))</f>
        <v/>
      </c>
      <c r="H299" s="78" t="n">
        <f aca="false">IF($G299="",0,IF(AND($G299&gt;='Cash Flow'!$E$6,$G299&lt;'Cash Flow'!$E$6+91),1,0))</f>
        <v>0</v>
      </c>
      <c r="I299" s="78" t="str">
        <f aca="false">IF($H299=1,MAX(1,INT(($G299-'Cash Flow'!$E$6)/7)+1),"")</f>
        <v/>
      </c>
      <c r="J299" s="38" t="str">
        <f aca="false">IF($H299=1,$G299*10000+ROW(),"")</f>
        <v/>
      </c>
      <c r="K299" s="38" t="str">
        <f aca="false">IF($H299=1,$I299*1000+COUNTIFS($I$4:$I$483,$I299,$J$4:$J$483,"&lt;"&amp;$J299)+1,"")</f>
        <v/>
      </c>
    </row>
    <row r="300" customFormat="false" ht="15" hidden="false" customHeight="false" outlineLevel="0" collapsed="false">
      <c r="A300" s="46" t="n">
        <v>19</v>
      </c>
      <c r="B300" s="46" t="n">
        <v>9</v>
      </c>
      <c r="C300" s="38" t="str">
        <f aca="false">IF(OR(Recurring!$B$23="",Recurring!$H$23&lt;&gt;"Yes",Recurring!$D$23=""),"",Recurring!$B$23)</f>
        <v/>
      </c>
      <c r="D300" s="38" t="str">
        <f aca="false">IF($C300="","",Recurring!$C$23)</f>
        <v/>
      </c>
      <c r="E300" s="76" t="str">
        <f aca="false">IF($C300="","",Recurring!$D$23)</f>
        <v/>
      </c>
      <c r="F300" s="77"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77" t="str">
        <f aca="false">IF($F300="","",IF(Recurring!$G$23="Move Before",IF(WEEKDAY($F300,2)=6,$F300-1,IF(WEEKDAY($F300,2)=7,$F300-2,$F300)),IF(Recurring!$G$23="Move After",IF(WEEKDAY($F300,2)=6,$F300+2,IF(WEEKDAY($F300,2)=7,$F300+1,$F300)),$F300)))</f>
        <v/>
      </c>
      <c r="H300" s="78" t="n">
        <f aca="false">IF($G300="",0,IF(AND($G300&gt;='Cash Flow'!$E$6,$G300&lt;'Cash Flow'!$E$6+91),1,0))</f>
        <v>0</v>
      </c>
      <c r="I300" s="78" t="str">
        <f aca="false">IF($H300=1,MAX(1,INT(($G300-'Cash Flow'!$E$6)/7)+1),"")</f>
        <v/>
      </c>
      <c r="J300" s="38" t="str">
        <f aca="false">IF($H300=1,$G300*10000+ROW(),"")</f>
        <v/>
      </c>
      <c r="K300" s="38" t="str">
        <f aca="false">IF($H300=1,$I300*1000+COUNTIFS($I$4:$I$483,$I300,$J$4:$J$483,"&lt;"&amp;$J300)+1,"")</f>
        <v/>
      </c>
    </row>
    <row r="301" customFormat="false" ht="15" hidden="false" customHeight="false" outlineLevel="0" collapsed="false">
      <c r="A301" s="46" t="n">
        <v>19</v>
      </c>
      <c r="B301" s="46" t="n">
        <v>10</v>
      </c>
      <c r="C301" s="38" t="str">
        <f aca="false">IF(OR(Recurring!$B$23="",Recurring!$H$23&lt;&gt;"Yes",Recurring!$D$23=""),"",Recurring!$B$23)</f>
        <v/>
      </c>
      <c r="D301" s="38" t="str">
        <f aca="false">IF($C301="","",Recurring!$C$23)</f>
        <v/>
      </c>
      <c r="E301" s="76" t="str">
        <f aca="false">IF($C301="","",Recurring!$D$23)</f>
        <v/>
      </c>
      <c r="F301" s="77"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77" t="str">
        <f aca="false">IF($F301="","",IF(Recurring!$G$23="Move Before",IF(WEEKDAY($F301,2)=6,$F301-1,IF(WEEKDAY($F301,2)=7,$F301-2,$F301)),IF(Recurring!$G$23="Move After",IF(WEEKDAY($F301,2)=6,$F301+2,IF(WEEKDAY($F301,2)=7,$F301+1,$F301)),$F301)))</f>
        <v/>
      </c>
      <c r="H301" s="78" t="n">
        <f aca="false">IF($G301="",0,IF(AND($G301&gt;='Cash Flow'!$E$6,$G301&lt;'Cash Flow'!$E$6+91),1,0))</f>
        <v>0</v>
      </c>
      <c r="I301" s="78" t="str">
        <f aca="false">IF($H301=1,MAX(1,INT(($G301-'Cash Flow'!$E$6)/7)+1),"")</f>
        <v/>
      </c>
      <c r="J301" s="38" t="str">
        <f aca="false">IF($H301=1,$G301*10000+ROW(),"")</f>
        <v/>
      </c>
      <c r="K301" s="38" t="str">
        <f aca="false">IF($H301=1,$I301*1000+COUNTIFS($I$4:$I$483,$I301,$J$4:$J$483,"&lt;"&amp;$J301)+1,"")</f>
        <v/>
      </c>
    </row>
    <row r="302" customFormat="false" ht="15" hidden="false" customHeight="false" outlineLevel="0" collapsed="false">
      <c r="A302" s="46" t="n">
        <v>19</v>
      </c>
      <c r="B302" s="46" t="n">
        <v>11</v>
      </c>
      <c r="C302" s="38" t="str">
        <f aca="false">IF(OR(Recurring!$B$23="",Recurring!$H$23&lt;&gt;"Yes",Recurring!$D$23=""),"",Recurring!$B$23)</f>
        <v/>
      </c>
      <c r="D302" s="38" t="str">
        <f aca="false">IF($C302="","",Recurring!$C$23)</f>
        <v/>
      </c>
      <c r="E302" s="76" t="str">
        <f aca="false">IF($C302="","",Recurring!$D$23)</f>
        <v/>
      </c>
      <c r="F302" s="77"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77" t="str">
        <f aca="false">IF($F302="","",IF(Recurring!$G$23="Move Before",IF(WEEKDAY($F302,2)=6,$F302-1,IF(WEEKDAY($F302,2)=7,$F302-2,$F302)),IF(Recurring!$G$23="Move After",IF(WEEKDAY($F302,2)=6,$F302+2,IF(WEEKDAY($F302,2)=7,$F302+1,$F302)),$F302)))</f>
        <v/>
      </c>
      <c r="H302" s="78" t="n">
        <f aca="false">IF($G302="",0,IF(AND($G302&gt;='Cash Flow'!$E$6,$G302&lt;'Cash Flow'!$E$6+91),1,0))</f>
        <v>0</v>
      </c>
      <c r="I302" s="78" t="str">
        <f aca="false">IF($H302=1,MAX(1,INT(($G302-'Cash Flow'!$E$6)/7)+1),"")</f>
        <v/>
      </c>
      <c r="J302" s="38" t="str">
        <f aca="false">IF($H302=1,$G302*10000+ROW(),"")</f>
        <v/>
      </c>
      <c r="K302" s="38" t="str">
        <f aca="false">IF($H302=1,$I302*1000+COUNTIFS($I$4:$I$483,$I302,$J$4:$J$483,"&lt;"&amp;$J302)+1,"")</f>
        <v/>
      </c>
    </row>
    <row r="303" customFormat="false" ht="15" hidden="false" customHeight="false" outlineLevel="0" collapsed="false">
      <c r="A303" s="46" t="n">
        <v>19</v>
      </c>
      <c r="B303" s="46" t="n">
        <v>12</v>
      </c>
      <c r="C303" s="38" t="str">
        <f aca="false">IF(OR(Recurring!$B$23="",Recurring!$H$23&lt;&gt;"Yes",Recurring!$D$23=""),"",Recurring!$B$23)</f>
        <v/>
      </c>
      <c r="D303" s="38" t="str">
        <f aca="false">IF($C303="","",Recurring!$C$23)</f>
        <v/>
      </c>
      <c r="E303" s="76" t="str">
        <f aca="false">IF($C303="","",Recurring!$D$23)</f>
        <v/>
      </c>
      <c r="F303" s="77"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77" t="str">
        <f aca="false">IF($F303="","",IF(Recurring!$G$23="Move Before",IF(WEEKDAY($F303,2)=6,$F303-1,IF(WEEKDAY($F303,2)=7,$F303-2,$F303)),IF(Recurring!$G$23="Move After",IF(WEEKDAY($F303,2)=6,$F303+2,IF(WEEKDAY($F303,2)=7,$F303+1,$F303)),$F303)))</f>
        <v/>
      </c>
      <c r="H303" s="78" t="n">
        <f aca="false">IF($G303="",0,IF(AND($G303&gt;='Cash Flow'!$E$6,$G303&lt;'Cash Flow'!$E$6+91),1,0))</f>
        <v>0</v>
      </c>
      <c r="I303" s="78" t="str">
        <f aca="false">IF($H303=1,MAX(1,INT(($G303-'Cash Flow'!$E$6)/7)+1),"")</f>
        <v/>
      </c>
      <c r="J303" s="38" t="str">
        <f aca="false">IF($H303=1,$G303*10000+ROW(),"")</f>
        <v/>
      </c>
      <c r="K303" s="38" t="str">
        <f aca="false">IF($H303=1,$I303*1000+COUNTIFS($I$4:$I$483,$I303,$J$4:$J$483,"&lt;"&amp;$J303)+1,"")</f>
        <v/>
      </c>
    </row>
    <row r="304" customFormat="false" ht="15" hidden="false" customHeight="false" outlineLevel="0" collapsed="false">
      <c r="A304" s="46" t="n">
        <v>19</v>
      </c>
      <c r="B304" s="46" t="n">
        <v>13</v>
      </c>
      <c r="C304" s="38" t="str">
        <f aca="false">IF(OR(Recurring!$B$23="",Recurring!$H$23&lt;&gt;"Yes",Recurring!$D$23=""),"",Recurring!$B$23)</f>
        <v/>
      </c>
      <c r="D304" s="38" t="str">
        <f aca="false">IF($C304="","",Recurring!$C$23)</f>
        <v/>
      </c>
      <c r="E304" s="76" t="str">
        <f aca="false">IF($C304="","",Recurring!$D$23)</f>
        <v/>
      </c>
      <c r="F304" s="77"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77" t="str">
        <f aca="false">IF($F304="","",IF(Recurring!$G$23="Move Before",IF(WEEKDAY($F304,2)=6,$F304-1,IF(WEEKDAY($F304,2)=7,$F304-2,$F304)),IF(Recurring!$G$23="Move After",IF(WEEKDAY($F304,2)=6,$F304+2,IF(WEEKDAY($F304,2)=7,$F304+1,$F304)),$F304)))</f>
        <v/>
      </c>
      <c r="H304" s="78" t="n">
        <f aca="false">IF($G304="",0,IF(AND($G304&gt;='Cash Flow'!$E$6,$G304&lt;'Cash Flow'!$E$6+91),1,0))</f>
        <v>0</v>
      </c>
      <c r="I304" s="78" t="str">
        <f aca="false">IF($H304=1,MAX(1,INT(($G304-'Cash Flow'!$E$6)/7)+1),"")</f>
        <v/>
      </c>
      <c r="J304" s="38" t="str">
        <f aca="false">IF($H304=1,$G304*10000+ROW(),"")</f>
        <v/>
      </c>
      <c r="K304" s="38" t="str">
        <f aca="false">IF($H304=1,$I304*1000+COUNTIFS($I$4:$I$483,$I304,$J$4:$J$483,"&lt;"&amp;$J304)+1,"")</f>
        <v/>
      </c>
    </row>
    <row r="305" customFormat="false" ht="15" hidden="false" customHeight="false" outlineLevel="0" collapsed="false">
      <c r="A305" s="46" t="n">
        <v>19</v>
      </c>
      <c r="B305" s="46" t="n">
        <v>14</v>
      </c>
      <c r="C305" s="38" t="str">
        <f aca="false">IF(OR(Recurring!$B$23="",Recurring!$H$23&lt;&gt;"Yes",Recurring!$D$23=""),"",Recurring!$B$23)</f>
        <v/>
      </c>
      <c r="D305" s="38" t="str">
        <f aca="false">IF($C305="","",Recurring!$C$23)</f>
        <v/>
      </c>
      <c r="E305" s="76" t="str">
        <f aca="false">IF($C305="","",Recurring!$D$23)</f>
        <v/>
      </c>
      <c r="F305" s="77"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77" t="str">
        <f aca="false">IF($F305="","",IF(Recurring!$G$23="Move Before",IF(WEEKDAY($F305,2)=6,$F305-1,IF(WEEKDAY($F305,2)=7,$F305-2,$F305)),IF(Recurring!$G$23="Move After",IF(WEEKDAY($F305,2)=6,$F305+2,IF(WEEKDAY($F305,2)=7,$F305+1,$F305)),$F305)))</f>
        <v/>
      </c>
      <c r="H305" s="78" t="n">
        <f aca="false">IF($G305="",0,IF(AND($G305&gt;='Cash Flow'!$E$6,$G305&lt;'Cash Flow'!$E$6+91),1,0))</f>
        <v>0</v>
      </c>
      <c r="I305" s="78" t="str">
        <f aca="false">IF($H305=1,MAX(1,INT(($G305-'Cash Flow'!$E$6)/7)+1),"")</f>
        <v/>
      </c>
      <c r="J305" s="38" t="str">
        <f aca="false">IF($H305=1,$G305*10000+ROW(),"")</f>
        <v/>
      </c>
      <c r="K305" s="38" t="str">
        <f aca="false">IF($H305=1,$I305*1000+COUNTIFS($I$4:$I$483,$I305,$J$4:$J$483,"&lt;"&amp;$J305)+1,"")</f>
        <v/>
      </c>
    </row>
    <row r="306" customFormat="false" ht="15" hidden="false" customHeight="false" outlineLevel="0" collapsed="false">
      <c r="A306" s="46" t="n">
        <v>19</v>
      </c>
      <c r="B306" s="46" t="n">
        <v>15</v>
      </c>
      <c r="C306" s="38" t="str">
        <f aca="false">IF(OR(Recurring!$B$23="",Recurring!$H$23&lt;&gt;"Yes",Recurring!$D$23=""),"",Recurring!$B$23)</f>
        <v/>
      </c>
      <c r="D306" s="38" t="str">
        <f aca="false">IF($C306="","",Recurring!$C$23)</f>
        <v/>
      </c>
      <c r="E306" s="76" t="str">
        <f aca="false">IF($C306="","",Recurring!$D$23)</f>
        <v/>
      </c>
      <c r="F306" s="77"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77" t="str">
        <f aca="false">IF($F306="","",IF(Recurring!$G$23="Move Before",IF(WEEKDAY($F306,2)=6,$F306-1,IF(WEEKDAY($F306,2)=7,$F306-2,$F306)),IF(Recurring!$G$23="Move After",IF(WEEKDAY($F306,2)=6,$F306+2,IF(WEEKDAY($F306,2)=7,$F306+1,$F306)),$F306)))</f>
        <v/>
      </c>
      <c r="H306" s="78" t="n">
        <f aca="false">IF($G306="",0,IF(AND($G306&gt;='Cash Flow'!$E$6,$G306&lt;'Cash Flow'!$E$6+91),1,0))</f>
        <v>0</v>
      </c>
      <c r="I306" s="78" t="str">
        <f aca="false">IF($H306=1,MAX(1,INT(($G306-'Cash Flow'!$E$6)/7)+1),"")</f>
        <v/>
      </c>
      <c r="J306" s="38" t="str">
        <f aca="false">IF($H306=1,$G306*10000+ROW(),"")</f>
        <v/>
      </c>
      <c r="K306" s="38" t="str">
        <f aca="false">IF($H306=1,$I306*1000+COUNTIFS($I$4:$I$483,$I306,$J$4:$J$483,"&lt;"&amp;$J306)+1,"")</f>
        <v/>
      </c>
    </row>
    <row r="307" customFormat="false" ht="15" hidden="false" customHeight="false" outlineLevel="0" collapsed="false">
      <c r="A307" s="46" t="n">
        <v>19</v>
      </c>
      <c r="B307" s="46" t="n">
        <v>16</v>
      </c>
      <c r="C307" s="38" t="str">
        <f aca="false">IF(OR(Recurring!$B$23="",Recurring!$H$23&lt;&gt;"Yes",Recurring!$D$23=""),"",Recurring!$B$23)</f>
        <v/>
      </c>
      <c r="D307" s="38" t="str">
        <f aca="false">IF($C307="","",Recurring!$C$23)</f>
        <v/>
      </c>
      <c r="E307" s="76" t="str">
        <f aca="false">IF($C307="","",Recurring!$D$23)</f>
        <v/>
      </c>
      <c r="F307" s="77"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77" t="str">
        <f aca="false">IF($F307="","",IF(Recurring!$G$23="Move Before",IF(WEEKDAY($F307,2)=6,$F307-1,IF(WEEKDAY($F307,2)=7,$F307-2,$F307)),IF(Recurring!$G$23="Move After",IF(WEEKDAY($F307,2)=6,$F307+2,IF(WEEKDAY($F307,2)=7,$F307+1,$F307)),$F307)))</f>
        <v/>
      </c>
      <c r="H307" s="78" t="n">
        <f aca="false">IF($G307="",0,IF(AND($G307&gt;='Cash Flow'!$E$6,$G307&lt;'Cash Flow'!$E$6+91),1,0))</f>
        <v>0</v>
      </c>
      <c r="I307" s="78" t="str">
        <f aca="false">IF($H307=1,MAX(1,INT(($G307-'Cash Flow'!$E$6)/7)+1),"")</f>
        <v/>
      </c>
      <c r="J307" s="38" t="str">
        <f aca="false">IF($H307=1,$G307*10000+ROW(),"")</f>
        <v/>
      </c>
      <c r="K307" s="38" t="str">
        <f aca="false">IF($H307=1,$I307*1000+COUNTIFS($I$4:$I$483,$I307,$J$4:$J$483,"&lt;"&amp;$J307)+1,"")</f>
        <v/>
      </c>
    </row>
    <row r="308" customFormat="false" ht="15" hidden="false" customHeight="false" outlineLevel="0" collapsed="false">
      <c r="A308" s="46" t="n">
        <v>20</v>
      </c>
      <c r="B308" s="46" t="n">
        <v>1</v>
      </c>
      <c r="C308" s="38" t="str">
        <f aca="false">IF(OR(Recurring!$B$24="",Recurring!$H$24&lt;&gt;"Yes",Recurring!$D$24=""),"",Recurring!$B$24)</f>
        <v/>
      </c>
      <c r="D308" s="38" t="str">
        <f aca="false">IF($C308="","",Recurring!$C$24)</f>
        <v/>
      </c>
      <c r="E308" s="76" t="str">
        <f aca="false">IF($C308="","",Recurring!$D$24)</f>
        <v/>
      </c>
      <c r="F308" s="77"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77" t="str">
        <f aca="false">IF($F308="","",IF(Recurring!$G$24="Move Before",IF(WEEKDAY($F308,2)=6,$F308-1,IF(WEEKDAY($F308,2)=7,$F308-2,$F308)),IF(Recurring!$G$24="Move After",IF(WEEKDAY($F308,2)=6,$F308+2,IF(WEEKDAY($F308,2)=7,$F308+1,$F308)),$F308)))</f>
        <v/>
      </c>
      <c r="H308" s="78" t="n">
        <f aca="false">IF($G308="",0,IF(AND($G308&gt;='Cash Flow'!$E$6-90,$G308&lt;'Cash Flow'!$E$6+91),1,0))</f>
        <v>0</v>
      </c>
      <c r="I308" s="78" t="str">
        <f aca="false">IF($H308=1,MAX(1,INT(($G308-'Cash Flow'!$E$6)/7)+1),"")</f>
        <v/>
      </c>
      <c r="J308" s="38" t="str">
        <f aca="false">IF($H308=1,$G308*10000+ROW(),"")</f>
        <v/>
      </c>
      <c r="K308" s="38" t="str">
        <f aca="false">IF($H308=1,$I308*1000+COUNTIFS($I$4:$I$483,$I308,$J$4:$J$483,"&lt;"&amp;$J308)+1,"")</f>
        <v/>
      </c>
    </row>
    <row r="309" customFormat="false" ht="15" hidden="false" customHeight="false" outlineLevel="0" collapsed="false">
      <c r="A309" s="46" t="n">
        <v>20</v>
      </c>
      <c r="B309" s="46" t="n">
        <v>2</v>
      </c>
      <c r="C309" s="38" t="str">
        <f aca="false">IF(OR(Recurring!$B$24="",Recurring!$H$24&lt;&gt;"Yes",Recurring!$D$24=""),"",Recurring!$B$24)</f>
        <v/>
      </c>
      <c r="D309" s="38" t="str">
        <f aca="false">IF($C309="","",Recurring!$C$24)</f>
        <v/>
      </c>
      <c r="E309" s="76" t="str">
        <f aca="false">IF($C309="","",Recurring!$D$24)</f>
        <v/>
      </c>
      <c r="F309" s="77"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77" t="str">
        <f aca="false">IF($F309="","",IF(Recurring!$G$24="Move Before",IF(WEEKDAY($F309,2)=6,$F309-1,IF(WEEKDAY($F309,2)=7,$F309-2,$F309)),IF(Recurring!$G$24="Move After",IF(WEEKDAY($F309,2)=6,$F309+2,IF(WEEKDAY($F309,2)=7,$F309+1,$F309)),$F309)))</f>
        <v/>
      </c>
      <c r="H309" s="78" t="n">
        <f aca="false">IF($G309="",0,IF(AND($G309&gt;='Cash Flow'!$E$6,$G309&lt;'Cash Flow'!$E$6+91),1,0))</f>
        <v>0</v>
      </c>
      <c r="I309" s="78" t="str">
        <f aca="false">IF($H309=1,MAX(1,INT(($G309-'Cash Flow'!$E$6)/7)+1),"")</f>
        <v/>
      </c>
      <c r="J309" s="38" t="str">
        <f aca="false">IF($H309=1,$G309*10000+ROW(),"")</f>
        <v/>
      </c>
      <c r="K309" s="38" t="str">
        <f aca="false">IF($H309=1,$I309*1000+COUNTIFS($I$4:$I$483,$I309,$J$4:$J$483,"&lt;"&amp;$J309)+1,"")</f>
        <v/>
      </c>
    </row>
    <row r="310" customFormat="false" ht="15" hidden="false" customHeight="false" outlineLevel="0" collapsed="false">
      <c r="A310" s="46" t="n">
        <v>20</v>
      </c>
      <c r="B310" s="46" t="n">
        <v>3</v>
      </c>
      <c r="C310" s="38" t="str">
        <f aca="false">IF(OR(Recurring!$B$24="",Recurring!$H$24&lt;&gt;"Yes",Recurring!$D$24=""),"",Recurring!$B$24)</f>
        <v/>
      </c>
      <c r="D310" s="38" t="str">
        <f aca="false">IF($C310="","",Recurring!$C$24)</f>
        <v/>
      </c>
      <c r="E310" s="76" t="str">
        <f aca="false">IF($C310="","",Recurring!$D$24)</f>
        <v/>
      </c>
      <c r="F310" s="77"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77" t="str">
        <f aca="false">IF($F310="","",IF(Recurring!$G$24="Move Before",IF(WEEKDAY($F310,2)=6,$F310-1,IF(WEEKDAY($F310,2)=7,$F310-2,$F310)),IF(Recurring!$G$24="Move After",IF(WEEKDAY($F310,2)=6,$F310+2,IF(WEEKDAY($F310,2)=7,$F310+1,$F310)),$F310)))</f>
        <v/>
      </c>
      <c r="H310" s="78" t="n">
        <f aca="false">IF($G310="",0,IF(AND($G310&gt;='Cash Flow'!$E$6,$G310&lt;'Cash Flow'!$E$6+91),1,0))</f>
        <v>0</v>
      </c>
      <c r="I310" s="78" t="str">
        <f aca="false">IF($H310=1,MAX(1,INT(($G310-'Cash Flow'!$E$6)/7)+1),"")</f>
        <v/>
      </c>
      <c r="J310" s="38" t="str">
        <f aca="false">IF($H310=1,$G310*10000+ROW(),"")</f>
        <v/>
      </c>
      <c r="K310" s="38" t="str">
        <f aca="false">IF($H310=1,$I310*1000+COUNTIFS($I$4:$I$483,$I310,$J$4:$J$483,"&lt;"&amp;$J310)+1,"")</f>
        <v/>
      </c>
    </row>
    <row r="311" customFormat="false" ht="15" hidden="false" customHeight="false" outlineLevel="0" collapsed="false">
      <c r="A311" s="46" t="n">
        <v>20</v>
      </c>
      <c r="B311" s="46" t="n">
        <v>4</v>
      </c>
      <c r="C311" s="38" t="str">
        <f aca="false">IF(OR(Recurring!$B$24="",Recurring!$H$24&lt;&gt;"Yes",Recurring!$D$24=""),"",Recurring!$B$24)</f>
        <v/>
      </c>
      <c r="D311" s="38" t="str">
        <f aca="false">IF($C311="","",Recurring!$C$24)</f>
        <v/>
      </c>
      <c r="E311" s="76" t="str">
        <f aca="false">IF($C311="","",Recurring!$D$24)</f>
        <v/>
      </c>
      <c r="F311" s="77"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77" t="str">
        <f aca="false">IF($F311="","",IF(Recurring!$G$24="Move Before",IF(WEEKDAY($F311,2)=6,$F311-1,IF(WEEKDAY($F311,2)=7,$F311-2,$F311)),IF(Recurring!$G$24="Move After",IF(WEEKDAY($F311,2)=6,$F311+2,IF(WEEKDAY($F311,2)=7,$F311+1,$F311)),$F311)))</f>
        <v/>
      </c>
      <c r="H311" s="78" t="n">
        <f aca="false">IF($G311="",0,IF(AND($G311&gt;='Cash Flow'!$E$6,$G311&lt;'Cash Flow'!$E$6+91),1,0))</f>
        <v>0</v>
      </c>
      <c r="I311" s="78" t="str">
        <f aca="false">IF($H311=1,MAX(1,INT(($G311-'Cash Flow'!$E$6)/7)+1),"")</f>
        <v/>
      </c>
      <c r="J311" s="38" t="str">
        <f aca="false">IF($H311=1,$G311*10000+ROW(),"")</f>
        <v/>
      </c>
      <c r="K311" s="38" t="str">
        <f aca="false">IF($H311=1,$I311*1000+COUNTIFS($I$4:$I$483,$I311,$J$4:$J$483,"&lt;"&amp;$J311)+1,"")</f>
        <v/>
      </c>
    </row>
    <row r="312" customFormat="false" ht="15" hidden="false" customHeight="false" outlineLevel="0" collapsed="false">
      <c r="A312" s="46" t="n">
        <v>20</v>
      </c>
      <c r="B312" s="46" t="n">
        <v>5</v>
      </c>
      <c r="C312" s="38" t="str">
        <f aca="false">IF(OR(Recurring!$B$24="",Recurring!$H$24&lt;&gt;"Yes",Recurring!$D$24=""),"",Recurring!$B$24)</f>
        <v/>
      </c>
      <c r="D312" s="38" t="str">
        <f aca="false">IF($C312="","",Recurring!$C$24)</f>
        <v/>
      </c>
      <c r="E312" s="76" t="str">
        <f aca="false">IF($C312="","",Recurring!$D$24)</f>
        <v/>
      </c>
      <c r="F312" s="77"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77" t="str">
        <f aca="false">IF($F312="","",IF(Recurring!$G$24="Move Before",IF(WEEKDAY($F312,2)=6,$F312-1,IF(WEEKDAY($F312,2)=7,$F312-2,$F312)),IF(Recurring!$G$24="Move After",IF(WEEKDAY($F312,2)=6,$F312+2,IF(WEEKDAY($F312,2)=7,$F312+1,$F312)),$F312)))</f>
        <v/>
      </c>
      <c r="H312" s="78" t="n">
        <f aca="false">IF($G312="",0,IF(AND($G312&gt;='Cash Flow'!$E$6,$G312&lt;'Cash Flow'!$E$6+91),1,0))</f>
        <v>0</v>
      </c>
      <c r="I312" s="78" t="str">
        <f aca="false">IF($H312=1,MAX(1,INT(($G312-'Cash Flow'!$E$6)/7)+1),"")</f>
        <v/>
      </c>
      <c r="J312" s="38" t="str">
        <f aca="false">IF($H312=1,$G312*10000+ROW(),"")</f>
        <v/>
      </c>
      <c r="K312" s="38" t="str">
        <f aca="false">IF($H312=1,$I312*1000+COUNTIFS($I$4:$I$483,$I312,$J$4:$J$483,"&lt;"&amp;$J312)+1,"")</f>
        <v/>
      </c>
    </row>
    <row r="313" customFormat="false" ht="15" hidden="false" customHeight="false" outlineLevel="0" collapsed="false">
      <c r="A313" s="46" t="n">
        <v>20</v>
      </c>
      <c r="B313" s="46" t="n">
        <v>6</v>
      </c>
      <c r="C313" s="38" t="str">
        <f aca="false">IF(OR(Recurring!$B$24="",Recurring!$H$24&lt;&gt;"Yes",Recurring!$D$24=""),"",Recurring!$B$24)</f>
        <v/>
      </c>
      <c r="D313" s="38" t="str">
        <f aca="false">IF($C313="","",Recurring!$C$24)</f>
        <v/>
      </c>
      <c r="E313" s="76" t="str">
        <f aca="false">IF($C313="","",Recurring!$D$24)</f>
        <v/>
      </c>
      <c r="F313" s="77"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77" t="str">
        <f aca="false">IF($F313="","",IF(Recurring!$G$24="Move Before",IF(WEEKDAY($F313,2)=6,$F313-1,IF(WEEKDAY($F313,2)=7,$F313-2,$F313)),IF(Recurring!$G$24="Move After",IF(WEEKDAY($F313,2)=6,$F313+2,IF(WEEKDAY($F313,2)=7,$F313+1,$F313)),$F313)))</f>
        <v/>
      </c>
      <c r="H313" s="78" t="n">
        <f aca="false">IF($G313="",0,IF(AND($G313&gt;='Cash Flow'!$E$6,$G313&lt;'Cash Flow'!$E$6+91),1,0))</f>
        <v>0</v>
      </c>
      <c r="I313" s="78" t="str">
        <f aca="false">IF($H313=1,MAX(1,INT(($G313-'Cash Flow'!$E$6)/7)+1),"")</f>
        <v/>
      </c>
      <c r="J313" s="38" t="str">
        <f aca="false">IF($H313=1,$G313*10000+ROW(),"")</f>
        <v/>
      </c>
      <c r="K313" s="38" t="str">
        <f aca="false">IF($H313=1,$I313*1000+COUNTIFS($I$4:$I$483,$I313,$J$4:$J$483,"&lt;"&amp;$J313)+1,"")</f>
        <v/>
      </c>
    </row>
    <row r="314" customFormat="false" ht="15" hidden="false" customHeight="false" outlineLevel="0" collapsed="false">
      <c r="A314" s="46" t="n">
        <v>20</v>
      </c>
      <c r="B314" s="46" t="n">
        <v>7</v>
      </c>
      <c r="C314" s="38" t="str">
        <f aca="false">IF(OR(Recurring!$B$24="",Recurring!$H$24&lt;&gt;"Yes",Recurring!$D$24=""),"",Recurring!$B$24)</f>
        <v/>
      </c>
      <c r="D314" s="38" t="str">
        <f aca="false">IF($C314="","",Recurring!$C$24)</f>
        <v/>
      </c>
      <c r="E314" s="76" t="str">
        <f aca="false">IF($C314="","",Recurring!$D$24)</f>
        <v/>
      </c>
      <c r="F314" s="77"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77" t="str">
        <f aca="false">IF($F314="","",IF(Recurring!$G$24="Move Before",IF(WEEKDAY($F314,2)=6,$F314-1,IF(WEEKDAY($F314,2)=7,$F314-2,$F314)),IF(Recurring!$G$24="Move After",IF(WEEKDAY($F314,2)=6,$F314+2,IF(WEEKDAY($F314,2)=7,$F314+1,$F314)),$F314)))</f>
        <v/>
      </c>
      <c r="H314" s="78" t="n">
        <f aca="false">IF($G314="",0,IF(AND($G314&gt;='Cash Flow'!$E$6,$G314&lt;'Cash Flow'!$E$6+91),1,0))</f>
        <v>0</v>
      </c>
      <c r="I314" s="78" t="str">
        <f aca="false">IF($H314=1,MAX(1,INT(($G314-'Cash Flow'!$E$6)/7)+1),"")</f>
        <v/>
      </c>
      <c r="J314" s="38" t="str">
        <f aca="false">IF($H314=1,$G314*10000+ROW(),"")</f>
        <v/>
      </c>
      <c r="K314" s="38" t="str">
        <f aca="false">IF($H314=1,$I314*1000+COUNTIFS($I$4:$I$483,$I314,$J$4:$J$483,"&lt;"&amp;$J314)+1,"")</f>
        <v/>
      </c>
    </row>
    <row r="315" customFormat="false" ht="15" hidden="false" customHeight="false" outlineLevel="0" collapsed="false">
      <c r="A315" s="46" t="n">
        <v>20</v>
      </c>
      <c r="B315" s="46" t="n">
        <v>8</v>
      </c>
      <c r="C315" s="38" t="str">
        <f aca="false">IF(OR(Recurring!$B$24="",Recurring!$H$24&lt;&gt;"Yes",Recurring!$D$24=""),"",Recurring!$B$24)</f>
        <v/>
      </c>
      <c r="D315" s="38" t="str">
        <f aca="false">IF($C315="","",Recurring!$C$24)</f>
        <v/>
      </c>
      <c r="E315" s="76" t="str">
        <f aca="false">IF($C315="","",Recurring!$D$24)</f>
        <v/>
      </c>
      <c r="F315" s="77"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77" t="str">
        <f aca="false">IF($F315="","",IF(Recurring!$G$24="Move Before",IF(WEEKDAY($F315,2)=6,$F315-1,IF(WEEKDAY($F315,2)=7,$F315-2,$F315)),IF(Recurring!$G$24="Move After",IF(WEEKDAY($F315,2)=6,$F315+2,IF(WEEKDAY($F315,2)=7,$F315+1,$F315)),$F315)))</f>
        <v/>
      </c>
      <c r="H315" s="78" t="n">
        <f aca="false">IF($G315="",0,IF(AND($G315&gt;='Cash Flow'!$E$6,$G315&lt;'Cash Flow'!$E$6+91),1,0))</f>
        <v>0</v>
      </c>
      <c r="I315" s="78" t="str">
        <f aca="false">IF($H315=1,MAX(1,INT(($G315-'Cash Flow'!$E$6)/7)+1),"")</f>
        <v/>
      </c>
      <c r="J315" s="38" t="str">
        <f aca="false">IF($H315=1,$G315*10000+ROW(),"")</f>
        <v/>
      </c>
      <c r="K315" s="38" t="str">
        <f aca="false">IF($H315=1,$I315*1000+COUNTIFS($I$4:$I$483,$I315,$J$4:$J$483,"&lt;"&amp;$J315)+1,"")</f>
        <v/>
      </c>
    </row>
    <row r="316" customFormat="false" ht="15" hidden="false" customHeight="false" outlineLevel="0" collapsed="false">
      <c r="A316" s="46" t="n">
        <v>20</v>
      </c>
      <c r="B316" s="46" t="n">
        <v>9</v>
      </c>
      <c r="C316" s="38" t="str">
        <f aca="false">IF(OR(Recurring!$B$24="",Recurring!$H$24&lt;&gt;"Yes",Recurring!$D$24=""),"",Recurring!$B$24)</f>
        <v/>
      </c>
      <c r="D316" s="38" t="str">
        <f aca="false">IF($C316="","",Recurring!$C$24)</f>
        <v/>
      </c>
      <c r="E316" s="76" t="str">
        <f aca="false">IF($C316="","",Recurring!$D$24)</f>
        <v/>
      </c>
      <c r="F316" s="77"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77" t="str">
        <f aca="false">IF($F316="","",IF(Recurring!$G$24="Move Before",IF(WEEKDAY($F316,2)=6,$F316-1,IF(WEEKDAY($F316,2)=7,$F316-2,$F316)),IF(Recurring!$G$24="Move After",IF(WEEKDAY($F316,2)=6,$F316+2,IF(WEEKDAY($F316,2)=7,$F316+1,$F316)),$F316)))</f>
        <v/>
      </c>
      <c r="H316" s="78" t="n">
        <f aca="false">IF($G316="",0,IF(AND($G316&gt;='Cash Flow'!$E$6,$G316&lt;'Cash Flow'!$E$6+91),1,0))</f>
        <v>0</v>
      </c>
      <c r="I316" s="78" t="str">
        <f aca="false">IF($H316=1,MAX(1,INT(($G316-'Cash Flow'!$E$6)/7)+1),"")</f>
        <v/>
      </c>
      <c r="J316" s="38" t="str">
        <f aca="false">IF($H316=1,$G316*10000+ROW(),"")</f>
        <v/>
      </c>
      <c r="K316" s="38" t="str">
        <f aca="false">IF($H316=1,$I316*1000+COUNTIFS($I$4:$I$483,$I316,$J$4:$J$483,"&lt;"&amp;$J316)+1,"")</f>
        <v/>
      </c>
    </row>
    <row r="317" customFormat="false" ht="15" hidden="false" customHeight="false" outlineLevel="0" collapsed="false">
      <c r="A317" s="46" t="n">
        <v>20</v>
      </c>
      <c r="B317" s="46" t="n">
        <v>10</v>
      </c>
      <c r="C317" s="38" t="str">
        <f aca="false">IF(OR(Recurring!$B$24="",Recurring!$H$24&lt;&gt;"Yes",Recurring!$D$24=""),"",Recurring!$B$24)</f>
        <v/>
      </c>
      <c r="D317" s="38" t="str">
        <f aca="false">IF($C317="","",Recurring!$C$24)</f>
        <v/>
      </c>
      <c r="E317" s="76" t="str">
        <f aca="false">IF($C317="","",Recurring!$D$24)</f>
        <v/>
      </c>
      <c r="F317" s="77"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77" t="str">
        <f aca="false">IF($F317="","",IF(Recurring!$G$24="Move Before",IF(WEEKDAY($F317,2)=6,$F317-1,IF(WEEKDAY($F317,2)=7,$F317-2,$F317)),IF(Recurring!$G$24="Move After",IF(WEEKDAY($F317,2)=6,$F317+2,IF(WEEKDAY($F317,2)=7,$F317+1,$F317)),$F317)))</f>
        <v/>
      </c>
      <c r="H317" s="78" t="n">
        <f aca="false">IF($G317="",0,IF(AND($G317&gt;='Cash Flow'!$E$6,$G317&lt;'Cash Flow'!$E$6+91),1,0))</f>
        <v>0</v>
      </c>
      <c r="I317" s="78" t="str">
        <f aca="false">IF($H317=1,MAX(1,INT(($G317-'Cash Flow'!$E$6)/7)+1),"")</f>
        <v/>
      </c>
      <c r="J317" s="38" t="str">
        <f aca="false">IF($H317=1,$G317*10000+ROW(),"")</f>
        <v/>
      </c>
      <c r="K317" s="38" t="str">
        <f aca="false">IF($H317=1,$I317*1000+COUNTIFS($I$4:$I$483,$I317,$J$4:$J$483,"&lt;"&amp;$J317)+1,"")</f>
        <v/>
      </c>
    </row>
    <row r="318" customFormat="false" ht="15" hidden="false" customHeight="false" outlineLevel="0" collapsed="false">
      <c r="A318" s="46" t="n">
        <v>20</v>
      </c>
      <c r="B318" s="46" t="n">
        <v>11</v>
      </c>
      <c r="C318" s="38" t="str">
        <f aca="false">IF(OR(Recurring!$B$24="",Recurring!$H$24&lt;&gt;"Yes",Recurring!$D$24=""),"",Recurring!$B$24)</f>
        <v/>
      </c>
      <c r="D318" s="38" t="str">
        <f aca="false">IF($C318="","",Recurring!$C$24)</f>
        <v/>
      </c>
      <c r="E318" s="76" t="str">
        <f aca="false">IF($C318="","",Recurring!$D$24)</f>
        <v/>
      </c>
      <c r="F318" s="77"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77" t="str">
        <f aca="false">IF($F318="","",IF(Recurring!$G$24="Move Before",IF(WEEKDAY($F318,2)=6,$F318-1,IF(WEEKDAY($F318,2)=7,$F318-2,$F318)),IF(Recurring!$G$24="Move After",IF(WEEKDAY($F318,2)=6,$F318+2,IF(WEEKDAY($F318,2)=7,$F318+1,$F318)),$F318)))</f>
        <v/>
      </c>
      <c r="H318" s="78" t="n">
        <f aca="false">IF($G318="",0,IF(AND($G318&gt;='Cash Flow'!$E$6,$G318&lt;'Cash Flow'!$E$6+91),1,0))</f>
        <v>0</v>
      </c>
      <c r="I318" s="78" t="str">
        <f aca="false">IF($H318=1,MAX(1,INT(($G318-'Cash Flow'!$E$6)/7)+1),"")</f>
        <v/>
      </c>
      <c r="J318" s="38" t="str">
        <f aca="false">IF($H318=1,$G318*10000+ROW(),"")</f>
        <v/>
      </c>
      <c r="K318" s="38" t="str">
        <f aca="false">IF($H318=1,$I318*1000+COUNTIFS($I$4:$I$483,$I318,$J$4:$J$483,"&lt;"&amp;$J318)+1,"")</f>
        <v/>
      </c>
    </row>
    <row r="319" customFormat="false" ht="15" hidden="false" customHeight="false" outlineLevel="0" collapsed="false">
      <c r="A319" s="46" t="n">
        <v>20</v>
      </c>
      <c r="B319" s="46" t="n">
        <v>12</v>
      </c>
      <c r="C319" s="38" t="str">
        <f aca="false">IF(OR(Recurring!$B$24="",Recurring!$H$24&lt;&gt;"Yes",Recurring!$D$24=""),"",Recurring!$B$24)</f>
        <v/>
      </c>
      <c r="D319" s="38" t="str">
        <f aca="false">IF($C319="","",Recurring!$C$24)</f>
        <v/>
      </c>
      <c r="E319" s="76" t="str">
        <f aca="false">IF($C319="","",Recurring!$D$24)</f>
        <v/>
      </c>
      <c r="F319" s="77"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77" t="str">
        <f aca="false">IF($F319="","",IF(Recurring!$G$24="Move Before",IF(WEEKDAY($F319,2)=6,$F319-1,IF(WEEKDAY($F319,2)=7,$F319-2,$F319)),IF(Recurring!$G$24="Move After",IF(WEEKDAY($F319,2)=6,$F319+2,IF(WEEKDAY($F319,2)=7,$F319+1,$F319)),$F319)))</f>
        <v/>
      </c>
      <c r="H319" s="78" t="n">
        <f aca="false">IF($G319="",0,IF(AND($G319&gt;='Cash Flow'!$E$6,$G319&lt;'Cash Flow'!$E$6+91),1,0))</f>
        <v>0</v>
      </c>
      <c r="I319" s="78" t="str">
        <f aca="false">IF($H319=1,MAX(1,INT(($G319-'Cash Flow'!$E$6)/7)+1),"")</f>
        <v/>
      </c>
      <c r="J319" s="38" t="str">
        <f aca="false">IF($H319=1,$G319*10000+ROW(),"")</f>
        <v/>
      </c>
      <c r="K319" s="38" t="str">
        <f aca="false">IF($H319=1,$I319*1000+COUNTIFS($I$4:$I$483,$I319,$J$4:$J$483,"&lt;"&amp;$J319)+1,"")</f>
        <v/>
      </c>
    </row>
    <row r="320" customFormat="false" ht="15" hidden="false" customHeight="false" outlineLevel="0" collapsed="false">
      <c r="A320" s="46" t="n">
        <v>20</v>
      </c>
      <c r="B320" s="46" t="n">
        <v>13</v>
      </c>
      <c r="C320" s="38" t="str">
        <f aca="false">IF(OR(Recurring!$B$24="",Recurring!$H$24&lt;&gt;"Yes",Recurring!$D$24=""),"",Recurring!$B$24)</f>
        <v/>
      </c>
      <c r="D320" s="38" t="str">
        <f aca="false">IF($C320="","",Recurring!$C$24)</f>
        <v/>
      </c>
      <c r="E320" s="76" t="str">
        <f aca="false">IF($C320="","",Recurring!$D$24)</f>
        <v/>
      </c>
      <c r="F320" s="77"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77" t="str">
        <f aca="false">IF($F320="","",IF(Recurring!$G$24="Move Before",IF(WEEKDAY($F320,2)=6,$F320-1,IF(WEEKDAY($F320,2)=7,$F320-2,$F320)),IF(Recurring!$G$24="Move After",IF(WEEKDAY($F320,2)=6,$F320+2,IF(WEEKDAY($F320,2)=7,$F320+1,$F320)),$F320)))</f>
        <v/>
      </c>
      <c r="H320" s="78" t="n">
        <f aca="false">IF($G320="",0,IF(AND($G320&gt;='Cash Flow'!$E$6,$G320&lt;'Cash Flow'!$E$6+91),1,0))</f>
        <v>0</v>
      </c>
      <c r="I320" s="78" t="str">
        <f aca="false">IF($H320=1,MAX(1,INT(($G320-'Cash Flow'!$E$6)/7)+1),"")</f>
        <v/>
      </c>
      <c r="J320" s="38" t="str">
        <f aca="false">IF($H320=1,$G320*10000+ROW(),"")</f>
        <v/>
      </c>
      <c r="K320" s="38" t="str">
        <f aca="false">IF($H320=1,$I320*1000+COUNTIFS($I$4:$I$483,$I320,$J$4:$J$483,"&lt;"&amp;$J320)+1,"")</f>
        <v/>
      </c>
    </row>
    <row r="321" customFormat="false" ht="15" hidden="false" customHeight="false" outlineLevel="0" collapsed="false">
      <c r="A321" s="46" t="n">
        <v>20</v>
      </c>
      <c r="B321" s="46" t="n">
        <v>14</v>
      </c>
      <c r="C321" s="38" t="str">
        <f aca="false">IF(OR(Recurring!$B$24="",Recurring!$H$24&lt;&gt;"Yes",Recurring!$D$24=""),"",Recurring!$B$24)</f>
        <v/>
      </c>
      <c r="D321" s="38" t="str">
        <f aca="false">IF($C321="","",Recurring!$C$24)</f>
        <v/>
      </c>
      <c r="E321" s="76" t="str">
        <f aca="false">IF($C321="","",Recurring!$D$24)</f>
        <v/>
      </c>
      <c r="F321" s="77"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77" t="str">
        <f aca="false">IF($F321="","",IF(Recurring!$G$24="Move Before",IF(WEEKDAY($F321,2)=6,$F321-1,IF(WEEKDAY($F321,2)=7,$F321-2,$F321)),IF(Recurring!$G$24="Move After",IF(WEEKDAY($F321,2)=6,$F321+2,IF(WEEKDAY($F321,2)=7,$F321+1,$F321)),$F321)))</f>
        <v/>
      </c>
      <c r="H321" s="78" t="n">
        <f aca="false">IF($G321="",0,IF(AND($G321&gt;='Cash Flow'!$E$6,$G321&lt;'Cash Flow'!$E$6+91),1,0))</f>
        <v>0</v>
      </c>
      <c r="I321" s="78" t="str">
        <f aca="false">IF($H321=1,MAX(1,INT(($G321-'Cash Flow'!$E$6)/7)+1),"")</f>
        <v/>
      </c>
      <c r="J321" s="38" t="str">
        <f aca="false">IF($H321=1,$G321*10000+ROW(),"")</f>
        <v/>
      </c>
      <c r="K321" s="38" t="str">
        <f aca="false">IF($H321=1,$I321*1000+COUNTIFS($I$4:$I$483,$I321,$J$4:$J$483,"&lt;"&amp;$J321)+1,"")</f>
        <v/>
      </c>
    </row>
    <row r="322" customFormat="false" ht="15" hidden="false" customHeight="false" outlineLevel="0" collapsed="false">
      <c r="A322" s="46" t="n">
        <v>20</v>
      </c>
      <c r="B322" s="46" t="n">
        <v>15</v>
      </c>
      <c r="C322" s="38" t="str">
        <f aca="false">IF(OR(Recurring!$B$24="",Recurring!$H$24&lt;&gt;"Yes",Recurring!$D$24=""),"",Recurring!$B$24)</f>
        <v/>
      </c>
      <c r="D322" s="38" t="str">
        <f aca="false">IF($C322="","",Recurring!$C$24)</f>
        <v/>
      </c>
      <c r="E322" s="76" t="str">
        <f aca="false">IF($C322="","",Recurring!$D$24)</f>
        <v/>
      </c>
      <c r="F322" s="77"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77" t="str">
        <f aca="false">IF($F322="","",IF(Recurring!$G$24="Move Before",IF(WEEKDAY($F322,2)=6,$F322-1,IF(WEEKDAY($F322,2)=7,$F322-2,$F322)),IF(Recurring!$G$24="Move After",IF(WEEKDAY($F322,2)=6,$F322+2,IF(WEEKDAY($F322,2)=7,$F322+1,$F322)),$F322)))</f>
        <v/>
      </c>
      <c r="H322" s="78" t="n">
        <f aca="false">IF($G322="",0,IF(AND($G322&gt;='Cash Flow'!$E$6,$G322&lt;'Cash Flow'!$E$6+91),1,0))</f>
        <v>0</v>
      </c>
      <c r="I322" s="78" t="str">
        <f aca="false">IF($H322=1,MAX(1,INT(($G322-'Cash Flow'!$E$6)/7)+1),"")</f>
        <v/>
      </c>
      <c r="J322" s="38" t="str">
        <f aca="false">IF($H322=1,$G322*10000+ROW(),"")</f>
        <v/>
      </c>
      <c r="K322" s="38" t="str">
        <f aca="false">IF($H322=1,$I322*1000+COUNTIFS($I$4:$I$483,$I322,$J$4:$J$483,"&lt;"&amp;$J322)+1,"")</f>
        <v/>
      </c>
    </row>
    <row r="323" customFormat="false" ht="15" hidden="false" customHeight="false" outlineLevel="0" collapsed="false">
      <c r="A323" s="46" t="n">
        <v>20</v>
      </c>
      <c r="B323" s="46" t="n">
        <v>16</v>
      </c>
      <c r="C323" s="38" t="str">
        <f aca="false">IF(OR(Recurring!$B$24="",Recurring!$H$24&lt;&gt;"Yes",Recurring!$D$24=""),"",Recurring!$B$24)</f>
        <v/>
      </c>
      <c r="D323" s="38" t="str">
        <f aca="false">IF($C323="","",Recurring!$C$24)</f>
        <v/>
      </c>
      <c r="E323" s="76" t="str">
        <f aca="false">IF($C323="","",Recurring!$D$24)</f>
        <v/>
      </c>
      <c r="F323" s="77"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77" t="str">
        <f aca="false">IF($F323="","",IF(Recurring!$G$24="Move Before",IF(WEEKDAY($F323,2)=6,$F323-1,IF(WEEKDAY($F323,2)=7,$F323-2,$F323)),IF(Recurring!$G$24="Move After",IF(WEEKDAY($F323,2)=6,$F323+2,IF(WEEKDAY($F323,2)=7,$F323+1,$F323)),$F323)))</f>
        <v/>
      </c>
      <c r="H323" s="78" t="n">
        <f aca="false">IF($G323="",0,IF(AND($G323&gt;='Cash Flow'!$E$6,$G323&lt;'Cash Flow'!$E$6+91),1,0))</f>
        <v>0</v>
      </c>
      <c r="I323" s="78" t="str">
        <f aca="false">IF($H323=1,MAX(1,INT(($G323-'Cash Flow'!$E$6)/7)+1),"")</f>
        <v/>
      </c>
      <c r="J323" s="38" t="str">
        <f aca="false">IF($H323=1,$G323*10000+ROW(),"")</f>
        <v/>
      </c>
      <c r="K323" s="38" t="str">
        <f aca="false">IF($H323=1,$I323*1000+COUNTIFS($I$4:$I$483,$I323,$J$4:$J$483,"&lt;"&amp;$J323)+1,"")</f>
        <v/>
      </c>
    </row>
    <row r="324" customFormat="false" ht="15" hidden="false" customHeight="false" outlineLevel="0" collapsed="false">
      <c r="A324" s="46" t="n">
        <v>21</v>
      </c>
      <c r="B324" s="46" t="n">
        <v>1</v>
      </c>
      <c r="C324" s="38" t="str">
        <f aca="false">IF(OR(Recurring!$B$25="",Recurring!$H$25&lt;&gt;"Yes",Recurring!$D$25=""),"",Recurring!$B$25)</f>
        <v/>
      </c>
      <c r="D324" s="38" t="str">
        <f aca="false">IF($C324="","",Recurring!$C$25)</f>
        <v/>
      </c>
      <c r="E324" s="76" t="str">
        <f aca="false">IF($C324="","",Recurring!$D$25)</f>
        <v/>
      </c>
      <c r="F324" s="77"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77" t="str">
        <f aca="false">IF($F324="","",IF(Recurring!$G$25="Move Before",IF(WEEKDAY($F324,2)=6,$F324-1,IF(WEEKDAY($F324,2)=7,$F324-2,$F324)),IF(Recurring!$G$25="Move After",IF(WEEKDAY($F324,2)=6,$F324+2,IF(WEEKDAY($F324,2)=7,$F324+1,$F324)),$F324)))</f>
        <v/>
      </c>
      <c r="H324" s="78" t="n">
        <f aca="false">IF($G324="",0,IF(AND($G324&gt;='Cash Flow'!$E$6-90,$G324&lt;'Cash Flow'!$E$6+91),1,0))</f>
        <v>0</v>
      </c>
      <c r="I324" s="78" t="str">
        <f aca="false">IF($H324=1,MAX(1,INT(($G324-'Cash Flow'!$E$6)/7)+1),"")</f>
        <v/>
      </c>
      <c r="J324" s="38" t="str">
        <f aca="false">IF($H324=1,$G324*10000+ROW(),"")</f>
        <v/>
      </c>
      <c r="K324" s="38" t="str">
        <f aca="false">IF($H324=1,$I324*1000+COUNTIFS($I$4:$I$483,$I324,$J$4:$J$483,"&lt;"&amp;$J324)+1,"")</f>
        <v/>
      </c>
    </row>
    <row r="325" customFormat="false" ht="15" hidden="false" customHeight="false" outlineLevel="0" collapsed="false">
      <c r="A325" s="46" t="n">
        <v>21</v>
      </c>
      <c r="B325" s="46" t="n">
        <v>2</v>
      </c>
      <c r="C325" s="38" t="str">
        <f aca="false">IF(OR(Recurring!$B$25="",Recurring!$H$25&lt;&gt;"Yes",Recurring!$D$25=""),"",Recurring!$B$25)</f>
        <v/>
      </c>
      <c r="D325" s="38" t="str">
        <f aca="false">IF($C325="","",Recurring!$C$25)</f>
        <v/>
      </c>
      <c r="E325" s="76" t="str">
        <f aca="false">IF($C325="","",Recurring!$D$25)</f>
        <v/>
      </c>
      <c r="F325" s="77"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77" t="str">
        <f aca="false">IF($F325="","",IF(Recurring!$G$25="Move Before",IF(WEEKDAY($F325,2)=6,$F325-1,IF(WEEKDAY($F325,2)=7,$F325-2,$F325)),IF(Recurring!$G$25="Move After",IF(WEEKDAY($F325,2)=6,$F325+2,IF(WEEKDAY($F325,2)=7,$F325+1,$F325)),$F325)))</f>
        <v/>
      </c>
      <c r="H325" s="78" t="n">
        <f aca="false">IF($G325="",0,IF(AND($G325&gt;='Cash Flow'!$E$6,$G325&lt;'Cash Flow'!$E$6+91),1,0))</f>
        <v>0</v>
      </c>
      <c r="I325" s="78" t="str">
        <f aca="false">IF($H325=1,MAX(1,INT(($G325-'Cash Flow'!$E$6)/7)+1),"")</f>
        <v/>
      </c>
      <c r="J325" s="38" t="str">
        <f aca="false">IF($H325=1,$G325*10000+ROW(),"")</f>
        <v/>
      </c>
      <c r="K325" s="38" t="str">
        <f aca="false">IF($H325=1,$I325*1000+COUNTIFS($I$4:$I$483,$I325,$J$4:$J$483,"&lt;"&amp;$J325)+1,"")</f>
        <v/>
      </c>
    </row>
    <row r="326" customFormat="false" ht="15" hidden="false" customHeight="false" outlineLevel="0" collapsed="false">
      <c r="A326" s="46" t="n">
        <v>21</v>
      </c>
      <c r="B326" s="46" t="n">
        <v>3</v>
      </c>
      <c r="C326" s="38" t="str">
        <f aca="false">IF(OR(Recurring!$B$25="",Recurring!$H$25&lt;&gt;"Yes",Recurring!$D$25=""),"",Recurring!$B$25)</f>
        <v/>
      </c>
      <c r="D326" s="38" t="str">
        <f aca="false">IF($C326="","",Recurring!$C$25)</f>
        <v/>
      </c>
      <c r="E326" s="76" t="str">
        <f aca="false">IF($C326="","",Recurring!$D$25)</f>
        <v/>
      </c>
      <c r="F326" s="77"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77" t="str">
        <f aca="false">IF($F326="","",IF(Recurring!$G$25="Move Before",IF(WEEKDAY($F326,2)=6,$F326-1,IF(WEEKDAY($F326,2)=7,$F326-2,$F326)),IF(Recurring!$G$25="Move After",IF(WEEKDAY($F326,2)=6,$F326+2,IF(WEEKDAY($F326,2)=7,$F326+1,$F326)),$F326)))</f>
        <v/>
      </c>
      <c r="H326" s="78" t="n">
        <f aca="false">IF($G326="",0,IF(AND($G326&gt;='Cash Flow'!$E$6,$G326&lt;'Cash Flow'!$E$6+91),1,0))</f>
        <v>0</v>
      </c>
      <c r="I326" s="78" t="str">
        <f aca="false">IF($H326=1,MAX(1,INT(($G326-'Cash Flow'!$E$6)/7)+1),"")</f>
        <v/>
      </c>
      <c r="J326" s="38" t="str">
        <f aca="false">IF($H326=1,$G326*10000+ROW(),"")</f>
        <v/>
      </c>
      <c r="K326" s="38" t="str">
        <f aca="false">IF($H326=1,$I326*1000+COUNTIFS($I$4:$I$483,$I326,$J$4:$J$483,"&lt;"&amp;$J326)+1,"")</f>
        <v/>
      </c>
    </row>
    <row r="327" customFormat="false" ht="15" hidden="false" customHeight="false" outlineLevel="0" collapsed="false">
      <c r="A327" s="46" t="n">
        <v>21</v>
      </c>
      <c r="B327" s="46" t="n">
        <v>4</v>
      </c>
      <c r="C327" s="38" t="str">
        <f aca="false">IF(OR(Recurring!$B$25="",Recurring!$H$25&lt;&gt;"Yes",Recurring!$D$25=""),"",Recurring!$B$25)</f>
        <v/>
      </c>
      <c r="D327" s="38" t="str">
        <f aca="false">IF($C327="","",Recurring!$C$25)</f>
        <v/>
      </c>
      <c r="E327" s="76" t="str">
        <f aca="false">IF($C327="","",Recurring!$D$25)</f>
        <v/>
      </c>
      <c r="F327" s="77"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77" t="str">
        <f aca="false">IF($F327="","",IF(Recurring!$G$25="Move Before",IF(WEEKDAY($F327,2)=6,$F327-1,IF(WEEKDAY($F327,2)=7,$F327-2,$F327)),IF(Recurring!$G$25="Move After",IF(WEEKDAY($F327,2)=6,$F327+2,IF(WEEKDAY($F327,2)=7,$F327+1,$F327)),$F327)))</f>
        <v/>
      </c>
      <c r="H327" s="78" t="n">
        <f aca="false">IF($G327="",0,IF(AND($G327&gt;='Cash Flow'!$E$6,$G327&lt;'Cash Flow'!$E$6+91),1,0))</f>
        <v>0</v>
      </c>
      <c r="I327" s="78" t="str">
        <f aca="false">IF($H327=1,MAX(1,INT(($G327-'Cash Flow'!$E$6)/7)+1),"")</f>
        <v/>
      </c>
      <c r="J327" s="38" t="str">
        <f aca="false">IF($H327=1,$G327*10000+ROW(),"")</f>
        <v/>
      </c>
      <c r="K327" s="38" t="str">
        <f aca="false">IF($H327=1,$I327*1000+COUNTIFS($I$4:$I$483,$I327,$J$4:$J$483,"&lt;"&amp;$J327)+1,"")</f>
        <v/>
      </c>
    </row>
    <row r="328" customFormat="false" ht="15" hidden="false" customHeight="false" outlineLevel="0" collapsed="false">
      <c r="A328" s="46" t="n">
        <v>21</v>
      </c>
      <c r="B328" s="46" t="n">
        <v>5</v>
      </c>
      <c r="C328" s="38" t="str">
        <f aca="false">IF(OR(Recurring!$B$25="",Recurring!$H$25&lt;&gt;"Yes",Recurring!$D$25=""),"",Recurring!$B$25)</f>
        <v/>
      </c>
      <c r="D328" s="38" t="str">
        <f aca="false">IF($C328="","",Recurring!$C$25)</f>
        <v/>
      </c>
      <c r="E328" s="76" t="str">
        <f aca="false">IF($C328="","",Recurring!$D$25)</f>
        <v/>
      </c>
      <c r="F328" s="77"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77" t="str">
        <f aca="false">IF($F328="","",IF(Recurring!$G$25="Move Before",IF(WEEKDAY($F328,2)=6,$F328-1,IF(WEEKDAY($F328,2)=7,$F328-2,$F328)),IF(Recurring!$G$25="Move After",IF(WEEKDAY($F328,2)=6,$F328+2,IF(WEEKDAY($F328,2)=7,$F328+1,$F328)),$F328)))</f>
        <v/>
      </c>
      <c r="H328" s="78" t="n">
        <f aca="false">IF($G328="",0,IF(AND($G328&gt;='Cash Flow'!$E$6,$G328&lt;'Cash Flow'!$E$6+91),1,0))</f>
        <v>0</v>
      </c>
      <c r="I328" s="78" t="str">
        <f aca="false">IF($H328=1,MAX(1,INT(($G328-'Cash Flow'!$E$6)/7)+1),"")</f>
        <v/>
      </c>
      <c r="J328" s="38" t="str">
        <f aca="false">IF($H328=1,$G328*10000+ROW(),"")</f>
        <v/>
      </c>
      <c r="K328" s="38" t="str">
        <f aca="false">IF($H328=1,$I328*1000+COUNTIFS($I$4:$I$483,$I328,$J$4:$J$483,"&lt;"&amp;$J328)+1,"")</f>
        <v/>
      </c>
    </row>
    <row r="329" customFormat="false" ht="15" hidden="false" customHeight="false" outlineLevel="0" collapsed="false">
      <c r="A329" s="46" t="n">
        <v>21</v>
      </c>
      <c r="B329" s="46" t="n">
        <v>6</v>
      </c>
      <c r="C329" s="38" t="str">
        <f aca="false">IF(OR(Recurring!$B$25="",Recurring!$H$25&lt;&gt;"Yes",Recurring!$D$25=""),"",Recurring!$B$25)</f>
        <v/>
      </c>
      <c r="D329" s="38" t="str">
        <f aca="false">IF($C329="","",Recurring!$C$25)</f>
        <v/>
      </c>
      <c r="E329" s="76" t="str">
        <f aca="false">IF($C329="","",Recurring!$D$25)</f>
        <v/>
      </c>
      <c r="F329" s="77"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77" t="str">
        <f aca="false">IF($F329="","",IF(Recurring!$G$25="Move Before",IF(WEEKDAY($F329,2)=6,$F329-1,IF(WEEKDAY($F329,2)=7,$F329-2,$F329)),IF(Recurring!$G$25="Move After",IF(WEEKDAY($F329,2)=6,$F329+2,IF(WEEKDAY($F329,2)=7,$F329+1,$F329)),$F329)))</f>
        <v/>
      </c>
      <c r="H329" s="78" t="n">
        <f aca="false">IF($G329="",0,IF(AND($G329&gt;='Cash Flow'!$E$6,$G329&lt;'Cash Flow'!$E$6+91),1,0))</f>
        <v>0</v>
      </c>
      <c r="I329" s="78" t="str">
        <f aca="false">IF($H329=1,MAX(1,INT(($G329-'Cash Flow'!$E$6)/7)+1),"")</f>
        <v/>
      </c>
      <c r="J329" s="38" t="str">
        <f aca="false">IF($H329=1,$G329*10000+ROW(),"")</f>
        <v/>
      </c>
      <c r="K329" s="38" t="str">
        <f aca="false">IF($H329=1,$I329*1000+COUNTIFS($I$4:$I$483,$I329,$J$4:$J$483,"&lt;"&amp;$J329)+1,"")</f>
        <v/>
      </c>
    </row>
    <row r="330" customFormat="false" ht="15" hidden="false" customHeight="false" outlineLevel="0" collapsed="false">
      <c r="A330" s="46" t="n">
        <v>21</v>
      </c>
      <c r="B330" s="46" t="n">
        <v>7</v>
      </c>
      <c r="C330" s="38" t="str">
        <f aca="false">IF(OR(Recurring!$B$25="",Recurring!$H$25&lt;&gt;"Yes",Recurring!$D$25=""),"",Recurring!$B$25)</f>
        <v/>
      </c>
      <c r="D330" s="38" t="str">
        <f aca="false">IF($C330="","",Recurring!$C$25)</f>
        <v/>
      </c>
      <c r="E330" s="76" t="str">
        <f aca="false">IF($C330="","",Recurring!$D$25)</f>
        <v/>
      </c>
      <c r="F330" s="77"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77" t="str">
        <f aca="false">IF($F330="","",IF(Recurring!$G$25="Move Before",IF(WEEKDAY($F330,2)=6,$F330-1,IF(WEEKDAY($F330,2)=7,$F330-2,$F330)),IF(Recurring!$G$25="Move After",IF(WEEKDAY($F330,2)=6,$F330+2,IF(WEEKDAY($F330,2)=7,$F330+1,$F330)),$F330)))</f>
        <v/>
      </c>
      <c r="H330" s="78" t="n">
        <f aca="false">IF($G330="",0,IF(AND($G330&gt;='Cash Flow'!$E$6,$G330&lt;'Cash Flow'!$E$6+91),1,0))</f>
        <v>0</v>
      </c>
      <c r="I330" s="78" t="str">
        <f aca="false">IF($H330=1,MAX(1,INT(($G330-'Cash Flow'!$E$6)/7)+1),"")</f>
        <v/>
      </c>
      <c r="J330" s="38" t="str">
        <f aca="false">IF($H330=1,$G330*10000+ROW(),"")</f>
        <v/>
      </c>
      <c r="K330" s="38" t="str">
        <f aca="false">IF($H330=1,$I330*1000+COUNTIFS($I$4:$I$483,$I330,$J$4:$J$483,"&lt;"&amp;$J330)+1,"")</f>
        <v/>
      </c>
    </row>
    <row r="331" customFormat="false" ht="15" hidden="false" customHeight="false" outlineLevel="0" collapsed="false">
      <c r="A331" s="46" t="n">
        <v>21</v>
      </c>
      <c r="B331" s="46" t="n">
        <v>8</v>
      </c>
      <c r="C331" s="38" t="str">
        <f aca="false">IF(OR(Recurring!$B$25="",Recurring!$H$25&lt;&gt;"Yes",Recurring!$D$25=""),"",Recurring!$B$25)</f>
        <v/>
      </c>
      <c r="D331" s="38" t="str">
        <f aca="false">IF($C331="","",Recurring!$C$25)</f>
        <v/>
      </c>
      <c r="E331" s="76" t="str">
        <f aca="false">IF($C331="","",Recurring!$D$25)</f>
        <v/>
      </c>
      <c r="F331" s="77"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77" t="str">
        <f aca="false">IF($F331="","",IF(Recurring!$G$25="Move Before",IF(WEEKDAY($F331,2)=6,$F331-1,IF(WEEKDAY($F331,2)=7,$F331-2,$F331)),IF(Recurring!$G$25="Move After",IF(WEEKDAY($F331,2)=6,$F331+2,IF(WEEKDAY($F331,2)=7,$F331+1,$F331)),$F331)))</f>
        <v/>
      </c>
      <c r="H331" s="78" t="n">
        <f aca="false">IF($G331="",0,IF(AND($G331&gt;='Cash Flow'!$E$6,$G331&lt;'Cash Flow'!$E$6+91),1,0))</f>
        <v>0</v>
      </c>
      <c r="I331" s="78" t="str">
        <f aca="false">IF($H331=1,MAX(1,INT(($G331-'Cash Flow'!$E$6)/7)+1),"")</f>
        <v/>
      </c>
      <c r="J331" s="38" t="str">
        <f aca="false">IF($H331=1,$G331*10000+ROW(),"")</f>
        <v/>
      </c>
      <c r="K331" s="38" t="str">
        <f aca="false">IF($H331=1,$I331*1000+COUNTIFS($I$4:$I$483,$I331,$J$4:$J$483,"&lt;"&amp;$J331)+1,"")</f>
        <v/>
      </c>
    </row>
    <row r="332" customFormat="false" ht="15" hidden="false" customHeight="false" outlineLevel="0" collapsed="false">
      <c r="A332" s="46" t="n">
        <v>21</v>
      </c>
      <c r="B332" s="46" t="n">
        <v>9</v>
      </c>
      <c r="C332" s="38" t="str">
        <f aca="false">IF(OR(Recurring!$B$25="",Recurring!$H$25&lt;&gt;"Yes",Recurring!$D$25=""),"",Recurring!$B$25)</f>
        <v/>
      </c>
      <c r="D332" s="38" t="str">
        <f aca="false">IF($C332="","",Recurring!$C$25)</f>
        <v/>
      </c>
      <c r="E332" s="76" t="str">
        <f aca="false">IF($C332="","",Recurring!$D$25)</f>
        <v/>
      </c>
      <c r="F332" s="77"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77" t="str">
        <f aca="false">IF($F332="","",IF(Recurring!$G$25="Move Before",IF(WEEKDAY($F332,2)=6,$F332-1,IF(WEEKDAY($F332,2)=7,$F332-2,$F332)),IF(Recurring!$G$25="Move After",IF(WEEKDAY($F332,2)=6,$F332+2,IF(WEEKDAY($F332,2)=7,$F332+1,$F332)),$F332)))</f>
        <v/>
      </c>
      <c r="H332" s="78" t="n">
        <f aca="false">IF($G332="",0,IF(AND($G332&gt;='Cash Flow'!$E$6,$G332&lt;'Cash Flow'!$E$6+91),1,0))</f>
        <v>0</v>
      </c>
      <c r="I332" s="78" t="str">
        <f aca="false">IF($H332=1,MAX(1,INT(($G332-'Cash Flow'!$E$6)/7)+1),"")</f>
        <v/>
      </c>
      <c r="J332" s="38" t="str">
        <f aca="false">IF($H332=1,$G332*10000+ROW(),"")</f>
        <v/>
      </c>
      <c r="K332" s="38" t="str">
        <f aca="false">IF($H332=1,$I332*1000+COUNTIFS($I$4:$I$483,$I332,$J$4:$J$483,"&lt;"&amp;$J332)+1,"")</f>
        <v/>
      </c>
    </row>
    <row r="333" customFormat="false" ht="15" hidden="false" customHeight="false" outlineLevel="0" collapsed="false">
      <c r="A333" s="46" t="n">
        <v>21</v>
      </c>
      <c r="B333" s="46" t="n">
        <v>10</v>
      </c>
      <c r="C333" s="38" t="str">
        <f aca="false">IF(OR(Recurring!$B$25="",Recurring!$H$25&lt;&gt;"Yes",Recurring!$D$25=""),"",Recurring!$B$25)</f>
        <v/>
      </c>
      <c r="D333" s="38" t="str">
        <f aca="false">IF($C333="","",Recurring!$C$25)</f>
        <v/>
      </c>
      <c r="E333" s="76" t="str">
        <f aca="false">IF($C333="","",Recurring!$D$25)</f>
        <v/>
      </c>
      <c r="F333" s="77"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77" t="str">
        <f aca="false">IF($F333="","",IF(Recurring!$G$25="Move Before",IF(WEEKDAY($F333,2)=6,$F333-1,IF(WEEKDAY($F333,2)=7,$F333-2,$F333)),IF(Recurring!$G$25="Move After",IF(WEEKDAY($F333,2)=6,$F333+2,IF(WEEKDAY($F333,2)=7,$F333+1,$F333)),$F333)))</f>
        <v/>
      </c>
      <c r="H333" s="78" t="n">
        <f aca="false">IF($G333="",0,IF(AND($G333&gt;='Cash Flow'!$E$6,$G333&lt;'Cash Flow'!$E$6+91),1,0))</f>
        <v>0</v>
      </c>
      <c r="I333" s="78" t="str">
        <f aca="false">IF($H333=1,MAX(1,INT(($G333-'Cash Flow'!$E$6)/7)+1),"")</f>
        <v/>
      </c>
      <c r="J333" s="38" t="str">
        <f aca="false">IF($H333=1,$G333*10000+ROW(),"")</f>
        <v/>
      </c>
      <c r="K333" s="38" t="str">
        <f aca="false">IF($H333=1,$I333*1000+COUNTIFS($I$4:$I$483,$I333,$J$4:$J$483,"&lt;"&amp;$J333)+1,"")</f>
        <v/>
      </c>
    </row>
    <row r="334" customFormat="false" ht="15" hidden="false" customHeight="false" outlineLevel="0" collapsed="false">
      <c r="A334" s="46" t="n">
        <v>21</v>
      </c>
      <c r="B334" s="46" t="n">
        <v>11</v>
      </c>
      <c r="C334" s="38" t="str">
        <f aca="false">IF(OR(Recurring!$B$25="",Recurring!$H$25&lt;&gt;"Yes",Recurring!$D$25=""),"",Recurring!$B$25)</f>
        <v/>
      </c>
      <c r="D334" s="38" t="str">
        <f aca="false">IF($C334="","",Recurring!$C$25)</f>
        <v/>
      </c>
      <c r="E334" s="76" t="str">
        <f aca="false">IF($C334="","",Recurring!$D$25)</f>
        <v/>
      </c>
      <c r="F334" s="77"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77" t="str">
        <f aca="false">IF($F334="","",IF(Recurring!$G$25="Move Before",IF(WEEKDAY($F334,2)=6,$F334-1,IF(WEEKDAY($F334,2)=7,$F334-2,$F334)),IF(Recurring!$G$25="Move After",IF(WEEKDAY($F334,2)=6,$F334+2,IF(WEEKDAY($F334,2)=7,$F334+1,$F334)),$F334)))</f>
        <v/>
      </c>
      <c r="H334" s="78" t="n">
        <f aca="false">IF($G334="",0,IF(AND($G334&gt;='Cash Flow'!$E$6,$G334&lt;'Cash Flow'!$E$6+91),1,0))</f>
        <v>0</v>
      </c>
      <c r="I334" s="78" t="str">
        <f aca="false">IF($H334=1,MAX(1,INT(($G334-'Cash Flow'!$E$6)/7)+1),"")</f>
        <v/>
      </c>
      <c r="J334" s="38" t="str">
        <f aca="false">IF($H334=1,$G334*10000+ROW(),"")</f>
        <v/>
      </c>
      <c r="K334" s="38" t="str">
        <f aca="false">IF($H334=1,$I334*1000+COUNTIFS($I$4:$I$483,$I334,$J$4:$J$483,"&lt;"&amp;$J334)+1,"")</f>
        <v/>
      </c>
    </row>
    <row r="335" customFormat="false" ht="15" hidden="false" customHeight="false" outlineLevel="0" collapsed="false">
      <c r="A335" s="46" t="n">
        <v>21</v>
      </c>
      <c r="B335" s="46" t="n">
        <v>12</v>
      </c>
      <c r="C335" s="38" t="str">
        <f aca="false">IF(OR(Recurring!$B$25="",Recurring!$H$25&lt;&gt;"Yes",Recurring!$D$25=""),"",Recurring!$B$25)</f>
        <v/>
      </c>
      <c r="D335" s="38" t="str">
        <f aca="false">IF($C335="","",Recurring!$C$25)</f>
        <v/>
      </c>
      <c r="E335" s="76" t="str">
        <f aca="false">IF($C335="","",Recurring!$D$25)</f>
        <v/>
      </c>
      <c r="F335" s="77"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77" t="str">
        <f aca="false">IF($F335="","",IF(Recurring!$G$25="Move Before",IF(WEEKDAY($F335,2)=6,$F335-1,IF(WEEKDAY($F335,2)=7,$F335-2,$F335)),IF(Recurring!$G$25="Move After",IF(WEEKDAY($F335,2)=6,$F335+2,IF(WEEKDAY($F335,2)=7,$F335+1,$F335)),$F335)))</f>
        <v/>
      </c>
      <c r="H335" s="78" t="n">
        <f aca="false">IF($G335="",0,IF(AND($G335&gt;='Cash Flow'!$E$6,$G335&lt;'Cash Flow'!$E$6+91),1,0))</f>
        <v>0</v>
      </c>
      <c r="I335" s="78" t="str">
        <f aca="false">IF($H335=1,MAX(1,INT(($G335-'Cash Flow'!$E$6)/7)+1),"")</f>
        <v/>
      </c>
      <c r="J335" s="38" t="str">
        <f aca="false">IF($H335=1,$G335*10000+ROW(),"")</f>
        <v/>
      </c>
      <c r="K335" s="38" t="str">
        <f aca="false">IF($H335=1,$I335*1000+COUNTIFS($I$4:$I$483,$I335,$J$4:$J$483,"&lt;"&amp;$J335)+1,"")</f>
        <v/>
      </c>
    </row>
    <row r="336" customFormat="false" ht="15" hidden="false" customHeight="false" outlineLevel="0" collapsed="false">
      <c r="A336" s="46" t="n">
        <v>21</v>
      </c>
      <c r="B336" s="46" t="n">
        <v>13</v>
      </c>
      <c r="C336" s="38" t="str">
        <f aca="false">IF(OR(Recurring!$B$25="",Recurring!$H$25&lt;&gt;"Yes",Recurring!$D$25=""),"",Recurring!$B$25)</f>
        <v/>
      </c>
      <c r="D336" s="38" t="str">
        <f aca="false">IF($C336="","",Recurring!$C$25)</f>
        <v/>
      </c>
      <c r="E336" s="76" t="str">
        <f aca="false">IF($C336="","",Recurring!$D$25)</f>
        <v/>
      </c>
      <c r="F336" s="77"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77" t="str">
        <f aca="false">IF($F336="","",IF(Recurring!$G$25="Move Before",IF(WEEKDAY($F336,2)=6,$F336-1,IF(WEEKDAY($F336,2)=7,$F336-2,$F336)),IF(Recurring!$G$25="Move After",IF(WEEKDAY($F336,2)=6,$F336+2,IF(WEEKDAY($F336,2)=7,$F336+1,$F336)),$F336)))</f>
        <v/>
      </c>
      <c r="H336" s="78" t="n">
        <f aca="false">IF($G336="",0,IF(AND($G336&gt;='Cash Flow'!$E$6,$G336&lt;'Cash Flow'!$E$6+91),1,0))</f>
        <v>0</v>
      </c>
      <c r="I336" s="78" t="str">
        <f aca="false">IF($H336=1,MAX(1,INT(($G336-'Cash Flow'!$E$6)/7)+1),"")</f>
        <v/>
      </c>
      <c r="J336" s="38" t="str">
        <f aca="false">IF($H336=1,$G336*10000+ROW(),"")</f>
        <v/>
      </c>
      <c r="K336" s="38" t="str">
        <f aca="false">IF($H336=1,$I336*1000+COUNTIFS($I$4:$I$483,$I336,$J$4:$J$483,"&lt;"&amp;$J336)+1,"")</f>
        <v/>
      </c>
    </row>
    <row r="337" customFormat="false" ht="15" hidden="false" customHeight="false" outlineLevel="0" collapsed="false">
      <c r="A337" s="46" t="n">
        <v>21</v>
      </c>
      <c r="B337" s="46" t="n">
        <v>14</v>
      </c>
      <c r="C337" s="38" t="str">
        <f aca="false">IF(OR(Recurring!$B$25="",Recurring!$H$25&lt;&gt;"Yes",Recurring!$D$25=""),"",Recurring!$B$25)</f>
        <v/>
      </c>
      <c r="D337" s="38" t="str">
        <f aca="false">IF($C337="","",Recurring!$C$25)</f>
        <v/>
      </c>
      <c r="E337" s="76" t="str">
        <f aca="false">IF($C337="","",Recurring!$D$25)</f>
        <v/>
      </c>
      <c r="F337" s="77"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77" t="str">
        <f aca="false">IF($F337="","",IF(Recurring!$G$25="Move Before",IF(WEEKDAY($F337,2)=6,$F337-1,IF(WEEKDAY($F337,2)=7,$F337-2,$F337)),IF(Recurring!$G$25="Move After",IF(WEEKDAY($F337,2)=6,$F337+2,IF(WEEKDAY($F337,2)=7,$F337+1,$F337)),$F337)))</f>
        <v/>
      </c>
      <c r="H337" s="78" t="n">
        <f aca="false">IF($G337="",0,IF(AND($G337&gt;='Cash Flow'!$E$6,$G337&lt;'Cash Flow'!$E$6+91),1,0))</f>
        <v>0</v>
      </c>
      <c r="I337" s="78" t="str">
        <f aca="false">IF($H337=1,MAX(1,INT(($G337-'Cash Flow'!$E$6)/7)+1),"")</f>
        <v/>
      </c>
      <c r="J337" s="38" t="str">
        <f aca="false">IF($H337=1,$G337*10000+ROW(),"")</f>
        <v/>
      </c>
      <c r="K337" s="38" t="str">
        <f aca="false">IF($H337=1,$I337*1000+COUNTIFS($I$4:$I$483,$I337,$J$4:$J$483,"&lt;"&amp;$J337)+1,"")</f>
        <v/>
      </c>
    </row>
    <row r="338" customFormat="false" ht="15" hidden="false" customHeight="false" outlineLevel="0" collapsed="false">
      <c r="A338" s="46" t="n">
        <v>21</v>
      </c>
      <c r="B338" s="46" t="n">
        <v>15</v>
      </c>
      <c r="C338" s="38" t="str">
        <f aca="false">IF(OR(Recurring!$B$25="",Recurring!$H$25&lt;&gt;"Yes",Recurring!$D$25=""),"",Recurring!$B$25)</f>
        <v/>
      </c>
      <c r="D338" s="38" t="str">
        <f aca="false">IF($C338="","",Recurring!$C$25)</f>
        <v/>
      </c>
      <c r="E338" s="76" t="str">
        <f aca="false">IF($C338="","",Recurring!$D$25)</f>
        <v/>
      </c>
      <c r="F338" s="77"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77" t="str">
        <f aca="false">IF($F338="","",IF(Recurring!$G$25="Move Before",IF(WEEKDAY($F338,2)=6,$F338-1,IF(WEEKDAY($F338,2)=7,$F338-2,$F338)),IF(Recurring!$G$25="Move After",IF(WEEKDAY($F338,2)=6,$F338+2,IF(WEEKDAY($F338,2)=7,$F338+1,$F338)),$F338)))</f>
        <v/>
      </c>
      <c r="H338" s="78" t="n">
        <f aca="false">IF($G338="",0,IF(AND($G338&gt;='Cash Flow'!$E$6,$G338&lt;'Cash Flow'!$E$6+91),1,0))</f>
        <v>0</v>
      </c>
      <c r="I338" s="78" t="str">
        <f aca="false">IF($H338=1,MAX(1,INT(($G338-'Cash Flow'!$E$6)/7)+1),"")</f>
        <v/>
      </c>
      <c r="J338" s="38" t="str">
        <f aca="false">IF($H338=1,$G338*10000+ROW(),"")</f>
        <v/>
      </c>
      <c r="K338" s="38" t="str">
        <f aca="false">IF($H338=1,$I338*1000+COUNTIFS($I$4:$I$483,$I338,$J$4:$J$483,"&lt;"&amp;$J338)+1,"")</f>
        <v/>
      </c>
    </row>
    <row r="339" customFormat="false" ht="15" hidden="false" customHeight="false" outlineLevel="0" collapsed="false">
      <c r="A339" s="46" t="n">
        <v>21</v>
      </c>
      <c r="B339" s="46" t="n">
        <v>16</v>
      </c>
      <c r="C339" s="38" t="str">
        <f aca="false">IF(OR(Recurring!$B$25="",Recurring!$H$25&lt;&gt;"Yes",Recurring!$D$25=""),"",Recurring!$B$25)</f>
        <v/>
      </c>
      <c r="D339" s="38" t="str">
        <f aca="false">IF($C339="","",Recurring!$C$25)</f>
        <v/>
      </c>
      <c r="E339" s="76" t="str">
        <f aca="false">IF($C339="","",Recurring!$D$25)</f>
        <v/>
      </c>
      <c r="F339" s="77"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77" t="str">
        <f aca="false">IF($F339="","",IF(Recurring!$G$25="Move Before",IF(WEEKDAY($F339,2)=6,$F339-1,IF(WEEKDAY($F339,2)=7,$F339-2,$F339)),IF(Recurring!$G$25="Move After",IF(WEEKDAY($F339,2)=6,$F339+2,IF(WEEKDAY($F339,2)=7,$F339+1,$F339)),$F339)))</f>
        <v/>
      </c>
      <c r="H339" s="78" t="n">
        <f aca="false">IF($G339="",0,IF(AND($G339&gt;='Cash Flow'!$E$6,$G339&lt;'Cash Flow'!$E$6+91),1,0))</f>
        <v>0</v>
      </c>
      <c r="I339" s="78" t="str">
        <f aca="false">IF($H339=1,MAX(1,INT(($G339-'Cash Flow'!$E$6)/7)+1),"")</f>
        <v/>
      </c>
      <c r="J339" s="38" t="str">
        <f aca="false">IF($H339=1,$G339*10000+ROW(),"")</f>
        <v/>
      </c>
      <c r="K339" s="38" t="str">
        <f aca="false">IF($H339=1,$I339*1000+COUNTIFS($I$4:$I$483,$I339,$J$4:$J$483,"&lt;"&amp;$J339)+1,"")</f>
        <v/>
      </c>
    </row>
    <row r="340" customFormat="false" ht="15" hidden="false" customHeight="false" outlineLevel="0" collapsed="false">
      <c r="A340" s="46" t="n">
        <v>22</v>
      </c>
      <c r="B340" s="46" t="n">
        <v>1</v>
      </c>
      <c r="C340" s="38" t="str">
        <f aca="false">IF(OR(Recurring!$B$26="",Recurring!$H$26&lt;&gt;"Yes",Recurring!$D$26=""),"",Recurring!$B$26)</f>
        <v/>
      </c>
      <c r="D340" s="38" t="str">
        <f aca="false">IF($C340="","",Recurring!$C$26)</f>
        <v/>
      </c>
      <c r="E340" s="76" t="str">
        <f aca="false">IF($C340="","",Recurring!$D$26)</f>
        <v/>
      </c>
      <c r="F340" s="77"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77" t="str">
        <f aca="false">IF($F340="","",IF(Recurring!$G$26="Move Before",IF(WEEKDAY($F340,2)=6,$F340-1,IF(WEEKDAY($F340,2)=7,$F340-2,$F340)),IF(Recurring!$G$26="Move After",IF(WEEKDAY($F340,2)=6,$F340+2,IF(WEEKDAY($F340,2)=7,$F340+1,$F340)),$F340)))</f>
        <v/>
      </c>
      <c r="H340" s="78" t="n">
        <f aca="false">IF($G340="",0,IF(AND($G340&gt;='Cash Flow'!$E$6-90,$G340&lt;'Cash Flow'!$E$6+91),1,0))</f>
        <v>0</v>
      </c>
      <c r="I340" s="78" t="str">
        <f aca="false">IF($H340=1,MAX(1,INT(($G340-'Cash Flow'!$E$6)/7)+1),"")</f>
        <v/>
      </c>
      <c r="J340" s="38" t="str">
        <f aca="false">IF($H340=1,$G340*10000+ROW(),"")</f>
        <v/>
      </c>
      <c r="K340" s="38" t="str">
        <f aca="false">IF($H340=1,$I340*1000+COUNTIFS($I$4:$I$483,$I340,$J$4:$J$483,"&lt;"&amp;$J340)+1,"")</f>
        <v/>
      </c>
    </row>
    <row r="341" customFormat="false" ht="15" hidden="false" customHeight="false" outlineLevel="0" collapsed="false">
      <c r="A341" s="46" t="n">
        <v>22</v>
      </c>
      <c r="B341" s="46" t="n">
        <v>2</v>
      </c>
      <c r="C341" s="38" t="str">
        <f aca="false">IF(OR(Recurring!$B$26="",Recurring!$H$26&lt;&gt;"Yes",Recurring!$D$26=""),"",Recurring!$B$26)</f>
        <v/>
      </c>
      <c r="D341" s="38" t="str">
        <f aca="false">IF($C341="","",Recurring!$C$26)</f>
        <v/>
      </c>
      <c r="E341" s="76" t="str">
        <f aca="false">IF($C341="","",Recurring!$D$26)</f>
        <v/>
      </c>
      <c r="F341" s="77"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77" t="str">
        <f aca="false">IF($F341="","",IF(Recurring!$G$26="Move Before",IF(WEEKDAY($F341,2)=6,$F341-1,IF(WEEKDAY($F341,2)=7,$F341-2,$F341)),IF(Recurring!$G$26="Move After",IF(WEEKDAY($F341,2)=6,$F341+2,IF(WEEKDAY($F341,2)=7,$F341+1,$F341)),$F341)))</f>
        <v/>
      </c>
      <c r="H341" s="78" t="n">
        <f aca="false">IF($G341="",0,IF(AND($G341&gt;='Cash Flow'!$E$6,$G341&lt;'Cash Flow'!$E$6+91),1,0))</f>
        <v>0</v>
      </c>
      <c r="I341" s="78" t="str">
        <f aca="false">IF($H341=1,MAX(1,INT(($G341-'Cash Flow'!$E$6)/7)+1),"")</f>
        <v/>
      </c>
      <c r="J341" s="38" t="str">
        <f aca="false">IF($H341=1,$G341*10000+ROW(),"")</f>
        <v/>
      </c>
      <c r="K341" s="38" t="str">
        <f aca="false">IF($H341=1,$I341*1000+COUNTIFS($I$4:$I$483,$I341,$J$4:$J$483,"&lt;"&amp;$J341)+1,"")</f>
        <v/>
      </c>
    </row>
    <row r="342" customFormat="false" ht="15" hidden="false" customHeight="false" outlineLevel="0" collapsed="false">
      <c r="A342" s="46" t="n">
        <v>22</v>
      </c>
      <c r="B342" s="46" t="n">
        <v>3</v>
      </c>
      <c r="C342" s="38" t="str">
        <f aca="false">IF(OR(Recurring!$B$26="",Recurring!$H$26&lt;&gt;"Yes",Recurring!$D$26=""),"",Recurring!$B$26)</f>
        <v/>
      </c>
      <c r="D342" s="38" t="str">
        <f aca="false">IF($C342="","",Recurring!$C$26)</f>
        <v/>
      </c>
      <c r="E342" s="76" t="str">
        <f aca="false">IF($C342="","",Recurring!$D$26)</f>
        <v/>
      </c>
      <c r="F342" s="77"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77" t="str">
        <f aca="false">IF($F342="","",IF(Recurring!$G$26="Move Before",IF(WEEKDAY($F342,2)=6,$F342-1,IF(WEEKDAY($F342,2)=7,$F342-2,$F342)),IF(Recurring!$G$26="Move After",IF(WEEKDAY($F342,2)=6,$F342+2,IF(WEEKDAY($F342,2)=7,$F342+1,$F342)),$F342)))</f>
        <v/>
      </c>
      <c r="H342" s="78" t="n">
        <f aca="false">IF($G342="",0,IF(AND($G342&gt;='Cash Flow'!$E$6,$G342&lt;'Cash Flow'!$E$6+91),1,0))</f>
        <v>0</v>
      </c>
      <c r="I342" s="78" t="str">
        <f aca="false">IF($H342=1,MAX(1,INT(($G342-'Cash Flow'!$E$6)/7)+1),"")</f>
        <v/>
      </c>
      <c r="J342" s="38" t="str">
        <f aca="false">IF($H342=1,$G342*10000+ROW(),"")</f>
        <v/>
      </c>
      <c r="K342" s="38" t="str">
        <f aca="false">IF($H342=1,$I342*1000+COUNTIFS($I$4:$I$483,$I342,$J$4:$J$483,"&lt;"&amp;$J342)+1,"")</f>
        <v/>
      </c>
    </row>
    <row r="343" customFormat="false" ht="15" hidden="false" customHeight="false" outlineLevel="0" collapsed="false">
      <c r="A343" s="46" t="n">
        <v>22</v>
      </c>
      <c r="B343" s="46" t="n">
        <v>4</v>
      </c>
      <c r="C343" s="38" t="str">
        <f aca="false">IF(OR(Recurring!$B$26="",Recurring!$H$26&lt;&gt;"Yes",Recurring!$D$26=""),"",Recurring!$B$26)</f>
        <v/>
      </c>
      <c r="D343" s="38" t="str">
        <f aca="false">IF($C343="","",Recurring!$C$26)</f>
        <v/>
      </c>
      <c r="E343" s="76" t="str">
        <f aca="false">IF($C343="","",Recurring!$D$26)</f>
        <v/>
      </c>
      <c r="F343" s="77"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77" t="str">
        <f aca="false">IF($F343="","",IF(Recurring!$G$26="Move Before",IF(WEEKDAY($F343,2)=6,$F343-1,IF(WEEKDAY($F343,2)=7,$F343-2,$F343)),IF(Recurring!$G$26="Move After",IF(WEEKDAY($F343,2)=6,$F343+2,IF(WEEKDAY($F343,2)=7,$F343+1,$F343)),$F343)))</f>
        <v/>
      </c>
      <c r="H343" s="78" t="n">
        <f aca="false">IF($G343="",0,IF(AND($G343&gt;='Cash Flow'!$E$6,$G343&lt;'Cash Flow'!$E$6+91),1,0))</f>
        <v>0</v>
      </c>
      <c r="I343" s="78" t="str">
        <f aca="false">IF($H343=1,MAX(1,INT(($G343-'Cash Flow'!$E$6)/7)+1),"")</f>
        <v/>
      </c>
      <c r="J343" s="38" t="str">
        <f aca="false">IF($H343=1,$G343*10000+ROW(),"")</f>
        <v/>
      </c>
      <c r="K343" s="38" t="str">
        <f aca="false">IF($H343=1,$I343*1000+COUNTIFS($I$4:$I$483,$I343,$J$4:$J$483,"&lt;"&amp;$J343)+1,"")</f>
        <v/>
      </c>
    </row>
    <row r="344" customFormat="false" ht="15" hidden="false" customHeight="false" outlineLevel="0" collapsed="false">
      <c r="A344" s="46" t="n">
        <v>22</v>
      </c>
      <c r="B344" s="46" t="n">
        <v>5</v>
      </c>
      <c r="C344" s="38" t="str">
        <f aca="false">IF(OR(Recurring!$B$26="",Recurring!$H$26&lt;&gt;"Yes",Recurring!$D$26=""),"",Recurring!$B$26)</f>
        <v/>
      </c>
      <c r="D344" s="38" t="str">
        <f aca="false">IF($C344="","",Recurring!$C$26)</f>
        <v/>
      </c>
      <c r="E344" s="76" t="str">
        <f aca="false">IF($C344="","",Recurring!$D$26)</f>
        <v/>
      </c>
      <c r="F344" s="77"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77" t="str">
        <f aca="false">IF($F344="","",IF(Recurring!$G$26="Move Before",IF(WEEKDAY($F344,2)=6,$F344-1,IF(WEEKDAY($F344,2)=7,$F344-2,$F344)),IF(Recurring!$G$26="Move After",IF(WEEKDAY($F344,2)=6,$F344+2,IF(WEEKDAY($F344,2)=7,$F344+1,$F344)),$F344)))</f>
        <v/>
      </c>
      <c r="H344" s="78" t="n">
        <f aca="false">IF($G344="",0,IF(AND($G344&gt;='Cash Flow'!$E$6,$G344&lt;'Cash Flow'!$E$6+91),1,0))</f>
        <v>0</v>
      </c>
      <c r="I344" s="78" t="str">
        <f aca="false">IF($H344=1,MAX(1,INT(($G344-'Cash Flow'!$E$6)/7)+1),"")</f>
        <v/>
      </c>
      <c r="J344" s="38" t="str">
        <f aca="false">IF($H344=1,$G344*10000+ROW(),"")</f>
        <v/>
      </c>
      <c r="K344" s="38" t="str">
        <f aca="false">IF($H344=1,$I344*1000+COUNTIFS($I$4:$I$483,$I344,$J$4:$J$483,"&lt;"&amp;$J344)+1,"")</f>
        <v/>
      </c>
    </row>
    <row r="345" customFormat="false" ht="15" hidden="false" customHeight="false" outlineLevel="0" collapsed="false">
      <c r="A345" s="46" t="n">
        <v>22</v>
      </c>
      <c r="B345" s="46" t="n">
        <v>6</v>
      </c>
      <c r="C345" s="38" t="str">
        <f aca="false">IF(OR(Recurring!$B$26="",Recurring!$H$26&lt;&gt;"Yes",Recurring!$D$26=""),"",Recurring!$B$26)</f>
        <v/>
      </c>
      <c r="D345" s="38" t="str">
        <f aca="false">IF($C345="","",Recurring!$C$26)</f>
        <v/>
      </c>
      <c r="E345" s="76" t="str">
        <f aca="false">IF($C345="","",Recurring!$D$26)</f>
        <v/>
      </c>
      <c r="F345" s="77"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77" t="str">
        <f aca="false">IF($F345="","",IF(Recurring!$G$26="Move Before",IF(WEEKDAY($F345,2)=6,$F345-1,IF(WEEKDAY($F345,2)=7,$F345-2,$F345)),IF(Recurring!$G$26="Move After",IF(WEEKDAY($F345,2)=6,$F345+2,IF(WEEKDAY($F345,2)=7,$F345+1,$F345)),$F345)))</f>
        <v/>
      </c>
      <c r="H345" s="78" t="n">
        <f aca="false">IF($G345="",0,IF(AND($G345&gt;='Cash Flow'!$E$6,$G345&lt;'Cash Flow'!$E$6+91),1,0))</f>
        <v>0</v>
      </c>
      <c r="I345" s="78" t="str">
        <f aca="false">IF($H345=1,MAX(1,INT(($G345-'Cash Flow'!$E$6)/7)+1),"")</f>
        <v/>
      </c>
      <c r="J345" s="38" t="str">
        <f aca="false">IF($H345=1,$G345*10000+ROW(),"")</f>
        <v/>
      </c>
      <c r="K345" s="38" t="str">
        <f aca="false">IF($H345=1,$I345*1000+COUNTIFS($I$4:$I$483,$I345,$J$4:$J$483,"&lt;"&amp;$J345)+1,"")</f>
        <v/>
      </c>
    </row>
    <row r="346" customFormat="false" ht="15" hidden="false" customHeight="false" outlineLevel="0" collapsed="false">
      <c r="A346" s="46" t="n">
        <v>22</v>
      </c>
      <c r="B346" s="46" t="n">
        <v>7</v>
      </c>
      <c r="C346" s="38" t="str">
        <f aca="false">IF(OR(Recurring!$B$26="",Recurring!$H$26&lt;&gt;"Yes",Recurring!$D$26=""),"",Recurring!$B$26)</f>
        <v/>
      </c>
      <c r="D346" s="38" t="str">
        <f aca="false">IF($C346="","",Recurring!$C$26)</f>
        <v/>
      </c>
      <c r="E346" s="76" t="str">
        <f aca="false">IF($C346="","",Recurring!$D$26)</f>
        <v/>
      </c>
      <c r="F346" s="77"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77" t="str">
        <f aca="false">IF($F346="","",IF(Recurring!$G$26="Move Before",IF(WEEKDAY($F346,2)=6,$F346-1,IF(WEEKDAY($F346,2)=7,$F346-2,$F346)),IF(Recurring!$G$26="Move After",IF(WEEKDAY($F346,2)=6,$F346+2,IF(WEEKDAY($F346,2)=7,$F346+1,$F346)),$F346)))</f>
        <v/>
      </c>
      <c r="H346" s="78" t="n">
        <f aca="false">IF($G346="",0,IF(AND($G346&gt;='Cash Flow'!$E$6,$G346&lt;'Cash Flow'!$E$6+91),1,0))</f>
        <v>0</v>
      </c>
      <c r="I346" s="78" t="str">
        <f aca="false">IF($H346=1,MAX(1,INT(($G346-'Cash Flow'!$E$6)/7)+1),"")</f>
        <v/>
      </c>
      <c r="J346" s="38" t="str">
        <f aca="false">IF($H346=1,$G346*10000+ROW(),"")</f>
        <v/>
      </c>
      <c r="K346" s="38" t="str">
        <f aca="false">IF($H346=1,$I346*1000+COUNTIFS($I$4:$I$483,$I346,$J$4:$J$483,"&lt;"&amp;$J346)+1,"")</f>
        <v/>
      </c>
    </row>
    <row r="347" customFormat="false" ht="15" hidden="false" customHeight="false" outlineLevel="0" collapsed="false">
      <c r="A347" s="46" t="n">
        <v>22</v>
      </c>
      <c r="B347" s="46" t="n">
        <v>8</v>
      </c>
      <c r="C347" s="38" t="str">
        <f aca="false">IF(OR(Recurring!$B$26="",Recurring!$H$26&lt;&gt;"Yes",Recurring!$D$26=""),"",Recurring!$B$26)</f>
        <v/>
      </c>
      <c r="D347" s="38" t="str">
        <f aca="false">IF($C347="","",Recurring!$C$26)</f>
        <v/>
      </c>
      <c r="E347" s="76" t="str">
        <f aca="false">IF($C347="","",Recurring!$D$26)</f>
        <v/>
      </c>
      <c r="F347" s="77"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77" t="str">
        <f aca="false">IF($F347="","",IF(Recurring!$G$26="Move Before",IF(WEEKDAY($F347,2)=6,$F347-1,IF(WEEKDAY($F347,2)=7,$F347-2,$F347)),IF(Recurring!$G$26="Move After",IF(WEEKDAY($F347,2)=6,$F347+2,IF(WEEKDAY($F347,2)=7,$F347+1,$F347)),$F347)))</f>
        <v/>
      </c>
      <c r="H347" s="78" t="n">
        <f aca="false">IF($G347="",0,IF(AND($G347&gt;='Cash Flow'!$E$6,$G347&lt;'Cash Flow'!$E$6+91),1,0))</f>
        <v>0</v>
      </c>
      <c r="I347" s="78" t="str">
        <f aca="false">IF($H347=1,MAX(1,INT(($G347-'Cash Flow'!$E$6)/7)+1),"")</f>
        <v/>
      </c>
      <c r="J347" s="38" t="str">
        <f aca="false">IF($H347=1,$G347*10000+ROW(),"")</f>
        <v/>
      </c>
      <c r="K347" s="38" t="str">
        <f aca="false">IF($H347=1,$I347*1000+COUNTIFS($I$4:$I$483,$I347,$J$4:$J$483,"&lt;"&amp;$J347)+1,"")</f>
        <v/>
      </c>
    </row>
    <row r="348" customFormat="false" ht="15" hidden="false" customHeight="false" outlineLevel="0" collapsed="false">
      <c r="A348" s="46" t="n">
        <v>22</v>
      </c>
      <c r="B348" s="46" t="n">
        <v>9</v>
      </c>
      <c r="C348" s="38" t="str">
        <f aca="false">IF(OR(Recurring!$B$26="",Recurring!$H$26&lt;&gt;"Yes",Recurring!$D$26=""),"",Recurring!$B$26)</f>
        <v/>
      </c>
      <c r="D348" s="38" t="str">
        <f aca="false">IF($C348="","",Recurring!$C$26)</f>
        <v/>
      </c>
      <c r="E348" s="76" t="str">
        <f aca="false">IF($C348="","",Recurring!$D$26)</f>
        <v/>
      </c>
      <c r="F348" s="77"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77" t="str">
        <f aca="false">IF($F348="","",IF(Recurring!$G$26="Move Before",IF(WEEKDAY($F348,2)=6,$F348-1,IF(WEEKDAY($F348,2)=7,$F348-2,$F348)),IF(Recurring!$G$26="Move After",IF(WEEKDAY($F348,2)=6,$F348+2,IF(WEEKDAY($F348,2)=7,$F348+1,$F348)),$F348)))</f>
        <v/>
      </c>
      <c r="H348" s="78" t="n">
        <f aca="false">IF($G348="",0,IF(AND($G348&gt;='Cash Flow'!$E$6,$G348&lt;'Cash Flow'!$E$6+91),1,0))</f>
        <v>0</v>
      </c>
      <c r="I348" s="78" t="str">
        <f aca="false">IF($H348=1,MAX(1,INT(($G348-'Cash Flow'!$E$6)/7)+1),"")</f>
        <v/>
      </c>
      <c r="J348" s="38" t="str">
        <f aca="false">IF($H348=1,$G348*10000+ROW(),"")</f>
        <v/>
      </c>
      <c r="K348" s="38" t="str">
        <f aca="false">IF($H348=1,$I348*1000+COUNTIFS($I$4:$I$483,$I348,$J$4:$J$483,"&lt;"&amp;$J348)+1,"")</f>
        <v/>
      </c>
    </row>
    <row r="349" customFormat="false" ht="15" hidden="false" customHeight="false" outlineLevel="0" collapsed="false">
      <c r="A349" s="46" t="n">
        <v>22</v>
      </c>
      <c r="B349" s="46" t="n">
        <v>10</v>
      </c>
      <c r="C349" s="38" t="str">
        <f aca="false">IF(OR(Recurring!$B$26="",Recurring!$H$26&lt;&gt;"Yes",Recurring!$D$26=""),"",Recurring!$B$26)</f>
        <v/>
      </c>
      <c r="D349" s="38" t="str">
        <f aca="false">IF($C349="","",Recurring!$C$26)</f>
        <v/>
      </c>
      <c r="E349" s="76" t="str">
        <f aca="false">IF($C349="","",Recurring!$D$26)</f>
        <v/>
      </c>
      <c r="F349" s="77"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77" t="str">
        <f aca="false">IF($F349="","",IF(Recurring!$G$26="Move Before",IF(WEEKDAY($F349,2)=6,$F349-1,IF(WEEKDAY($F349,2)=7,$F349-2,$F349)),IF(Recurring!$G$26="Move After",IF(WEEKDAY($F349,2)=6,$F349+2,IF(WEEKDAY($F349,2)=7,$F349+1,$F349)),$F349)))</f>
        <v/>
      </c>
      <c r="H349" s="78" t="n">
        <f aca="false">IF($G349="",0,IF(AND($G349&gt;='Cash Flow'!$E$6,$G349&lt;'Cash Flow'!$E$6+91),1,0))</f>
        <v>0</v>
      </c>
      <c r="I349" s="78" t="str">
        <f aca="false">IF($H349=1,MAX(1,INT(($G349-'Cash Flow'!$E$6)/7)+1),"")</f>
        <v/>
      </c>
      <c r="J349" s="38" t="str">
        <f aca="false">IF($H349=1,$G349*10000+ROW(),"")</f>
        <v/>
      </c>
      <c r="K349" s="38" t="str">
        <f aca="false">IF($H349=1,$I349*1000+COUNTIFS($I$4:$I$483,$I349,$J$4:$J$483,"&lt;"&amp;$J349)+1,"")</f>
        <v/>
      </c>
    </row>
    <row r="350" customFormat="false" ht="15" hidden="false" customHeight="false" outlineLevel="0" collapsed="false">
      <c r="A350" s="46" t="n">
        <v>22</v>
      </c>
      <c r="B350" s="46" t="n">
        <v>11</v>
      </c>
      <c r="C350" s="38" t="str">
        <f aca="false">IF(OR(Recurring!$B$26="",Recurring!$H$26&lt;&gt;"Yes",Recurring!$D$26=""),"",Recurring!$B$26)</f>
        <v/>
      </c>
      <c r="D350" s="38" t="str">
        <f aca="false">IF($C350="","",Recurring!$C$26)</f>
        <v/>
      </c>
      <c r="E350" s="76" t="str">
        <f aca="false">IF($C350="","",Recurring!$D$26)</f>
        <v/>
      </c>
      <c r="F350" s="77"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77" t="str">
        <f aca="false">IF($F350="","",IF(Recurring!$G$26="Move Before",IF(WEEKDAY($F350,2)=6,$F350-1,IF(WEEKDAY($F350,2)=7,$F350-2,$F350)),IF(Recurring!$G$26="Move After",IF(WEEKDAY($F350,2)=6,$F350+2,IF(WEEKDAY($F350,2)=7,$F350+1,$F350)),$F350)))</f>
        <v/>
      </c>
      <c r="H350" s="78" t="n">
        <f aca="false">IF($G350="",0,IF(AND($G350&gt;='Cash Flow'!$E$6,$G350&lt;'Cash Flow'!$E$6+91),1,0))</f>
        <v>0</v>
      </c>
      <c r="I350" s="78" t="str">
        <f aca="false">IF($H350=1,MAX(1,INT(($G350-'Cash Flow'!$E$6)/7)+1),"")</f>
        <v/>
      </c>
      <c r="J350" s="38" t="str">
        <f aca="false">IF($H350=1,$G350*10000+ROW(),"")</f>
        <v/>
      </c>
      <c r="K350" s="38" t="str">
        <f aca="false">IF($H350=1,$I350*1000+COUNTIFS($I$4:$I$483,$I350,$J$4:$J$483,"&lt;"&amp;$J350)+1,"")</f>
        <v/>
      </c>
    </row>
    <row r="351" customFormat="false" ht="15" hidden="false" customHeight="false" outlineLevel="0" collapsed="false">
      <c r="A351" s="46" t="n">
        <v>22</v>
      </c>
      <c r="B351" s="46" t="n">
        <v>12</v>
      </c>
      <c r="C351" s="38" t="str">
        <f aca="false">IF(OR(Recurring!$B$26="",Recurring!$H$26&lt;&gt;"Yes",Recurring!$D$26=""),"",Recurring!$B$26)</f>
        <v/>
      </c>
      <c r="D351" s="38" t="str">
        <f aca="false">IF($C351="","",Recurring!$C$26)</f>
        <v/>
      </c>
      <c r="E351" s="76" t="str">
        <f aca="false">IF($C351="","",Recurring!$D$26)</f>
        <v/>
      </c>
      <c r="F351" s="77"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77" t="str">
        <f aca="false">IF($F351="","",IF(Recurring!$G$26="Move Before",IF(WEEKDAY($F351,2)=6,$F351-1,IF(WEEKDAY($F351,2)=7,$F351-2,$F351)),IF(Recurring!$G$26="Move After",IF(WEEKDAY($F351,2)=6,$F351+2,IF(WEEKDAY($F351,2)=7,$F351+1,$F351)),$F351)))</f>
        <v/>
      </c>
      <c r="H351" s="78" t="n">
        <f aca="false">IF($G351="",0,IF(AND($G351&gt;='Cash Flow'!$E$6,$G351&lt;'Cash Flow'!$E$6+91),1,0))</f>
        <v>0</v>
      </c>
      <c r="I351" s="78" t="str">
        <f aca="false">IF($H351=1,MAX(1,INT(($G351-'Cash Flow'!$E$6)/7)+1),"")</f>
        <v/>
      </c>
      <c r="J351" s="38" t="str">
        <f aca="false">IF($H351=1,$G351*10000+ROW(),"")</f>
        <v/>
      </c>
      <c r="K351" s="38" t="str">
        <f aca="false">IF($H351=1,$I351*1000+COUNTIFS($I$4:$I$483,$I351,$J$4:$J$483,"&lt;"&amp;$J351)+1,"")</f>
        <v/>
      </c>
    </row>
    <row r="352" customFormat="false" ht="15" hidden="false" customHeight="false" outlineLevel="0" collapsed="false">
      <c r="A352" s="46" t="n">
        <v>22</v>
      </c>
      <c r="B352" s="46" t="n">
        <v>13</v>
      </c>
      <c r="C352" s="38" t="str">
        <f aca="false">IF(OR(Recurring!$B$26="",Recurring!$H$26&lt;&gt;"Yes",Recurring!$D$26=""),"",Recurring!$B$26)</f>
        <v/>
      </c>
      <c r="D352" s="38" t="str">
        <f aca="false">IF($C352="","",Recurring!$C$26)</f>
        <v/>
      </c>
      <c r="E352" s="76" t="str">
        <f aca="false">IF($C352="","",Recurring!$D$26)</f>
        <v/>
      </c>
      <c r="F352" s="77"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77" t="str">
        <f aca="false">IF($F352="","",IF(Recurring!$G$26="Move Before",IF(WEEKDAY($F352,2)=6,$F352-1,IF(WEEKDAY($F352,2)=7,$F352-2,$F352)),IF(Recurring!$G$26="Move After",IF(WEEKDAY($F352,2)=6,$F352+2,IF(WEEKDAY($F352,2)=7,$F352+1,$F352)),$F352)))</f>
        <v/>
      </c>
      <c r="H352" s="78" t="n">
        <f aca="false">IF($G352="",0,IF(AND($G352&gt;='Cash Flow'!$E$6,$G352&lt;'Cash Flow'!$E$6+91),1,0))</f>
        <v>0</v>
      </c>
      <c r="I352" s="78" t="str">
        <f aca="false">IF($H352=1,MAX(1,INT(($G352-'Cash Flow'!$E$6)/7)+1),"")</f>
        <v/>
      </c>
      <c r="J352" s="38" t="str">
        <f aca="false">IF($H352=1,$G352*10000+ROW(),"")</f>
        <v/>
      </c>
      <c r="K352" s="38" t="str">
        <f aca="false">IF($H352=1,$I352*1000+COUNTIFS($I$4:$I$483,$I352,$J$4:$J$483,"&lt;"&amp;$J352)+1,"")</f>
        <v/>
      </c>
    </row>
    <row r="353" customFormat="false" ht="15" hidden="false" customHeight="false" outlineLevel="0" collapsed="false">
      <c r="A353" s="46" t="n">
        <v>22</v>
      </c>
      <c r="B353" s="46" t="n">
        <v>14</v>
      </c>
      <c r="C353" s="38" t="str">
        <f aca="false">IF(OR(Recurring!$B$26="",Recurring!$H$26&lt;&gt;"Yes",Recurring!$D$26=""),"",Recurring!$B$26)</f>
        <v/>
      </c>
      <c r="D353" s="38" t="str">
        <f aca="false">IF($C353="","",Recurring!$C$26)</f>
        <v/>
      </c>
      <c r="E353" s="76" t="str">
        <f aca="false">IF($C353="","",Recurring!$D$26)</f>
        <v/>
      </c>
      <c r="F353" s="77"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77" t="str">
        <f aca="false">IF($F353="","",IF(Recurring!$G$26="Move Before",IF(WEEKDAY($F353,2)=6,$F353-1,IF(WEEKDAY($F353,2)=7,$F353-2,$F353)),IF(Recurring!$G$26="Move After",IF(WEEKDAY($F353,2)=6,$F353+2,IF(WEEKDAY($F353,2)=7,$F353+1,$F353)),$F353)))</f>
        <v/>
      </c>
      <c r="H353" s="78" t="n">
        <f aca="false">IF($G353="",0,IF(AND($G353&gt;='Cash Flow'!$E$6,$G353&lt;'Cash Flow'!$E$6+91),1,0))</f>
        <v>0</v>
      </c>
      <c r="I353" s="78" t="str">
        <f aca="false">IF($H353=1,MAX(1,INT(($G353-'Cash Flow'!$E$6)/7)+1),"")</f>
        <v/>
      </c>
      <c r="J353" s="38" t="str">
        <f aca="false">IF($H353=1,$G353*10000+ROW(),"")</f>
        <v/>
      </c>
      <c r="K353" s="38" t="str">
        <f aca="false">IF($H353=1,$I353*1000+COUNTIFS($I$4:$I$483,$I353,$J$4:$J$483,"&lt;"&amp;$J353)+1,"")</f>
        <v/>
      </c>
    </row>
    <row r="354" customFormat="false" ht="15" hidden="false" customHeight="false" outlineLevel="0" collapsed="false">
      <c r="A354" s="46" t="n">
        <v>22</v>
      </c>
      <c r="B354" s="46" t="n">
        <v>15</v>
      </c>
      <c r="C354" s="38" t="str">
        <f aca="false">IF(OR(Recurring!$B$26="",Recurring!$H$26&lt;&gt;"Yes",Recurring!$D$26=""),"",Recurring!$B$26)</f>
        <v/>
      </c>
      <c r="D354" s="38" t="str">
        <f aca="false">IF($C354="","",Recurring!$C$26)</f>
        <v/>
      </c>
      <c r="E354" s="76" t="str">
        <f aca="false">IF($C354="","",Recurring!$D$26)</f>
        <v/>
      </c>
      <c r="F354" s="77"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77" t="str">
        <f aca="false">IF($F354="","",IF(Recurring!$G$26="Move Before",IF(WEEKDAY($F354,2)=6,$F354-1,IF(WEEKDAY($F354,2)=7,$F354-2,$F354)),IF(Recurring!$G$26="Move After",IF(WEEKDAY($F354,2)=6,$F354+2,IF(WEEKDAY($F354,2)=7,$F354+1,$F354)),$F354)))</f>
        <v/>
      </c>
      <c r="H354" s="78" t="n">
        <f aca="false">IF($G354="",0,IF(AND($G354&gt;='Cash Flow'!$E$6,$G354&lt;'Cash Flow'!$E$6+91),1,0))</f>
        <v>0</v>
      </c>
      <c r="I354" s="78" t="str">
        <f aca="false">IF($H354=1,MAX(1,INT(($G354-'Cash Flow'!$E$6)/7)+1),"")</f>
        <v/>
      </c>
      <c r="J354" s="38" t="str">
        <f aca="false">IF($H354=1,$G354*10000+ROW(),"")</f>
        <v/>
      </c>
      <c r="K354" s="38" t="str">
        <f aca="false">IF($H354=1,$I354*1000+COUNTIFS($I$4:$I$483,$I354,$J$4:$J$483,"&lt;"&amp;$J354)+1,"")</f>
        <v/>
      </c>
    </row>
    <row r="355" customFormat="false" ht="15" hidden="false" customHeight="false" outlineLevel="0" collapsed="false">
      <c r="A355" s="46" t="n">
        <v>22</v>
      </c>
      <c r="B355" s="46" t="n">
        <v>16</v>
      </c>
      <c r="C355" s="38" t="str">
        <f aca="false">IF(OR(Recurring!$B$26="",Recurring!$H$26&lt;&gt;"Yes",Recurring!$D$26=""),"",Recurring!$B$26)</f>
        <v/>
      </c>
      <c r="D355" s="38" t="str">
        <f aca="false">IF($C355="","",Recurring!$C$26)</f>
        <v/>
      </c>
      <c r="E355" s="76" t="str">
        <f aca="false">IF($C355="","",Recurring!$D$26)</f>
        <v/>
      </c>
      <c r="F355" s="77"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77" t="str">
        <f aca="false">IF($F355="","",IF(Recurring!$G$26="Move Before",IF(WEEKDAY($F355,2)=6,$F355-1,IF(WEEKDAY($F355,2)=7,$F355-2,$F355)),IF(Recurring!$G$26="Move After",IF(WEEKDAY($F355,2)=6,$F355+2,IF(WEEKDAY($F355,2)=7,$F355+1,$F355)),$F355)))</f>
        <v/>
      </c>
      <c r="H355" s="78" t="n">
        <f aca="false">IF($G355="",0,IF(AND($G355&gt;='Cash Flow'!$E$6,$G355&lt;'Cash Flow'!$E$6+91),1,0))</f>
        <v>0</v>
      </c>
      <c r="I355" s="78" t="str">
        <f aca="false">IF($H355=1,MAX(1,INT(($G355-'Cash Flow'!$E$6)/7)+1),"")</f>
        <v/>
      </c>
      <c r="J355" s="38" t="str">
        <f aca="false">IF($H355=1,$G355*10000+ROW(),"")</f>
        <v/>
      </c>
      <c r="K355" s="38" t="str">
        <f aca="false">IF($H355=1,$I355*1000+COUNTIFS($I$4:$I$483,$I355,$J$4:$J$483,"&lt;"&amp;$J355)+1,"")</f>
        <v/>
      </c>
    </row>
    <row r="356" customFormat="false" ht="15" hidden="false" customHeight="false" outlineLevel="0" collapsed="false">
      <c r="A356" s="46" t="n">
        <v>23</v>
      </c>
      <c r="B356" s="46" t="n">
        <v>1</v>
      </c>
      <c r="C356" s="38" t="str">
        <f aca="false">IF(OR(Recurring!$B$27="",Recurring!$H$27&lt;&gt;"Yes",Recurring!$D$27=""),"",Recurring!$B$27)</f>
        <v/>
      </c>
      <c r="D356" s="38" t="str">
        <f aca="false">IF($C356="","",Recurring!$C$27)</f>
        <v/>
      </c>
      <c r="E356" s="76" t="str">
        <f aca="false">IF($C356="","",Recurring!$D$27)</f>
        <v/>
      </c>
      <c r="F356" s="77"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77" t="str">
        <f aca="false">IF($F356="","",IF(Recurring!$G$27="Move Before",IF(WEEKDAY($F356,2)=6,$F356-1,IF(WEEKDAY($F356,2)=7,$F356-2,$F356)),IF(Recurring!$G$27="Move After",IF(WEEKDAY($F356,2)=6,$F356+2,IF(WEEKDAY($F356,2)=7,$F356+1,$F356)),$F356)))</f>
        <v/>
      </c>
      <c r="H356" s="78" t="n">
        <f aca="false">IF($G356="",0,IF(AND($G356&gt;='Cash Flow'!$E$6-90,$G356&lt;'Cash Flow'!$E$6+91),1,0))</f>
        <v>0</v>
      </c>
      <c r="I356" s="78" t="str">
        <f aca="false">IF($H356=1,MAX(1,INT(($G356-'Cash Flow'!$E$6)/7)+1),"")</f>
        <v/>
      </c>
      <c r="J356" s="38" t="str">
        <f aca="false">IF($H356=1,$G356*10000+ROW(),"")</f>
        <v/>
      </c>
      <c r="K356" s="38" t="str">
        <f aca="false">IF($H356=1,$I356*1000+COUNTIFS($I$4:$I$483,$I356,$J$4:$J$483,"&lt;"&amp;$J356)+1,"")</f>
        <v/>
      </c>
    </row>
    <row r="357" customFormat="false" ht="15" hidden="false" customHeight="false" outlineLevel="0" collapsed="false">
      <c r="A357" s="46" t="n">
        <v>23</v>
      </c>
      <c r="B357" s="46" t="n">
        <v>2</v>
      </c>
      <c r="C357" s="38" t="str">
        <f aca="false">IF(OR(Recurring!$B$27="",Recurring!$H$27&lt;&gt;"Yes",Recurring!$D$27=""),"",Recurring!$B$27)</f>
        <v/>
      </c>
      <c r="D357" s="38" t="str">
        <f aca="false">IF($C357="","",Recurring!$C$27)</f>
        <v/>
      </c>
      <c r="E357" s="76" t="str">
        <f aca="false">IF($C357="","",Recurring!$D$27)</f>
        <v/>
      </c>
      <c r="F357" s="77"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77" t="str">
        <f aca="false">IF($F357="","",IF(Recurring!$G$27="Move Before",IF(WEEKDAY($F357,2)=6,$F357-1,IF(WEEKDAY($F357,2)=7,$F357-2,$F357)),IF(Recurring!$G$27="Move After",IF(WEEKDAY($F357,2)=6,$F357+2,IF(WEEKDAY($F357,2)=7,$F357+1,$F357)),$F357)))</f>
        <v/>
      </c>
      <c r="H357" s="78" t="n">
        <f aca="false">IF($G357="",0,IF(AND($G357&gt;='Cash Flow'!$E$6,$G357&lt;'Cash Flow'!$E$6+91),1,0))</f>
        <v>0</v>
      </c>
      <c r="I357" s="78" t="str">
        <f aca="false">IF($H357=1,MAX(1,INT(($G357-'Cash Flow'!$E$6)/7)+1),"")</f>
        <v/>
      </c>
      <c r="J357" s="38" t="str">
        <f aca="false">IF($H357=1,$G357*10000+ROW(),"")</f>
        <v/>
      </c>
      <c r="K357" s="38" t="str">
        <f aca="false">IF($H357=1,$I357*1000+COUNTIFS($I$4:$I$483,$I357,$J$4:$J$483,"&lt;"&amp;$J357)+1,"")</f>
        <v/>
      </c>
    </row>
    <row r="358" customFormat="false" ht="15" hidden="false" customHeight="false" outlineLevel="0" collapsed="false">
      <c r="A358" s="46" t="n">
        <v>23</v>
      </c>
      <c r="B358" s="46" t="n">
        <v>3</v>
      </c>
      <c r="C358" s="38" t="str">
        <f aca="false">IF(OR(Recurring!$B$27="",Recurring!$H$27&lt;&gt;"Yes",Recurring!$D$27=""),"",Recurring!$B$27)</f>
        <v/>
      </c>
      <c r="D358" s="38" t="str">
        <f aca="false">IF($C358="","",Recurring!$C$27)</f>
        <v/>
      </c>
      <c r="E358" s="76" t="str">
        <f aca="false">IF($C358="","",Recurring!$D$27)</f>
        <v/>
      </c>
      <c r="F358" s="77"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77" t="str">
        <f aca="false">IF($F358="","",IF(Recurring!$G$27="Move Before",IF(WEEKDAY($F358,2)=6,$F358-1,IF(WEEKDAY($F358,2)=7,$F358-2,$F358)),IF(Recurring!$G$27="Move After",IF(WEEKDAY($F358,2)=6,$F358+2,IF(WEEKDAY($F358,2)=7,$F358+1,$F358)),$F358)))</f>
        <v/>
      </c>
      <c r="H358" s="78" t="n">
        <f aca="false">IF($G358="",0,IF(AND($G358&gt;='Cash Flow'!$E$6,$G358&lt;'Cash Flow'!$E$6+91),1,0))</f>
        <v>0</v>
      </c>
      <c r="I358" s="78" t="str">
        <f aca="false">IF($H358=1,MAX(1,INT(($G358-'Cash Flow'!$E$6)/7)+1),"")</f>
        <v/>
      </c>
      <c r="J358" s="38" t="str">
        <f aca="false">IF($H358=1,$G358*10000+ROW(),"")</f>
        <v/>
      </c>
      <c r="K358" s="38" t="str">
        <f aca="false">IF($H358=1,$I358*1000+COUNTIFS($I$4:$I$483,$I358,$J$4:$J$483,"&lt;"&amp;$J358)+1,"")</f>
        <v/>
      </c>
    </row>
    <row r="359" customFormat="false" ht="15" hidden="false" customHeight="false" outlineLevel="0" collapsed="false">
      <c r="A359" s="46" t="n">
        <v>23</v>
      </c>
      <c r="B359" s="46" t="n">
        <v>4</v>
      </c>
      <c r="C359" s="38" t="str">
        <f aca="false">IF(OR(Recurring!$B$27="",Recurring!$H$27&lt;&gt;"Yes",Recurring!$D$27=""),"",Recurring!$B$27)</f>
        <v/>
      </c>
      <c r="D359" s="38" t="str">
        <f aca="false">IF($C359="","",Recurring!$C$27)</f>
        <v/>
      </c>
      <c r="E359" s="76" t="str">
        <f aca="false">IF($C359="","",Recurring!$D$27)</f>
        <v/>
      </c>
      <c r="F359" s="77"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77" t="str">
        <f aca="false">IF($F359="","",IF(Recurring!$G$27="Move Before",IF(WEEKDAY($F359,2)=6,$F359-1,IF(WEEKDAY($F359,2)=7,$F359-2,$F359)),IF(Recurring!$G$27="Move After",IF(WEEKDAY($F359,2)=6,$F359+2,IF(WEEKDAY($F359,2)=7,$F359+1,$F359)),$F359)))</f>
        <v/>
      </c>
      <c r="H359" s="78" t="n">
        <f aca="false">IF($G359="",0,IF(AND($G359&gt;='Cash Flow'!$E$6,$G359&lt;'Cash Flow'!$E$6+91),1,0))</f>
        <v>0</v>
      </c>
      <c r="I359" s="78" t="str">
        <f aca="false">IF($H359=1,MAX(1,INT(($G359-'Cash Flow'!$E$6)/7)+1),"")</f>
        <v/>
      </c>
      <c r="J359" s="38" t="str">
        <f aca="false">IF($H359=1,$G359*10000+ROW(),"")</f>
        <v/>
      </c>
      <c r="K359" s="38" t="str">
        <f aca="false">IF($H359=1,$I359*1000+COUNTIFS($I$4:$I$483,$I359,$J$4:$J$483,"&lt;"&amp;$J359)+1,"")</f>
        <v/>
      </c>
    </row>
    <row r="360" customFormat="false" ht="15" hidden="false" customHeight="false" outlineLevel="0" collapsed="false">
      <c r="A360" s="46" t="n">
        <v>23</v>
      </c>
      <c r="B360" s="46" t="n">
        <v>5</v>
      </c>
      <c r="C360" s="38" t="str">
        <f aca="false">IF(OR(Recurring!$B$27="",Recurring!$H$27&lt;&gt;"Yes",Recurring!$D$27=""),"",Recurring!$B$27)</f>
        <v/>
      </c>
      <c r="D360" s="38" t="str">
        <f aca="false">IF($C360="","",Recurring!$C$27)</f>
        <v/>
      </c>
      <c r="E360" s="76" t="str">
        <f aca="false">IF($C360="","",Recurring!$D$27)</f>
        <v/>
      </c>
      <c r="F360" s="77"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77" t="str">
        <f aca="false">IF($F360="","",IF(Recurring!$G$27="Move Before",IF(WEEKDAY($F360,2)=6,$F360-1,IF(WEEKDAY($F360,2)=7,$F360-2,$F360)),IF(Recurring!$G$27="Move After",IF(WEEKDAY($F360,2)=6,$F360+2,IF(WEEKDAY($F360,2)=7,$F360+1,$F360)),$F360)))</f>
        <v/>
      </c>
      <c r="H360" s="78" t="n">
        <f aca="false">IF($G360="",0,IF(AND($G360&gt;='Cash Flow'!$E$6,$G360&lt;'Cash Flow'!$E$6+91),1,0))</f>
        <v>0</v>
      </c>
      <c r="I360" s="78" t="str">
        <f aca="false">IF($H360=1,MAX(1,INT(($G360-'Cash Flow'!$E$6)/7)+1),"")</f>
        <v/>
      </c>
      <c r="J360" s="38" t="str">
        <f aca="false">IF($H360=1,$G360*10000+ROW(),"")</f>
        <v/>
      </c>
      <c r="K360" s="38" t="str">
        <f aca="false">IF($H360=1,$I360*1000+COUNTIFS($I$4:$I$483,$I360,$J$4:$J$483,"&lt;"&amp;$J360)+1,"")</f>
        <v/>
      </c>
    </row>
    <row r="361" customFormat="false" ht="15" hidden="false" customHeight="false" outlineLevel="0" collapsed="false">
      <c r="A361" s="46" t="n">
        <v>23</v>
      </c>
      <c r="B361" s="46" t="n">
        <v>6</v>
      </c>
      <c r="C361" s="38" t="str">
        <f aca="false">IF(OR(Recurring!$B$27="",Recurring!$H$27&lt;&gt;"Yes",Recurring!$D$27=""),"",Recurring!$B$27)</f>
        <v/>
      </c>
      <c r="D361" s="38" t="str">
        <f aca="false">IF($C361="","",Recurring!$C$27)</f>
        <v/>
      </c>
      <c r="E361" s="76" t="str">
        <f aca="false">IF($C361="","",Recurring!$D$27)</f>
        <v/>
      </c>
      <c r="F361" s="77"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77" t="str">
        <f aca="false">IF($F361="","",IF(Recurring!$G$27="Move Before",IF(WEEKDAY($F361,2)=6,$F361-1,IF(WEEKDAY($F361,2)=7,$F361-2,$F361)),IF(Recurring!$G$27="Move After",IF(WEEKDAY($F361,2)=6,$F361+2,IF(WEEKDAY($F361,2)=7,$F361+1,$F361)),$F361)))</f>
        <v/>
      </c>
      <c r="H361" s="78" t="n">
        <f aca="false">IF($G361="",0,IF(AND($G361&gt;='Cash Flow'!$E$6,$G361&lt;'Cash Flow'!$E$6+91),1,0))</f>
        <v>0</v>
      </c>
      <c r="I361" s="78" t="str">
        <f aca="false">IF($H361=1,MAX(1,INT(($G361-'Cash Flow'!$E$6)/7)+1),"")</f>
        <v/>
      </c>
      <c r="J361" s="38" t="str">
        <f aca="false">IF($H361=1,$G361*10000+ROW(),"")</f>
        <v/>
      </c>
      <c r="K361" s="38" t="str">
        <f aca="false">IF($H361=1,$I361*1000+COUNTIFS($I$4:$I$483,$I361,$J$4:$J$483,"&lt;"&amp;$J361)+1,"")</f>
        <v/>
      </c>
    </row>
    <row r="362" customFormat="false" ht="15" hidden="false" customHeight="false" outlineLevel="0" collapsed="false">
      <c r="A362" s="46" t="n">
        <v>23</v>
      </c>
      <c r="B362" s="46" t="n">
        <v>7</v>
      </c>
      <c r="C362" s="38" t="str">
        <f aca="false">IF(OR(Recurring!$B$27="",Recurring!$H$27&lt;&gt;"Yes",Recurring!$D$27=""),"",Recurring!$B$27)</f>
        <v/>
      </c>
      <c r="D362" s="38" t="str">
        <f aca="false">IF($C362="","",Recurring!$C$27)</f>
        <v/>
      </c>
      <c r="E362" s="76" t="str">
        <f aca="false">IF($C362="","",Recurring!$D$27)</f>
        <v/>
      </c>
      <c r="F362" s="77"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77" t="str">
        <f aca="false">IF($F362="","",IF(Recurring!$G$27="Move Before",IF(WEEKDAY($F362,2)=6,$F362-1,IF(WEEKDAY($F362,2)=7,$F362-2,$F362)),IF(Recurring!$G$27="Move After",IF(WEEKDAY($F362,2)=6,$F362+2,IF(WEEKDAY($F362,2)=7,$F362+1,$F362)),$F362)))</f>
        <v/>
      </c>
      <c r="H362" s="78" t="n">
        <f aca="false">IF($G362="",0,IF(AND($G362&gt;='Cash Flow'!$E$6,$G362&lt;'Cash Flow'!$E$6+91),1,0))</f>
        <v>0</v>
      </c>
      <c r="I362" s="78" t="str">
        <f aca="false">IF($H362=1,MAX(1,INT(($G362-'Cash Flow'!$E$6)/7)+1),"")</f>
        <v/>
      </c>
      <c r="J362" s="38" t="str">
        <f aca="false">IF($H362=1,$G362*10000+ROW(),"")</f>
        <v/>
      </c>
      <c r="K362" s="38" t="str">
        <f aca="false">IF($H362=1,$I362*1000+COUNTIFS($I$4:$I$483,$I362,$J$4:$J$483,"&lt;"&amp;$J362)+1,"")</f>
        <v/>
      </c>
    </row>
    <row r="363" customFormat="false" ht="15" hidden="false" customHeight="false" outlineLevel="0" collapsed="false">
      <c r="A363" s="46" t="n">
        <v>23</v>
      </c>
      <c r="B363" s="46" t="n">
        <v>8</v>
      </c>
      <c r="C363" s="38" t="str">
        <f aca="false">IF(OR(Recurring!$B$27="",Recurring!$H$27&lt;&gt;"Yes",Recurring!$D$27=""),"",Recurring!$B$27)</f>
        <v/>
      </c>
      <c r="D363" s="38" t="str">
        <f aca="false">IF($C363="","",Recurring!$C$27)</f>
        <v/>
      </c>
      <c r="E363" s="76" t="str">
        <f aca="false">IF($C363="","",Recurring!$D$27)</f>
        <v/>
      </c>
      <c r="F363" s="77"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77" t="str">
        <f aca="false">IF($F363="","",IF(Recurring!$G$27="Move Before",IF(WEEKDAY($F363,2)=6,$F363-1,IF(WEEKDAY($F363,2)=7,$F363-2,$F363)),IF(Recurring!$G$27="Move After",IF(WEEKDAY($F363,2)=6,$F363+2,IF(WEEKDAY($F363,2)=7,$F363+1,$F363)),$F363)))</f>
        <v/>
      </c>
      <c r="H363" s="78" t="n">
        <f aca="false">IF($G363="",0,IF(AND($G363&gt;='Cash Flow'!$E$6,$G363&lt;'Cash Flow'!$E$6+91),1,0))</f>
        <v>0</v>
      </c>
      <c r="I363" s="78" t="str">
        <f aca="false">IF($H363=1,MAX(1,INT(($G363-'Cash Flow'!$E$6)/7)+1),"")</f>
        <v/>
      </c>
      <c r="J363" s="38" t="str">
        <f aca="false">IF($H363=1,$G363*10000+ROW(),"")</f>
        <v/>
      </c>
      <c r="K363" s="38" t="str">
        <f aca="false">IF($H363=1,$I363*1000+COUNTIFS($I$4:$I$483,$I363,$J$4:$J$483,"&lt;"&amp;$J363)+1,"")</f>
        <v/>
      </c>
    </row>
    <row r="364" customFormat="false" ht="15" hidden="false" customHeight="false" outlineLevel="0" collapsed="false">
      <c r="A364" s="46" t="n">
        <v>23</v>
      </c>
      <c r="B364" s="46" t="n">
        <v>9</v>
      </c>
      <c r="C364" s="38" t="str">
        <f aca="false">IF(OR(Recurring!$B$27="",Recurring!$H$27&lt;&gt;"Yes",Recurring!$D$27=""),"",Recurring!$B$27)</f>
        <v/>
      </c>
      <c r="D364" s="38" t="str">
        <f aca="false">IF($C364="","",Recurring!$C$27)</f>
        <v/>
      </c>
      <c r="E364" s="76" t="str">
        <f aca="false">IF($C364="","",Recurring!$D$27)</f>
        <v/>
      </c>
      <c r="F364" s="77"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77" t="str">
        <f aca="false">IF($F364="","",IF(Recurring!$G$27="Move Before",IF(WEEKDAY($F364,2)=6,$F364-1,IF(WEEKDAY($F364,2)=7,$F364-2,$F364)),IF(Recurring!$G$27="Move After",IF(WEEKDAY($F364,2)=6,$F364+2,IF(WEEKDAY($F364,2)=7,$F364+1,$F364)),$F364)))</f>
        <v/>
      </c>
      <c r="H364" s="78" t="n">
        <f aca="false">IF($G364="",0,IF(AND($G364&gt;='Cash Flow'!$E$6,$G364&lt;'Cash Flow'!$E$6+91),1,0))</f>
        <v>0</v>
      </c>
      <c r="I364" s="78" t="str">
        <f aca="false">IF($H364=1,MAX(1,INT(($G364-'Cash Flow'!$E$6)/7)+1),"")</f>
        <v/>
      </c>
      <c r="J364" s="38" t="str">
        <f aca="false">IF($H364=1,$G364*10000+ROW(),"")</f>
        <v/>
      </c>
      <c r="K364" s="38" t="str">
        <f aca="false">IF($H364=1,$I364*1000+COUNTIFS($I$4:$I$483,$I364,$J$4:$J$483,"&lt;"&amp;$J364)+1,"")</f>
        <v/>
      </c>
    </row>
    <row r="365" customFormat="false" ht="15" hidden="false" customHeight="false" outlineLevel="0" collapsed="false">
      <c r="A365" s="46" t="n">
        <v>23</v>
      </c>
      <c r="B365" s="46" t="n">
        <v>10</v>
      </c>
      <c r="C365" s="38" t="str">
        <f aca="false">IF(OR(Recurring!$B$27="",Recurring!$H$27&lt;&gt;"Yes",Recurring!$D$27=""),"",Recurring!$B$27)</f>
        <v/>
      </c>
      <c r="D365" s="38" t="str">
        <f aca="false">IF($C365="","",Recurring!$C$27)</f>
        <v/>
      </c>
      <c r="E365" s="76" t="str">
        <f aca="false">IF($C365="","",Recurring!$D$27)</f>
        <v/>
      </c>
      <c r="F365" s="77"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77" t="str">
        <f aca="false">IF($F365="","",IF(Recurring!$G$27="Move Before",IF(WEEKDAY($F365,2)=6,$F365-1,IF(WEEKDAY($F365,2)=7,$F365-2,$F365)),IF(Recurring!$G$27="Move After",IF(WEEKDAY($F365,2)=6,$F365+2,IF(WEEKDAY($F365,2)=7,$F365+1,$F365)),$F365)))</f>
        <v/>
      </c>
      <c r="H365" s="78" t="n">
        <f aca="false">IF($G365="",0,IF(AND($G365&gt;='Cash Flow'!$E$6,$G365&lt;'Cash Flow'!$E$6+91),1,0))</f>
        <v>0</v>
      </c>
      <c r="I365" s="78" t="str">
        <f aca="false">IF($H365=1,MAX(1,INT(($G365-'Cash Flow'!$E$6)/7)+1),"")</f>
        <v/>
      </c>
      <c r="J365" s="38" t="str">
        <f aca="false">IF($H365=1,$G365*10000+ROW(),"")</f>
        <v/>
      </c>
      <c r="K365" s="38" t="str">
        <f aca="false">IF($H365=1,$I365*1000+COUNTIFS($I$4:$I$483,$I365,$J$4:$J$483,"&lt;"&amp;$J365)+1,"")</f>
        <v/>
      </c>
    </row>
    <row r="366" customFormat="false" ht="15" hidden="false" customHeight="false" outlineLevel="0" collapsed="false">
      <c r="A366" s="46" t="n">
        <v>23</v>
      </c>
      <c r="B366" s="46" t="n">
        <v>11</v>
      </c>
      <c r="C366" s="38" t="str">
        <f aca="false">IF(OR(Recurring!$B$27="",Recurring!$H$27&lt;&gt;"Yes",Recurring!$D$27=""),"",Recurring!$B$27)</f>
        <v/>
      </c>
      <c r="D366" s="38" t="str">
        <f aca="false">IF($C366="","",Recurring!$C$27)</f>
        <v/>
      </c>
      <c r="E366" s="76" t="str">
        <f aca="false">IF($C366="","",Recurring!$D$27)</f>
        <v/>
      </c>
      <c r="F366" s="77"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77" t="str">
        <f aca="false">IF($F366="","",IF(Recurring!$G$27="Move Before",IF(WEEKDAY($F366,2)=6,$F366-1,IF(WEEKDAY($F366,2)=7,$F366-2,$F366)),IF(Recurring!$G$27="Move After",IF(WEEKDAY($F366,2)=6,$F366+2,IF(WEEKDAY($F366,2)=7,$F366+1,$F366)),$F366)))</f>
        <v/>
      </c>
      <c r="H366" s="78" t="n">
        <f aca="false">IF($G366="",0,IF(AND($G366&gt;='Cash Flow'!$E$6,$G366&lt;'Cash Flow'!$E$6+91),1,0))</f>
        <v>0</v>
      </c>
      <c r="I366" s="78" t="str">
        <f aca="false">IF($H366=1,MAX(1,INT(($G366-'Cash Flow'!$E$6)/7)+1),"")</f>
        <v/>
      </c>
      <c r="J366" s="38" t="str">
        <f aca="false">IF($H366=1,$G366*10000+ROW(),"")</f>
        <v/>
      </c>
      <c r="K366" s="38" t="str">
        <f aca="false">IF($H366=1,$I366*1000+COUNTIFS($I$4:$I$483,$I366,$J$4:$J$483,"&lt;"&amp;$J366)+1,"")</f>
        <v/>
      </c>
    </row>
    <row r="367" customFormat="false" ht="15" hidden="false" customHeight="false" outlineLevel="0" collapsed="false">
      <c r="A367" s="46" t="n">
        <v>23</v>
      </c>
      <c r="B367" s="46" t="n">
        <v>12</v>
      </c>
      <c r="C367" s="38" t="str">
        <f aca="false">IF(OR(Recurring!$B$27="",Recurring!$H$27&lt;&gt;"Yes",Recurring!$D$27=""),"",Recurring!$B$27)</f>
        <v/>
      </c>
      <c r="D367" s="38" t="str">
        <f aca="false">IF($C367="","",Recurring!$C$27)</f>
        <v/>
      </c>
      <c r="E367" s="76" t="str">
        <f aca="false">IF($C367="","",Recurring!$D$27)</f>
        <v/>
      </c>
      <c r="F367" s="77"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77" t="str">
        <f aca="false">IF($F367="","",IF(Recurring!$G$27="Move Before",IF(WEEKDAY($F367,2)=6,$F367-1,IF(WEEKDAY($F367,2)=7,$F367-2,$F367)),IF(Recurring!$G$27="Move After",IF(WEEKDAY($F367,2)=6,$F367+2,IF(WEEKDAY($F367,2)=7,$F367+1,$F367)),$F367)))</f>
        <v/>
      </c>
      <c r="H367" s="78" t="n">
        <f aca="false">IF($G367="",0,IF(AND($G367&gt;='Cash Flow'!$E$6,$G367&lt;'Cash Flow'!$E$6+91),1,0))</f>
        <v>0</v>
      </c>
      <c r="I367" s="78" t="str">
        <f aca="false">IF($H367=1,MAX(1,INT(($G367-'Cash Flow'!$E$6)/7)+1),"")</f>
        <v/>
      </c>
      <c r="J367" s="38" t="str">
        <f aca="false">IF($H367=1,$G367*10000+ROW(),"")</f>
        <v/>
      </c>
      <c r="K367" s="38" t="str">
        <f aca="false">IF($H367=1,$I367*1000+COUNTIFS($I$4:$I$483,$I367,$J$4:$J$483,"&lt;"&amp;$J367)+1,"")</f>
        <v/>
      </c>
    </row>
    <row r="368" customFormat="false" ht="15" hidden="false" customHeight="false" outlineLevel="0" collapsed="false">
      <c r="A368" s="46" t="n">
        <v>23</v>
      </c>
      <c r="B368" s="46" t="n">
        <v>13</v>
      </c>
      <c r="C368" s="38" t="str">
        <f aca="false">IF(OR(Recurring!$B$27="",Recurring!$H$27&lt;&gt;"Yes",Recurring!$D$27=""),"",Recurring!$B$27)</f>
        <v/>
      </c>
      <c r="D368" s="38" t="str">
        <f aca="false">IF($C368="","",Recurring!$C$27)</f>
        <v/>
      </c>
      <c r="E368" s="76" t="str">
        <f aca="false">IF($C368="","",Recurring!$D$27)</f>
        <v/>
      </c>
      <c r="F368" s="77"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77" t="str">
        <f aca="false">IF($F368="","",IF(Recurring!$G$27="Move Before",IF(WEEKDAY($F368,2)=6,$F368-1,IF(WEEKDAY($F368,2)=7,$F368-2,$F368)),IF(Recurring!$G$27="Move After",IF(WEEKDAY($F368,2)=6,$F368+2,IF(WEEKDAY($F368,2)=7,$F368+1,$F368)),$F368)))</f>
        <v/>
      </c>
      <c r="H368" s="78" t="n">
        <f aca="false">IF($G368="",0,IF(AND($G368&gt;='Cash Flow'!$E$6,$G368&lt;'Cash Flow'!$E$6+91),1,0))</f>
        <v>0</v>
      </c>
      <c r="I368" s="78" t="str">
        <f aca="false">IF($H368=1,MAX(1,INT(($G368-'Cash Flow'!$E$6)/7)+1),"")</f>
        <v/>
      </c>
      <c r="J368" s="38" t="str">
        <f aca="false">IF($H368=1,$G368*10000+ROW(),"")</f>
        <v/>
      </c>
      <c r="K368" s="38" t="str">
        <f aca="false">IF($H368=1,$I368*1000+COUNTIFS($I$4:$I$483,$I368,$J$4:$J$483,"&lt;"&amp;$J368)+1,"")</f>
        <v/>
      </c>
    </row>
    <row r="369" customFormat="false" ht="15" hidden="false" customHeight="false" outlineLevel="0" collapsed="false">
      <c r="A369" s="46" t="n">
        <v>23</v>
      </c>
      <c r="B369" s="46" t="n">
        <v>14</v>
      </c>
      <c r="C369" s="38" t="str">
        <f aca="false">IF(OR(Recurring!$B$27="",Recurring!$H$27&lt;&gt;"Yes",Recurring!$D$27=""),"",Recurring!$B$27)</f>
        <v/>
      </c>
      <c r="D369" s="38" t="str">
        <f aca="false">IF($C369="","",Recurring!$C$27)</f>
        <v/>
      </c>
      <c r="E369" s="76" t="str">
        <f aca="false">IF($C369="","",Recurring!$D$27)</f>
        <v/>
      </c>
      <c r="F369" s="77"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77" t="str">
        <f aca="false">IF($F369="","",IF(Recurring!$G$27="Move Before",IF(WEEKDAY($F369,2)=6,$F369-1,IF(WEEKDAY($F369,2)=7,$F369-2,$F369)),IF(Recurring!$G$27="Move After",IF(WEEKDAY($F369,2)=6,$F369+2,IF(WEEKDAY($F369,2)=7,$F369+1,$F369)),$F369)))</f>
        <v/>
      </c>
      <c r="H369" s="78" t="n">
        <f aca="false">IF($G369="",0,IF(AND($G369&gt;='Cash Flow'!$E$6,$G369&lt;'Cash Flow'!$E$6+91),1,0))</f>
        <v>0</v>
      </c>
      <c r="I369" s="78" t="str">
        <f aca="false">IF($H369=1,MAX(1,INT(($G369-'Cash Flow'!$E$6)/7)+1),"")</f>
        <v/>
      </c>
      <c r="J369" s="38" t="str">
        <f aca="false">IF($H369=1,$G369*10000+ROW(),"")</f>
        <v/>
      </c>
      <c r="K369" s="38" t="str">
        <f aca="false">IF($H369=1,$I369*1000+COUNTIFS($I$4:$I$483,$I369,$J$4:$J$483,"&lt;"&amp;$J369)+1,"")</f>
        <v/>
      </c>
    </row>
    <row r="370" customFormat="false" ht="15" hidden="false" customHeight="false" outlineLevel="0" collapsed="false">
      <c r="A370" s="46" t="n">
        <v>23</v>
      </c>
      <c r="B370" s="46" t="n">
        <v>15</v>
      </c>
      <c r="C370" s="38" t="str">
        <f aca="false">IF(OR(Recurring!$B$27="",Recurring!$H$27&lt;&gt;"Yes",Recurring!$D$27=""),"",Recurring!$B$27)</f>
        <v/>
      </c>
      <c r="D370" s="38" t="str">
        <f aca="false">IF($C370="","",Recurring!$C$27)</f>
        <v/>
      </c>
      <c r="E370" s="76" t="str">
        <f aca="false">IF($C370="","",Recurring!$D$27)</f>
        <v/>
      </c>
      <c r="F370" s="77"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77" t="str">
        <f aca="false">IF($F370="","",IF(Recurring!$G$27="Move Before",IF(WEEKDAY($F370,2)=6,$F370-1,IF(WEEKDAY($F370,2)=7,$F370-2,$F370)),IF(Recurring!$G$27="Move After",IF(WEEKDAY($F370,2)=6,$F370+2,IF(WEEKDAY($F370,2)=7,$F370+1,$F370)),$F370)))</f>
        <v/>
      </c>
      <c r="H370" s="78" t="n">
        <f aca="false">IF($G370="",0,IF(AND($G370&gt;='Cash Flow'!$E$6,$G370&lt;'Cash Flow'!$E$6+91),1,0))</f>
        <v>0</v>
      </c>
      <c r="I370" s="78" t="str">
        <f aca="false">IF($H370=1,MAX(1,INT(($G370-'Cash Flow'!$E$6)/7)+1),"")</f>
        <v/>
      </c>
      <c r="J370" s="38" t="str">
        <f aca="false">IF($H370=1,$G370*10000+ROW(),"")</f>
        <v/>
      </c>
      <c r="K370" s="38" t="str">
        <f aca="false">IF($H370=1,$I370*1000+COUNTIFS($I$4:$I$483,$I370,$J$4:$J$483,"&lt;"&amp;$J370)+1,"")</f>
        <v/>
      </c>
    </row>
    <row r="371" customFormat="false" ht="15" hidden="false" customHeight="false" outlineLevel="0" collapsed="false">
      <c r="A371" s="46" t="n">
        <v>23</v>
      </c>
      <c r="B371" s="46" t="n">
        <v>16</v>
      </c>
      <c r="C371" s="38" t="str">
        <f aca="false">IF(OR(Recurring!$B$27="",Recurring!$H$27&lt;&gt;"Yes",Recurring!$D$27=""),"",Recurring!$B$27)</f>
        <v/>
      </c>
      <c r="D371" s="38" t="str">
        <f aca="false">IF($C371="","",Recurring!$C$27)</f>
        <v/>
      </c>
      <c r="E371" s="76" t="str">
        <f aca="false">IF($C371="","",Recurring!$D$27)</f>
        <v/>
      </c>
      <c r="F371" s="77"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77" t="str">
        <f aca="false">IF($F371="","",IF(Recurring!$G$27="Move Before",IF(WEEKDAY($F371,2)=6,$F371-1,IF(WEEKDAY($F371,2)=7,$F371-2,$F371)),IF(Recurring!$G$27="Move After",IF(WEEKDAY($F371,2)=6,$F371+2,IF(WEEKDAY($F371,2)=7,$F371+1,$F371)),$F371)))</f>
        <v/>
      </c>
      <c r="H371" s="78" t="n">
        <f aca="false">IF($G371="",0,IF(AND($G371&gt;='Cash Flow'!$E$6,$G371&lt;'Cash Flow'!$E$6+91),1,0))</f>
        <v>0</v>
      </c>
      <c r="I371" s="78" t="str">
        <f aca="false">IF($H371=1,MAX(1,INT(($G371-'Cash Flow'!$E$6)/7)+1),"")</f>
        <v/>
      </c>
      <c r="J371" s="38" t="str">
        <f aca="false">IF($H371=1,$G371*10000+ROW(),"")</f>
        <v/>
      </c>
      <c r="K371" s="38" t="str">
        <f aca="false">IF($H371=1,$I371*1000+COUNTIFS($I$4:$I$483,$I371,$J$4:$J$483,"&lt;"&amp;$J371)+1,"")</f>
        <v/>
      </c>
    </row>
    <row r="372" customFormat="false" ht="15" hidden="false" customHeight="false" outlineLevel="0" collapsed="false">
      <c r="A372" s="46" t="n">
        <v>24</v>
      </c>
      <c r="B372" s="46" t="n">
        <v>1</v>
      </c>
      <c r="C372" s="38" t="str">
        <f aca="false">IF(OR(Recurring!$B$28="",Recurring!$H$28&lt;&gt;"Yes",Recurring!$D$28=""),"",Recurring!$B$28)</f>
        <v/>
      </c>
      <c r="D372" s="38" t="str">
        <f aca="false">IF($C372="","",Recurring!$C$28)</f>
        <v/>
      </c>
      <c r="E372" s="76" t="str">
        <f aca="false">IF($C372="","",Recurring!$D$28)</f>
        <v/>
      </c>
      <c r="F372" s="77"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77" t="str">
        <f aca="false">IF($F372="","",IF(Recurring!$G$28="Move Before",IF(WEEKDAY($F372,2)=6,$F372-1,IF(WEEKDAY($F372,2)=7,$F372-2,$F372)),IF(Recurring!$G$28="Move After",IF(WEEKDAY($F372,2)=6,$F372+2,IF(WEEKDAY($F372,2)=7,$F372+1,$F372)),$F372)))</f>
        <v/>
      </c>
      <c r="H372" s="78" t="n">
        <f aca="false">IF($G372="",0,IF(AND($G372&gt;='Cash Flow'!$E$6-90,$G372&lt;'Cash Flow'!$E$6+91),1,0))</f>
        <v>0</v>
      </c>
      <c r="I372" s="78" t="str">
        <f aca="false">IF($H372=1,MAX(1,INT(($G372-'Cash Flow'!$E$6)/7)+1),"")</f>
        <v/>
      </c>
      <c r="J372" s="38" t="str">
        <f aca="false">IF($H372=1,$G372*10000+ROW(),"")</f>
        <v/>
      </c>
      <c r="K372" s="38" t="str">
        <f aca="false">IF($H372=1,$I372*1000+COUNTIFS($I$4:$I$483,$I372,$J$4:$J$483,"&lt;"&amp;$J372)+1,"")</f>
        <v/>
      </c>
    </row>
    <row r="373" customFormat="false" ht="15" hidden="false" customHeight="false" outlineLevel="0" collapsed="false">
      <c r="A373" s="46" t="n">
        <v>24</v>
      </c>
      <c r="B373" s="46" t="n">
        <v>2</v>
      </c>
      <c r="C373" s="38" t="str">
        <f aca="false">IF(OR(Recurring!$B$28="",Recurring!$H$28&lt;&gt;"Yes",Recurring!$D$28=""),"",Recurring!$B$28)</f>
        <v/>
      </c>
      <c r="D373" s="38" t="str">
        <f aca="false">IF($C373="","",Recurring!$C$28)</f>
        <v/>
      </c>
      <c r="E373" s="76" t="str">
        <f aca="false">IF($C373="","",Recurring!$D$28)</f>
        <v/>
      </c>
      <c r="F373" s="77"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77" t="str">
        <f aca="false">IF($F373="","",IF(Recurring!$G$28="Move Before",IF(WEEKDAY($F373,2)=6,$F373-1,IF(WEEKDAY($F373,2)=7,$F373-2,$F373)),IF(Recurring!$G$28="Move After",IF(WEEKDAY($F373,2)=6,$F373+2,IF(WEEKDAY($F373,2)=7,$F373+1,$F373)),$F373)))</f>
        <v/>
      </c>
      <c r="H373" s="78" t="n">
        <f aca="false">IF($G373="",0,IF(AND($G373&gt;='Cash Flow'!$E$6,$G373&lt;'Cash Flow'!$E$6+91),1,0))</f>
        <v>0</v>
      </c>
      <c r="I373" s="78" t="str">
        <f aca="false">IF($H373=1,MAX(1,INT(($G373-'Cash Flow'!$E$6)/7)+1),"")</f>
        <v/>
      </c>
      <c r="J373" s="38" t="str">
        <f aca="false">IF($H373=1,$G373*10000+ROW(),"")</f>
        <v/>
      </c>
      <c r="K373" s="38" t="str">
        <f aca="false">IF($H373=1,$I373*1000+COUNTIFS($I$4:$I$483,$I373,$J$4:$J$483,"&lt;"&amp;$J373)+1,"")</f>
        <v/>
      </c>
    </row>
    <row r="374" customFormat="false" ht="15" hidden="false" customHeight="false" outlineLevel="0" collapsed="false">
      <c r="A374" s="46" t="n">
        <v>24</v>
      </c>
      <c r="B374" s="46" t="n">
        <v>3</v>
      </c>
      <c r="C374" s="38" t="str">
        <f aca="false">IF(OR(Recurring!$B$28="",Recurring!$H$28&lt;&gt;"Yes",Recurring!$D$28=""),"",Recurring!$B$28)</f>
        <v/>
      </c>
      <c r="D374" s="38" t="str">
        <f aca="false">IF($C374="","",Recurring!$C$28)</f>
        <v/>
      </c>
      <c r="E374" s="76" t="str">
        <f aca="false">IF($C374="","",Recurring!$D$28)</f>
        <v/>
      </c>
      <c r="F374" s="77"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77" t="str">
        <f aca="false">IF($F374="","",IF(Recurring!$G$28="Move Before",IF(WEEKDAY($F374,2)=6,$F374-1,IF(WEEKDAY($F374,2)=7,$F374-2,$F374)),IF(Recurring!$G$28="Move After",IF(WEEKDAY($F374,2)=6,$F374+2,IF(WEEKDAY($F374,2)=7,$F374+1,$F374)),$F374)))</f>
        <v/>
      </c>
      <c r="H374" s="78" t="n">
        <f aca="false">IF($G374="",0,IF(AND($G374&gt;='Cash Flow'!$E$6,$G374&lt;'Cash Flow'!$E$6+91),1,0))</f>
        <v>0</v>
      </c>
      <c r="I374" s="78" t="str">
        <f aca="false">IF($H374=1,MAX(1,INT(($G374-'Cash Flow'!$E$6)/7)+1),"")</f>
        <v/>
      </c>
      <c r="J374" s="38" t="str">
        <f aca="false">IF($H374=1,$G374*10000+ROW(),"")</f>
        <v/>
      </c>
      <c r="K374" s="38" t="str">
        <f aca="false">IF($H374=1,$I374*1000+COUNTIFS($I$4:$I$483,$I374,$J$4:$J$483,"&lt;"&amp;$J374)+1,"")</f>
        <v/>
      </c>
    </row>
    <row r="375" customFormat="false" ht="15" hidden="false" customHeight="false" outlineLevel="0" collapsed="false">
      <c r="A375" s="46" t="n">
        <v>24</v>
      </c>
      <c r="B375" s="46" t="n">
        <v>4</v>
      </c>
      <c r="C375" s="38" t="str">
        <f aca="false">IF(OR(Recurring!$B$28="",Recurring!$H$28&lt;&gt;"Yes",Recurring!$D$28=""),"",Recurring!$B$28)</f>
        <v/>
      </c>
      <c r="D375" s="38" t="str">
        <f aca="false">IF($C375="","",Recurring!$C$28)</f>
        <v/>
      </c>
      <c r="E375" s="76" t="str">
        <f aca="false">IF($C375="","",Recurring!$D$28)</f>
        <v/>
      </c>
      <c r="F375" s="77"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77" t="str">
        <f aca="false">IF($F375="","",IF(Recurring!$G$28="Move Before",IF(WEEKDAY($F375,2)=6,$F375-1,IF(WEEKDAY($F375,2)=7,$F375-2,$F375)),IF(Recurring!$G$28="Move After",IF(WEEKDAY($F375,2)=6,$F375+2,IF(WEEKDAY($F375,2)=7,$F375+1,$F375)),$F375)))</f>
        <v/>
      </c>
      <c r="H375" s="78" t="n">
        <f aca="false">IF($G375="",0,IF(AND($G375&gt;='Cash Flow'!$E$6,$G375&lt;'Cash Flow'!$E$6+91),1,0))</f>
        <v>0</v>
      </c>
      <c r="I375" s="78" t="str">
        <f aca="false">IF($H375=1,MAX(1,INT(($G375-'Cash Flow'!$E$6)/7)+1),"")</f>
        <v/>
      </c>
      <c r="J375" s="38" t="str">
        <f aca="false">IF($H375=1,$G375*10000+ROW(),"")</f>
        <v/>
      </c>
      <c r="K375" s="38" t="str">
        <f aca="false">IF($H375=1,$I375*1000+COUNTIFS($I$4:$I$483,$I375,$J$4:$J$483,"&lt;"&amp;$J375)+1,"")</f>
        <v/>
      </c>
    </row>
    <row r="376" customFormat="false" ht="15" hidden="false" customHeight="false" outlineLevel="0" collapsed="false">
      <c r="A376" s="46" t="n">
        <v>24</v>
      </c>
      <c r="B376" s="46" t="n">
        <v>5</v>
      </c>
      <c r="C376" s="38" t="str">
        <f aca="false">IF(OR(Recurring!$B$28="",Recurring!$H$28&lt;&gt;"Yes",Recurring!$D$28=""),"",Recurring!$B$28)</f>
        <v/>
      </c>
      <c r="D376" s="38" t="str">
        <f aca="false">IF($C376="","",Recurring!$C$28)</f>
        <v/>
      </c>
      <c r="E376" s="76" t="str">
        <f aca="false">IF($C376="","",Recurring!$D$28)</f>
        <v/>
      </c>
      <c r="F376" s="77"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77" t="str">
        <f aca="false">IF($F376="","",IF(Recurring!$G$28="Move Before",IF(WEEKDAY($F376,2)=6,$F376-1,IF(WEEKDAY($F376,2)=7,$F376-2,$F376)),IF(Recurring!$G$28="Move After",IF(WEEKDAY($F376,2)=6,$F376+2,IF(WEEKDAY($F376,2)=7,$F376+1,$F376)),$F376)))</f>
        <v/>
      </c>
      <c r="H376" s="78" t="n">
        <f aca="false">IF($G376="",0,IF(AND($G376&gt;='Cash Flow'!$E$6,$G376&lt;'Cash Flow'!$E$6+91),1,0))</f>
        <v>0</v>
      </c>
      <c r="I376" s="78" t="str">
        <f aca="false">IF($H376=1,MAX(1,INT(($G376-'Cash Flow'!$E$6)/7)+1),"")</f>
        <v/>
      </c>
      <c r="J376" s="38" t="str">
        <f aca="false">IF($H376=1,$G376*10000+ROW(),"")</f>
        <v/>
      </c>
      <c r="K376" s="38" t="str">
        <f aca="false">IF($H376=1,$I376*1000+COUNTIFS($I$4:$I$483,$I376,$J$4:$J$483,"&lt;"&amp;$J376)+1,"")</f>
        <v/>
      </c>
    </row>
    <row r="377" customFormat="false" ht="15" hidden="false" customHeight="false" outlineLevel="0" collapsed="false">
      <c r="A377" s="46" t="n">
        <v>24</v>
      </c>
      <c r="B377" s="46" t="n">
        <v>6</v>
      </c>
      <c r="C377" s="38" t="str">
        <f aca="false">IF(OR(Recurring!$B$28="",Recurring!$H$28&lt;&gt;"Yes",Recurring!$D$28=""),"",Recurring!$B$28)</f>
        <v/>
      </c>
      <c r="D377" s="38" t="str">
        <f aca="false">IF($C377="","",Recurring!$C$28)</f>
        <v/>
      </c>
      <c r="E377" s="76" t="str">
        <f aca="false">IF($C377="","",Recurring!$D$28)</f>
        <v/>
      </c>
      <c r="F377" s="77"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77" t="str">
        <f aca="false">IF($F377="","",IF(Recurring!$G$28="Move Before",IF(WEEKDAY($F377,2)=6,$F377-1,IF(WEEKDAY($F377,2)=7,$F377-2,$F377)),IF(Recurring!$G$28="Move After",IF(WEEKDAY($F377,2)=6,$F377+2,IF(WEEKDAY($F377,2)=7,$F377+1,$F377)),$F377)))</f>
        <v/>
      </c>
      <c r="H377" s="78" t="n">
        <f aca="false">IF($G377="",0,IF(AND($G377&gt;='Cash Flow'!$E$6,$G377&lt;'Cash Flow'!$E$6+91),1,0))</f>
        <v>0</v>
      </c>
      <c r="I377" s="78" t="str">
        <f aca="false">IF($H377=1,MAX(1,INT(($G377-'Cash Flow'!$E$6)/7)+1),"")</f>
        <v/>
      </c>
      <c r="J377" s="38" t="str">
        <f aca="false">IF($H377=1,$G377*10000+ROW(),"")</f>
        <v/>
      </c>
      <c r="K377" s="38" t="str">
        <f aca="false">IF($H377=1,$I377*1000+COUNTIFS($I$4:$I$483,$I377,$J$4:$J$483,"&lt;"&amp;$J377)+1,"")</f>
        <v/>
      </c>
    </row>
    <row r="378" customFormat="false" ht="15" hidden="false" customHeight="false" outlineLevel="0" collapsed="false">
      <c r="A378" s="46" t="n">
        <v>24</v>
      </c>
      <c r="B378" s="46" t="n">
        <v>7</v>
      </c>
      <c r="C378" s="38" t="str">
        <f aca="false">IF(OR(Recurring!$B$28="",Recurring!$H$28&lt;&gt;"Yes",Recurring!$D$28=""),"",Recurring!$B$28)</f>
        <v/>
      </c>
      <c r="D378" s="38" t="str">
        <f aca="false">IF($C378="","",Recurring!$C$28)</f>
        <v/>
      </c>
      <c r="E378" s="76" t="str">
        <f aca="false">IF($C378="","",Recurring!$D$28)</f>
        <v/>
      </c>
      <c r="F378" s="77"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77" t="str">
        <f aca="false">IF($F378="","",IF(Recurring!$G$28="Move Before",IF(WEEKDAY($F378,2)=6,$F378-1,IF(WEEKDAY($F378,2)=7,$F378-2,$F378)),IF(Recurring!$G$28="Move After",IF(WEEKDAY($F378,2)=6,$F378+2,IF(WEEKDAY($F378,2)=7,$F378+1,$F378)),$F378)))</f>
        <v/>
      </c>
      <c r="H378" s="78" t="n">
        <f aca="false">IF($G378="",0,IF(AND($G378&gt;='Cash Flow'!$E$6,$G378&lt;'Cash Flow'!$E$6+91),1,0))</f>
        <v>0</v>
      </c>
      <c r="I378" s="78" t="str">
        <f aca="false">IF($H378=1,MAX(1,INT(($G378-'Cash Flow'!$E$6)/7)+1),"")</f>
        <v/>
      </c>
      <c r="J378" s="38" t="str">
        <f aca="false">IF($H378=1,$G378*10000+ROW(),"")</f>
        <v/>
      </c>
      <c r="K378" s="38" t="str">
        <f aca="false">IF($H378=1,$I378*1000+COUNTIFS($I$4:$I$483,$I378,$J$4:$J$483,"&lt;"&amp;$J378)+1,"")</f>
        <v/>
      </c>
    </row>
    <row r="379" customFormat="false" ht="15" hidden="false" customHeight="false" outlineLevel="0" collapsed="false">
      <c r="A379" s="46" t="n">
        <v>24</v>
      </c>
      <c r="B379" s="46" t="n">
        <v>8</v>
      </c>
      <c r="C379" s="38" t="str">
        <f aca="false">IF(OR(Recurring!$B$28="",Recurring!$H$28&lt;&gt;"Yes",Recurring!$D$28=""),"",Recurring!$B$28)</f>
        <v/>
      </c>
      <c r="D379" s="38" t="str">
        <f aca="false">IF($C379="","",Recurring!$C$28)</f>
        <v/>
      </c>
      <c r="E379" s="76" t="str">
        <f aca="false">IF($C379="","",Recurring!$D$28)</f>
        <v/>
      </c>
      <c r="F379" s="77"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77" t="str">
        <f aca="false">IF($F379="","",IF(Recurring!$G$28="Move Before",IF(WEEKDAY($F379,2)=6,$F379-1,IF(WEEKDAY($F379,2)=7,$F379-2,$F379)),IF(Recurring!$G$28="Move After",IF(WEEKDAY($F379,2)=6,$F379+2,IF(WEEKDAY($F379,2)=7,$F379+1,$F379)),$F379)))</f>
        <v/>
      </c>
      <c r="H379" s="78" t="n">
        <f aca="false">IF($G379="",0,IF(AND($G379&gt;='Cash Flow'!$E$6,$G379&lt;'Cash Flow'!$E$6+91),1,0))</f>
        <v>0</v>
      </c>
      <c r="I379" s="78" t="str">
        <f aca="false">IF($H379=1,MAX(1,INT(($G379-'Cash Flow'!$E$6)/7)+1),"")</f>
        <v/>
      </c>
      <c r="J379" s="38" t="str">
        <f aca="false">IF($H379=1,$G379*10000+ROW(),"")</f>
        <v/>
      </c>
      <c r="K379" s="38" t="str">
        <f aca="false">IF($H379=1,$I379*1000+COUNTIFS($I$4:$I$483,$I379,$J$4:$J$483,"&lt;"&amp;$J379)+1,"")</f>
        <v/>
      </c>
    </row>
    <row r="380" customFormat="false" ht="15" hidden="false" customHeight="false" outlineLevel="0" collapsed="false">
      <c r="A380" s="46" t="n">
        <v>24</v>
      </c>
      <c r="B380" s="46" t="n">
        <v>9</v>
      </c>
      <c r="C380" s="38" t="str">
        <f aca="false">IF(OR(Recurring!$B$28="",Recurring!$H$28&lt;&gt;"Yes",Recurring!$D$28=""),"",Recurring!$B$28)</f>
        <v/>
      </c>
      <c r="D380" s="38" t="str">
        <f aca="false">IF($C380="","",Recurring!$C$28)</f>
        <v/>
      </c>
      <c r="E380" s="76" t="str">
        <f aca="false">IF($C380="","",Recurring!$D$28)</f>
        <v/>
      </c>
      <c r="F380" s="77"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77" t="str">
        <f aca="false">IF($F380="","",IF(Recurring!$G$28="Move Before",IF(WEEKDAY($F380,2)=6,$F380-1,IF(WEEKDAY($F380,2)=7,$F380-2,$F380)),IF(Recurring!$G$28="Move After",IF(WEEKDAY($F380,2)=6,$F380+2,IF(WEEKDAY($F380,2)=7,$F380+1,$F380)),$F380)))</f>
        <v/>
      </c>
      <c r="H380" s="78" t="n">
        <f aca="false">IF($G380="",0,IF(AND($G380&gt;='Cash Flow'!$E$6,$G380&lt;'Cash Flow'!$E$6+91),1,0))</f>
        <v>0</v>
      </c>
      <c r="I380" s="78" t="str">
        <f aca="false">IF($H380=1,MAX(1,INT(($G380-'Cash Flow'!$E$6)/7)+1),"")</f>
        <v/>
      </c>
      <c r="J380" s="38" t="str">
        <f aca="false">IF($H380=1,$G380*10000+ROW(),"")</f>
        <v/>
      </c>
      <c r="K380" s="38" t="str">
        <f aca="false">IF($H380=1,$I380*1000+COUNTIFS($I$4:$I$483,$I380,$J$4:$J$483,"&lt;"&amp;$J380)+1,"")</f>
        <v/>
      </c>
    </row>
    <row r="381" customFormat="false" ht="15" hidden="false" customHeight="false" outlineLevel="0" collapsed="false">
      <c r="A381" s="46" t="n">
        <v>24</v>
      </c>
      <c r="B381" s="46" t="n">
        <v>10</v>
      </c>
      <c r="C381" s="38" t="str">
        <f aca="false">IF(OR(Recurring!$B$28="",Recurring!$H$28&lt;&gt;"Yes",Recurring!$D$28=""),"",Recurring!$B$28)</f>
        <v/>
      </c>
      <c r="D381" s="38" t="str">
        <f aca="false">IF($C381="","",Recurring!$C$28)</f>
        <v/>
      </c>
      <c r="E381" s="76" t="str">
        <f aca="false">IF($C381="","",Recurring!$D$28)</f>
        <v/>
      </c>
      <c r="F381" s="77"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77" t="str">
        <f aca="false">IF($F381="","",IF(Recurring!$G$28="Move Before",IF(WEEKDAY($F381,2)=6,$F381-1,IF(WEEKDAY($F381,2)=7,$F381-2,$F381)),IF(Recurring!$G$28="Move After",IF(WEEKDAY($F381,2)=6,$F381+2,IF(WEEKDAY($F381,2)=7,$F381+1,$F381)),$F381)))</f>
        <v/>
      </c>
      <c r="H381" s="78" t="n">
        <f aca="false">IF($G381="",0,IF(AND($G381&gt;='Cash Flow'!$E$6,$G381&lt;'Cash Flow'!$E$6+91),1,0))</f>
        <v>0</v>
      </c>
      <c r="I381" s="78" t="str">
        <f aca="false">IF($H381=1,MAX(1,INT(($G381-'Cash Flow'!$E$6)/7)+1),"")</f>
        <v/>
      </c>
      <c r="J381" s="38" t="str">
        <f aca="false">IF($H381=1,$G381*10000+ROW(),"")</f>
        <v/>
      </c>
      <c r="K381" s="38" t="str">
        <f aca="false">IF($H381=1,$I381*1000+COUNTIFS($I$4:$I$483,$I381,$J$4:$J$483,"&lt;"&amp;$J381)+1,"")</f>
        <v/>
      </c>
    </row>
    <row r="382" customFormat="false" ht="15" hidden="false" customHeight="false" outlineLevel="0" collapsed="false">
      <c r="A382" s="46" t="n">
        <v>24</v>
      </c>
      <c r="B382" s="46" t="n">
        <v>11</v>
      </c>
      <c r="C382" s="38" t="str">
        <f aca="false">IF(OR(Recurring!$B$28="",Recurring!$H$28&lt;&gt;"Yes",Recurring!$D$28=""),"",Recurring!$B$28)</f>
        <v/>
      </c>
      <c r="D382" s="38" t="str">
        <f aca="false">IF($C382="","",Recurring!$C$28)</f>
        <v/>
      </c>
      <c r="E382" s="76" t="str">
        <f aca="false">IF($C382="","",Recurring!$D$28)</f>
        <v/>
      </c>
      <c r="F382" s="77"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77" t="str">
        <f aca="false">IF($F382="","",IF(Recurring!$G$28="Move Before",IF(WEEKDAY($F382,2)=6,$F382-1,IF(WEEKDAY($F382,2)=7,$F382-2,$F382)),IF(Recurring!$G$28="Move After",IF(WEEKDAY($F382,2)=6,$F382+2,IF(WEEKDAY($F382,2)=7,$F382+1,$F382)),$F382)))</f>
        <v/>
      </c>
      <c r="H382" s="78" t="n">
        <f aca="false">IF($G382="",0,IF(AND($G382&gt;='Cash Flow'!$E$6,$G382&lt;'Cash Flow'!$E$6+91),1,0))</f>
        <v>0</v>
      </c>
      <c r="I382" s="78" t="str">
        <f aca="false">IF($H382=1,MAX(1,INT(($G382-'Cash Flow'!$E$6)/7)+1),"")</f>
        <v/>
      </c>
      <c r="J382" s="38" t="str">
        <f aca="false">IF($H382=1,$G382*10000+ROW(),"")</f>
        <v/>
      </c>
      <c r="K382" s="38" t="str">
        <f aca="false">IF($H382=1,$I382*1000+COUNTIFS($I$4:$I$483,$I382,$J$4:$J$483,"&lt;"&amp;$J382)+1,"")</f>
        <v/>
      </c>
    </row>
    <row r="383" customFormat="false" ht="15" hidden="false" customHeight="false" outlineLevel="0" collapsed="false">
      <c r="A383" s="46" t="n">
        <v>24</v>
      </c>
      <c r="B383" s="46" t="n">
        <v>12</v>
      </c>
      <c r="C383" s="38" t="str">
        <f aca="false">IF(OR(Recurring!$B$28="",Recurring!$H$28&lt;&gt;"Yes",Recurring!$D$28=""),"",Recurring!$B$28)</f>
        <v/>
      </c>
      <c r="D383" s="38" t="str">
        <f aca="false">IF($C383="","",Recurring!$C$28)</f>
        <v/>
      </c>
      <c r="E383" s="76" t="str">
        <f aca="false">IF($C383="","",Recurring!$D$28)</f>
        <v/>
      </c>
      <c r="F383" s="77"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77" t="str">
        <f aca="false">IF($F383="","",IF(Recurring!$G$28="Move Before",IF(WEEKDAY($F383,2)=6,$F383-1,IF(WEEKDAY($F383,2)=7,$F383-2,$F383)),IF(Recurring!$G$28="Move After",IF(WEEKDAY($F383,2)=6,$F383+2,IF(WEEKDAY($F383,2)=7,$F383+1,$F383)),$F383)))</f>
        <v/>
      </c>
      <c r="H383" s="78" t="n">
        <f aca="false">IF($G383="",0,IF(AND($G383&gt;='Cash Flow'!$E$6,$G383&lt;'Cash Flow'!$E$6+91),1,0))</f>
        <v>0</v>
      </c>
      <c r="I383" s="78" t="str">
        <f aca="false">IF($H383=1,MAX(1,INT(($G383-'Cash Flow'!$E$6)/7)+1),"")</f>
        <v/>
      </c>
      <c r="J383" s="38" t="str">
        <f aca="false">IF($H383=1,$G383*10000+ROW(),"")</f>
        <v/>
      </c>
      <c r="K383" s="38" t="str">
        <f aca="false">IF($H383=1,$I383*1000+COUNTIFS($I$4:$I$483,$I383,$J$4:$J$483,"&lt;"&amp;$J383)+1,"")</f>
        <v/>
      </c>
    </row>
    <row r="384" customFormat="false" ht="15" hidden="false" customHeight="false" outlineLevel="0" collapsed="false">
      <c r="A384" s="46" t="n">
        <v>24</v>
      </c>
      <c r="B384" s="46" t="n">
        <v>13</v>
      </c>
      <c r="C384" s="38" t="str">
        <f aca="false">IF(OR(Recurring!$B$28="",Recurring!$H$28&lt;&gt;"Yes",Recurring!$D$28=""),"",Recurring!$B$28)</f>
        <v/>
      </c>
      <c r="D384" s="38" t="str">
        <f aca="false">IF($C384="","",Recurring!$C$28)</f>
        <v/>
      </c>
      <c r="E384" s="76" t="str">
        <f aca="false">IF($C384="","",Recurring!$D$28)</f>
        <v/>
      </c>
      <c r="F384" s="77"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77" t="str">
        <f aca="false">IF($F384="","",IF(Recurring!$G$28="Move Before",IF(WEEKDAY($F384,2)=6,$F384-1,IF(WEEKDAY($F384,2)=7,$F384-2,$F384)),IF(Recurring!$G$28="Move After",IF(WEEKDAY($F384,2)=6,$F384+2,IF(WEEKDAY($F384,2)=7,$F384+1,$F384)),$F384)))</f>
        <v/>
      </c>
      <c r="H384" s="78" t="n">
        <f aca="false">IF($G384="",0,IF(AND($G384&gt;='Cash Flow'!$E$6,$G384&lt;'Cash Flow'!$E$6+91),1,0))</f>
        <v>0</v>
      </c>
      <c r="I384" s="78" t="str">
        <f aca="false">IF($H384=1,MAX(1,INT(($G384-'Cash Flow'!$E$6)/7)+1),"")</f>
        <v/>
      </c>
      <c r="J384" s="38" t="str">
        <f aca="false">IF($H384=1,$G384*10000+ROW(),"")</f>
        <v/>
      </c>
      <c r="K384" s="38" t="str">
        <f aca="false">IF($H384=1,$I384*1000+COUNTIFS($I$4:$I$483,$I384,$J$4:$J$483,"&lt;"&amp;$J384)+1,"")</f>
        <v/>
      </c>
    </row>
    <row r="385" customFormat="false" ht="15" hidden="false" customHeight="false" outlineLevel="0" collapsed="false">
      <c r="A385" s="46" t="n">
        <v>24</v>
      </c>
      <c r="B385" s="46" t="n">
        <v>14</v>
      </c>
      <c r="C385" s="38" t="str">
        <f aca="false">IF(OR(Recurring!$B$28="",Recurring!$H$28&lt;&gt;"Yes",Recurring!$D$28=""),"",Recurring!$B$28)</f>
        <v/>
      </c>
      <c r="D385" s="38" t="str">
        <f aca="false">IF($C385="","",Recurring!$C$28)</f>
        <v/>
      </c>
      <c r="E385" s="76" t="str">
        <f aca="false">IF($C385="","",Recurring!$D$28)</f>
        <v/>
      </c>
      <c r="F385" s="77"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77" t="str">
        <f aca="false">IF($F385="","",IF(Recurring!$G$28="Move Before",IF(WEEKDAY($F385,2)=6,$F385-1,IF(WEEKDAY($F385,2)=7,$F385-2,$F385)),IF(Recurring!$G$28="Move After",IF(WEEKDAY($F385,2)=6,$F385+2,IF(WEEKDAY($F385,2)=7,$F385+1,$F385)),$F385)))</f>
        <v/>
      </c>
      <c r="H385" s="78" t="n">
        <f aca="false">IF($G385="",0,IF(AND($G385&gt;='Cash Flow'!$E$6,$G385&lt;'Cash Flow'!$E$6+91),1,0))</f>
        <v>0</v>
      </c>
      <c r="I385" s="78" t="str">
        <f aca="false">IF($H385=1,MAX(1,INT(($G385-'Cash Flow'!$E$6)/7)+1),"")</f>
        <v/>
      </c>
      <c r="J385" s="38" t="str">
        <f aca="false">IF($H385=1,$G385*10000+ROW(),"")</f>
        <v/>
      </c>
      <c r="K385" s="38" t="str">
        <f aca="false">IF($H385=1,$I385*1000+COUNTIFS($I$4:$I$483,$I385,$J$4:$J$483,"&lt;"&amp;$J385)+1,"")</f>
        <v/>
      </c>
    </row>
    <row r="386" customFormat="false" ht="15" hidden="false" customHeight="false" outlineLevel="0" collapsed="false">
      <c r="A386" s="46" t="n">
        <v>24</v>
      </c>
      <c r="B386" s="46" t="n">
        <v>15</v>
      </c>
      <c r="C386" s="38" t="str">
        <f aca="false">IF(OR(Recurring!$B$28="",Recurring!$H$28&lt;&gt;"Yes",Recurring!$D$28=""),"",Recurring!$B$28)</f>
        <v/>
      </c>
      <c r="D386" s="38" t="str">
        <f aca="false">IF($C386="","",Recurring!$C$28)</f>
        <v/>
      </c>
      <c r="E386" s="76" t="str">
        <f aca="false">IF($C386="","",Recurring!$D$28)</f>
        <v/>
      </c>
      <c r="F386" s="77"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77" t="str">
        <f aca="false">IF($F386="","",IF(Recurring!$G$28="Move Before",IF(WEEKDAY($F386,2)=6,$F386-1,IF(WEEKDAY($F386,2)=7,$F386-2,$F386)),IF(Recurring!$G$28="Move After",IF(WEEKDAY($F386,2)=6,$F386+2,IF(WEEKDAY($F386,2)=7,$F386+1,$F386)),$F386)))</f>
        <v/>
      </c>
      <c r="H386" s="78" t="n">
        <f aca="false">IF($G386="",0,IF(AND($G386&gt;='Cash Flow'!$E$6,$G386&lt;'Cash Flow'!$E$6+91),1,0))</f>
        <v>0</v>
      </c>
      <c r="I386" s="78" t="str">
        <f aca="false">IF($H386=1,MAX(1,INT(($G386-'Cash Flow'!$E$6)/7)+1),"")</f>
        <v/>
      </c>
      <c r="J386" s="38" t="str">
        <f aca="false">IF($H386=1,$G386*10000+ROW(),"")</f>
        <v/>
      </c>
      <c r="K386" s="38" t="str">
        <f aca="false">IF($H386=1,$I386*1000+COUNTIFS($I$4:$I$483,$I386,$J$4:$J$483,"&lt;"&amp;$J386)+1,"")</f>
        <v/>
      </c>
    </row>
    <row r="387" customFormat="false" ht="15" hidden="false" customHeight="false" outlineLevel="0" collapsed="false">
      <c r="A387" s="46" t="n">
        <v>24</v>
      </c>
      <c r="B387" s="46" t="n">
        <v>16</v>
      </c>
      <c r="C387" s="38" t="str">
        <f aca="false">IF(OR(Recurring!$B$28="",Recurring!$H$28&lt;&gt;"Yes",Recurring!$D$28=""),"",Recurring!$B$28)</f>
        <v/>
      </c>
      <c r="D387" s="38" t="str">
        <f aca="false">IF($C387="","",Recurring!$C$28)</f>
        <v/>
      </c>
      <c r="E387" s="76" t="str">
        <f aca="false">IF($C387="","",Recurring!$D$28)</f>
        <v/>
      </c>
      <c r="F387" s="77"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77" t="str">
        <f aca="false">IF($F387="","",IF(Recurring!$G$28="Move Before",IF(WEEKDAY($F387,2)=6,$F387-1,IF(WEEKDAY($F387,2)=7,$F387-2,$F387)),IF(Recurring!$G$28="Move After",IF(WEEKDAY($F387,2)=6,$F387+2,IF(WEEKDAY($F387,2)=7,$F387+1,$F387)),$F387)))</f>
        <v/>
      </c>
      <c r="H387" s="78" t="n">
        <f aca="false">IF($G387="",0,IF(AND($G387&gt;='Cash Flow'!$E$6,$G387&lt;'Cash Flow'!$E$6+91),1,0))</f>
        <v>0</v>
      </c>
      <c r="I387" s="78" t="str">
        <f aca="false">IF($H387=1,MAX(1,INT(($G387-'Cash Flow'!$E$6)/7)+1),"")</f>
        <v/>
      </c>
      <c r="J387" s="38" t="str">
        <f aca="false">IF($H387=1,$G387*10000+ROW(),"")</f>
        <v/>
      </c>
      <c r="K387" s="38" t="str">
        <f aca="false">IF($H387=1,$I387*1000+COUNTIFS($I$4:$I$483,$I387,$J$4:$J$483,"&lt;"&amp;$J387)+1,"")</f>
        <v/>
      </c>
    </row>
    <row r="388" customFormat="false" ht="15" hidden="false" customHeight="false" outlineLevel="0" collapsed="false">
      <c r="A388" s="46" t="n">
        <v>25</v>
      </c>
      <c r="B388" s="46" t="n">
        <v>1</v>
      </c>
      <c r="C388" s="38" t="str">
        <f aca="false">IF(OR(Recurring!$B$29="",Recurring!$H$29&lt;&gt;"Yes",Recurring!$D$29=""),"",Recurring!$B$29)</f>
        <v/>
      </c>
      <c r="D388" s="38" t="str">
        <f aca="false">IF($C388="","",Recurring!$C$29)</f>
        <v/>
      </c>
      <c r="E388" s="76" t="str">
        <f aca="false">IF($C388="","",Recurring!$D$29)</f>
        <v/>
      </c>
      <c r="F388" s="77"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77" t="str">
        <f aca="false">IF($F388="","",IF(Recurring!$G$29="Move Before",IF(WEEKDAY($F388,2)=6,$F388-1,IF(WEEKDAY($F388,2)=7,$F388-2,$F388)),IF(Recurring!$G$29="Move After",IF(WEEKDAY($F388,2)=6,$F388+2,IF(WEEKDAY($F388,2)=7,$F388+1,$F388)),$F388)))</f>
        <v/>
      </c>
      <c r="H388" s="78" t="n">
        <f aca="false">IF($G388="",0,IF(AND($G388&gt;='Cash Flow'!$E$6-90,$G388&lt;'Cash Flow'!$E$6+91),1,0))</f>
        <v>0</v>
      </c>
      <c r="I388" s="78" t="str">
        <f aca="false">IF($H388=1,MAX(1,INT(($G388-'Cash Flow'!$E$6)/7)+1),"")</f>
        <v/>
      </c>
      <c r="J388" s="38" t="str">
        <f aca="false">IF($H388=1,$G388*10000+ROW(),"")</f>
        <v/>
      </c>
      <c r="K388" s="38" t="str">
        <f aca="false">IF($H388=1,$I388*1000+COUNTIFS($I$4:$I$483,$I388,$J$4:$J$483,"&lt;"&amp;$J388)+1,"")</f>
        <v/>
      </c>
    </row>
    <row r="389" customFormat="false" ht="15" hidden="false" customHeight="false" outlineLevel="0" collapsed="false">
      <c r="A389" s="46" t="n">
        <v>25</v>
      </c>
      <c r="B389" s="46" t="n">
        <v>2</v>
      </c>
      <c r="C389" s="38" t="str">
        <f aca="false">IF(OR(Recurring!$B$29="",Recurring!$H$29&lt;&gt;"Yes",Recurring!$D$29=""),"",Recurring!$B$29)</f>
        <v/>
      </c>
      <c r="D389" s="38" t="str">
        <f aca="false">IF($C389="","",Recurring!$C$29)</f>
        <v/>
      </c>
      <c r="E389" s="76" t="str">
        <f aca="false">IF($C389="","",Recurring!$D$29)</f>
        <v/>
      </c>
      <c r="F389" s="77"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77" t="str">
        <f aca="false">IF($F389="","",IF(Recurring!$G$29="Move Before",IF(WEEKDAY($F389,2)=6,$F389-1,IF(WEEKDAY($F389,2)=7,$F389-2,$F389)),IF(Recurring!$G$29="Move After",IF(WEEKDAY($F389,2)=6,$F389+2,IF(WEEKDAY($F389,2)=7,$F389+1,$F389)),$F389)))</f>
        <v/>
      </c>
      <c r="H389" s="78" t="n">
        <f aca="false">IF($G389="",0,IF(AND($G389&gt;='Cash Flow'!$E$6,$G389&lt;'Cash Flow'!$E$6+91),1,0))</f>
        <v>0</v>
      </c>
      <c r="I389" s="78" t="str">
        <f aca="false">IF($H389=1,MAX(1,INT(($G389-'Cash Flow'!$E$6)/7)+1),"")</f>
        <v/>
      </c>
      <c r="J389" s="38" t="str">
        <f aca="false">IF($H389=1,$G389*10000+ROW(),"")</f>
        <v/>
      </c>
      <c r="K389" s="38" t="str">
        <f aca="false">IF($H389=1,$I389*1000+COUNTIFS($I$4:$I$483,$I389,$J$4:$J$483,"&lt;"&amp;$J389)+1,"")</f>
        <v/>
      </c>
    </row>
    <row r="390" customFormat="false" ht="15" hidden="false" customHeight="false" outlineLevel="0" collapsed="false">
      <c r="A390" s="46" t="n">
        <v>25</v>
      </c>
      <c r="B390" s="46" t="n">
        <v>3</v>
      </c>
      <c r="C390" s="38" t="str">
        <f aca="false">IF(OR(Recurring!$B$29="",Recurring!$H$29&lt;&gt;"Yes",Recurring!$D$29=""),"",Recurring!$B$29)</f>
        <v/>
      </c>
      <c r="D390" s="38" t="str">
        <f aca="false">IF($C390="","",Recurring!$C$29)</f>
        <v/>
      </c>
      <c r="E390" s="76" t="str">
        <f aca="false">IF($C390="","",Recurring!$D$29)</f>
        <v/>
      </c>
      <c r="F390" s="77"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77" t="str">
        <f aca="false">IF($F390="","",IF(Recurring!$G$29="Move Before",IF(WEEKDAY($F390,2)=6,$F390-1,IF(WEEKDAY($F390,2)=7,$F390-2,$F390)),IF(Recurring!$G$29="Move After",IF(WEEKDAY($F390,2)=6,$F390+2,IF(WEEKDAY($F390,2)=7,$F390+1,$F390)),$F390)))</f>
        <v/>
      </c>
      <c r="H390" s="78" t="n">
        <f aca="false">IF($G390="",0,IF(AND($G390&gt;='Cash Flow'!$E$6,$G390&lt;'Cash Flow'!$E$6+91),1,0))</f>
        <v>0</v>
      </c>
      <c r="I390" s="78" t="str">
        <f aca="false">IF($H390=1,MAX(1,INT(($G390-'Cash Flow'!$E$6)/7)+1),"")</f>
        <v/>
      </c>
      <c r="J390" s="38" t="str">
        <f aca="false">IF($H390=1,$G390*10000+ROW(),"")</f>
        <v/>
      </c>
      <c r="K390" s="38" t="str">
        <f aca="false">IF($H390=1,$I390*1000+COUNTIFS($I$4:$I$483,$I390,$J$4:$J$483,"&lt;"&amp;$J390)+1,"")</f>
        <v/>
      </c>
    </row>
    <row r="391" customFormat="false" ht="15" hidden="false" customHeight="false" outlineLevel="0" collapsed="false">
      <c r="A391" s="46" t="n">
        <v>25</v>
      </c>
      <c r="B391" s="46" t="n">
        <v>4</v>
      </c>
      <c r="C391" s="38" t="str">
        <f aca="false">IF(OR(Recurring!$B$29="",Recurring!$H$29&lt;&gt;"Yes",Recurring!$D$29=""),"",Recurring!$B$29)</f>
        <v/>
      </c>
      <c r="D391" s="38" t="str">
        <f aca="false">IF($C391="","",Recurring!$C$29)</f>
        <v/>
      </c>
      <c r="E391" s="76" t="str">
        <f aca="false">IF($C391="","",Recurring!$D$29)</f>
        <v/>
      </c>
      <c r="F391" s="77"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77" t="str">
        <f aca="false">IF($F391="","",IF(Recurring!$G$29="Move Before",IF(WEEKDAY($F391,2)=6,$F391-1,IF(WEEKDAY($F391,2)=7,$F391-2,$F391)),IF(Recurring!$G$29="Move After",IF(WEEKDAY($F391,2)=6,$F391+2,IF(WEEKDAY($F391,2)=7,$F391+1,$F391)),$F391)))</f>
        <v/>
      </c>
      <c r="H391" s="78" t="n">
        <f aca="false">IF($G391="",0,IF(AND($G391&gt;='Cash Flow'!$E$6,$G391&lt;'Cash Flow'!$E$6+91),1,0))</f>
        <v>0</v>
      </c>
      <c r="I391" s="78" t="str">
        <f aca="false">IF($H391=1,MAX(1,INT(($G391-'Cash Flow'!$E$6)/7)+1),"")</f>
        <v/>
      </c>
      <c r="J391" s="38" t="str">
        <f aca="false">IF($H391=1,$G391*10000+ROW(),"")</f>
        <v/>
      </c>
      <c r="K391" s="38" t="str">
        <f aca="false">IF($H391=1,$I391*1000+COUNTIFS($I$4:$I$483,$I391,$J$4:$J$483,"&lt;"&amp;$J391)+1,"")</f>
        <v/>
      </c>
    </row>
    <row r="392" customFormat="false" ht="15" hidden="false" customHeight="false" outlineLevel="0" collapsed="false">
      <c r="A392" s="46" t="n">
        <v>25</v>
      </c>
      <c r="B392" s="46" t="n">
        <v>5</v>
      </c>
      <c r="C392" s="38" t="str">
        <f aca="false">IF(OR(Recurring!$B$29="",Recurring!$H$29&lt;&gt;"Yes",Recurring!$D$29=""),"",Recurring!$B$29)</f>
        <v/>
      </c>
      <c r="D392" s="38" t="str">
        <f aca="false">IF($C392="","",Recurring!$C$29)</f>
        <v/>
      </c>
      <c r="E392" s="76" t="str">
        <f aca="false">IF($C392="","",Recurring!$D$29)</f>
        <v/>
      </c>
      <c r="F392" s="77"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77" t="str">
        <f aca="false">IF($F392="","",IF(Recurring!$G$29="Move Before",IF(WEEKDAY($F392,2)=6,$F392-1,IF(WEEKDAY($F392,2)=7,$F392-2,$F392)),IF(Recurring!$G$29="Move After",IF(WEEKDAY($F392,2)=6,$F392+2,IF(WEEKDAY($F392,2)=7,$F392+1,$F392)),$F392)))</f>
        <v/>
      </c>
      <c r="H392" s="78" t="n">
        <f aca="false">IF($G392="",0,IF(AND($G392&gt;='Cash Flow'!$E$6,$G392&lt;'Cash Flow'!$E$6+91),1,0))</f>
        <v>0</v>
      </c>
      <c r="I392" s="78" t="str">
        <f aca="false">IF($H392=1,MAX(1,INT(($G392-'Cash Flow'!$E$6)/7)+1),"")</f>
        <v/>
      </c>
      <c r="J392" s="38" t="str">
        <f aca="false">IF($H392=1,$G392*10000+ROW(),"")</f>
        <v/>
      </c>
      <c r="K392" s="38" t="str">
        <f aca="false">IF($H392=1,$I392*1000+COUNTIFS($I$4:$I$483,$I392,$J$4:$J$483,"&lt;"&amp;$J392)+1,"")</f>
        <v/>
      </c>
    </row>
    <row r="393" customFormat="false" ht="15" hidden="false" customHeight="false" outlineLevel="0" collapsed="false">
      <c r="A393" s="46" t="n">
        <v>25</v>
      </c>
      <c r="B393" s="46" t="n">
        <v>6</v>
      </c>
      <c r="C393" s="38" t="str">
        <f aca="false">IF(OR(Recurring!$B$29="",Recurring!$H$29&lt;&gt;"Yes",Recurring!$D$29=""),"",Recurring!$B$29)</f>
        <v/>
      </c>
      <c r="D393" s="38" t="str">
        <f aca="false">IF($C393="","",Recurring!$C$29)</f>
        <v/>
      </c>
      <c r="E393" s="76" t="str">
        <f aca="false">IF($C393="","",Recurring!$D$29)</f>
        <v/>
      </c>
      <c r="F393" s="77"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77" t="str">
        <f aca="false">IF($F393="","",IF(Recurring!$G$29="Move Before",IF(WEEKDAY($F393,2)=6,$F393-1,IF(WEEKDAY($F393,2)=7,$F393-2,$F393)),IF(Recurring!$G$29="Move After",IF(WEEKDAY($F393,2)=6,$F393+2,IF(WEEKDAY($F393,2)=7,$F393+1,$F393)),$F393)))</f>
        <v/>
      </c>
      <c r="H393" s="78" t="n">
        <f aca="false">IF($G393="",0,IF(AND($G393&gt;='Cash Flow'!$E$6,$G393&lt;'Cash Flow'!$E$6+91),1,0))</f>
        <v>0</v>
      </c>
      <c r="I393" s="78" t="str">
        <f aca="false">IF($H393=1,MAX(1,INT(($G393-'Cash Flow'!$E$6)/7)+1),"")</f>
        <v/>
      </c>
      <c r="J393" s="38" t="str">
        <f aca="false">IF($H393=1,$G393*10000+ROW(),"")</f>
        <v/>
      </c>
      <c r="K393" s="38" t="str">
        <f aca="false">IF($H393=1,$I393*1000+COUNTIFS($I$4:$I$483,$I393,$J$4:$J$483,"&lt;"&amp;$J393)+1,"")</f>
        <v/>
      </c>
    </row>
    <row r="394" customFormat="false" ht="15" hidden="false" customHeight="false" outlineLevel="0" collapsed="false">
      <c r="A394" s="46" t="n">
        <v>25</v>
      </c>
      <c r="B394" s="46" t="n">
        <v>7</v>
      </c>
      <c r="C394" s="38" t="str">
        <f aca="false">IF(OR(Recurring!$B$29="",Recurring!$H$29&lt;&gt;"Yes",Recurring!$D$29=""),"",Recurring!$B$29)</f>
        <v/>
      </c>
      <c r="D394" s="38" t="str">
        <f aca="false">IF($C394="","",Recurring!$C$29)</f>
        <v/>
      </c>
      <c r="E394" s="76" t="str">
        <f aca="false">IF($C394="","",Recurring!$D$29)</f>
        <v/>
      </c>
      <c r="F394" s="77"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77" t="str">
        <f aca="false">IF($F394="","",IF(Recurring!$G$29="Move Before",IF(WEEKDAY($F394,2)=6,$F394-1,IF(WEEKDAY($F394,2)=7,$F394-2,$F394)),IF(Recurring!$G$29="Move After",IF(WEEKDAY($F394,2)=6,$F394+2,IF(WEEKDAY($F394,2)=7,$F394+1,$F394)),$F394)))</f>
        <v/>
      </c>
      <c r="H394" s="78" t="n">
        <f aca="false">IF($G394="",0,IF(AND($G394&gt;='Cash Flow'!$E$6,$G394&lt;'Cash Flow'!$E$6+91),1,0))</f>
        <v>0</v>
      </c>
      <c r="I394" s="78" t="str">
        <f aca="false">IF($H394=1,MAX(1,INT(($G394-'Cash Flow'!$E$6)/7)+1),"")</f>
        <v/>
      </c>
      <c r="J394" s="38" t="str">
        <f aca="false">IF($H394=1,$G394*10000+ROW(),"")</f>
        <v/>
      </c>
      <c r="K394" s="38" t="str">
        <f aca="false">IF($H394=1,$I394*1000+COUNTIFS($I$4:$I$483,$I394,$J$4:$J$483,"&lt;"&amp;$J394)+1,"")</f>
        <v/>
      </c>
    </row>
    <row r="395" customFormat="false" ht="15" hidden="false" customHeight="false" outlineLevel="0" collapsed="false">
      <c r="A395" s="46" t="n">
        <v>25</v>
      </c>
      <c r="B395" s="46" t="n">
        <v>8</v>
      </c>
      <c r="C395" s="38" t="str">
        <f aca="false">IF(OR(Recurring!$B$29="",Recurring!$H$29&lt;&gt;"Yes",Recurring!$D$29=""),"",Recurring!$B$29)</f>
        <v/>
      </c>
      <c r="D395" s="38" t="str">
        <f aca="false">IF($C395="","",Recurring!$C$29)</f>
        <v/>
      </c>
      <c r="E395" s="76" t="str">
        <f aca="false">IF($C395="","",Recurring!$D$29)</f>
        <v/>
      </c>
      <c r="F395" s="77"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77" t="str">
        <f aca="false">IF($F395="","",IF(Recurring!$G$29="Move Before",IF(WEEKDAY($F395,2)=6,$F395-1,IF(WEEKDAY($F395,2)=7,$F395-2,$F395)),IF(Recurring!$G$29="Move After",IF(WEEKDAY($F395,2)=6,$F395+2,IF(WEEKDAY($F395,2)=7,$F395+1,$F395)),$F395)))</f>
        <v/>
      </c>
      <c r="H395" s="78" t="n">
        <f aca="false">IF($G395="",0,IF(AND($G395&gt;='Cash Flow'!$E$6,$G395&lt;'Cash Flow'!$E$6+91),1,0))</f>
        <v>0</v>
      </c>
      <c r="I395" s="78" t="str">
        <f aca="false">IF($H395=1,MAX(1,INT(($G395-'Cash Flow'!$E$6)/7)+1),"")</f>
        <v/>
      </c>
      <c r="J395" s="38" t="str">
        <f aca="false">IF($H395=1,$G395*10000+ROW(),"")</f>
        <v/>
      </c>
      <c r="K395" s="38" t="str">
        <f aca="false">IF($H395=1,$I395*1000+COUNTIFS($I$4:$I$483,$I395,$J$4:$J$483,"&lt;"&amp;$J395)+1,"")</f>
        <v/>
      </c>
    </row>
    <row r="396" customFormat="false" ht="15" hidden="false" customHeight="false" outlineLevel="0" collapsed="false">
      <c r="A396" s="46" t="n">
        <v>25</v>
      </c>
      <c r="B396" s="46" t="n">
        <v>9</v>
      </c>
      <c r="C396" s="38" t="str">
        <f aca="false">IF(OR(Recurring!$B$29="",Recurring!$H$29&lt;&gt;"Yes",Recurring!$D$29=""),"",Recurring!$B$29)</f>
        <v/>
      </c>
      <c r="D396" s="38" t="str">
        <f aca="false">IF($C396="","",Recurring!$C$29)</f>
        <v/>
      </c>
      <c r="E396" s="76" t="str">
        <f aca="false">IF($C396="","",Recurring!$D$29)</f>
        <v/>
      </c>
      <c r="F396" s="77"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77" t="str">
        <f aca="false">IF($F396="","",IF(Recurring!$G$29="Move Before",IF(WEEKDAY($F396,2)=6,$F396-1,IF(WEEKDAY($F396,2)=7,$F396-2,$F396)),IF(Recurring!$G$29="Move After",IF(WEEKDAY($F396,2)=6,$F396+2,IF(WEEKDAY($F396,2)=7,$F396+1,$F396)),$F396)))</f>
        <v/>
      </c>
      <c r="H396" s="78" t="n">
        <f aca="false">IF($G396="",0,IF(AND($G396&gt;='Cash Flow'!$E$6,$G396&lt;'Cash Flow'!$E$6+91),1,0))</f>
        <v>0</v>
      </c>
      <c r="I396" s="78" t="str">
        <f aca="false">IF($H396=1,MAX(1,INT(($G396-'Cash Flow'!$E$6)/7)+1),"")</f>
        <v/>
      </c>
      <c r="J396" s="38" t="str">
        <f aca="false">IF($H396=1,$G396*10000+ROW(),"")</f>
        <v/>
      </c>
      <c r="K396" s="38" t="str">
        <f aca="false">IF($H396=1,$I396*1000+COUNTIFS($I$4:$I$483,$I396,$J$4:$J$483,"&lt;"&amp;$J396)+1,"")</f>
        <v/>
      </c>
    </row>
    <row r="397" customFormat="false" ht="15" hidden="false" customHeight="false" outlineLevel="0" collapsed="false">
      <c r="A397" s="46" t="n">
        <v>25</v>
      </c>
      <c r="B397" s="46" t="n">
        <v>10</v>
      </c>
      <c r="C397" s="38" t="str">
        <f aca="false">IF(OR(Recurring!$B$29="",Recurring!$H$29&lt;&gt;"Yes",Recurring!$D$29=""),"",Recurring!$B$29)</f>
        <v/>
      </c>
      <c r="D397" s="38" t="str">
        <f aca="false">IF($C397="","",Recurring!$C$29)</f>
        <v/>
      </c>
      <c r="E397" s="76" t="str">
        <f aca="false">IF($C397="","",Recurring!$D$29)</f>
        <v/>
      </c>
      <c r="F397" s="77"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77" t="str">
        <f aca="false">IF($F397="","",IF(Recurring!$G$29="Move Before",IF(WEEKDAY($F397,2)=6,$F397-1,IF(WEEKDAY($F397,2)=7,$F397-2,$F397)),IF(Recurring!$G$29="Move After",IF(WEEKDAY($F397,2)=6,$F397+2,IF(WEEKDAY($F397,2)=7,$F397+1,$F397)),$F397)))</f>
        <v/>
      </c>
      <c r="H397" s="78" t="n">
        <f aca="false">IF($G397="",0,IF(AND($G397&gt;='Cash Flow'!$E$6,$G397&lt;'Cash Flow'!$E$6+91),1,0))</f>
        <v>0</v>
      </c>
      <c r="I397" s="78" t="str">
        <f aca="false">IF($H397=1,MAX(1,INT(($G397-'Cash Flow'!$E$6)/7)+1),"")</f>
        <v/>
      </c>
      <c r="J397" s="38" t="str">
        <f aca="false">IF($H397=1,$G397*10000+ROW(),"")</f>
        <v/>
      </c>
      <c r="K397" s="38" t="str">
        <f aca="false">IF($H397=1,$I397*1000+COUNTIFS($I$4:$I$483,$I397,$J$4:$J$483,"&lt;"&amp;$J397)+1,"")</f>
        <v/>
      </c>
    </row>
    <row r="398" customFormat="false" ht="15" hidden="false" customHeight="false" outlineLevel="0" collapsed="false">
      <c r="A398" s="46" t="n">
        <v>25</v>
      </c>
      <c r="B398" s="46" t="n">
        <v>11</v>
      </c>
      <c r="C398" s="38" t="str">
        <f aca="false">IF(OR(Recurring!$B$29="",Recurring!$H$29&lt;&gt;"Yes",Recurring!$D$29=""),"",Recurring!$B$29)</f>
        <v/>
      </c>
      <c r="D398" s="38" t="str">
        <f aca="false">IF($C398="","",Recurring!$C$29)</f>
        <v/>
      </c>
      <c r="E398" s="76" t="str">
        <f aca="false">IF($C398="","",Recurring!$D$29)</f>
        <v/>
      </c>
      <c r="F398" s="77"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77" t="str">
        <f aca="false">IF($F398="","",IF(Recurring!$G$29="Move Before",IF(WEEKDAY($F398,2)=6,$F398-1,IF(WEEKDAY($F398,2)=7,$F398-2,$F398)),IF(Recurring!$G$29="Move After",IF(WEEKDAY($F398,2)=6,$F398+2,IF(WEEKDAY($F398,2)=7,$F398+1,$F398)),$F398)))</f>
        <v/>
      </c>
      <c r="H398" s="78" t="n">
        <f aca="false">IF($G398="",0,IF(AND($G398&gt;='Cash Flow'!$E$6,$G398&lt;'Cash Flow'!$E$6+91),1,0))</f>
        <v>0</v>
      </c>
      <c r="I398" s="78" t="str">
        <f aca="false">IF($H398=1,MAX(1,INT(($G398-'Cash Flow'!$E$6)/7)+1),"")</f>
        <v/>
      </c>
      <c r="J398" s="38" t="str">
        <f aca="false">IF($H398=1,$G398*10000+ROW(),"")</f>
        <v/>
      </c>
      <c r="K398" s="38" t="str">
        <f aca="false">IF($H398=1,$I398*1000+COUNTIFS($I$4:$I$483,$I398,$J$4:$J$483,"&lt;"&amp;$J398)+1,"")</f>
        <v/>
      </c>
    </row>
    <row r="399" customFormat="false" ht="15" hidden="false" customHeight="false" outlineLevel="0" collapsed="false">
      <c r="A399" s="46" t="n">
        <v>25</v>
      </c>
      <c r="B399" s="46" t="n">
        <v>12</v>
      </c>
      <c r="C399" s="38" t="str">
        <f aca="false">IF(OR(Recurring!$B$29="",Recurring!$H$29&lt;&gt;"Yes",Recurring!$D$29=""),"",Recurring!$B$29)</f>
        <v/>
      </c>
      <c r="D399" s="38" t="str">
        <f aca="false">IF($C399="","",Recurring!$C$29)</f>
        <v/>
      </c>
      <c r="E399" s="76" t="str">
        <f aca="false">IF($C399="","",Recurring!$D$29)</f>
        <v/>
      </c>
      <c r="F399" s="77"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77" t="str">
        <f aca="false">IF($F399="","",IF(Recurring!$G$29="Move Before",IF(WEEKDAY($F399,2)=6,$F399-1,IF(WEEKDAY($F399,2)=7,$F399-2,$F399)),IF(Recurring!$G$29="Move After",IF(WEEKDAY($F399,2)=6,$F399+2,IF(WEEKDAY($F399,2)=7,$F399+1,$F399)),$F399)))</f>
        <v/>
      </c>
      <c r="H399" s="78" t="n">
        <f aca="false">IF($G399="",0,IF(AND($G399&gt;='Cash Flow'!$E$6,$G399&lt;'Cash Flow'!$E$6+91),1,0))</f>
        <v>0</v>
      </c>
      <c r="I399" s="78" t="str">
        <f aca="false">IF($H399=1,MAX(1,INT(($G399-'Cash Flow'!$E$6)/7)+1),"")</f>
        <v/>
      </c>
      <c r="J399" s="38" t="str">
        <f aca="false">IF($H399=1,$G399*10000+ROW(),"")</f>
        <v/>
      </c>
      <c r="K399" s="38" t="str">
        <f aca="false">IF($H399=1,$I399*1000+COUNTIFS($I$4:$I$483,$I399,$J$4:$J$483,"&lt;"&amp;$J399)+1,"")</f>
        <v/>
      </c>
    </row>
    <row r="400" customFormat="false" ht="15" hidden="false" customHeight="false" outlineLevel="0" collapsed="false">
      <c r="A400" s="46" t="n">
        <v>25</v>
      </c>
      <c r="B400" s="46" t="n">
        <v>13</v>
      </c>
      <c r="C400" s="38" t="str">
        <f aca="false">IF(OR(Recurring!$B$29="",Recurring!$H$29&lt;&gt;"Yes",Recurring!$D$29=""),"",Recurring!$B$29)</f>
        <v/>
      </c>
      <c r="D400" s="38" t="str">
        <f aca="false">IF($C400="","",Recurring!$C$29)</f>
        <v/>
      </c>
      <c r="E400" s="76" t="str">
        <f aca="false">IF($C400="","",Recurring!$D$29)</f>
        <v/>
      </c>
      <c r="F400" s="77"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77" t="str">
        <f aca="false">IF($F400="","",IF(Recurring!$G$29="Move Before",IF(WEEKDAY($F400,2)=6,$F400-1,IF(WEEKDAY($F400,2)=7,$F400-2,$F400)),IF(Recurring!$G$29="Move After",IF(WEEKDAY($F400,2)=6,$F400+2,IF(WEEKDAY($F400,2)=7,$F400+1,$F400)),$F400)))</f>
        <v/>
      </c>
      <c r="H400" s="78" t="n">
        <f aca="false">IF($G400="",0,IF(AND($G400&gt;='Cash Flow'!$E$6,$G400&lt;'Cash Flow'!$E$6+91),1,0))</f>
        <v>0</v>
      </c>
      <c r="I400" s="78" t="str">
        <f aca="false">IF($H400=1,MAX(1,INT(($G400-'Cash Flow'!$E$6)/7)+1),"")</f>
        <v/>
      </c>
      <c r="J400" s="38" t="str">
        <f aca="false">IF($H400=1,$G400*10000+ROW(),"")</f>
        <v/>
      </c>
      <c r="K400" s="38" t="str">
        <f aca="false">IF($H400=1,$I400*1000+COUNTIFS($I$4:$I$483,$I400,$J$4:$J$483,"&lt;"&amp;$J400)+1,"")</f>
        <v/>
      </c>
    </row>
    <row r="401" customFormat="false" ht="15" hidden="false" customHeight="false" outlineLevel="0" collapsed="false">
      <c r="A401" s="46" t="n">
        <v>25</v>
      </c>
      <c r="B401" s="46" t="n">
        <v>14</v>
      </c>
      <c r="C401" s="38" t="str">
        <f aca="false">IF(OR(Recurring!$B$29="",Recurring!$H$29&lt;&gt;"Yes",Recurring!$D$29=""),"",Recurring!$B$29)</f>
        <v/>
      </c>
      <c r="D401" s="38" t="str">
        <f aca="false">IF($C401="","",Recurring!$C$29)</f>
        <v/>
      </c>
      <c r="E401" s="76" t="str">
        <f aca="false">IF($C401="","",Recurring!$D$29)</f>
        <v/>
      </c>
      <c r="F401" s="77"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77" t="str">
        <f aca="false">IF($F401="","",IF(Recurring!$G$29="Move Before",IF(WEEKDAY($F401,2)=6,$F401-1,IF(WEEKDAY($F401,2)=7,$F401-2,$F401)),IF(Recurring!$G$29="Move After",IF(WEEKDAY($F401,2)=6,$F401+2,IF(WEEKDAY($F401,2)=7,$F401+1,$F401)),$F401)))</f>
        <v/>
      </c>
      <c r="H401" s="78" t="n">
        <f aca="false">IF($G401="",0,IF(AND($G401&gt;='Cash Flow'!$E$6,$G401&lt;'Cash Flow'!$E$6+91),1,0))</f>
        <v>0</v>
      </c>
      <c r="I401" s="78" t="str">
        <f aca="false">IF($H401=1,MAX(1,INT(($G401-'Cash Flow'!$E$6)/7)+1),"")</f>
        <v/>
      </c>
      <c r="J401" s="38" t="str">
        <f aca="false">IF($H401=1,$G401*10000+ROW(),"")</f>
        <v/>
      </c>
      <c r="K401" s="38" t="str">
        <f aca="false">IF($H401=1,$I401*1000+COUNTIFS($I$4:$I$483,$I401,$J$4:$J$483,"&lt;"&amp;$J401)+1,"")</f>
        <v/>
      </c>
    </row>
    <row r="402" customFormat="false" ht="15" hidden="false" customHeight="false" outlineLevel="0" collapsed="false">
      <c r="A402" s="46" t="n">
        <v>25</v>
      </c>
      <c r="B402" s="46" t="n">
        <v>15</v>
      </c>
      <c r="C402" s="38" t="str">
        <f aca="false">IF(OR(Recurring!$B$29="",Recurring!$H$29&lt;&gt;"Yes",Recurring!$D$29=""),"",Recurring!$B$29)</f>
        <v/>
      </c>
      <c r="D402" s="38" t="str">
        <f aca="false">IF($C402="","",Recurring!$C$29)</f>
        <v/>
      </c>
      <c r="E402" s="76" t="str">
        <f aca="false">IF($C402="","",Recurring!$D$29)</f>
        <v/>
      </c>
      <c r="F402" s="77"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77" t="str">
        <f aca="false">IF($F402="","",IF(Recurring!$G$29="Move Before",IF(WEEKDAY($F402,2)=6,$F402-1,IF(WEEKDAY($F402,2)=7,$F402-2,$F402)),IF(Recurring!$G$29="Move After",IF(WEEKDAY($F402,2)=6,$F402+2,IF(WEEKDAY($F402,2)=7,$F402+1,$F402)),$F402)))</f>
        <v/>
      </c>
      <c r="H402" s="78" t="n">
        <f aca="false">IF($G402="",0,IF(AND($G402&gt;='Cash Flow'!$E$6,$G402&lt;'Cash Flow'!$E$6+91),1,0))</f>
        <v>0</v>
      </c>
      <c r="I402" s="78" t="str">
        <f aca="false">IF($H402=1,MAX(1,INT(($G402-'Cash Flow'!$E$6)/7)+1),"")</f>
        <v/>
      </c>
      <c r="J402" s="38" t="str">
        <f aca="false">IF($H402=1,$G402*10000+ROW(),"")</f>
        <v/>
      </c>
      <c r="K402" s="38" t="str">
        <f aca="false">IF($H402=1,$I402*1000+COUNTIFS($I$4:$I$483,$I402,$J$4:$J$483,"&lt;"&amp;$J402)+1,"")</f>
        <v/>
      </c>
    </row>
    <row r="403" customFormat="false" ht="15" hidden="false" customHeight="false" outlineLevel="0" collapsed="false">
      <c r="A403" s="46" t="n">
        <v>25</v>
      </c>
      <c r="B403" s="46" t="n">
        <v>16</v>
      </c>
      <c r="C403" s="38" t="str">
        <f aca="false">IF(OR(Recurring!$B$29="",Recurring!$H$29&lt;&gt;"Yes",Recurring!$D$29=""),"",Recurring!$B$29)</f>
        <v/>
      </c>
      <c r="D403" s="38" t="str">
        <f aca="false">IF($C403="","",Recurring!$C$29)</f>
        <v/>
      </c>
      <c r="E403" s="76" t="str">
        <f aca="false">IF($C403="","",Recurring!$D$29)</f>
        <v/>
      </c>
      <c r="F403" s="77"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77" t="str">
        <f aca="false">IF($F403="","",IF(Recurring!$G$29="Move Before",IF(WEEKDAY($F403,2)=6,$F403-1,IF(WEEKDAY($F403,2)=7,$F403-2,$F403)),IF(Recurring!$G$29="Move After",IF(WEEKDAY($F403,2)=6,$F403+2,IF(WEEKDAY($F403,2)=7,$F403+1,$F403)),$F403)))</f>
        <v/>
      </c>
      <c r="H403" s="78" t="n">
        <f aca="false">IF($G403="",0,IF(AND($G403&gt;='Cash Flow'!$E$6,$G403&lt;'Cash Flow'!$E$6+91),1,0))</f>
        <v>0</v>
      </c>
      <c r="I403" s="78" t="str">
        <f aca="false">IF($H403=1,MAX(1,INT(($G403-'Cash Flow'!$E$6)/7)+1),"")</f>
        <v/>
      </c>
      <c r="J403" s="38" t="str">
        <f aca="false">IF($H403=1,$G403*10000+ROW(),"")</f>
        <v/>
      </c>
      <c r="K403" s="38" t="str">
        <f aca="false">IF($H403=1,$I403*1000+COUNTIFS($I$4:$I$483,$I403,$J$4:$J$483,"&lt;"&amp;$J403)+1,"")</f>
        <v/>
      </c>
    </row>
    <row r="404" customFormat="false" ht="15" hidden="false" customHeight="false" outlineLevel="0" collapsed="false">
      <c r="A404" s="46" t="n">
        <v>26</v>
      </c>
      <c r="B404" s="46" t="n">
        <v>1</v>
      </c>
      <c r="C404" s="38" t="str">
        <f aca="false">IF(OR(Recurring!$B$30="",Recurring!$H$30&lt;&gt;"Yes",Recurring!$D$30=""),"",Recurring!$B$30)</f>
        <v/>
      </c>
      <c r="D404" s="38" t="str">
        <f aca="false">IF($C404="","",Recurring!$C$30)</f>
        <v/>
      </c>
      <c r="E404" s="76" t="str">
        <f aca="false">IF($C404="","",Recurring!$D$30)</f>
        <v/>
      </c>
      <c r="F404" s="77"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77" t="str">
        <f aca="false">IF($F404="","",IF(Recurring!$G$30="Move Before",IF(WEEKDAY($F404,2)=6,$F404-1,IF(WEEKDAY($F404,2)=7,$F404-2,$F404)),IF(Recurring!$G$30="Move After",IF(WEEKDAY($F404,2)=6,$F404+2,IF(WEEKDAY($F404,2)=7,$F404+1,$F404)),$F404)))</f>
        <v/>
      </c>
      <c r="H404" s="78" t="n">
        <f aca="false">IF($G404="",0,IF(AND($G404&gt;='Cash Flow'!$E$6-90,$G404&lt;'Cash Flow'!$E$6+91),1,0))</f>
        <v>0</v>
      </c>
      <c r="I404" s="78" t="str">
        <f aca="false">IF($H404=1,MAX(1,INT(($G404-'Cash Flow'!$E$6)/7)+1),"")</f>
        <v/>
      </c>
      <c r="J404" s="38" t="str">
        <f aca="false">IF($H404=1,$G404*10000+ROW(),"")</f>
        <v/>
      </c>
      <c r="K404" s="38" t="str">
        <f aca="false">IF($H404=1,$I404*1000+COUNTIFS($I$4:$I$483,$I404,$J$4:$J$483,"&lt;"&amp;$J404)+1,"")</f>
        <v/>
      </c>
    </row>
    <row r="405" customFormat="false" ht="15" hidden="false" customHeight="false" outlineLevel="0" collapsed="false">
      <c r="A405" s="46" t="n">
        <v>26</v>
      </c>
      <c r="B405" s="46" t="n">
        <v>2</v>
      </c>
      <c r="C405" s="38" t="str">
        <f aca="false">IF(OR(Recurring!$B$30="",Recurring!$H$30&lt;&gt;"Yes",Recurring!$D$30=""),"",Recurring!$B$30)</f>
        <v/>
      </c>
      <c r="D405" s="38" t="str">
        <f aca="false">IF($C405="","",Recurring!$C$30)</f>
        <v/>
      </c>
      <c r="E405" s="76" t="str">
        <f aca="false">IF($C405="","",Recurring!$D$30)</f>
        <v/>
      </c>
      <c r="F405" s="77"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77" t="str">
        <f aca="false">IF($F405="","",IF(Recurring!$G$30="Move Before",IF(WEEKDAY($F405,2)=6,$F405-1,IF(WEEKDAY($F405,2)=7,$F405-2,$F405)),IF(Recurring!$G$30="Move After",IF(WEEKDAY($F405,2)=6,$F405+2,IF(WEEKDAY($F405,2)=7,$F405+1,$F405)),$F405)))</f>
        <v/>
      </c>
      <c r="H405" s="78" t="n">
        <f aca="false">IF($G405="",0,IF(AND($G405&gt;='Cash Flow'!$E$6,$G405&lt;'Cash Flow'!$E$6+91),1,0))</f>
        <v>0</v>
      </c>
      <c r="I405" s="78" t="str">
        <f aca="false">IF($H405=1,MAX(1,INT(($G405-'Cash Flow'!$E$6)/7)+1),"")</f>
        <v/>
      </c>
      <c r="J405" s="38" t="str">
        <f aca="false">IF($H405=1,$G405*10000+ROW(),"")</f>
        <v/>
      </c>
      <c r="K405" s="38" t="str">
        <f aca="false">IF($H405=1,$I405*1000+COUNTIFS($I$4:$I$483,$I405,$J$4:$J$483,"&lt;"&amp;$J405)+1,"")</f>
        <v/>
      </c>
    </row>
    <row r="406" customFormat="false" ht="15" hidden="false" customHeight="false" outlineLevel="0" collapsed="false">
      <c r="A406" s="46" t="n">
        <v>26</v>
      </c>
      <c r="B406" s="46" t="n">
        <v>3</v>
      </c>
      <c r="C406" s="38" t="str">
        <f aca="false">IF(OR(Recurring!$B$30="",Recurring!$H$30&lt;&gt;"Yes",Recurring!$D$30=""),"",Recurring!$B$30)</f>
        <v/>
      </c>
      <c r="D406" s="38" t="str">
        <f aca="false">IF($C406="","",Recurring!$C$30)</f>
        <v/>
      </c>
      <c r="E406" s="76" t="str">
        <f aca="false">IF($C406="","",Recurring!$D$30)</f>
        <v/>
      </c>
      <c r="F406" s="77"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77" t="str">
        <f aca="false">IF($F406="","",IF(Recurring!$G$30="Move Before",IF(WEEKDAY($F406,2)=6,$F406-1,IF(WEEKDAY($F406,2)=7,$F406-2,$F406)),IF(Recurring!$G$30="Move After",IF(WEEKDAY($F406,2)=6,$F406+2,IF(WEEKDAY($F406,2)=7,$F406+1,$F406)),$F406)))</f>
        <v/>
      </c>
      <c r="H406" s="78" t="n">
        <f aca="false">IF($G406="",0,IF(AND($G406&gt;='Cash Flow'!$E$6,$G406&lt;'Cash Flow'!$E$6+91),1,0))</f>
        <v>0</v>
      </c>
      <c r="I406" s="78" t="str">
        <f aca="false">IF($H406=1,MAX(1,INT(($G406-'Cash Flow'!$E$6)/7)+1),"")</f>
        <v/>
      </c>
      <c r="J406" s="38" t="str">
        <f aca="false">IF($H406=1,$G406*10000+ROW(),"")</f>
        <v/>
      </c>
      <c r="K406" s="38" t="str">
        <f aca="false">IF($H406=1,$I406*1000+COUNTIFS($I$4:$I$483,$I406,$J$4:$J$483,"&lt;"&amp;$J406)+1,"")</f>
        <v/>
      </c>
    </row>
    <row r="407" customFormat="false" ht="15" hidden="false" customHeight="false" outlineLevel="0" collapsed="false">
      <c r="A407" s="46" t="n">
        <v>26</v>
      </c>
      <c r="B407" s="46" t="n">
        <v>4</v>
      </c>
      <c r="C407" s="38" t="str">
        <f aca="false">IF(OR(Recurring!$B$30="",Recurring!$H$30&lt;&gt;"Yes",Recurring!$D$30=""),"",Recurring!$B$30)</f>
        <v/>
      </c>
      <c r="D407" s="38" t="str">
        <f aca="false">IF($C407="","",Recurring!$C$30)</f>
        <v/>
      </c>
      <c r="E407" s="76" t="str">
        <f aca="false">IF($C407="","",Recurring!$D$30)</f>
        <v/>
      </c>
      <c r="F407" s="77"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77" t="str">
        <f aca="false">IF($F407="","",IF(Recurring!$G$30="Move Before",IF(WEEKDAY($F407,2)=6,$F407-1,IF(WEEKDAY($F407,2)=7,$F407-2,$F407)),IF(Recurring!$G$30="Move After",IF(WEEKDAY($F407,2)=6,$F407+2,IF(WEEKDAY($F407,2)=7,$F407+1,$F407)),$F407)))</f>
        <v/>
      </c>
      <c r="H407" s="78" t="n">
        <f aca="false">IF($G407="",0,IF(AND($G407&gt;='Cash Flow'!$E$6,$G407&lt;'Cash Flow'!$E$6+91),1,0))</f>
        <v>0</v>
      </c>
      <c r="I407" s="78" t="str">
        <f aca="false">IF($H407=1,MAX(1,INT(($G407-'Cash Flow'!$E$6)/7)+1),"")</f>
        <v/>
      </c>
      <c r="J407" s="38" t="str">
        <f aca="false">IF($H407=1,$G407*10000+ROW(),"")</f>
        <v/>
      </c>
      <c r="K407" s="38" t="str">
        <f aca="false">IF($H407=1,$I407*1000+COUNTIFS($I$4:$I$483,$I407,$J$4:$J$483,"&lt;"&amp;$J407)+1,"")</f>
        <v/>
      </c>
    </row>
    <row r="408" customFormat="false" ht="15" hidden="false" customHeight="false" outlineLevel="0" collapsed="false">
      <c r="A408" s="46" t="n">
        <v>26</v>
      </c>
      <c r="B408" s="46" t="n">
        <v>5</v>
      </c>
      <c r="C408" s="38" t="str">
        <f aca="false">IF(OR(Recurring!$B$30="",Recurring!$H$30&lt;&gt;"Yes",Recurring!$D$30=""),"",Recurring!$B$30)</f>
        <v/>
      </c>
      <c r="D408" s="38" t="str">
        <f aca="false">IF($C408="","",Recurring!$C$30)</f>
        <v/>
      </c>
      <c r="E408" s="76" t="str">
        <f aca="false">IF($C408="","",Recurring!$D$30)</f>
        <v/>
      </c>
      <c r="F408" s="77"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77" t="str">
        <f aca="false">IF($F408="","",IF(Recurring!$G$30="Move Before",IF(WEEKDAY($F408,2)=6,$F408-1,IF(WEEKDAY($F408,2)=7,$F408-2,$F408)),IF(Recurring!$G$30="Move After",IF(WEEKDAY($F408,2)=6,$F408+2,IF(WEEKDAY($F408,2)=7,$F408+1,$F408)),$F408)))</f>
        <v/>
      </c>
      <c r="H408" s="78" t="n">
        <f aca="false">IF($G408="",0,IF(AND($G408&gt;='Cash Flow'!$E$6,$G408&lt;'Cash Flow'!$E$6+91),1,0))</f>
        <v>0</v>
      </c>
      <c r="I408" s="78" t="str">
        <f aca="false">IF($H408=1,MAX(1,INT(($G408-'Cash Flow'!$E$6)/7)+1),"")</f>
        <v/>
      </c>
      <c r="J408" s="38" t="str">
        <f aca="false">IF($H408=1,$G408*10000+ROW(),"")</f>
        <v/>
      </c>
      <c r="K408" s="38" t="str">
        <f aca="false">IF($H408=1,$I408*1000+COUNTIFS($I$4:$I$483,$I408,$J$4:$J$483,"&lt;"&amp;$J408)+1,"")</f>
        <v/>
      </c>
    </row>
    <row r="409" customFormat="false" ht="15" hidden="false" customHeight="false" outlineLevel="0" collapsed="false">
      <c r="A409" s="46" t="n">
        <v>26</v>
      </c>
      <c r="B409" s="46" t="n">
        <v>6</v>
      </c>
      <c r="C409" s="38" t="str">
        <f aca="false">IF(OR(Recurring!$B$30="",Recurring!$H$30&lt;&gt;"Yes",Recurring!$D$30=""),"",Recurring!$B$30)</f>
        <v/>
      </c>
      <c r="D409" s="38" t="str">
        <f aca="false">IF($C409="","",Recurring!$C$30)</f>
        <v/>
      </c>
      <c r="E409" s="76" t="str">
        <f aca="false">IF($C409="","",Recurring!$D$30)</f>
        <v/>
      </c>
      <c r="F409" s="77"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77" t="str">
        <f aca="false">IF($F409="","",IF(Recurring!$G$30="Move Before",IF(WEEKDAY($F409,2)=6,$F409-1,IF(WEEKDAY($F409,2)=7,$F409-2,$F409)),IF(Recurring!$G$30="Move After",IF(WEEKDAY($F409,2)=6,$F409+2,IF(WEEKDAY($F409,2)=7,$F409+1,$F409)),$F409)))</f>
        <v/>
      </c>
      <c r="H409" s="78" t="n">
        <f aca="false">IF($G409="",0,IF(AND($G409&gt;='Cash Flow'!$E$6,$G409&lt;'Cash Flow'!$E$6+91),1,0))</f>
        <v>0</v>
      </c>
      <c r="I409" s="78" t="str">
        <f aca="false">IF($H409=1,MAX(1,INT(($G409-'Cash Flow'!$E$6)/7)+1),"")</f>
        <v/>
      </c>
      <c r="J409" s="38" t="str">
        <f aca="false">IF($H409=1,$G409*10000+ROW(),"")</f>
        <v/>
      </c>
      <c r="K409" s="38" t="str">
        <f aca="false">IF($H409=1,$I409*1000+COUNTIFS($I$4:$I$483,$I409,$J$4:$J$483,"&lt;"&amp;$J409)+1,"")</f>
        <v/>
      </c>
    </row>
    <row r="410" customFormat="false" ht="15" hidden="false" customHeight="false" outlineLevel="0" collapsed="false">
      <c r="A410" s="46" t="n">
        <v>26</v>
      </c>
      <c r="B410" s="46" t="n">
        <v>7</v>
      </c>
      <c r="C410" s="38" t="str">
        <f aca="false">IF(OR(Recurring!$B$30="",Recurring!$H$30&lt;&gt;"Yes",Recurring!$D$30=""),"",Recurring!$B$30)</f>
        <v/>
      </c>
      <c r="D410" s="38" t="str">
        <f aca="false">IF($C410="","",Recurring!$C$30)</f>
        <v/>
      </c>
      <c r="E410" s="76" t="str">
        <f aca="false">IF($C410="","",Recurring!$D$30)</f>
        <v/>
      </c>
      <c r="F410" s="77"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77" t="str">
        <f aca="false">IF($F410="","",IF(Recurring!$G$30="Move Before",IF(WEEKDAY($F410,2)=6,$F410-1,IF(WEEKDAY($F410,2)=7,$F410-2,$F410)),IF(Recurring!$G$30="Move After",IF(WEEKDAY($F410,2)=6,$F410+2,IF(WEEKDAY($F410,2)=7,$F410+1,$F410)),$F410)))</f>
        <v/>
      </c>
      <c r="H410" s="78" t="n">
        <f aca="false">IF($G410="",0,IF(AND($G410&gt;='Cash Flow'!$E$6,$G410&lt;'Cash Flow'!$E$6+91),1,0))</f>
        <v>0</v>
      </c>
      <c r="I410" s="78" t="str">
        <f aca="false">IF($H410=1,MAX(1,INT(($G410-'Cash Flow'!$E$6)/7)+1),"")</f>
        <v/>
      </c>
      <c r="J410" s="38" t="str">
        <f aca="false">IF($H410=1,$G410*10000+ROW(),"")</f>
        <v/>
      </c>
      <c r="K410" s="38" t="str">
        <f aca="false">IF($H410=1,$I410*1000+COUNTIFS($I$4:$I$483,$I410,$J$4:$J$483,"&lt;"&amp;$J410)+1,"")</f>
        <v/>
      </c>
    </row>
    <row r="411" customFormat="false" ht="15" hidden="false" customHeight="false" outlineLevel="0" collapsed="false">
      <c r="A411" s="46" t="n">
        <v>26</v>
      </c>
      <c r="B411" s="46" t="n">
        <v>8</v>
      </c>
      <c r="C411" s="38" t="str">
        <f aca="false">IF(OR(Recurring!$B$30="",Recurring!$H$30&lt;&gt;"Yes",Recurring!$D$30=""),"",Recurring!$B$30)</f>
        <v/>
      </c>
      <c r="D411" s="38" t="str">
        <f aca="false">IF($C411="","",Recurring!$C$30)</f>
        <v/>
      </c>
      <c r="E411" s="76" t="str">
        <f aca="false">IF($C411="","",Recurring!$D$30)</f>
        <v/>
      </c>
      <c r="F411" s="77"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77" t="str">
        <f aca="false">IF($F411="","",IF(Recurring!$G$30="Move Before",IF(WEEKDAY($F411,2)=6,$F411-1,IF(WEEKDAY($F411,2)=7,$F411-2,$F411)),IF(Recurring!$G$30="Move After",IF(WEEKDAY($F411,2)=6,$F411+2,IF(WEEKDAY($F411,2)=7,$F411+1,$F411)),$F411)))</f>
        <v/>
      </c>
      <c r="H411" s="78" t="n">
        <f aca="false">IF($G411="",0,IF(AND($G411&gt;='Cash Flow'!$E$6,$G411&lt;'Cash Flow'!$E$6+91),1,0))</f>
        <v>0</v>
      </c>
      <c r="I411" s="78" t="str">
        <f aca="false">IF($H411=1,MAX(1,INT(($G411-'Cash Flow'!$E$6)/7)+1),"")</f>
        <v/>
      </c>
      <c r="J411" s="38" t="str">
        <f aca="false">IF($H411=1,$G411*10000+ROW(),"")</f>
        <v/>
      </c>
      <c r="K411" s="38" t="str">
        <f aca="false">IF($H411=1,$I411*1000+COUNTIFS($I$4:$I$483,$I411,$J$4:$J$483,"&lt;"&amp;$J411)+1,"")</f>
        <v/>
      </c>
    </row>
    <row r="412" customFormat="false" ht="15" hidden="false" customHeight="false" outlineLevel="0" collapsed="false">
      <c r="A412" s="46" t="n">
        <v>26</v>
      </c>
      <c r="B412" s="46" t="n">
        <v>9</v>
      </c>
      <c r="C412" s="38" t="str">
        <f aca="false">IF(OR(Recurring!$B$30="",Recurring!$H$30&lt;&gt;"Yes",Recurring!$D$30=""),"",Recurring!$B$30)</f>
        <v/>
      </c>
      <c r="D412" s="38" t="str">
        <f aca="false">IF($C412="","",Recurring!$C$30)</f>
        <v/>
      </c>
      <c r="E412" s="76" t="str">
        <f aca="false">IF($C412="","",Recurring!$D$30)</f>
        <v/>
      </c>
      <c r="F412" s="77"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77" t="str">
        <f aca="false">IF($F412="","",IF(Recurring!$G$30="Move Before",IF(WEEKDAY($F412,2)=6,$F412-1,IF(WEEKDAY($F412,2)=7,$F412-2,$F412)),IF(Recurring!$G$30="Move After",IF(WEEKDAY($F412,2)=6,$F412+2,IF(WEEKDAY($F412,2)=7,$F412+1,$F412)),$F412)))</f>
        <v/>
      </c>
      <c r="H412" s="78" t="n">
        <f aca="false">IF($G412="",0,IF(AND($G412&gt;='Cash Flow'!$E$6,$G412&lt;'Cash Flow'!$E$6+91),1,0))</f>
        <v>0</v>
      </c>
      <c r="I412" s="78" t="str">
        <f aca="false">IF($H412=1,MAX(1,INT(($G412-'Cash Flow'!$E$6)/7)+1),"")</f>
        <v/>
      </c>
      <c r="J412" s="38" t="str">
        <f aca="false">IF($H412=1,$G412*10000+ROW(),"")</f>
        <v/>
      </c>
      <c r="K412" s="38" t="str">
        <f aca="false">IF($H412=1,$I412*1000+COUNTIFS($I$4:$I$483,$I412,$J$4:$J$483,"&lt;"&amp;$J412)+1,"")</f>
        <v/>
      </c>
    </row>
    <row r="413" customFormat="false" ht="15" hidden="false" customHeight="false" outlineLevel="0" collapsed="false">
      <c r="A413" s="46" t="n">
        <v>26</v>
      </c>
      <c r="B413" s="46" t="n">
        <v>10</v>
      </c>
      <c r="C413" s="38" t="str">
        <f aca="false">IF(OR(Recurring!$B$30="",Recurring!$H$30&lt;&gt;"Yes",Recurring!$D$30=""),"",Recurring!$B$30)</f>
        <v/>
      </c>
      <c r="D413" s="38" t="str">
        <f aca="false">IF($C413="","",Recurring!$C$30)</f>
        <v/>
      </c>
      <c r="E413" s="76" t="str">
        <f aca="false">IF($C413="","",Recurring!$D$30)</f>
        <v/>
      </c>
      <c r="F413" s="77"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77" t="str">
        <f aca="false">IF($F413="","",IF(Recurring!$G$30="Move Before",IF(WEEKDAY($F413,2)=6,$F413-1,IF(WEEKDAY($F413,2)=7,$F413-2,$F413)),IF(Recurring!$G$30="Move After",IF(WEEKDAY($F413,2)=6,$F413+2,IF(WEEKDAY($F413,2)=7,$F413+1,$F413)),$F413)))</f>
        <v/>
      </c>
      <c r="H413" s="78" t="n">
        <f aca="false">IF($G413="",0,IF(AND($G413&gt;='Cash Flow'!$E$6,$G413&lt;'Cash Flow'!$E$6+91),1,0))</f>
        <v>0</v>
      </c>
      <c r="I413" s="78" t="str">
        <f aca="false">IF($H413=1,MAX(1,INT(($G413-'Cash Flow'!$E$6)/7)+1),"")</f>
        <v/>
      </c>
      <c r="J413" s="38" t="str">
        <f aca="false">IF($H413=1,$G413*10000+ROW(),"")</f>
        <v/>
      </c>
      <c r="K413" s="38" t="str">
        <f aca="false">IF($H413=1,$I413*1000+COUNTIFS($I$4:$I$483,$I413,$J$4:$J$483,"&lt;"&amp;$J413)+1,"")</f>
        <v/>
      </c>
    </row>
    <row r="414" customFormat="false" ht="15" hidden="false" customHeight="false" outlineLevel="0" collapsed="false">
      <c r="A414" s="46" t="n">
        <v>26</v>
      </c>
      <c r="B414" s="46" t="n">
        <v>11</v>
      </c>
      <c r="C414" s="38" t="str">
        <f aca="false">IF(OR(Recurring!$B$30="",Recurring!$H$30&lt;&gt;"Yes",Recurring!$D$30=""),"",Recurring!$B$30)</f>
        <v/>
      </c>
      <c r="D414" s="38" t="str">
        <f aca="false">IF($C414="","",Recurring!$C$30)</f>
        <v/>
      </c>
      <c r="E414" s="76" t="str">
        <f aca="false">IF($C414="","",Recurring!$D$30)</f>
        <v/>
      </c>
      <c r="F414" s="77"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77" t="str">
        <f aca="false">IF($F414="","",IF(Recurring!$G$30="Move Before",IF(WEEKDAY($F414,2)=6,$F414-1,IF(WEEKDAY($F414,2)=7,$F414-2,$F414)),IF(Recurring!$G$30="Move After",IF(WEEKDAY($F414,2)=6,$F414+2,IF(WEEKDAY($F414,2)=7,$F414+1,$F414)),$F414)))</f>
        <v/>
      </c>
      <c r="H414" s="78" t="n">
        <f aca="false">IF($G414="",0,IF(AND($G414&gt;='Cash Flow'!$E$6,$G414&lt;'Cash Flow'!$E$6+91),1,0))</f>
        <v>0</v>
      </c>
      <c r="I414" s="78" t="str">
        <f aca="false">IF($H414=1,MAX(1,INT(($G414-'Cash Flow'!$E$6)/7)+1),"")</f>
        <v/>
      </c>
      <c r="J414" s="38" t="str">
        <f aca="false">IF($H414=1,$G414*10000+ROW(),"")</f>
        <v/>
      </c>
      <c r="K414" s="38" t="str">
        <f aca="false">IF($H414=1,$I414*1000+COUNTIFS($I$4:$I$483,$I414,$J$4:$J$483,"&lt;"&amp;$J414)+1,"")</f>
        <v/>
      </c>
    </row>
    <row r="415" customFormat="false" ht="15" hidden="false" customHeight="false" outlineLevel="0" collapsed="false">
      <c r="A415" s="46" t="n">
        <v>26</v>
      </c>
      <c r="B415" s="46" t="n">
        <v>12</v>
      </c>
      <c r="C415" s="38" t="str">
        <f aca="false">IF(OR(Recurring!$B$30="",Recurring!$H$30&lt;&gt;"Yes",Recurring!$D$30=""),"",Recurring!$B$30)</f>
        <v/>
      </c>
      <c r="D415" s="38" t="str">
        <f aca="false">IF($C415="","",Recurring!$C$30)</f>
        <v/>
      </c>
      <c r="E415" s="76" t="str">
        <f aca="false">IF($C415="","",Recurring!$D$30)</f>
        <v/>
      </c>
      <c r="F415" s="77"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77" t="str">
        <f aca="false">IF($F415="","",IF(Recurring!$G$30="Move Before",IF(WEEKDAY($F415,2)=6,$F415-1,IF(WEEKDAY($F415,2)=7,$F415-2,$F415)),IF(Recurring!$G$30="Move After",IF(WEEKDAY($F415,2)=6,$F415+2,IF(WEEKDAY($F415,2)=7,$F415+1,$F415)),$F415)))</f>
        <v/>
      </c>
      <c r="H415" s="78" t="n">
        <f aca="false">IF($G415="",0,IF(AND($G415&gt;='Cash Flow'!$E$6,$G415&lt;'Cash Flow'!$E$6+91),1,0))</f>
        <v>0</v>
      </c>
      <c r="I415" s="78" t="str">
        <f aca="false">IF($H415=1,MAX(1,INT(($G415-'Cash Flow'!$E$6)/7)+1),"")</f>
        <v/>
      </c>
      <c r="J415" s="38" t="str">
        <f aca="false">IF($H415=1,$G415*10000+ROW(),"")</f>
        <v/>
      </c>
      <c r="K415" s="38" t="str">
        <f aca="false">IF($H415=1,$I415*1000+COUNTIFS($I$4:$I$483,$I415,$J$4:$J$483,"&lt;"&amp;$J415)+1,"")</f>
        <v/>
      </c>
    </row>
    <row r="416" customFormat="false" ht="15" hidden="false" customHeight="false" outlineLevel="0" collapsed="false">
      <c r="A416" s="46" t="n">
        <v>26</v>
      </c>
      <c r="B416" s="46" t="n">
        <v>13</v>
      </c>
      <c r="C416" s="38" t="str">
        <f aca="false">IF(OR(Recurring!$B$30="",Recurring!$H$30&lt;&gt;"Yes",Recurring!$D$30=""),"",Recurring!$B$30)</f>
        <v/>
      </c>
      <c r="D416" s="38" t="str">
        <f aca="false">IF($C416="","",Recurring!$C$30)</f>
        <v/>
      </c>
      <c r="E416" s="76" t="str">
        <f aca="false">IF($C416="","",Recurring!$D$30)</f>
        <v/>
      </c>
      <c r="F416" s="77"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77" t="str">
        <f aca="false">IF($F416="","",IF(Recurring!$G$30="Move Before",IF(WEEKDAY($F416,2)=6,$F416-1,IF(WEEKDAY($F416,2)=7,$F416-2,$F416)),IF(Recurring!$G$30="Move After",IF(WEEKDAY($F416,2)=6,$F416+2,IF(WEEKDAY($F416,2)=7,$F416+1,$F416)),$F416)))</f>
        <v/>
      </c>
      <c r="H416" s="78" t="n">
        <f aca="false">IF($G416="",0,IF(AND($G416&gt;='Cash Flow'!$E$6,$G416&lt;'Cash Flow'!$E$6+91),1,0))</f>
        <v>0</v>
      </c>
      <c r="I416" s="78" t="str">
        <f aca="false">IF($H416=1,MAX(1,INT(($G416-'Cash Flow'!$E$6)/7)+1),"")</f>
        <v/>
      </c>
      <c r="J416" s="38" t="str">
        <f aca="false">IF($H416=1,$G416*10000+ROW(),"")</f>
        <v/>
      </c>
      <c r="K416" s="38" t="str">
        <f aca="false">IF($H416=1,$I416*1000+COUNTIFS($I$4:$I$483,$I416,$J$4:$J$483,"&lt;"&amp;$J416)+1,"")</f>
        <v/>
      </c>
    </row>
    <row r="417" customFormat="false" ht="15" hidden="false" customHeight="false" outlineLevel="0" collapsed="false">
      <c r="A417" s="46" t="n">
        <v>26</v>
      </c>
      <c r="B417" s="46" t="n">
        <v>14</v>
      </c>
      <c r="C417" s="38" t="str">
        <f aca="false">IF(OR(Recurring!$B$30="",Recurring!$H$30&lt;&gt;"Yes",Recurring!$D$30=""),"",Recurring!$B$30)</f>
        <v/>
      </c>
      <c r="D417" s="38" t="str">
        <f aca="false">IF($C417="","",Recurring!$C$30)</f>
        <v/>
      </c>
      <c r="E417" s="76" t="str">
        <f aca="false">IF($C417="","",Recurring!$D$30)</f>
        <v/>
      </c>
      <c r="F417" s="77"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77" t="str">
        <f aca="false">IF($F417="","",IF(Recurring!$G$30="Move Before",IF(WEEKDAY($F417,2)=6,$F417-1,IF(WEEKDAY($F417,2)=7,$F417-2,$F417)),IF(Recurring!$G$30="Move After",IF(WEEKDAY($F417,2)=6,$F417+2,IF(WEEKDAY($F417,2)=7,$F417+1,$F417)),$F417)))</f>
        <v/>
      </c>
      <c r="H417" s="78" t="n">
        <f aca="false">IF($G417="",0,IF(AND($G417&gt;='Cash Flow'!$E$6,$G417&lt;'Cash Flow'!$E$6+91),1,0))</f>
        <v>0</v>
      </c>
      <c r="I417" s="78" t="str">
        <f aca="false">IF($H417=1,MAX(1,INT(($G417-'Cash Flow'!$E$6)/7)+1),"")</f>
        <v/>
      </c>
      <c r="J417" s="38" t="str">
        <f aca="false">IF($H417=1,$G417*10000+ROW(),"")</f>
        <v/>
      </c>
      <c r="K417" s="38" t="str">
        <f aca="false">IF($H417=1,$I417*1000+COUNTIFS($I$4:$I$483,$I417,$J$4:$J$483,"&lt;"&amp;$J417)+1,"")</f>
        <v/>
      </c>
    </row>
    <row r="418" customFormat="false" ht="15" hidden="false" customHeight="false" outlineLevel="0" collapsed="false">
      <c r="A418" s="46" t="n">
        <v>26</v>
      </c>
      <c r="B418" s="46" t="n">
        <v>15</v>
      </c>
      <c r="C418" s="38" t="str">
        <f aca="false">IF(OR(Recurring!$B$30="",Recurring!$H$30&lt;&gt;"Yes",Recurring!$D$30=""),"",Recurring!$B$30)</f>
        <v/>
      </c>
      <c r="D418" s="38" t="str">
        <f aca="false">IF($C418="","",Recurring!$C$30)</f>
        <v/>
      </c>
      <c r="E418" s="76" t="str">
        <f aca="false">IF($C418="","",Recurring!$D$30)</f>
        <v/>
      </c>
      <c r="F418" s="77"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77" t="str">
        <f aca="false">IF($F418="","",IF(Recurring!$G$30="Move Before",IF(WEEKDAY($F418,2)=6,$F418-1,IF(WEEKDAY($F418,2)=7,$F418-2,$F418)),IF(Recurring!$G$30="Move After",IF(WEEKDAY($F418,2)=6,$F418+2,IF(WEEKDAY($F418,2)=7,$F418+1,$F418)),$F418)))</f>
        <v/>
      </c>
      <c r="H418" s="78" t="n">
        <f aca="false">IF($G418="",0,IF(AND($G418&gt;='Cash Flow'!$E$6,$G418&lt;'Cash Flow'!$E$6+91),1,0))</f>
        <v>0</v>
      </c>
      <c r="I418" s="78" t="str">
        <f aca="false">IF($H418=1,MAX(1,INT(($G418-'Cash Flow'!$E$6)/7)+1),"")</f>
        <v/>
      </c>
      <c r="J418" s="38" t="str">
        <f aca="false">IF($H418=1,$G418*10000+ROW(),"")</f>
        <v/>
      </c>
      <c r="K418" s="38" t="str">
        <f aca="false">IF($H418=1,$I418*1000+COUNTIFS($I$4:$I$483,$I418,$J$4:$J$483,"&lt;"&amp;$J418)+1,"")</f>
        <v/>
      </c>
    </row>
    <row r="419" customFormat="false" ht="15" hidden="false" customHeight="false" outlineLevel="0" collapsed="false">
      <c r="A419" s="46" t="n">
        <v>26</v>
      </c>
      <c r="B419" s="46" t="n">
        <v>16</v>
      </c>
      <c r="C419" s="38" t="str">
        <f aca="false">IF(OR(Recurring!$B$30="",Recurring!$H$30&lt;&gt;"Yes",Recurring!$D$30=""),"",Recurring!$B$30)</f>
        <v/>
      </c>
      <c r="D419" s="38" t="str">
        <f aca="false">IF($C419="","",Recurring!$C$30)</f>
        <v/>
      </c>
      <c r="E419" s="76" t="str">
        <f aca="false">IF($C419="","",Recurring!$D$30)</f>
        <v/>
      </c>
      <c r="F419" s="77"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77" t="str">
        <f aca="false">IF($F419="","",IF(Recurring!$G$30="Move Before",IF(WEEKDAY($F419,2)=6,$F419-1,IF(WEEKDAY($F419,2)=7,$F419-2,$F419)),IF(Recurring!$G$30="Move After",IF(WEEKDAY($F419,2)=6,$F419+2,IF(WEEKDAY($F419,2)=7,$F419+1,$F419)),$F419)))</f>
        <v/>
      </c>
      <c r="H419" s="78" t="n">
        <f aca="false">IF($G419="",0,IF(AND($G419&gt;='Cash Flow'!$E$6,$G419&lt;'Cash Flow'!$E$6+91),1,0))</f>
        <v>0</v>
      </c>
      <c r="I419" s="78" t="str">
        <f aca="false">IF($H419=1,MAX(1,INT(($G419-'Cash Flow'!$E$6)/7)+1),"")</f>
        <v/>
      </c>
      <c r="J419" s="38" t="str">
        <f aca="false">IF($H419=1,$G419*10000+ROW(),"")</f>
        <v/>
      </c>
      <c r="K419" s="38" t="str">
        <f aca="false">IF($H419=1,$I419*1000+COUNTIFS($I$4:$I$483,$I419,$J$4:$J$483,"&lt;"&amp;$J419)+1,"")</f>
        <v/>
      </c>
    </row>
    <row r="420" customFormat="false" ht="15" hidden="false" customHeight="false" outlineLevel="0" collapsed="false">
      <c r="A420" s="46" t="n">
        <v>27</v>
      </c>
      <c r="B420" s="46" t="n">
        <v>1</v>
      </c>
      <c r="C420" s="38" t="str">
        <f aca="false">IF(OR(Recurring!$B$31="",Recurring!$H$31&lt;&gt;"Yes",Recurring!$D$31=""),"",Recurring!$B$31)</f>
        <v/>
      </c>
      <c r="D420" s="38" t="str">
        <f aca="false">IF($C420="","",Recurring!$C$31)</f>
        <v/>
      </c>
      <c r="E420" s="76" t="str">
        <f aca="false">IF($C420="","",Recurring!$D$31)</f>
        <v/>
      </c>
      <c r="F420" s="77"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77" t="str">
        <f aca="false">IF($F420="","",IF(Recurring!$G$31="Move Before",IF(WEEKDAY($F420,2)=6,$F420-1,IF(WEEKDAY($F420,2)=7,$F420-2,$F420)),IF(Recurring!$G$31="Move After",IF(WEEKDAY($F420,2)=6,$F420+2,IF(WEEKDAY($F420,2)=7,$F420+1,$F420)),$F420)))</f>
        <v/>
      </c>
      <c r="H420" s="78" t="n">
        <f aca="false">IF($G420="",0,IF(AND($G420&gt;='Cash Flow'!$E$6-90,$G420&lt;'Cash Flow'!$E$6+91),1,0))</f>
        <v>0</v>
      </c>
      <c r="I420" s="78" t="str">
        <f aca="false">IF($H420=1,MAX(1,INT(($G420-'Cash Flow'!$E$6)/7)+1),"")</f>
        <v/>
      </c>
      <c r="J420" s="38" t="str">
        <f aca="false">IF($H420=1,$G420*10000+ROW(),"")</f>
        <v/>
      </c>
      <c r="K420" s="38" t="str">
        <f aca="false">IF($H420=1,$I420*1000+COUNTIFS($I$4:$I$483,$I420,$J$4:$J$483,"&lt;"&amp;$J420)+1,"")</f>
        <v/>
      </c>
    </row>
    <row r="421" customFormat="false" ht="15" hidden="false" customHeight="false" outlineLevel="0" collapsed="false">
      <c r="A421" s="46" t="n">
        <v>27</v>
      </c>
      <c r="B421" s="46" t="n">
        <v>2</v>
      </c>
      <c r="C421" s="38" t="str">
        <f aca="false">IF(OR(Recurring!$B$31="",Recurring!$H$31&lt;&gt;"Yes",Recurring!$D$31=""),"",Recurring!$B$31)</f>
        <v/>
      </c>
      <c r="D421" s="38" t="str">
        <f aca="false">IF($C421="","",Recurring!$C$31)</f>
        <v/>
      </c>
      <c r="E421" s="76" t="str">
        <f aca="false">IF($C421="","",Recurring!$D$31)</f>
        <v/>
      </c>
      <c r="F421" s="77"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77" t="str">
        <f aca="false">IF($F421="","",IF(Recurring!$G$31="Move Before",IF(WEEKDAY($F421,2)=6,$F421-1,IF(WEEKDAY($F421,2)=7,$F421-2,$F421)),IF(Recurring!$G$31="Move After",IF(WEEKDAY($F421,2)=6,$F421+2,IF(WEEKDAY($F421,2)=7,$F421+1,$F421)),$F421)))</f>
        <v/>
      </c>
      <c r="H421" s="78" t="n">
        <f aca="false">IF($G421="",0,IF(AND($G421&gt;='Cash Flow'!$E$6,$G421&lt;'Cash Flow'!$E$6+91),1,0))</f>
        <v>0</v>
      </c>
      <c r="I421" s="78" t="str">
        <f aca="false">IF($H421=1,MAX(1,INT(($G421-'Cash Flow'!$E$6)/7)+1),"")</f>
        <v/>
      </c>
      <c r="J421" s="38" t="str">
        <f aca="false">IF($H421=1,$G421*10000+ROW(),"")</f>
        <v/>
      </c>
      <c r="K421" s="38" t="str">
        <f aca="false">IF($H421=1,$I421*1000+COUNTIFS($I$4:$I$483,$I421,$J$4:$J$483,"&lt;"&amp;$J421)+1,"")</f>
        <v/>
      </c>
    </row>
    <row r="422" customFormat="false" ht="15" hidden="false" customHeight="false" outlineLevel="0" collapsed="false">
      <c r="A422" s="46" t="n">
        <v>27</v>
      </c>
      <c r="B422" s="46" t="n">
        <v>3</v>
      </c>
      <c r="C422" s="38" t="str">
        <f aca="false">IF(OR(Recurring!$B$31="",Recurring!$H$31&lt;&gt;"Yes",Recurring!$D$31=""),"",Recurring!$B$31)</f>
        <v/>
      </c>
      <c r="D422" s="38" t="str">
        <f aca="false">IF($C422="","",Recurring!$C$31)</f>
        <v/>
      </c>
      <c r="E422" s="76" t="str">
        <f aca="false">IF($C422="","",Recurring!$D$31)</f>
        <v/>
      </c>
      <c r="F422" s="77"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77" t="str">
        <f aca="false">IF($F422="","",IF(Recurring!$G$31="Move Before",IF(WEEKDAY($F422,2)=6,$F422-1,IF(WEEKDAY($F422,2)=7,$F422-2,$F422)),IF(Recurring!$G$31="Move After",IF(WEEKDAY($F422,2)=6,$F422+2,IF(WEEKDAY($F422,2)=7,$F422+1,$F422)),$F422)))</f>
        <v/>
      </c>
      <c r="H422" s="78" t="n">
        <f aca="false">IF($G422="",0,IF(AND($G422&gt;='Cash Flow'!$E$6,$G422&lt;'Cash Flow'!$E$6+91),1,0))</f>
        <v>0</v>
      </c>
      <c r="I422" s="78" t="str">
        <f aca="false">IF($H422=1,MAX(1,INT(($G422-'Cash Flow'!$E$6)/7)+1),"")</f>
        <v/>
      </c>
      <c r="J422" s="38" t="str">
        <f aca="false">IF($H422=1,$G422*10000+ROW(),"")</f>
        <v/>
      </c>
      <c r="K422" s="38" t="str">
        <f aca="false">IF($H422=1,$I422*1000+COUNTIFS($I$4:$I$483,$I422,$J$4:$J$483,"&lt;"&amp;$J422)+1,"")</f>
        <v/>
      </c>
    </row>
    <row r="423" customFormat="false" ht="15" hidden="false" customHeight="false" outlineLevel="0" collapsed="false">
      <c r="A423" s="46" t="n">
        <v>27</v>
      </c>
      <c r="B423" s="46" t="n">
        <v>4</v>
      </c>
      <c r="C423" s="38" t="str">
        <f aca="false">IF(OR(Recurring!$B$31="",Recurring!$H$31&lt;&gt;"Yes",Recurring!$D$31=""),"",Recurring!$B$31)</f>
        <v/>
      </c>
      <c r="D423" s="38" t="str">
        <f aca="false">IF($C423="","",Recurring!$C$31)</f>
        <v/>
      </c>
      <c r="E423" s="76" t="str">
        <f aca="false">IF($C423="","",Recurring!$D$31)</f>
        <v/>
      </c>
      <c r="F423" s="77"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77" t="str">
        <f aca="false">IF($F423="","",IF(Recurring!$G$31="Move Before",IF(WEEKDAY($F423,2)=6,$F423-1,IF(WEEKDAY($F423,2)=7,$F423-2,$F423)),IF(Recurring!$G$31="Move After",IF(WEEKDAY($F423,2)=6,$F423+2,IF(WEEKDAY($F423,2)=7,$F423+1,$F423)),$F423)))</f>
        <v/>
      </c>
      <c r="H423" s="78" t="n">
        <f aca="false">IF($G423="",0,IF(AND($G423&gt;='Cash Flow'!$E$6,$G423&lt;'Cash Flow'!$E$6+91),1,0))</f>
        <v>0</v>
      </c>
      <c r="I423" s="78" t="str">
        <f aca="false">IF($H423=1,MAX(1,INT(($G423-'Cash Flow'!$E$6)/7)+1),"")</f>
        <v/>
      </c>
      <c r="J423" s="38" t="str">
        <f aca="false">IF($H423=1,$G423*10000+ROW(),"")</f>
        <v/>
      </c>
      <c r="K423" s="38" t="str">
        <f aca="false">IF($H423=1,$I423*1000+COUNTIFS($I$4:$I$483,$I423,$J$4:$J$483,"&lt;"&amp;$J423)+1,"")</f>
        <v/>
      </c>
    </row>
    <row r="424" customFormat="false" ht="15" hidden="false" customHeight="false" outlineLevel="0" collapsed="false">
      <c r="A424" s="46" t="n">
        <v>27</v>
      </c>
      <c r="B424" s="46" t="n">
        <v>5</v>
      </c>
      <c r="C424" s="38" t="str">
        <f aca="false">IF(OR(Recurring!$B$31="",Recurring!$H$31&lt;&gt;"Yes",Recurring!$D$31=""),"",Recurring!$B$31)</f>
        <v/>
      </c>
      <c r="D424" s="38" t="str">
        <f aca="false">IF($C424="","",Recurring!$C$31)</f>
        <v/>
      </c>
      <c r="E424" s="76" t="str">
        <f aca="false">IF($C424="","",Recurring!$D$31)</f>
        <v/>
      </c>
      <c r="F424" s="77"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77" t="str">
        <f aca="false">IF($F424="","",IF(Recurring!$G$31="Move Before",IF(WEEKDAY($F424,2)=6,$F424-1,IF(WEEKDAY($F424,2)=7,$F424-2,$F424)),IF(Recurring!$G$31="Move After",IF(WEEKDAY($F424,2)=6,$F424+2,IF(WEEKDAY($F424,2)=7,$F424+1,$F424)),$F424)))</f>
        <v/>
      </c>
      <c r="H424" s="78" t="n">
        <f aca="false">IF($G424="",0,IF(AND($G424&gt;='Cash Flow'!$E$6,$G424&lt;'Cash Flow'!$E$6+91),1,0))</f>
        <v>0</v>
      </c>
      <c r="I424" s="78" t="str">
        <f aca="false">IF($H424=1,MAX(1,INT(($G424-'Cash Flow'!$E$6)/7)+1),"")</f>
        <v/>
      </c>
      <c r="J424" s="38" t="str">
        <f aca="false">IF($H424=1,$G424*10000+ROW(),"")</f>
        <v/>
      </c>
      <c r="K424" s="38" t="str">
        <f aca="false">IF($H424=1,$I424*1000+COUNTIFS($I$4:$I$483,$I424,$J$4:$J$483,"&lt;"&amp;$J424)+1,"")</f>
        <v/>
      </c>
    </row>
    <row r="425" customFormat="false" ht="15" hidden="false" customHeight="false" outlineLevel="0" collapsed="false">
      <c r="A425" s="46" t="n">
        <v>27</v>
      </c>
      <c r="B425" s="46" t="n">
        <v>6</v>
      </c>
      <c r="C425" s="38" t="str">
        <f aca="false">IF(OR(Recurring!$B$31="",Recurring!$H$31&lt;&gt;"Yes",Recurring!$D$31=""),"",Recurring!$B$31)</f>
        <v/>
      </c>
      <c r="D425" s="38" t="str">
        <f aca="false">IF($C425="","",Recurring!$C$31)</f>
        <v/>
      </c>
      <c r="E425" s="76" t="str">
        <f aca="false">IF($C425="","",Recurring!$D$31)</f>
        <v/>
      </c>
      <c r="F425" s="77"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77" t="str">
        <f aca="false">IF($F425="","",IF(Recurring!$G$31="Move Before",IF(WEEKDAY($F425,2)=6,$F425-1,IF(WEEKDAY($F425,2)=7,$F425-2,$F425)),IF(Recurring!$G$31="Move After",IF(WEEKDAY($F425,2)=6,$F425+2,IF(WEEKDAY($F425,2)=7,$F425+1,$F425)),$F425)))</f>
        <v/>
      </c>
      <c r="H425" s="78" t="n">
        <f aca="false">IF($G425="",0,IF(AND($G425&gt;='Cash Flow'!$E$6,$G425&lt;'Cash Flow'!$E$6+91),1,0))</f>
        <v>0</v>
      </c>
      <c r="I425" s="78" t="str">
        <f aca="false">IF($H425=1,MAX(1,INT(($G425-'Cash Flow'!$E$6)/7)+1),"")</f>
        <v/>
      </c>
      <c r="J425" s="38" t="str">
        <f aca="false">IF($H425=1,$G425*10000+ROW(),"")</f>
        <v/>
      </c>
      <c r="K425" s="38" t="str">
        <f aca="false">IF($H425=1,$I425*1000+COUNTIFS($I$4:$I$483,$I425,$J$4:$J$483,"&lt;"&amp;$J425)+1,"")</f>
        <v/>
      </c>
    </row>
    <row r="426" customFormat="false" ht="15" hidden="false" customHeight="false" outlineLevel="0" collapsed="false">
      <c r="A426" s="46" t="n">
        <v>27</v>
      </c>
      <c r="B426" s="46" t="n">
        <v>7</v>
      </c>
      <c r="C426" s="38" t="str">
        <f aca="false">IF(OR(Recurring!$B$31="",Recurring!$H$31&lt;&gt;"Yes",Recurring!$D$31=""),"",Recurring!$B$31)</f>
        <v/>
      </c>
      <c r="D426" s="38" t="str">
        <f aca="false">IF($C426="","",Recurring!$C$31)</f>
        <v/>
      </c>
      <c r="E426" s="76" t="str">
        <f aca="false">IF($C426="","",Recurring!$D$31)</f>
        <v/>
      </c>
      <c r="F426" s="77"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77" t="str">
        <f aca="false">IF($F426="","",IF(Recurring!$G$31="Move Before",IF(WEEKDAY($F426,2)=6,$F426-1,IF(WEEKDAY($F426,2)=7,$F426-2,$F426)),IF(Recurring!$G$31="Move After",IF(WEEKDAY($F426,2)=6,$F426+2,IF(WEEKDAY($F426,2)=7,$F426+1,$F426)),$F426)))</f>
        <v/>
      </c>
      <c r="H426" s="78" t="n">
        <f aca="false">IF($G426="",0,IF(AND($G426&gt;='Cash Flow'!$E$6,$G426&lt;'Cash Flow'!$E$6+91),1,0))</f>
        <v>0</v>
      </c>
      <c r="I426" s="78" t="str">
        <f aca="false">IF($H426=1,MAX(1,INT(($G426-'Cash Flow'!$E$6)/7)+1),"")</f>
        <v/>
      </c>
      <c r="J426" s="38" t="str">
        <f aca="false">IF($H426=1,$G426*10000+ROW(),"")</f>
        <v/>
      </c>
      <c r="K426" s="38" t="str">
        <f aca="false">IF($H426=1,$I426*1000+COUNTIFS($I$4:$I$483,$I426,$J$4:$J$483,"&lt;"&amp;$J426)+1,"")</f>
        <v/>
      </c>
    </row>
    <row r="427" customFormat="false" ht="15" hidden="false" customHeight="false" outlineLevel="0" collapsed="false">
      <c r="A427" s="46" t="n">
        <v>27</v>
      </c>
      <c r="B427" s="46" t="n">
        <v>8</v>
      </c>
      <c r="C427" s="38" t="str">
        <f aca="false">IF(OR(Recurring!$B$31="",Recurring!$H$31&lt;&gt;"Yes",Recurring!$D$31=""),"",Recurring!$B$31)</f>
        <v/>
      </c>
      <c r="D427" s="38" t="str">
        <f aca="false">IF($C427="","",Recurring!$C$31)</f>
        <v/>
      </c>
      <c r="E427" s="76" t="str">
        <f aca="false">IF($C427="","",Recurring!$D$31)</f>
        <v/>
      </c>
      <c r="F427" s="77"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77" t="str">
        <f aca="false">IF($F427="","",IF(Recurring!$G$31="Move Before",IF(WEEKDAY($F427,2)=6,$F427-1,IF(WEEKDAY($F427,2)=7,$F427-2,$F427)),IF(Recurring!$G$31="Move After",IF(WEEKDAY($F427,2)=6,$F427+2,IF(WEEKDAY($F427,2)=7,$F427+1,$F427)),$F427)))</f>
        <v/>
      </c>
      <c r="H427" s="78" t="n">
        <f aca="false">IF($G427="",0,IF(AND($G427&gt;='Cash Flow'!$E$6,$G427&lt;'Cash Flow'!$E$6+91),1,0))</f>
        <v>0</v>
      </c>
      <c r="I427" s="78" t="str">
        <f aca="false">IF($H427=1,MAX(1,INT(($G427-'Cash Flow'!$E$6)/7)+1),"")</f>
        <v/>
      </c>
      <c r="J427" s="38" t="str">
        <f aca="false">IF($H427=1,$G427*10000+ROW(),"")</f>
        <v/>
      </c>
      <c r="K427" s="38" t="str">
        <f aca="false">IF($H427=1,$I427*1000+COUNTIFS($I$4:$I$483,$I427,$J$4:$J$483,"&lt;"&amp;$J427)+1,"")</f>
        <v/>
      </c>
    </row>
    <row r="428" customFormat="false" ht="15" hidden="false" customHeight="false" outlineLevel="0" collapsed="false">
      <c r="A428" s="46" t="n">
        <v>27</v>
      </c>
      <c r="B428" s="46" t="n">
        <v>9</v>
      </c>
      <c r="C428" s="38" t="str">
        <f aca="false">IF(OR(Recurring!$B$31="",Recurring!$H$31&lt;&gt;"Yes",Recurring!$D$31=""),"",Recurring!$B$31)</f>
        <v/>
      </c>
      <c r="D428" s="38" t="str">
        <f aca="false">IF($C428="","",Recurring!$C$31)</f>
        <v/>
      </c>
      <c r="E428" s="76" t="str">
        <f aca="false">IF($C428="","",Recurring!$D$31)</f>
        <v/>
      </c>
      <c r="F428" s="77"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77" t="str">
        <f aca="false">IF($F428="","",IF(Recurring!$G$31="Move Before",IF(WEEKDAY($F428,2)=6,$F428-1,IF(WEEKDAY($F428,2)=7,$F428-2,$F428)),IF(Recurring!$G$31="Move After",IF(WEEKDAY($F428,2)=6,$F428+2,IF(WEEKDAY($F428,2)=7,$F428+1,$F428)),$F428)))</f>
        <v/>
      </c>
      <c r="H428" s="78" t="n">
        <f aca="false">IF($G428="",0,IF(AND($G428&gt;='Cash Flow'!$E$6,$G428&lt;'Cash Flow'!$E$6+91),1,0))</f>
        <v>0</v>
      </c>
      <c r="I428" s="78" t="str">
        <f aca="false">IF($H428=1,MAX(1,INT(($G428-'Cash Flow'!$E$6)/7)+1),"")</f>
        <v/>
      </c>
      <c r="J428" s="38" t="str">
        <f aca="false">IF($H428=1,$G428*10000+ROW(),"")</f>
        <v/>
      </c>
      <c r="K428" s="38" t="str">
        <f aca="false">IF($H428=1,$I428*1000+COUNTIFS($I$4:$I$483,$I428,$J$4:$J$483,"&lt;"&amp;$J428)+1,"")</f>
        <v/>
      </c>
    </row>
    <row r="429" customFormat="false" ht="15" hidden="false" customHeight="false" outlineLevel="0" collapsed="false">
      <c r="A429" s="46" t="n">
        <v>27</v>
      </c>
      <c r="B429" s="46" t="n">
        <v>10</v>
      </c>
      <c r="C429" s="38" t="str">
        <f aca="false">IF(OR(Recurring!$B$31="",Recurring!$H$31&lt;&gt;"Yes",Recurring!$D$31=""),"",Recurring!$B$31)</f>
        <v/>
      </c>
      <c r="D429" s="38" t="str">
        <f aca="false">IF($C429="","",Recurring!$C$31)</f>
        <v/>
      </c>
      <c r="E429" s="76" t="str">
        <f aca="false">IF($C429="","",Recurring!$D$31)</f>
        <v/>
      </c>
      <c r="F429" s="77"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77" t="str">
        <f aca="false">IF($F429="","",IF(Recurring!$G$31="Move Before",IF(WEEKDAY($F429,2)=6,$F429-1,IF(WEEKDAY($F429,2)=7,$F429-2,$F429)),IF(Recurring!$G$31="Move After",IF(WEEKDAY($F429,2)=6,$F429+2,IF(WEEKDAY($F429,2)=7,$F429+1,$F429)),$F429)))</f>
        <v/>
      </c>
      <c r="H429" s="78" t="n">
        <f aca="false">IF($G429="",0,IF(AND($G429&gt;='Cash Flow'!$E$6,$G429&lt;'Cash Flow'!$E$6+91),1,0))</f>
        <v>0</v>
      </c>
      <c r="I429" s="78" t="str">
        <f aca="false">IF($H429=1,MAX(1,INT(($G429-'Cash Flow'!$E$6)/7)+1),"")</f>
        <v/>
      </c>
      <c r="J429" s="38" t="str">
        <f aca="false">IF($H429=1,$G429*10000+ROW(),"")</f>
        <v/>
      </c>
      <c r="K429" s="38" t="str">
        <f aca="false">IF($H429=1,$I429*1000+COUNTIFS($I$4:$I$483,$I429,$J$4:$J$483,"&lt;"&amp;$J429)+1,"")</f>
        <v/>
      </c>
    </row>
    <row r="430" customFormat="false" ht="15" hidden="false" customHeight="false" outlineLevel="0" collapsed="false">
      <c r="A430" s="46" t="n">
        <v>27</v>
      </c>
      <c r="B430" s="46" t="n">
        <v>11</v>
      </c>
      <c r="C430" s="38" t="str">
        <f aca="false">IF(OR(Recurring!$B$31="",Recurring!$H$31&lt;&gt;"Yes",Recurring!$D$31=""),"",Recurring!$B$31)</f>
        <v/>
      </c>
      <c r="D430" s="38" t="str">
        <f aca="false">IF($C430="","",Recurring!$C$31)</f>
        <v/>
      </c>
      <c r="E430" s="76" t="str">
        <f aca="false">IF($C430="","",Recurring!$D$31)</f>
        <v/>
      </c>
      <c r="F430" s="77"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77" t="str">
        <f aca="false">IF($F430="","",IF(Recurring!$G$31="Move Before",IF(WEEKDAY($F430,2)=6,$F430-1,IF(WEEKDAY($F430,2)=7,$F430-2,$F430)),IF(Recurring!$G$31="Move After",IF(WEEKDAY($F430,2)=6,$F430+2,IF(WEEKDAY($F430,2)=7,$F430+1,$F430)),$F430)))</f>
        <v/>
      </c>
      <c r="H430" s="78" t="n">
        <f aca="false">IF($G430="",0,IF(AND($G430&gt;='Cash Flow'!$E$6,$G430&lt;'Cash Flow'!$E$6+91),1,0))</f>
        <v>0</v>
      </c>
      <c r="I430" s="78" t="str">
        <f aca="false">IF($H430=1,MAX(1,INT(($G430-'Cash Flow'!$E$6)/7)+1),"")</f>
        <v/>
      </c>
      <c r="J430" s="38" t="str">
        <f aca="false">IF($H430=1,$G430*10000+ROW(),"")</f>
        <v/>
      </c>
      <c r="K430" s="38" t="str">
        <f aca="false">IF($H430=1,$I430*1000+COUNTIFS($I$4:$I$483,$I430,$J$4:$J$483,"&lt;"&amp;$J430)+1,"")</f>
        <v/>
      </c>
    </row>
    <row r="431" customFormat="false" ht="15" hidden="false" customHeight="false" outlineLevel="0" collapsed="false">
      <c r="A431" s="46" t="n">
        <v>27</v>
      </c>
      <c r="B431" s="46" t="n">
        <v>12</v>
      </c>
      <c r="C431" s="38" t="str">
        <f aca="false">IF(OR(Recurring!$B$31="",Recurring!$H$31&lt;&gt;"Yes",Recurring!$D$31=""),"",Recurring!$B$31)</f>
        <v/>
      </c>
      <c r="D431" s="38" t="str">
        <f aca="false">IF($C431="","",Recurring!$C$31)</f>
        <v/>
      </c>
      <c r="E431" s="76" t="str">
        <f aca="false">IF($C431="","",Recurring!$D$31)</f>
        <v/>
      </c>
      <c r="F431" s="77"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77" t="str">
        <f aca="false">IF($F431="","",IF(Recurring!$G$31="Move Before",IF(WEEKDAY($F431,2)=6,$F431-1,IF(WEEKDAY($F431,2)=7,$F431-2,$F431)),IF(Recurring!$G$31="Move After",IF(WEEKDAY($F431,2)=6,$F431+2,IF(WEEKDAY($F431,2)=7,$F431+1,$F431)),$F431)))</f>
        <v/>
      </c>
      <c r="H431" s="78" t="n">
        <f aca="false">IF($G431="",0,IF(AND($G431&gt;='Cash Flow'!$E$6,$G431&lt;'Cash Flow'!$E$6+91),1,0))</f>
        <v>0</v>
      </c>
      <c r="I431" s="78" t="str">
        <f aca="false">IF($H431=1,MAX(1,INT(($G431-'Cash Flow'!$E$6)/7)+1),"")</f>
        <v/>
      </c>
      <c r="J431" s="38" t="str">
        <f aca="false">IF($H431=1,$G431*10000+ROW(),"")</f>
        <v/>
      </c>
      <c r="K431" s="38" t="str">
        <f aca="false">IF($H431=1,$I431*1000+COUNTIFS($I$4:$I$483,$I431,$J$4:$J$483,"&lt;"&amp;$J431)+1,"")</f>
        <v/>
      </c>
    </row>
    <row r="432" customFormat="false" ht="15" hidden="false" customHeight="false" outlineLevel="0" collapsed="false">
      <c r="A432" s="46" t="n">
        <v>27</v>
      </c>
      <c r="B432" s="46" t="n">
        <v>13</v>
      </c>
      <c r="C432" s="38" t="str">
        <f aca="false">IF(OR(Recurring!$B$31="",Recurring!$H$31&lt;&gt;"Yes",Recurring!$D$31=""),"",Recurring!$B$31)</f>
        <v/>
      </c>
      <c r="D432" s="38" t="str">
        <f aca="false">IF($C432="","",Recurring!$C$31)</f>
        <v/>
      </c>
      <c r="E432" s="76" t="str">
        <f aca="false">IF($C432="","",Recurring!$D$31)</f>
        <v/>
      </c>
      <c r="F432" s="77"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77" t="str">
        <f aca="false">IF($F432="","",IF(Recurring!$G$31="Move Before",IF(WEEKDAY($F432,2)=6,$F432-1,IF(WEEKDAY($F432,2)=7,$F432-2,$F432)),IF(Recurring!$G$31="Move After",IF(WEEKDAY($F432,2)=6,$F432+2,IF(WEEKDAY($F432,2)=7,$F432+1,$F432)),$F432)))</f>
        <v/>
      </c>
      <c r="H432" s="78" t="n">
        <f aca="false">IF($G432="",0,IF(AND($G432&gt;='Cash Flow'!$E$6,$G432&lt;'Cash Flow'!$E$6+91),1,0))</f>
        <v>0</v>
      </c>
      <c r="I432" s="78" t="str">
        <f aca="false">IF($H432=1,MAX(1,INT(($G432-'Cash Flow'!$E$6)/7)+1),"")</f>
        <v/>
      </c>
      <c r="J432" s="38" t="str">
        <f aca="false">IF($H432=1,$G432*10000+ROW(),"")</f>
        <v/>
      </c>
      <c r="K432" s="38" t="str">
        <f aca="false">IF($H432=1,$I432*1000+COUNTIFS($I$4:$I$483,$I432,$J$4:$J$483,"&lt;"&amp;$J432)+1,"")</f>
        <v/>
      </c>
    </row>
    <row r="433" customFormat="false" ht="15" hidden="false" customHeight="false" outlineLevel="0" collapsed="false">
      <c r="A433" s="46" t="n">
        <v>27</v>
      </c>
      <c r="B433" s="46" t="n">
        <v>14</v>
      </c>
      <c r="C433" s="38" t="str">
        <f aca="false">IF(OR(Recurring!$B$31="",Recurring!$H$31&lt;&gt;"Yes",Recurring!$D$31=""),"",Recurring!$B$31)</f>
        <v/>
      </c>
      <c r="D433" s="38" t="str">
        <f aca="false">IF($C433="","",Recurring!$C$31)</f>
        <v/>
      </c>
      <c r="E433" s="76" t="str">
        <f aca="false">IF($C433="","",Recurring!$D$31)</f>
        <v/>
      </c>
      <c r="F433" s="77"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77" t="str">
        <f aca="false">IF($F433="","",IF(Recurring!$G$31="Move Before",IF(WEEKDAY($F433,2)=6,$F433-1,IF(WEEKDAY($F433,2)=7,$F433-2,$F433)),IF(Recurring!$G$31="Move After",IF(WEEKDAY($F433,2)=6,$F433+2,IF(WEEKDAY($F433,2)=7,$F433+1,$F433)),$F433)))</f>
        <v/>
      </c>
      <c r="H433" s="78" t="n">
        <f aca="false">IF($G433="",0,IF(AND($G433&gt;='Cash Flow'!$E$6,$G433&lt;'Cash Flow'!$E$6+91),1,0))</f>
        <v>0</v>
      </c>
      <c r="I433" s="78" t="str">
        <f aca="false">IF($H433=1,MAX(1,INT(($G433-'Cash Flow'!$E$6)/7)+1),"")</f>
        <v/>
      </c>
      <c r="J433" s="38" t="str">
        <f aca="false">IF($H433=1,$G433*10000+ROW(),"")</f>
        <v/>
      </c>
      <c r="K433" s="38" t="str">
        <f aca="false">IF($H433=1,$I433*1000+COUNTIFS($I$4:$I$483,$I433,$J$4:$J$483,"&lt;"&amp;$J433)+1,"")</f>
        <v/>
      </c>
    </row>
    <row r="434" customFormat="false" ht="15" hidden="false" customHeight="false" outlineLevel="0" collapsed="false">
      <c r="A434" s="46" t="n">
        <v>27</v>
      </c>
      <c r="B434" s="46" t="n">
        <v>15</v>
      </c>
      <c r="C434" s="38" t="str">
        <f aca="false">IF(OR(Recurring!$B$31="",Recurring!$H$31&lt;&gt;"Yes",Recurring!$D$31=""),"",Recurring!$B$31)</f>
        <v/>
      </c>
      <c r="D434" s="38" t="str">
        <f aca="false">IF($C434="","",Recurring!$C$31)</f>
        <v/>
      </c>
      <c r="E434" s="76" t="str">
        <f aca="false">IF($C434="","",Recurring!$D$31)</f>
        <v/>
      </c>
      <c r="F434" s="77"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77" t="str">
        <f aca="false">IF($F434="","",IF(Recurring!$G$31="Move Before",IF(WEEKDAY($F434,2)=6,$F434-1,IF(WEEKDAY($F434,2)=7,$F434-2,$F434)),IF(Recurring!$G$31="Move After",IF(WEEKDAY($F434,2)=6,$F434+2,IF(WEEKDAY($F434,2)=7,$F434+1,$F434)),$F434)))</f>
        <v/>
      </c>
      <c r="H434" s="78" t="n">
        <f aca="false">IF($G434="",0,IF(AND($G434&gt;='Cash Flow'!$E$6,$G434&lt;'Cash Flow'!$E$6+91),1,0))</f>
        <v>0</v>
      </c>
      <c r="I434" s="78" t="str">
        <f aca="false">IF($H434=1,MAX(1,INT(($G434-'Cash Flow'!$E$6)/7)+1),"")</f>
        <v/>
      </c>
      <c r="J434" s="38" t="str">
        <f aca="false">IF($H434=1,$G434*10000+ROW(),"")</f>
        <v/>
      </c>
      <c r="K434" s="38" t="str">
        <f aca="false">IF($H434=1,$I434*1000+COUNTIFS($I$4:$I$483,$I434,$J$4:$J$483,"&lt;"&amp;$J434)+1,"")</f>
        <v/>
      </c>
    </row>
    <row r="435" customFormat="false" ht="15" hidden="false" customHeight="false" outlineLevel="0" collapsed="false">
      <c r="A435" s="46" t="n">
        <v>27</v>
      </c>
      <c r="B435" s="46" t="n">
        <v>16</v>
      </c>
      <c r="C435" s="38" t="str">
        <f aca="false">IF(OR(Recurring!$B$31="",Recurring!$H$31&lt;&gt;"Yes",Recurring!$D$31=""),"",Recurring!$B$31)</f>
        <v/>
      </c>
      <c r="D435" s="38" t="str">
        <f aca="false">IF($C435="","",Recurring!$C$31)</f>
        <v/>
      </c>
      <c r="E435" s="76" t="str">
        <f aca="false">IF($C435="","",Recurring!$D$31)</f>
        <v/>
      </c>
      <c r="F435" s="77"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77" t="str">
        <f aca="false">IF($F435="","",IF(Recurring!$G$31="Move Before",IF(WEEKDAY($F435,2)=6,$F435-1,IF(WEEKDAY($F435,2)=7,$F435-2,$F435)),IF(Recurring!$G$31="Move After",IF(WEEKDAY($F435,2)=6,$F435+2,IF(WEEKDAY($F435,2)=7,$F435+1,$F435)),$F435)))</f>
        <v/>
      </c>
      <c r="H435" s="78" t="n">
        <f aca="false">IF($G435="",0,IF(AND($G435&gt;='Cash Flow'!$E$6,$G435&lt;'Cash Flow'!$E$6+91),1,0))</f>
        <v>0</v>
      </c>
      <c r="I435" s="78" t="str">
        <f aca="false">IF($H435=1,MAX(1,INT(($G435-'Cash Flow'!$E$6)/7)+1),"")</f>
        <v/>
      </c>
      <c r="J435" s="38" t="str">
        <f aca="false">IF($H435=1,$G435*10000+ROW(),"")</f>
        <v/>
      </c>
      <c r="K435" s="38" t="str">
        <f aca="false">IF($H435=1,$I435*1000+COUNTIFS($I$4:$I$483,$I435,$J$4:$J$483,"&lt;"&amp;$J435)+1,"")</f>
        <v/>
      </c>
    </row>
    <row r="436" customFormat="false" ht="15" hidden="false" customHeight="false" outlineLevel="0" collapsed="false">
      <c r="A436" s="46" t="n">
        <v>28</v>
      </c>
      <c r="B436" s="46" t="n">
        <v>1</v>
      </c>
      <c r="C436" s="38" t="str">
        <f aca="false">IF(OR(Recurring!$B$32="",Recurring!$H$32&lt;&gt;"Yes",Recurring!$D$32=""),"",Recurring!$B$32)</f>
        <v/>
      </c>
      <c r="D436" s="38" t="str">
        <f aca="false">IF($C436="","",Recurring!$C$32)</f>
        <v/>
      </c>
      <c r="E436" s="76" t="str">
        <f aca="false">IF($C436="","",Recurring!$D$32)</f>
        <v/>
      </c>
      <c r="F436" s="77"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77" t="str">
        <f aca="false">IF($F436="","",IF(Recurring!$G$32="Move Before",IF(WEEKDAY($F436,2)=6,$F436-1,IF(WEEKDAY($F436,2)=7,$F436-2,$F436)),IF(Recurring!$G$32="Move After",IF(WEEKDAY($F436,2)=6,$F436+2,IF(WEEKDAY($F436,2)=7,$F436+1,$F436)),$F436)))</f>
        <v/>
      </c>
      <c r="H436" s="78" t="n">
        <f aca="false">IF($G436="",0,IF(AND($G436&gt;='Cash Flow'!$E$6-90,$G436&lt;'Cash Flow'!$E$6+91),1,0))</f>
        <v>0</v>
      </c>
      <c r="I436" s="78" t="str">
        <f aca="false">IF($H436=1,MAX(1,INT(($G436-'Cash Flow'!$E$6)/7)+1),"")</f>
        <v/>
      </c>
      <c r="J436" s="38" t="str">
        <f aca="false">IF($H436=1,$G436*10000+ROW(),"")</f>
        <v/>
      </c>
      <c r="K436" s="38" t="str">
        <f aca="false">IF($H436=1,$I436*1000+COUNTIFS($I$4:$I$483,$I436,$J$4:$J$483,"&lt;"&amp;$J436)+1,"")</f>
        <v/>
      </c>
    </row>
    <row r="437" customFormat="false" ht="15" hidden="false" customHeight="false" outlineLevel="0" collapsed="false">
      <c r="A437" s="46" t="n">
        <v>28</v>
      </c>
      <c r="B437" s="46" t="n">
        <v>2</v>
      </c>
      <c r="C437" s="38" t="str">
        <f aca="false">IF(OR(Recurring!$B$32="",Recurring!$H$32&lt;&gt;"Yes",Recurring!$D$32=""),"",Recurring!$B$32)</f>
        <v/>
      </c>
      <c r="D437" s="38" t="str">
        <f aca="false">IF($C437="","",Recurring!$C$32)</f>
        <v/>
      </c>
      <c r="E437" s="76" t="str">
        <f aca="false">IF($C437="","",Recurring!$D$32)</f>
        <v/>
      </c>
      <c r="F437" s="77"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77" t="str">
        <f aca="false">IF($F437="","",IF(Recurring!$G$32="Move Before",IF(WEEKDAY($F437,2)=6,$F437-1,IF(WEEKDAY($F437,2)=7,$F437-2,$F437)),IF(Recurring!$G$32="Move After",IF(WEEKDAY($F437,2)=6,$F437+2,IF(WEEKDAY($F437,2)=7,$F437+1,$F437)),$F437)))</f>
        <v/>
      </c>
      <c r="H437" s="78" t="n">
        <f aca="false">IF($G437="",0,IF(AND($G437&gt;='Cash Flow'!$E$6,$G437&lt;'Cash Flow'!$E$6+91),1,0))</f>
        <v>0</v>
      </c>
      <c r="I437" s="78" t="str">
        <f aca="false">IF($H437=1,MAX(1,INT(($G437-'Cash Flow'!$E$6)/7)+1),"")</f>
        <v/>
      </c>
      <c r="J437" s="38" t="str">
        <f aca="false">IF($H437=1,$G437*10000+ROW(),"")</f>
        <v/>
      </c>
      <c r="K437" s="38" t="str">
        <f aca="false">IF($H437=1,$I437*1000+COUNTIFS($I$4:$I$483,$I437,$J$4:$J$483,"&lt;"&amp;$J437)+1,"")</f>
        <v/>
      </c>
    </row>
    <row r="438" customFormat="false" ht="15" hidden="false" customHeight="false" outlineLevel="0" collapsed="false">
      <c r="A438" s="46" t="n">
        <v>28</v>
      </c>
      <c r="B438" s="46" t="n">
        <v>3</v>
      </c>
      <c r="C438" s="38" t="str">
        <f aca="false">IF(OR(Recurring!$B$32="",Recurring!$H$32&lt;&gt;"Yes",Recurring!$D$32=""),"",Recurring!$B$32)</f>
        <v/>
      </c>
      <c r="D438" s="38" t="str">
        <f aca="false">IF($C438="","",Recurring!$C$32)</f>
        <v/>
      </c>
      <c r="E438" s="76" t="str">
        <f aca="false">IF($C438="","",Recurring!$D$32)</f>
        <v/>
      </c>
      <c r="F438" s="77"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77" t="str">
        <f aca="false">IF($F438="","",IF(Recurring!$G$32="Move Before",IF(WEEKDAY($F438,2)=6,$F438-1,IF(WEEKDAY($F438,2)=7,$F438-2,$F438)),IF(Recurring!$G$32="Move After",IF(WEEKDAY($F438,2)=6,$F438+2,IF(WEEKDAY($F438,2)=7,$F438+1,$F438)),$F438)))</f>
        <v/>
      </c>
      <c r="H438" s="78" t="n">
        <f aca="false">IF($G438="",0,IF(AND($G438&gt;='Cash Flow'!$E$6,$G438&lt;'Cash Flow'!$E$6+91),1,0))</f>
        <v>0</v>
      </c>
      <c r="I438" s="78" t="str">
        <f aca="false">IF($H438=1,MAX(1,INT(($G438-'Cash Flow'!$E$6)/7)+1),"")</f>
        <v/>
      </c>
      <c r="J438" s="38" t="str">
        <f aca="false">IF($H438=1,$G438*10000+ROW(),"")</f>
        <v/>
      </c>
      <c r="K438" s="38" t="str">
        <f aca="false">IF($H438=1,$I438*1000+COUNTIFS($I$4:$I$483,$I438,$J$4:$J$483,"&lt;"&amp;$J438)+1,"")</f>
        <v/>
      </c>
    </row>
    <row r="439" customFormat="false" ht="15" hidden="false" customHeight="false" outlineLevel="0" collapsed="false">
      <c r="A439" s="46" t="n">
        <v>28</v>
      </c>
      <c r="B439" s="46" t="n">
        <v>4</v>
      </c>
      <c r="C439" s="38" t="str">
        <f aca="false">IF(OR(Recurring!$B$32="",Recurring!$H$32&lt;&gt;"Yes",Recurring!$D$32=""),"",Recurring!$B$32)</f>
        <v/>
      </c>
      <c r="D439" s="38" t="str">
        <f aca="false">IF($C439="","",Recurring!$C$32)</f>
        <v/>
      </c>
      <c r="E439" s="76" t="str">
        <f aca="false">IF($C439="","",Recurring!$D$32)</f>
        <v/>
      </c>
      <c r="F439" s="77"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77" t="str">
        <f aca="false">IF($F439="","",IF(Recurring!$G$32="Move Before",IF(WEEKDAY($F439,2)=6,$F439-1,IF(WEEKDAY($F439,2)=7,$F439-2,$F439)),IF(Recurring!$G$32="Move After",IF(WEEKDAY($F439,2)=6,$F439+2,IF(WEEKDAY($F439,2)=7,$F439+1,$F439)),$F439)))</f>
        <v/>
      </c>
      <c r="H439" s="78" t="n">
        <f aca="false">IF($G439="",0,IF(AND($G439&gt;='Cash Flow'!$E$6,$G439&lt;'Cash Flow'!$E$6+91),1,0))</f>
        <v>0</v>
      </c>
      <c r="I439" s="78" t="str">
        <f aca="false">IF($H439=1,MAX(1,INT(($G439-'Cash Flow'!$E$6)/7)+1),"")</f>
        <v/>
      </c>
      <c r="J439" s="38" t="str">
        <f aca="false">IF($H439=1,$G439*10000+ROW(),"")</f>
        <v/>
      </c>
      <c r="K439" s="38" t="str">
        <f aca="false">IF($H439=1,$I439*1000+COUNTIFS($I$4:$I$483,$I439,$J$4:$J$483,"&lt;"&amp;$J439)+1,"")</f>
        <v/>
      </c>
    </row>
    <row r="440" customFormat="false" ht="15" hidden="false" customHeight="false" outlineLevel="0" collapsed="false">
      <c r="A440" s="46" t="n">
        <v>28</v>
      </c>
      <c r="B440" s="46" t="n">
        <v>5</v>
      </c>
      <c r="C440" s="38" t="str">
        <f aca="false">IF(OR(Recurring!$B$32="",Recurring!$H$32&lt;&gt;"Yes",Recurring!$D$32=""),"",Recurring!$B$32)</f>
        <v/>
      </c>
      <c r="D440" s="38" t="str">
        <f aca="false">IF($C440="","",Recurring!$C$32)</f>
        <v/>
      </c>
      <c r="E440" s="76" t="str">
        <f aca="false">IF($C440="","",Recurring!$D$32)</f>
        <v/>
      </c>
      <c r="F440" s="77"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77" t="str">
        <f aca="false">IF($F440="","",IF(Recurring!$G$32="Move Before",IF(WEEKDAY($F440,2)=6,$F440-1,IF(WEEKDAY($F440,2)=7,$F440-2,$F440)),IF(Recurring!$G$32="Move After",IF(WEEKDAY($F440,2)=6,$F440+2,IF(WEEKDAY($F440,2)=7,$F440+1,$F440)),$F440)))</f>
        <v/>
      </c>
      <c r="H440" s="78" t="n">
        <f aca="false">IF($G440="",0,IF(AND($G440&gt;='Cash Flow'!$E$6,$G440&lt;'Cash Flow'!$E$6+91),1,0))</f>
        <v>0</v>
      </c>
      <c r="I440" s="78" t="str">
        <f aca="false">IF($H440=1,MAX(1,INT(($G440-'Cash Flow'!$E$6)/7)+1),"")</f>
        <v/>
      </c>
      <c r="J440" s="38" t="str">
        <f aca="false">IF($H440=1,$G440*10000+ROW(),"")</f>
        <v/>
      </c>
      <c r="K440" s="38" t="str">
        <f aca="false">IF($H440=1,$I440*1000+COUNTIFS($I$4:$I$483,$I440,$J$4:$J$483,"&lt;"&amp;$J440)+1,"")</f>
        <v/>
      </c>
    </row>
    <row r="441" customFormat="false" ht="15" hidden="false" customHeight="false" outlineLevel="0" collapsed="false">
      <c r="A441" s="46" t="n">
        <v>28</v>
      </c>
      <c r="B441" s="46" t="n">
        <v>6</v>
      </c>
      <c r="C441" s="38" t="str">
        <f aca="false">IF(OR(Recurring!$B$32="",Recurring!$H$32&lt;&gt;"Yes",Recurring!$D$32=""),"",Recurring!$B$32)</f>
        <v/>
      </c>
      <c r="D441" s="38" t="str">
        <f aca="false">IF($C441="","",Recurring!$C$32)</f>
        <v/>
      </c>
      <c r="E441" s="76" t="str">
        <f aca="false">IF($C441="","",Recurring!$D$32)</f>
        <v/>
      </c>
      <c r="F441" s="77"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77" t="str">
        <f aca="false">IF($F441="","",IF(Recurring!$G$32="Move Before",IF(WEEKDAY($F441,2)=6,$F441-1,IF(WEEKDAY($F441,2)=7,$F441-2,$F441)),IF(Recurring!$G$32="Move After",IF(WEEKDAY($F441,2)=6,$F441+2,IF(WEEKDAY($F441,2)=7,$F441+1,$F441)),$F441)))</f>
        <v/>
      </c>
      <c r="H441" s="78" t="n">
        <f aca="false">IF($G441="",0,IF(AND($G441&gt;='Cash Flow'!$E$6,$G441&lt;'Cash Flow'!$E$6+91),1,0))</f>
        <v>0</v>
      </c>
      <c r="I441" s="78" t="str">
        <f aca="false">IF($H441=1,MAX(1,INT(($G441-'Cash Flow'!$E$6)/7)+1),"")</f>
        <v/>
      </c>
      <c r="J441" s="38" t="str">
        <f aca="false">IF($H441=1,$G441*10000+ROW(),"")</f>
        <v/>
      </c>
      <c r="K441" s="38" t="str">
        <f aca="false">IF($H441=1,$I441*1000+COUNTIFS($I$4:$I$483,$I441,$J$4:$J$483,"&lt;"&amp;$J441)+1,"")</f>
        <v/>
      </c>
    </row>
    <row r="442" customFormat="false" ht="15" hidden="false" customHeight="false" outlineLevel="0" collapsed="false">
      <c r="A442" s="46" t="n">
        <v>28</v>
      </c>
      <c r="B442" s="46" t="n">
        <v>7</v>
      </c>
      <c r="C442" s="38" t="str">
        <f aca="false">IF(OR(Recurring!$B$32="",Recurring!$H$32&lt;&gt;"Yes",Recurring!$D$32=""),"",Recurring!$B$32)</f>
        <v/>
      </c>
      <c r="D442" s="38" t="str">
        <f aca="false">IF($C442="","",Recurring!$C$32)</f>
        <v/>
      </c>
      <c r="E442" s="76" t="str">
        <f aca="false">IF($C442="","",Recurring!$D$32)</f>
        <v/>
      </c>
      <c r="F442" s="77"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77" t="str">
        <f aca="false">IF($F442="","",IF(Recurring!$G$32="Move Before",IF(WEEKDAY($F442,2)=6,$F442-1,IF(WEEKDAY($F442,2)=7,$F442-2,$F442)),IF(Recurring!$G$32="Move After",IF(WEEKDAY($F442,2)=6,$F442+2,IF(WEEKDAY($F442,2)=7,$F442+1,$F442)),$F442)))</f>
        <v/>
      </c>
      <c r="H442" s="78" t="n">
        <f aca="false">IF($G442="",0,IF(AND($G442&gt;='Cash Flow'!$E$6,$G442&lt;'Cash Flow'!$E$6+91),1,0))</f>
        <v>0</v>
      </c>
      <c r="I442" s="78" t="str">
        <f aca="false">IF($H442=1,MAX(1,INT(($G442-'Cash Flow'!$E$6)/7)+1),"")</f>
        <v/>
      </c>
      <c r="J442" s="38" t="str">
        <f aca="false">IF($H442=1,$G442*10000+ROW(),"")</f>
        <v/>
      </c>
      <c r="K442" s="38" t="str">
        <f aca="false">IF($H442=1,$I442*1000+COUNTIFS($I$4:$I$483,$I442,$J$4:$J$483,"&lt;"&amp;$J442)+1,"")</f>
        <v/>
      </c>
    </row>
    <row r="443" customFormat="false" ht="15" hidden="false" customHeight="false" outlineLevel="0" collapsed="false">
      <c r="A443" s="46" t="n">
        <v>28</v>
      </c>
      <c r="B443" s="46" t="n">
        <v>8</v>
      </c>
      <c r="C443" s="38" t="str">
        <f aca="false">IF(OR(Recurring!$B$32="",Recurring!$H$32&lt;&gt;"Yes",Recurring!$D$32=""),"",Recurring!$B$32)</f>
        <v/>
      </c>
      <c r="D443" s="38" t="str">
        <f aca="false">IF($C443="","",Recurring!$C$32)</f>
        <v/>
      </c>
      <c r="E443" s="76" t="str">
        <f aca="false">IF($C443="","",Recurring!$D$32)</f>
        <v/>
      </c>
      <c r="F443" s="77"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77" t="str">
        <f aca="false">IF($F443="","",IF(Recurring!$G$32="Move Before",IF(WEEKDAY($F443,2)=6,$F443-1,IF(WEEKDAY($F443,2)=7,$F443-2,$F443)),IF(Recurring!$G$32="Move After",IF(WEEKDAY($F443,2)=6,$F443+2,IF(WEEKDAY($F443,2)=7,$F443+1,$F443)),$F443)))</f>
        <v/>
      </c>
      <c r="H443" s="78" t="n">
        <f aca="false">IF($G443="",0,IF(AND($G443&gt;='Cash Flow'!$E$6,$G443&lt;'Cash Flow'!$E$6+91),1,0))</f>
        <v>0</v>
      </c>
      <c r="I443" s="78" t="str">
        <f aca="false">IF($H443=1,MAX(1,INT(($G443-'Cash Flow'!$E$6)/7)+1),"")</f>
        <v/>
      </c>
      <c r="J443" s="38" t="str">
        <f aca="false">IF($H443=1,$G443*10000+ROW(),"")</f>
        <v/>
      </c>
      <c r="K443" s="38" t="str">
        <f aca="false">IF($H443=1,$I443*1000+COUNTIFS($I$4:$I$483,$I443,$J$4:$J$483,"&lt;"&amp;$J443)+1,"")</f>
        <v/>
      </c>
    </row>
    <row r="444" customFormat="false" ht="15" hidden="false" customHeight="false" outlineLevel="0" collapsed="false">
      <c r="A444" s="46" t="n">
        <v>28</v>
      </c>
      <c r="B444" s="46" t="n">
        <v>9</v>
      </c>
      <c r="C444" s="38" t="str">
        <f aca="false">IF(OR(Recurring!$B$32="",Recurring!$H$32&lt;&gt;"Yes",Recurring!$D$32=""),"",Recurring!$B$32)</f>
        <v/>
      </c>
      <c r="D444" s="38" t="str">
        <f aca="false">IF($C444="","",Recurring!$C$32)</f>
        <v/>
      </c>
      <c r="E444" s="76" t="str">
        <f aca="false">IF($C444="","",Recurring!$D$32)</f>
        <v/>
      </c>
      <c r="F444" s="77"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77" t="str">
        <f aca="false">IF($F444="","",IF(Recurring!$G$32="Move Before",IF(WEEKDAY($F444,2)=6,$F444-1,IF(WEEKDAY($F444,2)=7,$F444-2,$F444)),IF(Recurring!$G$32="Move After",IF(WEEKDAY($F444,2)=6,$F444+2,IF(WEEKDAY($F444,2)=7,$F444+1,$F444)),$F444)))</f>
        <v/>
      </c>
      <c r="H444" s="78" t="n">
        <f aca="false">IF($G444="",0,IF(AND($G444&gt;='Cash Flow'!$E$6,$G444&lt;'Cash Flow'!$E$6+91),1,0))</f>
        <v>0</v>
      </c>
      <c r="I444" s="78" t="str">
        <f aca="false">IF($H444=1,MAX(1,INT(($G444-'Cash Flow'!$E$6)/7)+1),"")</f>
        <v/>
      </c>
      <c r="J444" s="38" t="str">
        <f aca="false">IF($H444=1,$G444*10000+ROW(),"")</f>
        <v/>
      </c>
      <c r="K444" s="38" t="str">
        <f aca="false">IF($H444=1,$I444*1000+COUNTIFS($I$4:$I$483,$I444,$J$4:$J$483,"&lt;"&amp;$J444)+1,"")</f>
        <v/>
      </c>
    </row>
    <row r="445" customFormat="false" ht="15" hidden="false" customHeight="false" outlineLevel="0" collapsed="false">
      <c r="A445" s="46" t="n">
        <v>28</v>
      </c>
      <c r="B445" s="46" t="n">
        <v>10</v>
      </c>
      <c r="C445" s="38" t="str">
        <f aca="false">IF(OR(Recurring!$B$32="",Recurring!$H$32&lt;&gt;"Yes",Recurring!$D$32=""),"",Recurring!$B$32)</f>
        <v/>
      </c>
      <c r="D445" s="38" t="str">
        <f aca="false">IF($C445="","",Recurring!$C$32)</f>
        <v/>
      </c>
      <c r="E445" s="76" t="str">
        <f aca="false">IF($C445="","",Recurring!$D$32)</f>
        <v/>
      </c>
      <c r="F445" s="77"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77" t="str">
        <f aca="false">IF($F445="","",IF(Recurring!$G$32="Move Before",IF(WEEKDAY($F445,2)=6,$F445-1,IF(WEEKDAY($F445,2)=7,$F445-2,$F445)),IF(Recurring!$G$32="Move After",IF(WEEKDAY($F445,2)=6,$F445+2,IF(WEEKDAY($F445,2)=7,$F445+1,$F445)),$F445)))</f>
        <v/>
      </c>
      <c r="H445" s="78" t="n">
        <f aca="false">IF($G445="",0,IF(AND($G445&gt;='Cash Flow'!$E$6,$G445&lt;'Cash Flow'!$E$6+91),1,0))</f>
        <v>0</v>
      </c>
      <c r="I445" s="78" t="str">
        <f aca="false">IF($H445=1,MAX(1,INT(($G445-'Cash Flow'!$E$6)/7)+1),"")</f>
        <v/>
      </c>
      <c r="J445" s="38" t="str">
        <f aca="false">IF($H445=1,$G445*10000+ROW(),"")</f>
        <v/>
      </c>
      <c r="K445" s="38" t="str">
        <f aca="false">IF($H445=1,$I445*1000+COUNTIFS($I$4:$I$483,$I445,$J$4:$J$483,"&lt;"&amp;$J445)+1,"")</f>
        <v/>
      </c>
    </row>
    <row r="446" customFormat="false" ht="15" hidden="false" customHeight="false" outlineLevel="0" collapsed="false">
      <c r="A446" s="46" t="n">
        <v>28</v>
      </c>
      <c r="B446" s="46" t="n">
        <v>11</v>
      </c>
      <c r="C446" s="38" t="str">
        <f aca="false">IF(OR(Recurring!$B$32="",Recurring!$H$32&lt;&gt;"Yes",Recurring!$D$32=""),"",Recurring!$B$32)</f>
        <v/>
      </c>
      <c r="D446" s="38" t="str">
        <f aca="false">IF($C446="","",Recurring!$C$32)</f>
        <v/>
      </c>
      <c r="E446" s="76" t="str">
        <f aca="false">IF($C446="","",Recurring!$D$32)</f>
        <v/>
      </c>
      <c r="F446" s="77"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77" t="str">
        <f aca="false">IF($F446="","",IF(Recurring!$G$32="Move Before",IF(WEEKDAY($F446,2)=6,$F446-1,IF(WEEKDAY($F446,2)=7,$F446-2,$F446)),IF(Recurring!$G$32="Move After",IF(WEEKDAY($F446,2)=6,$F446+2,IF(WEEKDAY($F446,2)=7,$F446+1,$F446)),$F446)))</f>
        <v/>
      </c>
      <c r="H446" s="78" t="n">
        <f aca="false">IF($G446="",0,IF(AND($G446&gt;='Cash Flow'!$E$6,$G446&lt;'Cash Flow'!$E$6+91),1,0))</f>
        <v>0</v>
      </c>
      <c r="I446" s="78" t="str">
        <f aca="false">IF($H446=1,MAX(1,INT(($G446-'Cash Flow'!$E$6)/7)+1),"")</f>
        <v/>
      </c>
      <c r="J446" s="38" t="str">
        <f aca="false">IF($H446=1,$G446*10000+ROW(),"")</f>
        <v/>
      </c>
      <c r="K446" s="38" t="str">
        <f aca="false">IF($H446=1,$I446*1000+COUNTIFS($I$4:$I$483,$I446,$J$4:$J$483,"&lt;"&amp;$J446)+1,"")</f>
        <v/>
      </c>
    </row>
    <row r="447" customFormat="false" ht="15" hidden="false" customHeight="false" outlineLevel="0" collapsed="false">
      <c r="A447" s="46" t="n">
        <v>28</v>
      </c>
      <c r="B447" s="46" t="n">
        <v>12</v>
      </c>
      <c r="C447" s="38" t="str">
        <f aca="false">IF(OR(Recurring!$B$32="",Recurring!$H$32&lt;&gt;"Yes",Recurring!$D$32=""),"",Recurring!$B$32)</f>
        <v/>
      </c>
      <c r="D447" s="38" t="str">
        <f aca="false">IF($C447="","",Recurring!$C$32)</f>
        <v/>
      </c>
      <c r="E447" s="76" t="str">
        <f aca="false">IF($C447="","",Recurring!$D$32)</f>
        <v/>
      </c>
      <c r="F447" s="77"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77" t="str">
        <f aca="false">IF($F447="","",IF(Recurring!$G$32="Move Before",IF(WEEKDAY($F447,2)=6,$F447-1,IF(WEEKDAY($F447,2)=7,$F447-2,$F447)),IF(Recurring!$G$32="Move After",IF(WEEKDAY($F447,2)=6,$F447+2,IF(WEEKDAY($F447,2)=7,$F447+1,$F447)),$F447)))</f>
        <v/>
      </c>
      <c r="H447" s="78" t="n">
        <f aca="false">IF($G447="",0,IF(AND($G447&gt;='Cash Flow'!$E$6,$G447&lt;'Cash Flow'!$E$6+91),1,0))</f>
        <v>0</v>
      </c>
      <c r="I447" s="78" t="str">
        <f aca="false">IF($H447=1,MAX(1,INT(($G447-'Cash Flow'!$E$6)/7)+1),"")</f>
        <v/>
      </c>
      <c r="J447" s="38" t="str">
        <f aca="false">IF($H447=1,$G447*10000+ROW(),"")</f>
        <v/>
      </c>
      <c r="K447" s="38" t="str">
        <f aca="false">IF($H447=1,$I447*1000+COUNTIFS($I$4:$I$483,$I447,$J$4:$J$483,"&lt;"&amp;$J447)+1,"")</f>
        <v/>
      </c>
    </row>
    <row r="448" customFormat="false" ht="15" hidden="false" customHeight="false" outlineLevel="0" collapsed="false">
      <c r="A448" s="46" t="n">
        <v>28</v>
      </c>
      <c r="B448" s="46" t="n">
        <v>13</v>
      </c>
      <c r="C448" s="38" t="str">
        <f aca="false">IF(OR(Recurring!$B$32="",Recurring!$H$32&lt;&gt;"Yes",Recurring!$D$32=""),"",Recurring!$B$32)</f>
        <v/>
      </c>
      <c r="D448" s="38" t="str">
        <f aca="false">IF($C448="","",Recurring!$C$32)</f>
        <v/>
      </c>
      <c r="E448" s="76" t="str">
        <f aca="false">IF($C448="","",Recurring!$D$32)</f>
        <v/>
      </c>
      <c r="F448" s="77"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77" t="str">
        <f aca="false">IF($F448="","",IF(Recurring!$G$32="Move Before",IF(WEEKDAY($F448,2)=6,$F448-1,IF(WEEKDAY($F448,2)=7,$F448-2,$F448)),IF(Recurring!$G$32="Move After",IF(WEEKDAY($F448,2)=6,$F448+2,IF(WEEKDAY($F448,2)=7,$F448+1,$F448)),$F448)))</f>
        <v/>
      </c>
      <c r="H448" s="78" t="n">
        <f aca="false">IF($G448="",0,IF(AND($G448&gt;='Cash Flow'!$E$6,$G448&lt;'Cash Flow'!$E$6+91),1,0))</f>
        <v>0</v>
      </c>
      <c r="I448" s="78" t="str">
        <f aca="false">IF($H448=1,MAX(1,INT(($G448-'Cash Flow'!$E$6)/7)+1),"")</f>
        <v/>
      </c>
      <c r="J448" s="38" t="str">
        <f aca="false">IF($H448=1,$G448*10000+ROW(),"")</f>
        <v/>
      </c>
      <c r="K448" s="38" t="str">
        <f aca="false">IF($H448=1,$I448*1000+COUNTIFS($I$4:$I$483,$I448,$J$4:$J$483,"&lt;"&amp;$J448)+1,"")</f>
        <v/>
      </c>
    </row>
    <row r="449" customFormat="false" ht="15" hidden="false" customHeight="false" outlineLevel="0" collapsed="false">
      <c r="A449" s="46" t="n">
        <v>28</v>
      </c>
      <c r="B449" s="46" t="n">
        <v>14</v>
      </c>
      <c r="C449" s="38" t="str">
        <f aca="false">IF(OR(Recurring!$B$32="",Recurring!$H$32&lt;&gt;"Yes",Recurring!$D$32=""),"",Recurring!$B$32)</f>
        <v/>
      </c>
      <c r="D449" s="38" t="str">
        <f aca="false">IF($C449="","",Recurring!$C$32)</f>
        <v/>
      </c>
      <c r="E449" s="76" t="str">
        <f aca="false">IF($C449="","",Recurring!$D$32)</f>
        <v/>
      </c>
      <c r="F449" s="77"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77" t="str">
        <f aca="false">IF($F449="","",IF(Recurring!$G$32="Move Before",IF(WEEKDAY($F449,2)=6,$F449-1,IF(WEEKDAY($F449,2)=7,$F449-2,$F449)),IF(Recurring!$G$32="Move After",IF(WEEKDAY($F449,2)=6,$F449+2,IF(WEEKDAY($F449,2)=7,$F449+1,$F449)),$F449)))</f>
        <v/>
      </c>
      <c r="H449" s="78" t="n">
        <f aca="false">IF($G449="",0,IF(AND($G449&gt;='Cash Flow'!$E$6,$G449&lt;'Cash Flow'!$E$6+91),1,0))</f>
        <v>0</v>
      </c>
      <c r="I449" s="78" t="str">
        <f aca="false">IF($H449=1,MAX(1,INT(($G449-'Cash Flow'!$E$6)/7)+1),"")</f>
        <v/>
      </c>
      <c r="J449" s="38" t="str">
        <f aca="false">IF($H449=1,$G449*10000+ROW(),"")</f>
        <v/>
      </c>
      <c r="K449" s="38" t="str">
        <f aca="false">IF($H449=1,$I449*1000+COUNTIFS($I$4:$I$483,$I449,$J$4:$J$483,"&lt;"&amp;$J449)+1,"")</f>
        <v/>
      </c>
    </row>
    <row r="450" customFormat="false" ht="15" hidden="false" customHeight="false" outlineLevel="0" collapsed="false">
      <c r="A450" s="46" t="n">
        <v>28</v>
      </c>
      <c r="B450" s="46" t="n">
        <v>15</v>
      </c>
      <c r="C450" s="38" t="str">
        <f aca="false">IF(OR(Recurring!$B$32="",Recurring!$H$32&lt;&gt;"Yes",Recurring!$D$32=""),"",Recurring!$B$32)</f>
        <v/>
      </c>
      <c r="D450" s="38" t="str">
        <f aca="false">IF($C450="","",Recurring!$C$32)</f>
        <v/>
      </c>
      <c r="E450" s="76" t="str">
        <f aca="false">IF($C450="","",Recurring!$D$32)</f>
        <v/>
      </c>
      <c r="F450" s="77"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77" t="str">
        <f aca="false">IF($F450="","",IF(Recurring!$G$32="Move Before",IF(WEEKDAY($F450,2)=6,$F450-1,IF(WEEKDAY($F450,2)=7,$F450-2,$F450)),IF(Recurring!$G$32="Move After",IF(WEEKDAY($F450,2)=6,$F450+2,IF(WEEKDAY($F450,2)=7,$F450+1,$F450)),$F450)))</f>
        <v/>
      </c>
      <c r="H450" s="78" t="n">
        <f aca="false">IF($G450="",0,IF(AND($G450&gt;='Cash Flow'!$E$6,$G450&lt;'Cash Flow'!$E$6+91),1,0))</f>
        <v>0</v>
      </c>
      <c r="I450" s="78" t="str">
        <f aca="false">IF($H450=1,MAX(1,INT(($G450-'Cash Flow'!$E$6)/7)+1),"")</f>
        <v/>
      </c>
      <c r="J450" s="38" t="str">
        <f aca="false">IF($H450=1,$G450*10000+ROW(),"")</f>
        <v/>
      </c>
      <c r="K450" s="38" t="str">
        <f aca="false">IF($H450=1,$I450*1000+COUNTIFS($I$4:$I$483,$I450,$J$4:$J$483,"&lt;"&amp;$J450)+1,"")</f>
        <v/>
      </c>
    </row>
    <row r="451" customFormat="false" ht="15" hidden="false" customHeight="false" outlineLevel="0" collapsed="false">
      <c r="A451" s="46" t="n">
        <v>28</v>
      </c>
      <c r="B451" s="46" t="n">
        <v>16</v>
      </c>
      <c r="C451" s="38" t="str">
        <f aca="false">IF(OR(Recurring!$B$32="",Recurring!$H$32&lt;&gt;"Yes",Recurring!$D$32=""),"",Recurring!$B$32)</f>
        <v/>
      </c>
      <c r="D451" s="38" t="str">
        <f aca="false">IF($C451="","",Recurring!$C$32)</f>
        <v/>
      </c>
      <c r="E451" s="76" t="str">
        <f aca="false">IF($C451="","",Recurring!$D$32)</f>
        <v/>
      </c>
      <c r="F451" s="77"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77" t="str">
        <f aca="false">IF($F451="","",IF(Recurring!$G$32="Move Before",IF(WEEKDAY($F451,2)=6,$F451-1,IF(WEEKDAY($F451,2)=7,$F451-2,$F451)),IF(Recurring!$G$32="Move After",IF(WEEKDAY($F451,2)=6,$F451+2,IF(WEEKDAY($F451,2)=7,$F451+1,$F451)),$F451)))</f>
        <v/>
      </c>
      <c r="H451" s="78" t="n">
        <f aca="false">IF($G451="",0,IF(AND($G451&gt;='Cash Flow'!$E$6,$G451&lt;'Cash Flow'!$E$6+91),1,0))</f>
        <v>0</v>
      </c>
      <c r="I451" s="78" t="str">
        <f aca="false">IF($H451=1,MAX(1,INT(($G451-'Cash Flow'!$E$6)/7)+1),"")</f>
        <v/>
      </c>
      <c r="J451" s="38" t="str">
        <f aca="false">IF($H451=1,$G451*10000+ROW(),"")</f>
        <v/>
      </c>
      <c r="K451" s="38" t="str">
        <f aca="false">IF($H451=1,$I451*1000+COUNTIFS($I$4:$I$483,$I451,$J$4:$J$483,"&lt;"&amp;$J451)+1,"")</f>
        <v/>
      </c>
    </row>
    <row r="452" customFormat="false" ht="15" hidden="false" customHeight="false" outlineLevel="0" collapsed="false">
      <c r="A452" s="46" t="n">
        <v>29</v>
      </c>
      <c r="B452" s="46" t="n">
        <v>1</v>
      </c>
      <c r="C452" s="38" t="str">
        <f aca="false">IF(OR(Recurring!$B$33="",Recurring!$H$33&lt;&gt;"Yes",Recurring!$D$33=""),"",Recurring!$B$33)</f>
        <v/>
      </c>
      <c r="D452" s="38" t="str">
        <f aca="false">IF($C452="","",Recurring!$C$33)</f>
        <v/>
      </c>
      <c r="E452" s="76" t="str">
        <f aca="false">IF($C452="","",Recurring!$D$33)</f>
        <v/>
      </c>
      <c r="F452" s="77"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77" t="str">
        <f aca="false">IF($F452="","",IF(Recurring!$G$33="Move Before",IF(WEEKDAY($F452,2)=6,$F452-1,IF(WEEKDAY($F452,2)=7,$F452-2,$F452)),IF(Recurring!$G$33="Move After",IF(WEEKDAY($F452,2)=6,$F452+2,IF(WEEKDAY($F452,2)=7,$F452+1,$F452)),$F452)))</f>
        <v/>
      </c>
      <c r="H452" s="78" t="n">
        <f aca="false">IF($G452="",0,IF(AND($G452&gt;='Cash Flow'!$E$6-90,$G452&lt;'Cash Flow'!$E$6+91),1,0))</f>
        <v>0</v>
      </c>
      <c r="I452" s="78" t="str">
        <f aca="false">IF($H452=1,MAX(1,INT(($G452-'Cash Flow'!$E$6)/7)+1),"")</f>
        <v/>
      </c>
      <c r="J452" s="38" t="str">
        <f aca="false">IF($H452=1,$G452*10000+ROW(),"")</f>
        <v/>
      </c>
      <c r="K452" s="38" t="str">
        <f aca="false">IF($H452=1,$I452*1000+COUNTIFS($I$4:$I$483,$I452,$J$4:$J$483,"&lt;"&amp;$J452)+1,"")</f>
        <v/>
      </c>
    </row>
    <row r="453" customFormat="false" ht="15" hidden="false" customHeight="false" outlineLevel="0" collapsed="false">
      <c r="A453" s="46" t="n">
        <v>29</v>
      </c>
      <c r="B453" s="46" t="n">
        <v>2</v>
      </c>
      <c r="C453" s="38" t="str">
        <f aca="false">IF(OR(Recurring!$B$33="",Recurring!$H$33&lt;&gt;"Yes",Recurring!$D$33=""),"",Recurring!$B$33)</f>
        <v/>
      </c>
      <c r="D453" s="38" t="str">
        <f aca="false">IF($C453="","",Recurring!$C$33)</f>
        <v/>
      </c>
      <c r="E453" s="76" t="str">
        <f aca="false">IF($C453="","",Recurring!$D$33)</f>
        <v/>
      </c>
      <c r="F453" s="77"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77" t="str">
        <f aca="false">IF($F453="","",IF(Recurring!$G$33="Move Before",IF(WEEKDAY($F453,2)=6,$F453-1,IF(WEEKDAY($F453,2)=7,$F453-2,$F453)),IF(Recurring!$G$33="Move After",IF(WEEKDAY($F453,2)=6,$F453+2,IF(WEEKDAY($F453,2)=7,$F453+1,$F453)),$F453)))</f>
        <v/>
      </c>
      <c r="H453" s="78" t="n">
        <f aca="false">IF($G453="",0,IF(AND($G453&gt;='Cash Flow'!$E$6,$G453&lt;'Cash Flow'!$E$6+91),1,0))</f>
        <v>0</v>
      </c>
      <c r="I453" s="78" t="str">
        <f aca="false">IF($H453=1,MAX(1,INT(($G453-'Cash Flow'!$E$6)/7)+1),"")</f>
        <v/>
      </c>
      <c r="J453" s="38" t="str">
        <f aca="false">IF($H453=1,$G453*10000+ROW(),"")</f>
        <v/>
      </c>
      <c r="K453" s="38" t="str">
        <f aca="false">IF($H453=1,$I453*1000+COUNTIFS($I$4:$I$483,$I453,$J$4:$J$483,"&lt;"&amp;$J453)+1,"")</f>
        <v/>
      </c>
    </row>
    <row r="454" customFormat="false" ht="15" hidden="false" customHeight="false" outlineLevel="0" collapsed="false">
      <c r="A454" s="46" t="n">
        <v>29</v>
      </c>
      <c r="B454" s="46" t="n">
        <v>3</v>
      </c>
      <c r="C454" s="38" t="str">
        <f aca="false">IF(OR(Recurring!$B$33="",Recurring!$H$33&lt;&gt;"Yes",Recurring!$D$33=""),"",Recurring!$B$33)</f>
        <v/>
      </c>
      <c r="D454" s="38" t="str">
        <f aca="false">IF($C454="","",Recurring!$C$33)</f>
        <v/>
      </c>
      <c r="E454" s="76" t="str">
        <f aca="false">IF($C454="","",Recurring!$D$33)</f>
        <v/>
      </c>
      <c r="F454" s="77"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77" t="str">
        <f aca="false">IF($F454="","",IF(Recurring!$G$33="Move Before",IF(WEEKDAY($F454,2)=6,$F454-1,IF(WEEKDAY($F454,2)=7,$F454-2,$F454)),IF(Recurring!$G$33="Move After",IF(WEEKDAY($F454,2)=6,$F454+2,IF(WEEKDAY($F454,2)=7,$F454+1,$F454)),$F454)))</f>
        <v/>
      </c>
      <c r="H454" s="78" t="n">
        <f aca="false">IF($G454="",0,IF(AND($G454&gt;='Cash Flow'!$E$6,$G454&lt;'Cash Flow'!$E$6+91),1,0))</f>
        <v>0</v>
      </c>
      <c r="I454" s="78" t="str">
        <f aca="false">IF($H454=1,MAX(1,INT(($G454-'Cash Flow'!$E$6)/7)+1),"")</f>
        <v/>
      </c>
      <c r="J454" s="38" t="str">
        <f aca="false">IF($H454=1,$G454*10000+ROW(),"")</f>
        <v/>
      </c>
      <c r="K454" s="38" t="str">
        <f aca="false">IF($H454=1,$I454*1000+COUNTIFS($I$4:$I$483,$I454,$J$4:$J$483,"&lt;"&amp;$J454)+1,"")</f>
        <v/>
      </c>
    </row>
    <row r="455" customFormat="false" ht="15" hidden="false" customHeight="false" outlineLevel="0" collapsed="false">
      <c r="A455" s="46" t="n">
        <v>29</v>
      </c>
      <c r="B455" s="46" t="n">
        <v>4</v>
      </c>
      <c r="C455" s="38" t="str">
        <f aca="false">IF(OR(Recurring!$B$33="",Recurring!$H$33&lt;&gt;"Yes",Recurring!$D$33=""),"",Recurring!$B$33)</f>
        <v/>
      </c>
      <c r="D455" s="38" t="str">
        <f aca="false">IF($C455="","",Recurring!$C$33)</f>
        <v/>
      </c>
      <c r="E455" s="76" t="str">
        <f aca="false">IF($C455="","",Recurring!$D$33)</f>
        <v/>
      </c>
      <c r="F455" s="77"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77" t="str">
        <f aca="false">IF($F455="","",IF(Recurring!$G$33="Move Before",IF(WEEKDAY($F455,2)=6,$F455-1,IF(WEEKDAY($F455,2)=7,$F455-2,$F455)),IF(Recurring!$G$33="Move After",IF(WEEKDAY($F455,2)=6,$F455+2,IF(WEEKDAY($F455,2)=7,$F455+1,$F455)),$F455)))</f>
        <v/>
      </c>
      <c r="H455" s="78" t="n">
        <f aca="false">IF($G455="",0,IF(AND($G455&gt;='Cash Flow'!$E$6,$G455&lt;'Cash Flow'!$E$6+91),1,0))</f>
        <v>0</v>
      </c>
      <c r="I455" s="78" t="str">
        <f aca="false">IF($H455=1,MAX(1,INT(($G455-'Cash Flow'!$E$6)/7)+1),"")</f>
        <v/>
      </c>
      <c r="J455" s="38" t="str">
        <f aca="false">IF($H455=1,$G455*10000+ROW(),"")</f>
        <v/>
      </c>
      <c r="K455" s="38" t="str">
        <f aca="false">IF($H455=1,$I455*1000+COUNTIFS($I$4:$I$483,$I455,$J$4:$J$483,"&lt;"&amp;$J455)+1,"")</f>
        <v/>
      </c>
    </row>
    <row r="456" customFormat="false" ht="15" hidden="false" customHeight="false" outlineLevel="0" collapsed="false">
      <c r="A456" s="46" t="n">
        <v>29</v>
      </c>
      <c r="B456" s="46" t="n">
        <v>5</v>
      </c>
      <c r="C456" s="38" t="str">
        <f aca="false">IF(OR(Recurring!$B$33="",Recurring!$H$33&lt;&gt;"Yes",Recurring!$D$33=""),"",Recurring!$B$33)</f>
        <v/>
      </c>
      <c r="D456" s="38" t="str">
        <f aca="false">IF($C456="","",Recurring!$C$33)</f>
        <v/>
      </c>
      <c r="E456" s="76" t="str">
        <f aca="false">IF($C456="","",Recurring!$D$33)</f>
        <v/>
      </c>
      <c r="F456" s="77"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77" t="str">
        <f aca="false">IF($F456="","",IF(Recurring!$G$33="Move Before",IF(WEEKDAY($F456,2)=6,$F456-1,IF(WEEKDAY($F456,2)=7,$F456-2,$F456)),IF(Recurring!$G$33="Move After",IF(WEEKDAY($F456,2)=6,$F456+2,IF(WEEKDAY($F456,2)=7,$F456+1,$F456)),$F456)))</f>
        <v/>
      </c>
      <c r="H456" s="78" t="n">
        <f aca="false">IF($G456="",0,IF(AND($G456&gt;='Cash Flow'!$E$6,$G456&lt;'Cash Flow'!$E$6+91),1,0))</f>
        <v>0</v>
      </c>
      <c r="I456" s="78" t="str">
        <f aca="false">IF($H456=1,MAX(1,INT(($G456-'Cash Flow'!$E$6)/7)+1),"")</f>
        <v/>
      </c>
      <c r="J456" s="38" t="str">
        <f aca="false">IF($H456=1,$G456*10000+ROW(),"")</f>
        <v/>
      </c>
      <c r="K456" s="38" t="str">
        <f aca="false">IF($H456=1,$I456*1000+COUNTIFS($I$4:$I$483,$I456,$J$4:$J$483,"&lt;"&amp;$J456)+1,"")</f>
        <v/>
      </c>
    </row>
    <row r="457" customFormat="false" ht="15" hidden="false" customHeight="false" outlineLevel="0" collapsed="false">
      <c r="A457" s="46" t="n">
        <v>29</v>
      </c>
      <c r="B457" s="46" t="n">
        <v>6</v>
      </c>
      <c r="C457" s="38" t="str">
        <f aca="false">IF(OR(Recurring!$B$33="",Recurring!$H$33&lt;&gt;"Yes",Recurring!$D$33=""),"",Recurring!$B$33)</f>
        <v/>
      </c>
      <c r="D457" s="38" t="str">
        <f aca="false">IF($C457="","",Recurring!$C$33)</f>
        <v/>
      </c>
      <c r="E457" s="76" t="str">
        <f aca="false">IF($C457="","",Recurring!$D$33)</f>
        <v/>
      </c>
      <c r="F457" s="77"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77" t="str">
        <f aca="false">IF($F457="","",IF(Recurring!$G$33="Move Before",IF(WEEKDAY($F457,2)=6,$F457-1,IF(WEEKDAY($F457,2)=7,$F457-2,$F457)),IF(Recurring!$G$33="Move After",IF(WEEKDAY($F457,2)=6,$F457+2,IF(WEEKDAY($F457,2)=7,$F457+1,$F457)),$F457)))</f>
        <v/>
      </c>
      <c r="H457" s="78" t="n">
        <f aca="false">IF($G457="",0,IF(AND($G457&gt;='Cash Flow'!$E$6,$G457&lt;'Cash Flow'!$E$6+91),1,0))</f>
        <v>0</v>
      </c>
      <c r="I457" s="78" t="str">
        <f aca="false">IF($H457=1,MAX(1,INT(($G457-'Cash Flow'!$E$6)/7)+1),"")</f>
        <v/>
      </c>
      <c r="J457" s="38" t="str">
        <f aca="false">IF($H457=1,$G457*10000+ROW(),"")</f>
        <v/>
      </c>
      <c r="K457" s="38" t="str">
        <f aca="false">IF($H457=1,$I457*1000+COUNTIFS($I$4:$I$483,$I457,$J$4:$J$483,"&lt;"&amp;$J457)+1,"")</f>
        <v/>
      </c>
    </row>
    <row r="458" customFormat="false" ht="15" hidden="false" customHeight="false" outlineLevel="0" collapsed="false">
      <c r="A458" s="46" t="n">
        <v>29</v>
      </c>
      <c r="B458" s="46" t="n">
        <v>7</v>
      </c>
      <c r="C458" s="38" t="str">
        <f aca="false">IF(OR(Recurring!$B$33="",Recurring!$H$33&lt;&gt;"Yes",Recurring!$D$33=""),"",Recurring!$B$33)</f>
        <v/>
      </c>
      <c r="D458" s="38" t="str">
        <f aca="false">IF($C458="","",Recurring!$C$33)</f>
        <v/>
      </c>
      <c r="E458" s="76" t="str">
        <f aca="false">IF($C458="","",Recurring!$D$33)</f>
        <v/>
      </c>
      <c r="F458" s="77"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77" t="str">
        <f aca="false">IF($F458="","",IF(Recurring!$G$33="Move Before",IF(WEEKDAY($F458,2)=6,$F458-1,IF(WEEKDAY($F458,2)=7,$F458-2,$F458)),IF(Recurring!$G$33="Move After",IF(WEEKDAY($F458,2)=6,$F458+2,IF(WEEKDAY($F458,2)=7,$F458+1,$F458)),$F458)))</f>
        <v/>
      </c>
      <c r="H458" s="78" t="n">
        <f aca="false">IF($G458="",0,IF(AND($G458&gt;='Cash Flow'!$E$6,$G458&lt;'Cash Flow'!$E$6+91),1,0))</f>
        <v>0</v>
      </c>
      <c r="I458" s="78" t="str">
        <f aca="false">IF($H458=1,MAX(1,INT(($G458-'Cash Flow'!$E$6)/7)+1),"")</f>
        <v/>
      </c>
      <c r="J458" s="38" t="str">
        <f aca="false">IF($H458=1,$G458*10000+ROW(),"")</f>
        <v/>
      </c>
      <c r="K458" s="38" t="str">
        <f aca="false">IF($H458=1,$I458*1000+COUNTIFS($I$4:$I$483,$I458,$J$4:$J$483,"&lt;"&amp;$J458)+1,"")</f>
        <v/>
      </c>
    </row>
    <row r="459" customFormat="false" ht="15" hidden="false" customHeight="false" outlineLevel="0" collapsed="false">
      <c r="A459" s="46" t="n">
        <v>29</v>
      </c>
      <c r="B459" s="46" t="n">
        <v>8</v>
      </c>
      <c r="C459" s="38" t="str">
        <f aca="false">IF(OR(Recurring!$B$33="",Recurring!$H$33&lt;&gt;"Yes",Recurring!$D$33=""),"",Recurring!$B$33)</f>
        <v/>
      </c>
      <c r="D459" s="38" t="str">
        <f aca="false">IF($C459="","",Recurring!$C$33)</f>
        <v/>
      </c>
      <c r="E459" s="76" t="str">
        <f aca="false">IF($C459="","",Recurring!$D$33)</f>
        <v/>
      </c>
      <c r="F459" s="77"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77" t="str">
        <f aca="false">IF($F459="","",IF(Recurring!$G$33="Move Before",IF(WEEKDAY($F459,2)=6,$F459-1,IF(WEEKDAY($F459,2)=7,$F459-2,$F459)),IF(Recurring!$G$33="Move After",IF(WEEKDAY($F459,2)=6,$F459+2,IF(WEEKDAY($F459,2)=7,$F459+1,$F459)),$F459)))</f>
        <v/>
      </c>
      <c r="H459" s="78" t="n">
        <f aca="false">IF($G459="",0,IF(AND($G459&gt;='Cash Flow'!$E$6,$G459&lt;'Cash Flow'!$E$6+91),1,0))</f>
        <v>0</v>
      </c>
      <c r="I459" s="78" t="str">
        <f aca="false">IF($H459=1,MAX(1,INT(($G459-'Cash Flow'!$E$6)/7)+1),"")</f>
        <v/>
      </c>
      <c r="J459" s="38" t="str">
        <f aca="false">IF($H459=1,$G459*10000+ROW(),"")</f>
        <v/>
      </c>
      <c r="K459" s="38" t="str">
        <f aca="false">IF($H459=1,$I459*1000+COUNTIFS($I$4:$I$483,$I459,$J$4:$J$483,"&lt;"&amp;$J459)+1,"")</f>
        <v/>
      </c>
    </row>
    <row r="460" customFormat="false" ht="15" hidden="false" customHeight="false" outlineLevel="0" collapsed="false">
      <c r="A460" s="46" t="n">
        <v>29</v>
      </c>
      <c r="B460" s="46" t="n">
        <v>9</v>
      </c>
      <c r="C460" s="38" t="str">
        <f aca="false">IF(OR(Recurring!$B$33="",Recurring!$H$33&lt;&gt;"Yes",Recurring!$D$33=""),"",Recurring!$B$33)</f>
        <v/>
      </c>
      <c r="D460" s="38" t="str">
        <f aca="false">IF($C460="","",Recurring!$C$33)</f>
        <v/>
      </c>
      <c r="E460" s="76" t="str">
        <f aca="false">IF($C460="","",Recurring!$D$33)</f>
        <v/>
      </c>
      <c r="F460" s="77"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77" t="str">
        <f aca="false">IF($F460="","",IF(Recurring!$G$33="Move Before",IF(WEEKDAY($F460,2)=6,$F460-1,IF(WEEKDAY($F460,2)=7,$F460-2,$F460)),IF(Recurring!$G$33="Move After",IF(WEEKDAY($F460,2)=6,$F460+2,IF(WEEKDAY($F460,2)=7,$F460+1,$F460)),$F460)))</f>
        <v/>
      </c>
      <c r="H460" s="78" t="n">
        <f aca="false">IF($G460="",0,IF(AND($G460&gt;='Cash Flow'!$E$6,$G460&lt;'Cash Flow'!$E$6+91),1,0))</f>
        <v>0</v>
      </c>
      <c r="I460" s="78" t="str">
        <f aca="false">IF($H460=1,MAX(1,INT(($G460-'Cash Flow'!$E$6)/7)+1),"")</f>
        <v/>
      </c>
      <c r="J460" s="38" t="str">
        <f aca="false">IF($H460=1,$G460*10000+ROW(),"")</f>
        <v/>
      </c>
      <c r="K460" s="38" t="str">
        <f aca="false">IF($H460=1,$I460*1000+COUNTIFS($I$4:$I$483,$I460,$J$4:$J$483,"&lt;"&amp;$J460)+1,"")</f>
        <v/>
      </c>
    </row>
    <row r="461" customFormat="false" ht="15" hidden="false" customHeight="false" outlineLevel="0" collapsed="false">
      <c r="A461" s="46" t="n">
        <v>29</v>
      </c>
      <c r="B461" s="46" t="n">
        <v>10</v>
      </c>
      <c r="C461" s="38" t="str">
        <f aca="false">IF(OR(Recurring!$B$33="",Recurring!$H$33&lt;&gt;"Yes",Recurring!$D$33=""),"",Recurring!$B$33)</f>
        <v/>
      </c>
      <c r="D461" s="38" t="str">
        <f aca="false">IF($C461="","",Recurring!$C$33)</f>
        <v/>
      </c>
      <c r="E461" s="76" t="str">
        <f aca="false">IF($C461="","",Recurring!$D$33)</f>
        <v/>
      </c>
      <c r="F461" s="77"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77" t="str">
        <f aca="false">IF($F461="","",IF(Recurring!$G$33="Move Before",IF(WEEKDAY($F461,2)=6,$F461-1,IF(WEEKDAY($F461,2)=7,$F461-2,$F461)),IF(Recurring!$G$33="Move After",IF(WEEKDAY($F461,2)=6,$F461+2,IF(WEEKDAY($F461,2)=7,$F461+1,$F461)),$F461)))</f>
        <v/>
      </c>
      <c r="H461" s="78" t="n">
        <f aca="false">IF($G461="",0,IF(AND($G461&gt;='Cash Flow'!$E$6,$G461&lt;'Cash Flow'!$E$6+91),1,0))</f>
        <v>0</v>
      </c>
      <c r="I461" s="78" t="str">
        <f aca="false">IF($H461=1,MAX(1,INT(($G461-'Cash Flow'!$E$6)/7)+1),"")</f>
        <v/>
      </c>
      <c r="J461" s="38" t="str">
        <f aca="false">IF($H461=1,$G461*10000+ROW(),"")</f>
        <v/>
      </c>
      <c r="K461" s="38" t="str">
        <f aca="false">IF($H461=1,$I461*1000+COUNTIFS($I$4:$I$483,$I461,$J$4:$J$483,"&lt;"&amp;$J461)+1,"")</f>
        <v/>
      </c>
    </row>
    <row r="462" customFormat="false" ht="15" hidden="false" customHeight="false" outlineLevel="0" collapsed="false">
      <c r="A462" s="46" t="n">
        <v>29</v>
      </c>
      <c r="B462" s="46" t="n">
        <v>11</v>
      </c>
      <c r="C462" s="38" t="str">
        <f aca="false">IF(OR(Recurring!$B$33="",Recurring!$H$33&lt;&gt;"Yes",Recurring!$D$33=""),"",Recurring!$B$33)</f>
        <v/>
      </c>
      <c r="D462" s="38" t="str">
        <f aca="false">IF($C462="","",Recurring!$C$33)</f>
        <v/>
      </c>
      <c r="E462" s="76" t="str">
        <f aca="false">IF($C462="","",Recurring!$D$33)</f>
        <v/>
      </c>
      <c r="F462" s="77"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77" t="str">
        <f aca="false">IF($F462="","",IF(Recurring!$G$33="Move Before",IF(WEEKDAY($F462,2)=6,$F462-1,IF(WEEKDAY($F462,2)=7,$F462-2,$F462)),IF(Recurring!$G$33="Move After",IF(WEEKDAY($F462,2)=6,$F462+2,IF(WEEKDAY($F462,2)=7,$F462+1,$F462)),$F462)))</f>
        <v/>
      </c>
      <c r="H462" s="78" t="n">
        <f aca="false">IF($G462="",0,IF(AND($G462&gt;='Cash Flow'!$E$6,$G462&lt;'Cash Flow'!$E$6+91),1,0))</f>
        <v>0</v>
      </c>
      <c r="I462" s="78" t="str">
        <f aca="false">IF($H462=1,MAX(1,INT(($G462-'Cash Flow'!$E$6)/7)+1),"")</f>
        <v/>
      </c>
      <c r="J462" s="38" t="str">
        <f aca="false">IF($H462=1,$G462*10000+ROW(),"")</f>
        <v/>
      </c>
      <c r="K462" s="38" t="str">
        <f aca="false">IF($H462=1,$I462*1000+COUNTIFS($I$4:$I$483,$I462,$J$4:$J$483,"&lt;"&amp;$J462)+1,"")</f>
        <v/>
      </c>
    </row>
    <row r="463" customFormat="false" ht="15" hidden="false" customHeight="false" outlineLevel="0" collapsed="false">
      <c r="A463" s="46" t="n">
        <v>29</v>
      </c>
      <c r="B463" s="46" t="n">
        <v>12</v>
      </c>
      <c r="C463" s="38" t="str">
        <f aca="false">IF(OR(Recurring!$B$33="",Recurring!$H$33&lt;&gt;"Yes",Recurring!$D$33=""),"",Recurring!$B$33)</f>
        <v/>
      </c>
      <c r="D463" s="38" t="str">
        <f aca="false">IF($C463="","",Recurring!$C$33)</f>
        <v/>
      </c>
      <c r="E463" s="76" t="str">
        <f aca="false">IF($C463="","",Recurring!$D$33)</f>
        <v/>
      </c>
      <c r="F463" s="77"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77" t="str">
        <f aca="false">IF($F463="","",IF(Recurring!$G$33="Move Before",IF(WEEKDAY($F463,2)=6,$F463-1,IF(WEEKDAY($F463,2)=7,$F463-2,$F463)),IF(Recurring!$G$33="Move After",IF(WEEKDAY($F463,2)=6,$F463+2,IF(WEEKDAY($F463,2)=7,$F463+1,$F463)),$F463)))</f>
        <v/>
      </c>
      <c r="H463" s="78" t="n">
        <f aca="false">IF($G463="",0,IF(AND($G463&gt;='Cash Flow'!$E$6,$G463&lt;'Cash Flow'!$E$6+91),1,0))</f>
        <v>0</v>
      </c>
      <c r="I463" s="78" t="str">
        <f aca="false">IF($H463=1,MAX(1,INT(($G463-'Cash Flow'!$E$6)/7)+1),"")</f>
        <v/>
      </c>
      <c r="J463" s="38" t="str">
        <f aca="false">IF($H463=1,$G463*10000+ROW(),"")</f>
        <v/>
      </c>
      <c r="K463" s="38" t="str">
        <f aca="false">IF($H463=1,$I463*1000+COUNTIFS($I$4:$I$483,$I463,$J$4:$J$483,"&lt;"&amp;$J463)+1,"")</f>
        <v/>
      </c>
    </row>
    <row r="464" customFormat="false" ht="15" hidden="false" customHeight="false" outlineLevel="0" collapsed="false">
      <c r="A464" s="46" t="n">
        <v>29</v>
      </c>
      <c r="B464" s="46" t="n">
        <v>13</v>
      </c>
      <c r="C464" s="38" t="str">
        <f aca="false">IF(OR(Recurring!$B$33="",Recurring!$H$33&lt;&gt;"Yes",Recurring!$D$33=""),"",Recurring!$B$33)</f>
        <v/>
      </c>
      <c r="D464" s="38" t="str">
        <f aca="false">IF($C464="","",Recurring!$C$33)</f>
        <v/>
      </c>
      <c r="E464" s="76" t="str">
        <f aca="false">IF($C464="","",Recurring!$D$33)</f>
        <v/>
      </c>
      <c r="F464" s="77"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77" t="str">
        <f aca="false">IF($F464="","",IF(Recurring!$G$33="Move Before",IF(WEEKDAY($F464,2)=6,$F464-1,IF(WEEKDAY($F464,2)=7,$F464-2,$F464)),IF(Recurring!$G$33="Move After",IF(WEEKDAY($F464,2)=6,$F464+2,IF(WEEKDAY($F464,2)=7,$F464+1,$F464)),$F464)))</f>
        <v/>
      </c>
      <c r="H464" s="78" t="n">
        <f aca="false">IF($G464="",0,IF(AND($G464&gt;='Cash Flow'!$E$6,$G464&lt;'Cash Flow'!$E$6+91),1,0))</f>
        <v>0</v>
      </c>
      <c r="I464" s="78" t="str">
        <f aca="false">IF($H464=1,MAX(1,INT(($G464-'Cash Flow'!$E$6)/7)+1),"")</f>
        <v/>
      </c>
      <c r="J464" s="38" t="str">
        <f aca="false">IF($H464=1,$G464*10000+ROW(),"")</f>
        <v/>
      </c>
      <c r="K464" s="38" t="str">
        <f aca="false">IF($H464=1,$I464*1000+COUNTIFS($I$4:$I$483,$I464,$J$4:$J$483,"&lt;"&amp;$J464)+1,"")</f>
        <v/>
      </c>
    </row>
    <row r="465" customFormat="false" ht="15" hidden="false" customHeight="false" outlineLevel="0" collapsed="false">
      <c r="A465" s="46" t="n">
        <v>29</v>
      </c>
      <c r="B465" s="46" t="n">
        <v>14</v>
      </c>
      <c r="C465" s="38" t="str">
        <f aca="false">IF(OR(Recurring!$B$33="",Recurring!$H$33&lt;&gt;"Yes",Recurring!$D$33=""),"",Recurring!$B$33)</f>
        <v/>
      </c>
      <c r="D465" s="38" t="str">
        <f aca="false">IF($C465="","",Recurring!$C$33)</f>
        <v/>
      </c>
      <c r="E465" s="76" t="str">
        <f aca="false">IF($C465="","",Recurring!$D$33)</f>
        <v/>
      </c>
      <c r="F465" s="77"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77" t="str">
        <f aca="false">IF($F465="","",IF(Recurring!$G$33="Move Before",IF(WEEKDAY($F465,2)=6,$F465-1,IF(WEEKDAY($F465,2)=7,$F465-2,$F465)),IF(Recurring!$G$33="Move After",IF(WEEKDAY($F465,2)=6,$F465+2,IF(WEEKDAY($F465,2)=7,$F465+1,$F465)),$F465)))</f>
        <v/>
      </c>
      <c r="H465" s="78" t="n">
        <f aca="false">IF($G465="",0,IF(AND($G465&gt;='Cash Flow'!$E$6,$G465&lt;'Cash Flow'!$E$6+91),1,0))</f>
        <v>0</v>
      </c>
      <c r="I465" s="78" t="str">
        <f aca="false">IF($H465=1,MAX(1,INT(($G465-'Cash Flow'!$E$6)/7)+1),"")</f>
        <v/>
      </c>
      <c r="J465" s="38" t="str">
        <f aca="false">IF($H465=1,$G465*10000+ROW(),"")</f>
        <v/>
      </c>
      <c r="K465" s="38" t="str">
        <f aca="false">IF($H465=1,$I465*1000+COUNTIFS($I$4:$I$483,$I465,$J$4:$J$483,"&lt;"&amp;$J465)+1,"")</f>
        <v/>
      </c>
    </row>
    <row r="466" customFormat="false" ht="15" hidden="false" customHeight="false" outlineLevel="0" collapsed="false">
      <c r="A466" s="46" t="n">
        <v>29</v>
      </c>
      <c r="B466" s="46" t="n">
        <v>15</v>
      </c>
      <c r="C466" s="38" t="str">
        <f aca="false">IF(OR(Recurring!$B$33="",Recurring!$H$33&lt;&gt;"Yes",Recurring!$D$33=""),"",Recurring!$B$33)</f>
        <v/>
      </c>
      <c r="D466" s="38" t="str">
        <f aca="false">IF($C466="","",Recurring!$C$33)</f>
        <v/>
      </c>
      <c r="E466" s="76" t="str">
        <f aca="false">IF($C466="","",Recurring!$D$33)</f>
        <v/>
      </c>
      <c r="F466" s="77"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77" t="str">
        <f aca="false">IF($F466="","",IF(Recurring!$G$33="Move Before",IF(WEEKDAY($F466,2)=6,$F466-1,IF(WEEKDAY($F466,2)=7,$F466-2,$F466)),IF(Recurring!$G$33="Move After",IF(WEEKDAY($F466,2)=6,$F466+2,IF(WEEKDAY($F466,2)=7,$F466+1,$F466)),$F466)))</f>
        <v/>
      </c>
      <c r="H466" s="78" t="n">
        <f aca="false">IF($G466="",0,IF(AND($G466&gt;='Cash Flow'!$E$6,$G466&lt;'Cash Flow'!$E$6+91),1,0))</f>
        <v>0</v>
      </c>
      <c r="I466" s="78" t="str">
        <f aca="false">IF($H466=1,MAX(1,INT(($G466-'Cash Flow'!$E$6)/7)+1),"")</f>
        <v/>
      </c>
      <c r="J466" s="38" t="str">
        <f aca="false">IF($H466=1,$G466*10000+ROW(),"")</f>
        <v/>
      </c>
      <c r="K466" s="38" t="str">
        <f aca="false">IF($H466=1,$I466*1000+COUNTIFS($I$4:$I$483,$I466,$J$4:$J$483,"&lt;"&amp;$J466)+1,"")</f>
        <v/>
      </c>
    </row>
    <row r="467" customFormat="false" ht="15" hidden="false" customHeight="false" outlineLevel="0" collapsed="false">
      <c r="A467" s="46" t="n">
        <v>29</v>
      </c>
      <c r="B467" s="46" t="n">
        <v>16</v>
      </c>
      <c r="C467" s="38" t="str">
        <f aca="false">IF(OR(Recurring!$B$33="",Recurring!$H$33&lt;&gt;"Yes",Recurring!$D$33=""),"",Recurring!$B$33)</f>
        <v/>
      </c>
      <c r="D467" s="38" t="str">
        <f aca="false">IF($C467="","",Recurring!$C$33)</f>
        <v/>
      </c>
      <c r="E467" s="76" t="str">
        <f aca="false">IF($C467="","",Recurring!$D$33)</f>
        <v/>
      </c>
      <c r="F467" s="77"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77" t="str">
        <f aca="false">IF($F467="","",IF(Recurring!$G$33="Move Before",IF(WEEKDAY($F467,2)=6,$F467-1,IF(WEEKDAY($F467,2)=7,$F467-2,$F467)),IF(Recurring!$G$33="Move After",IF(WEEKDAY($F467,2)=6,$F467+2,IF(WEEKDAY($F467,2)=7,$F467+1,$F467)),$F467)))</f>
        <v/>
      </c>
      <c r="H467" s="78" t="n">
        <f aca="false">IF($G467="",0,IF(AND($G467&gt;='Cash Flow'!$E$6,$G467&lt;'Cash Flow'!$E$6+91),1,0))</f>
        <v>0</v>
      </c>
      <c r="I467" s="78" t="str">
        <f aca="false">IF($H467=1,MAX(1,INT(($G467-'Cash Flow'!$E$6)/7)+1),"")</f>
        <v/>
      </c>
      <c r="J467" s="38" t="str">
        <f aca="false">IF($H467=1,$G467*10000+ROW(),"")</f>
        <v/>
      </c>
      <c r="K467" s="38" t="str">
        <f aca="false">IF($H467=1,$I467*1000+COUNTIFS($I$4:$I$483,$I467,$J$4:$J$483,"&lt;"&amp;$J467)+1,"")</f>
        <v/>
      </c>
    </row>
    <row r="468" customFormat="false" ht="15" hidden="false" customHeight="false" outlineLevel="0" collapsed="false">
      <c r="A468" s="46" t="n">
        <v>30</v>
      </c>
      <c r="B468" s="46" t="n">
        <v>1</v>
      </c>
      <c r="C468" s="38" t="str">
        <f aca="false">IF(OR(Recurring!$B$34="",Recurring!$H$34&lt;&gt;"Yes",Recurring!$D$34=""),"",Recurring!$B$34)</f>
        <v/>
      </c>
      <c r="D468" s="38" t="str">
        <f aca="false">IF($C468="","",Recurring!$C$34)</f>
        <v/>
      </c>
      <c r="E468" s="76" t="str">
        <f aca="false">IF($C468="","",Recurring!$D$34)</f>
        <v/>
      </c>
      <c r="F468" s="77"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77" t="str">
        <f aca="false">IF($F468="","",IF(Recurring!$G$34="Move Before",IF(WEEKDAY($F468,2)=6,$F468-1,IF(WEEKDAY($F468,2)=7,$F468-2,$F468)),IF(Recurring!$G$34="Move After",IF(WEEKDAY($F468,2)=6,$F468+2,IF(WEEKDAY($F468,2)=7,$F468+1,$F468)),$F468)))</f>
        <v/>
      </c>
      <c r="H468" s="78" t="n">
        <f aca="false">IF($G468="",0,IF(AND($G468&gt;='Cash Flow'!$E$6-90,$G468&lt;'Cash Flow'!$E$6+91),1,0))</f>
        <v>0</v>
      </c>
      <c r="I468" s="78" t="str">
        <f aca="false">IF($H468=1,MAX(1,INT(($G468-'Cash Flow'!$E$6)/7)+1),"")</f>
        <v/>
      </c>
      <c r="J468" s="38" t="str">
        <f aca="false">IF($H468=1,$G468*10000+ROW(),"")</f>
        <v/>
      </c>
      <c r="K468" s="38" t="str">
        <f aca="false">IF($H468=1,$I468*1000+COUNTIFS($I$4:$I$483,$I468,$J$4:$J$483,"&lt;"&amp;$J468)+1,"")</f>
        <v/>
      </c>
    </row>
    <row r="469" customFormat="false" ht="15" hidden="false" customHeight="false" outlineLevel="0" collapsed="false">
      <c r="A469" s="46" t="n">
        <v>30</v>
      </c>
      <c r="B469" s="46" t="n">
        <v>2</v>
      </c>
      <c r="C469" s="38" t="str">
        <f aca="false">IF(OR(Recurring!$B$34="",Recurring!$H$34&lt;&gt;"Yes",Recurring!$D$34=""),"",Recurring!$B$34)</f>
        <v/>
      </c>
      <c r="D469" s="38" t="str">
        <f aca="false">IF($C469="","",Recurring!$C$34)</f>
        <v/>
      </c>
      <c r="E469" s="76" t="str">
        <f aca="false">IF($C469="","",Recurring!$D$34)</f>
        <v/>
      </c>
      <c r="F469" s="77"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77" t="str">
        <f aca="false">IF($F469="","",IF(Recurring!$G$34="Move Before",IF(WEEKDAY($F469,2)=6,$F469-1,IF(WEEKDAY($F469,2)=7,$F469-2,$F469)),IF(Recurring!$G$34="Move After",IF(WEEKDAY($F469,2)=6,$F469+2,IF(WEEKDAY($F469,2)=7,$F469+1,$F469)),$F469)))</f>
        <v/>
      </c>
      <c r="H469" s="78" t="n">
        <f aca="false">IF($G469="",0,IF(AND($G469&gt;='Cash Flow'!$E$6,$G469&lt;'Cash Flow'!$E$6+91),1,0))</f>
        <v>0</v>
      </c>
      <c r="I469" s="78" t="str">
        <f aca="false">IF($H469=1,MAX(1,INT(($G469-'Cash Flow'!$E$6)/7)+1),"")</f>
        <v/>
      </c>
      <c r="J469" s="38" t="str">
        <f aca="false">IF($H469=1,$G469*10000+ROW(),"")</f>
        <v/>
      </c>
      <c r="K469" s="38" t="str">
        <f aca="false">IF($H469=1,$I469*1000+COUNTIFS($I$4:$I$483,$I469,$J$4:$J$483,"&lt;"&amp;$J469)+1,"")</f>
        <v/>
      </c>
    </row>
    <row r="470" customFormat="false" ht="15" hidden="false" customHeight="false" outlineLevel="0" collapsed="false">
      <c r="A470" s="46" t="n">
        <v>30</v>
      </c>
      <c r="B470" s="46" t="n">
        <v>3</v>
      </c>
      <c r="C470" s="38" t="str">
        <f aca="false">IF(OR(Recurring!$B$34="",Recurring!$H$34&lt;&gt;"Yes",Recurring!$D$34=""),"",Recurring!$B$34)</f>
        <v/>
      </c>
      <c r="D470" s="38" t="str">
        <f aca="false">IF($C470="","",Recurring!$C$34)</f>
        <v/>
      </c>
      <c r="E470" s="76" t="str">
        <f aca="false">IF($C470="","",Recurring!$D$34)</f>
        <v/>
      </c>
      <c r="F470" s="77"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77" t="str">
        <f aca="false">IF($F470="","",IF(Recurring!$G$34="Move Before",IF(WEEKDAY($F470,2)=6,$F470-1,IF(WEEKDAY($F470,2)=7,$F470-2,$F470)),IF(Recurring!$G$34="Move After",IF(WEEKDAY($F470,2)=6,$F470+2,IF(WEEKDAY($F470,2)=7,$F470+1,$F470)),$F470)))</f>
        <v/>
      </c>
      <c r="H470" s="78" t="n">
        <f aca="false">IF($G470="",0,IF(AND($G470&gt;='Cash Flow'!$E$6,$G470&lt;'Cash Flow'!$E$6+91),1,0))</f>
        <v>0</v>
      </c>
      <c r="I470" s="78" t="str">
        <f aca="false">IF($H470=1,MAX(1,INT(($G470-'Cash Flow'!$E$6)/7)+1),"")</f>
        <v/>
      </c>
      <c r="J470" s="38" t="str">
        <f aca="false">IF($H470=1,$G470*10000+ROW(),"")</f>
        <v/>
      </c>
      <c r="K470" s="38" t="str">
        <f aca="false">IF($H470=1,$I470*1000+COUNTIFS($I$4:$I$483,$I470,$J$4:$J$483,"&lt;"&amp;$J470)+1,"")</f>
        <v/>
      </c>
    </row>
    <row r="471" customFormat="false" ht="15" hidden="false" customHeight="false" outlineLevel="0" collapsed="false">
      <c r="A471" s="46" t="n">
        <v>30</v>
      </c>
      <c r="B471" s="46" t="n">
        <v>4</v>
      </c>
      <c r="C471" s="38" t="str">
        <f aca="false">IF(OR(Recurring!$B$34="",Recurring!$H$34&lt;&gt;"Yes",Recurring!$D$34=""),"",Recurring!$B$34)</f>
        <v/>
      </c>
      <c r="D471" s="38" t="str">
        <f aca="false">IF($C471="","",Recurring!$C$34)</f>
        <v/>
      </c>
      <c r="E471" s="76" t="str">
        <f aca="false">IF($C471="","",Recurring!$D$34)</f>
        <v/>
      </c>
      <c r="F471" s="77"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77" t="str">
        <f aca="false">IF($F471="","",IF(Recurring!$G$34="Move Before",IF(WEEKDAY($F471,2)=6,$F471-1,IF(WEEKDAY($F471,2)=7,$F471-2,$F471)),IF(Recurring!$G$34="Move After",IF(WEEKDAY($F471,2)=6,$F471+2,IF(WEEKDAY($F471,2)=7,$F471+1,$F471)),$F471)))</f>
        <v/>
      </c>
      <c r="H471" s="78" t="n">
        <f aca="false">IF($G471="",0,IF(AND($G471&gt;='Cash Flow'!$E$6,$G471&lt;'Cash Flow'!$E$6+91),1,0))</f>
        <v>0</v>
      </c>
      <c r="I471" s="78" t="str">
        <f aca="false">IF($H471=1,MAX(1,INT(($G471-'Cash Flow'!$E$6)/7)+1),"")</f>
        <v/>
      </c>
      <c r="J471" s="38" t="str">
        <f aca="false">IF($H471=1,$G471*10000+ROW(),"")</f>
        <v/>
      </c>
      <c r="K471" s="38" t="str">
        <f aca="false">IF($H471=1,$I471*1000+COUNTIFS($I$4:$I$483,$I471,$J$4:$J$483,"&lt;"&amp;$J471)+1,"")</f>
        <v/>
      </c>
    </row>
    <row r="472" customFormat="false" ht="15" hidden="false" customHeight="false" outlineLevel="0" collapsed="false">
      <c r="A472" s="46" t="n">
        <v>30</v>
      </c>
      <c r="B472" s="46" t="n">
        <v>5</v>
      </c>
      <c r="C472" s="38" t="str">
        <f aca="false">IF(OR(Recurring!$B$34="",Recurring!$H$34&lt;&gt;"Yes",Recurring!$D$34=""),"",Recurring!$B$34)</f>
        <v/>
      </c>
      <c r="D472" s="38" t="str">
        <f aca="false">IF($C472="","",Recurring!$C$34)</f>
        <v/>
      </c>
      <c r="E472" s="76" t="str">
        <f aca="false">IF($C472="","",Recurring!$D$34)</f>
        <v/>
      </c>
      <c r="F472" s="77"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77" t="str">
        <f aca="false">IF($F472="","",IF(Recurring!$G$34="Move Before",IF(WEEKDAY($F472,2)=6,$F472-1,IF(WEEKDAY($F472,2)=7,$F472-2,$F472)),IF(Recurring!$G$34="Move After",IF(WEEKDAY($F472,2)=6,$F472+2,IF(WEEKDAY($F472,2)=7,$F472+1,$F472)),$F472)))</f>
        <v/>
      </c>
      <c r="H472" s="78" t="n">
        <f aca="false">IF($G472="",0,IF(AND($G472&gt;='Cash Flow'!$E$6,$G472&lt;'Cash Flow'!$E$6+91),1,0))</f>
        <v>0</v>
      </c>
      <c r="I472" s="78" t="str">
        <f aca="false">IF($H472=1,MAX(1,INT(($G472-'Cash Flow'!$E$6)/7)+1),"")</f>
        <v/>
      </c>
      <c r="J472" s="38" t="str">
        <f aca="false">IF($H472=1,$G472*10000+ROW(),"")</f>
        <v/>
      </c>
      <c r="K472" s="38" t="str">
        <f aca="false">IF($H472=1,$I472*1000+COUNTIFS($I$4:$I$483,$I472,$J$4:$J$483,"&lt;"&amp;$J472)+1,"")</f>
        <v/>
      </c>
    </row>
    <row r="473" customFormat="false" ht="15" hidden="false" customHeight="false" outlineLevel="0" collapsed="false">
      <c r="A473" s="46" t="n">
        <v>30</v>
      </c>
      <c r="B473" s="46" t="n">
        <v>6</v>
      </c>
      <c r="C473" s="38" t="str">
        <f aca="false">IF(OR(Recurring!$B$34="",Recurring!$H$34&lt;&gt;"Yes",Recurring!$D$34=""),"",Recurring!$B$34)</f>
        <v/>
      </c>
      <c r="D473" s="38" t="str">
        <f aca="false">IF($C473="","",Recurring!$C$34)</f>
        <v/>
      </c>
      <c r="E473" s="76" t="str">
        <f aca="false">IF($C473="","",Recurring!$D$34)</f>
        <v/>
      </c>
      <c r="F473" s="77"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77" t="str">
        <f aca="false">IF($F473="","",IF(Recurring!$G$34="Move Before",IF(WEEKDAY($F473,2)=6,$F473-1,IF(WEEKDAY($F473,2)=7,$F473-2,$F473)),IF(Recurring!$G$34="Move After",IF(WEEKDAY($F473,2)=6,$F473+2,IF(WEEKDAY($F473,2)=7,$F473+1,$F473)),$F473)))</f>
        <v/>
      </c>
      <c r="H473" s="78" t="n">
        <f aca="false">IF($G473="",0,IF(AND($G473&gt;='Cash Flow'!$E$6,$G473&lt;'Cash Flow'!$E$6+91),1,0))</f>
        <v>0</v>
      </c>
      <c r="I473" s="78" t="str">
        <f aca="false">IF($H473=1,MAX(1,INT(($G473-'Cash Flow'!$E$6)/7)+1),"")</f>
        <v/>
      </c>
      <c r="J473" s="38" t="str">
        <f aca="false">IF($H473=1,$G473*10000+ROW(),"")</f>
        <v/>
      </c>
      <c r="K473" s="38" t="str">
        <f aca="false">IF($H473=1,$I473*1000+COUNTIFS($I$4:$I$483,$I473,$J$4:$J$483,"&lt;"&amp;$J473)+1,"")</f>
        <v/>
      </c>
    </row>
    <row r="474" customFormat="false" ht="15" hidden="false" customHeight="false" outlineLevel="0" collapsed="false">
      <c r="A474" s="46" t="n">
        <v>30</v>
      </c>
      <c r="B474" s="46" t="n">
        <v>7</v>
      </c>
      <c r="C474" s="38" t="str">
        <f aca="false">IF(OR(Recurring!$B$34="",Recurring!$H$34&lt;&gt;"Yes",Recurring!$D$34=""),"",Recurring!$B$34)</f>
        <v/>
      </c>
      <c r="D474" s="38" t="str">
        <f aca="false">IF($C474="","",Recurring!$C$34)</f>
        <v/>
      </c>
      <c r="E474" s="76" t="str">
        <f aca="false">IF($C474="","",Recurring!$D$34)</f>
        <v/>
      </c>
      <c r="F474" s="77"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77" t="str">
        <f aca="false">IF($F474="","",IF(Recurring!$G$34="Move Before",IF(WEEKDAY($F474,2)=6,$F474-1,IF(WEEKDAY($F474,2)=7,$F474-2,$F474)),IF(Recurring!$G$34="Move After",IF(WEEKDAY($F474,2)=6,$F474+2,IF(WEEKDAY($F474,2)=7,$F474+1,$F474)),$F474)))</f>
        <v/>
      </c>
      <c r="H474" s="78" t="n">
        <f aca="false">IF($G474="",0,IF(AND($G474&gt;='Cash Flow'!$E$6,$G474&lt;'Cash Flow'!$E$6+91),1,0))</f>
        <v>0</v>
      </c>
      <c r="I474" s="78" t="str">
        <f aca="false">IF($H474=1,MAX(1,INT(($G474-'Cash Flow'!$E$6)/7)+1),"")</f>
        <v/>
      </c>
      <c r="J474" s="38" t="str">
        <f aca="false">IF($H474=1,$G474*10000+ROW(),"")</f>
        <v/>
      </c>
      <c r="K474" s="38" t="str">
        <f aca="false">IF($H474=1,$I474*1000+COUNTIFS($I$4:$I$483,$I474,$J$4:$J$483,"&lt;"&amp;$J474)+1,"")</f>
        <v/>
      </c>
    </row>
    <row r="475" customFormat="false" ht="15" hidden="false" customHeight="false" outlineLevel="0" collapsed="false">
      <c r="A475" s="46" t="n">
        <v>30</v>
      </c>
      <c r="B475" s="46" t="n">
        <v>8</v>
      </c>
      <c r="C475" s="38" t="str">
        <f aca="false">IF(OR(Recurring!$B$34="",Recurring!$H$34&lt;&gt;"Yes",Recurring!$D$34=""),"",Recurring!$B$34)</f>
        <v/>
      </c>
      <c r="D475" s="38" t="str">
        <f aca="false">IF($C475="","",Recurring!$C$34)</f>
        <v/>
      </c>
      <c r="E475" s="76" t="str">
        <f aca="false">IF($C475="","",Recurring!$D$34)</f>
        <v/>
      </c>
      <c r="F475" s="77"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77" t="str">
        <f aca="false">IF($F475="","",IF(Recurring!$G$34="Move Before",IF(WEEKDAY($F475,2)=6,$F475-1,IF(WEEKDAY($F475,2)=7,$F475-2,$F475)),IF(Recurring!$G$34="Move After",IF(WEEKDAY($F475,2)=6,$F475+2,IF(WEEKDAY($F475,2)=7,$F475+1,$F475)),$F475)))</f>
        <v/>
      </c>
      <c r="H475" s="78" t="n">
        <f aca="false">IF($G475="",0,IF(AND($G475&gt;='Cash Flow'!$E$6,$G475&lt;'Cash Flow'!$E$6+91),1,0))</f>
        <v>0</v>
      </c>
      <c r="I475" s="78" t="str">
        <f aca="false">IF($H475=1,MAX(1,INT(($G475-'Cash Flow'!$E$6)/7)+1),"")</f>
        <v/>
      </c>
      <c r="J475" s="38" t="str">
        <f aca="false">IF($H475=1,$G475*10000+ROW(),"")</f>
        <v/>
      </c>
      <c r="K475" s="38" t="str">
        <f aca="false">IF($H475=1,$I475*1000+COUNTIFS($I$4:$I$483,$I475,$J$4:$J$483,"&lt;"&amp;$J475)+1,"")</f>
        <v/>
      </c>
    </row>
    <row r="476" customFormat="false" ht="15" hidden="false" customHeight="false" outlineLevel="0" collapsed="false">
      <c r="A476" s="46" t="n">
        <v>30</v>
      </c>
      <c r="B476" s="46" t="n">
        <v>9</v>
      </c>
      <c r="C476" s="38" t="str">
        <f aca="false">IF(OR(Recurring!$B$34="",Recurring!$H$34&lt;&gt;"Yes",Recurring!$D$34=""),"",Recurring!$B$34)</f>
        <v/>
      </c>
      <c r="D476" s="38" t="str">
        <f aca="false">IF($C476="","",Recurring!$C$34)</f>
        <v/>
      </c>
      <c r="E476" s="76" t="str">
        <f aca="false">IF($C476="","",Recurring!$D$34)</f>
        <v/>
      </c>
      <c r="F476" s="77"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77" t="str">
        <f aca="false">IF($F476="","",IF(Recurring!$G$34="Move Before",IF(WEEKDAY($F476,2)=6,$F476-1,IF(WEEKDAY($F476,2)=7,$F476-2,$F476)),IF(Recurring!$G$34="Move After",IF(WEEKDAY($F476,2)=6,$F476+2,IF(WEEKDAY($F476,2)=7,$F476+1,$F476)),$F476)))</f>
        <v/>
      </c>
      <c r="H476" s="78" t="n">
        <f aca="false">IF($G476="",0,IF(AND($G476&gt;='Cash Flow'!$E$6,$G476&lt;'Cash Flow'!$E$6+91),1,0))</f>
        <v>0</v>
      </c>
      <c r="I476" s="78" t="str">
        <f aca="false">IF($H476=1,MAX(1,INT(($G476-'Cash Flow'!$E$6)/7)+1),"")</f>
        <v/>
      </c>
      <c r="J476" s="38" t="str">
        <f aca="false">IF($H476=1,$G476*10000+ROW(),"")</f>
        <v/>
      </c>
      <c r="K476" s="38" t="str">
        <f aca="false">IF($H476=1,$I476*1000+COUNTIFS($I$4:$I$483,$I476,$J$4:$J$483,"&lt;"&amp;$J476)+1,"")</f>
        <v/>
      </c>
    </row>
    <row r="477" customFormat="false" ht="15" hidden="false" customHeight="false" outlineLevel="0" collapsed="false">
      <c r="A477" s="46" t="n">
        <v>30</v>
      </c>
      <c r="B477" s="46" t="n">
        <v>10</v>
      </c>
      <c r="C477" s="38" t="str">
        <f aca="false">IF(OR(Recurring!$B$34="",Recurring!$H$34&lt;&gt;"Yes",Recurring!$D$34=""),"",Recurring!$B$34)</f>
        <v/>
      </c>
      <c r="D477" s="38" t="str">
        <f aca="false">IF($C477="","",Recurring!$C$34)</f>
        <v/>
      </c>
      <c r="E477" s="76" t="str">
        <f aca="false">IF($C477="","",Recurring!$D$34)</f>
        <v/>
      </c>
      <c r="F477" s="77"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77" t="str">
        <f aca="false">IF($F477="","",IF(Recurring!$G$34="Move Before",IF(WEEKDAY($F477,2)=6,$F477-1,IF(WEEKDAY($F477,2)=7,$F477-2,$F477)),IF(Recurring!$G$34="Move After",IF(WEEKDAY($F477,2)=6,$F477+2,IF(WEEKDAY($F477,2)=7,$F477+1,$F477)),$F477)))</f>
        <v/>
      </c>
      <c r="H477" s="78" t="n">
        <f aca="false">IF($G477="",0,IF(AND($G477&gt;='Cash Flow'!$E$6,$G477&lt;'Cash Flow'!$E$6+91),1,0))</f>
        <v>0</v>
      </c>
      <c r="I477" s="78" t="str">
        <f aca="false">IF($H477=1,MAX(1,INT(($G477-'Cash Flow'!$E$6)/7)+1),"")</f>
        <v/>
      </c>
      <c r="J477" s="38" t="str">
        <f aca="false">IF($H477=1,$G477*10000+ROW(),"")</f>
        <v/>
      </c>
      <c r="K477" s="38" t="str">
        <f aca="false">IF($H477=1,$I477*1000+COUNTIFS($I$4:$I$483,$I477,$J$4:$J$483,"&lt;"&amp;$J477)+1,"")</f>
        <v/>
      </c>
    </row>
    <row r="478" customFormat="false" ht="15" hidden="false" customHeight="false" outlineLevel="0" collapsed="false">
      <c r="A478" s="46" t="n">
        <v>30</v>
      </c>
      <c r="B478" s="46" t="n">
        <v>11</v>
      </c>
      <c r="C478" s="38" t="str">
        <f aca="false">IF(OR(Recurring!$B$34="",Recurring!$H$34&lt;&gt;"Yes",Recurring!$D$34=""),"",Recurring!$B$34)</f>
        <v/>
      </c>
      <c r="D478" s="38" t="str">
        <f aca="false">IF($C478="","",Recurring!$C$34)</f>
        <v/>
      </c>
      <c r="E478" s="76" t="str">
        <f aca="false">IF($C478="","",Recurring!$D$34)</f>
        <v/>
      </c>
      <c r="F478" s="77"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77" t="str">
        <f aca="false">IF($F478="","",IF(Recurring!$G$34="Move Before",IF(WEEKDAY($F478,2)=6,$F478-1,IF(WEEKDAY($F478,2)=7,$F478-2,$F478)),IF(Recurring!$G$34="Move After",IF(WEEKDAY($F478,2)=6,$F478+2,IF(WEEKDAY($F478,2)=7,$F478+1,$F478)),$F478)))</f>
        <v/>
      </c>
      <c r="H478" s="78" t="n">
        <f aca="false">IF($G478="",0,IF(AND($G478&gt;='Cash Flow'!$E$6,$G478&lt;'Cash Flow'!$E$6+91),1,0))</f>
        <v>0</v>
      </c>
      <c r="I478" s="78" t="str">
        <f aca="false">IF($H478=1,MAX(1,INT(($G478-'Cash Flow'!$E$6)/7)+1),"")</f>
        <v/>
      </c>
      <c r="J478" s="38" t="str">
        <f aca="false">IF($H478=1,$G478*10000+ROW(),"")</f>
        <v/>
      </c>
      <c r="K478" s="38" t="str">
        <f aca="false">IF($H478=1,$I478*1000+COUNTIFS($I$4:$I$483,$I478,$J$4:$J$483,"&lt;"&amp;$J478)+1,"")</f>
        <v/>
      </c>
    </row>
    <row r="479" customFormat="false" ht="15" hidden="false" customHeight="false" outlineLevel="0" collapsed="false">
      <c r="A479" s="46" t="n">
        <v>30</v>
      </c>
      <c r="B479" s="46" t="n">
        <v>12</v>
      </c>
      <c r="C479" s="38" t="str">
        <f aca="false">IF(OR(Recurring!$B$34="",Recurring!$H$34&lt;&gt;"Yes",Recurring!$D$34=""),"",Recurring!$B$34)</f>
        <v/>
      </c>
      <c r="D479" s="38" t="str">
        <f aca="false">IF($C479="","",Recurring!$C$34)</f>
        <v/>
      </c>
      <c r="E479" s="76" t="str">
        <f aca="false">IF($C479="","",Recurring!$D$34)</f>
        <v/>
      </c>
      <c r="F479" s="77"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77" t="str">
        <f aca="false">IF($F479="","",IF(Recurring!$G$34="Move Before",IF(WEEKDAY($F479,2)=6,$F479-1,IF(WEEKDAY($F479,2)=7,$F479-2,$F479)),IF(Recurring!$G$34="Move After",IF(WEEKDAY($F479,2)=6,$F479+2,IF(WEEKDAY($F479,2)=7,$F479+1,$F479)),$F479)))</f>
        <v/>
      </c>
      <c r="H479" s="78" t="n">
        <f aca="false">IF($G479="",0,IF(AND($G479&gt;='Cash Flow'!$E$6,$G479&lt;'Cash Flow'!$E$6+91),1,0))</f>
        <v>0</v>
      </c>
      <c r="I479" s="78" t="str">
        <f aca="false">IF($H479=1,MAX(1,INT(($G479-'Cash Flow'!$E$6)/7)+1),"")</f>
        <v/>
      </c>
      <c r="J479" s="38" t="str">
        <f aca="false">IF($H479=1,$G479*10000+ROW(),"")</f>
        <v/>
      </c>
      <c r="K479" s="38" t="str">
        <f aca="false">IF($H479=1,$I479*1000+COUNTIFS($I$4:$I$483,$I479,$J$4:$J$483,"&lt;"&amp;$J479)+1,"")</f>
        <v/>
      </c>
    </row>
    <row r="480" customFormat="false" ht="15" hidden="false" customHeight="false" outlineLevel="0" collapsed="false">
      <c r="A480" s="46" t="n">
        <v>30</v>
      </c>
      <c r="B480" s="46" t="n">
        <v>13</v>
      </c>
      <c r="C480" s="38" t="str">
        <f aca="false">IF(OR(Recurring!$B$34="",Recurring!$H$34&lt;&gt;"Yes",Recurring!$D$34=""),"",Recurring!$B$34)</f>
        <v/>
      </c>
      <c r="D480" s="38" t="str">
        <f aca="false">IF($C480="","",Recurring!$C$34)</f>
        <v/>
      </c>
      <c r="E480" s="76" t="str">
        <f aca="false">IF($C480="","",Recurring!$D$34)</f>
        <v/>
      </c>
      <c r="F480" s="77"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77" t="str">
        <f aca="false">IF($F480="","",IF(Recurring!$G$34="Move Before",IF(WEEKDAY($F480,2)=6,$F480-1,IF(WEEKDAY($F480,2)=7,$F480-2,$F480)),IF(Recurring!$G$34="Move After",IF(WEEKDAY($F480,2)=6,$F480+2,IF(WEEKDAY($F480,2)=7,$F480+1,$F480)),$F480)))</f>
        <v/>
      </c>
      <c r="H480" s="78" t="n">
        <f aca="false">IF($G480="",0,IF(AND($G480&gt;='Cash Flow'!$E$6,$G480&lt;'Cash Flow'!$E$6+91),1,0))</f>
        <v>0</v>
      </c>
      <c r="I480" s="78" t="str">
        <f aca="false">IF($H480=1,MAX(1,INT(($G480-'Cash Flow'!$E$6)/7)+1),"")</f>
        <v/>
      </c>
      <c r="J480" s="38" t="str">
        <f aca="false">IF($H480=1,$G480*10000+ROW(),"")</f>
        <v/>
      </c>
      <c r="K480" s="38" t="str">
        <f aca="false">IF($H480=1,$I480*1000+COUNTIFS($I$4:$I$483,$I480,$J$4:$J$483,"&lt;"&amp;$J480)+1,"")</f>
        <v/>
      </c>
    </row>
    <row r="481" customFormat="false" ht="15" hidden="false" customHeight="false" outlineLevel="0" collapsed="false">
      <c r="A481" s="46" t="n">
        <v>30</v>
      </c>
      <c r="B481" s="46" t="n">
        <v>14</v>
      </c>
      <c r="C481" s="38" t="str">
        <f aca="false">IF(OR(Recurring!$B$34="",Recurring!$H$34&lt;&gt;"Yes",Recurring!$D$34=""),"",Recurring!$B$34)</f>
        <v/>
      </c>
      <c r="D481" s="38" t="str">
        <f aca="false">IF($C481="","",Recurring!$C$34)</f>
        <v/>
      </c>
      <c r="E481" s="76" t="str">
        <f aca="false">IF($C481="","",Recurring!$D$34)</f>
        <v/>
      </c>
      <c r="F481" s="77"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77" t="str">
        <f aca="false">IF($F481="","",IF(Recurring!$G$34="Move Before",IF(WEEKDAY($F481,2)=6,$F481-1,IF(WEEKDAY($F481,2)=7,$F481-2,$F481)),IF(Recurring!$G$34="Move After",IF(WEEKDAY($F481,2)=6,$F481+2,IF(WEEKDAY($F481,2)=7,$F481+1,$F481)),$F481)))</f>
        <v/>
      </c>
      <c r="H481" s="78" t="n">
        <f aca="false">IF($G481="",0,IF(AND($G481&gt;='Cash Flow'!$E$6,$G481&lt;'Cash Flow'!$E$6+91),1,0))</f>
        <v>0</v>
      </c>
      <c r="I481" s="78" t="str">
        <f aca="false">IF($H481=1,MAX(1,INT(($G481-'Cash Flow'!$E$6)/7)+1),"")</f>
        <v/>
      </c>
      <c r="J481" s="38" t="str">
        <f aca="false">IF($H481=1,$G481*10000+ROW(),"")</f>
        <v/>
      </c>
      <c r="K481" s="38" t="str">
        <f aca="false">IF($H481=1,$I481*1000+COUNTIFS($I$4:$I$483,$I481,$J$4:$J$483,"&lt;"&amp;$J481)+1,"")</f>
        <v/>
      </c>
    </row>
    <row r="482" customFormat="false" ht="15" hidden="false" customHeight="false" outlineLevel="0" collapsed="false">
      <c r="A482" s="46" t="n">
        <v>30</v>
      </c>
      <c r="B482" s="46" t="n">
        <v>15</v>
      </c>
      <c r="C482" s="38" t="str">
        <f aca="false">IF(OR(Recurring!$B$34="",Recurring!$H$34&lt;&gt;"Yes",Recurring!$D$34=""),"",Recurring!$B$34)</f>
        <v/>
      </c>
      <c r="D482" s="38" t="str">
        <f aca="false">IF($C482="","",Recurring!$C$34)</f>
        <v/>
      </c>
      <c r="E482" s="76" t="str">
        <f aca="false">IF($C482="","",Recurring!$D$34)</f>
        <v/>
      </c>
      <c r="F482" s="77"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77" t="str">
        <f aca="false">IF($F482="","",IF(Recurring!$G$34="Move Before",IF(WEEKDAY($F482,2)=6,$F482-1,IF(WEEKDAY($F482,2)=7,$F482-2,$F482)),IF(Recurring!$G$34="Move After",IF(WEEKDAY($F482,2)=6,$F482+2,IF(WEEKDAY($F482,2)=7,$F482+1,$F482)),$F482)))</f>
        <v/>
      </c>
      <c r="H482" s="78" t="n">
        <f aca="false">IF($G482="",0,IF(AND($G482&gt;='Cash Flow'!$E$6,$G482&lt;'Cash Flow'!$E$6+91),1,0))</f>
        <v>0</v>
      </c>
      <c r="I482" s="78" t="str">
        <f aca="false">IF($H482=1,MAX(1,INT(($G482-'Cash Flow'!$E$6)/7)+1),"")</f>
        <v/>
      </c>
      <c r="J482" s="38" t="str">
        <f aca="false">IF($H482=1,$G482*10000+ROW(),"")</f>
        <v/>
      </c>
      <c r="K482" s="38" t="str">
        <f aca="false">IF($H482=1,$I482*1000+COUNTIFS($I$4:$I$483,$I482,$J$4:$J$483,"&lt;"&amp;$J482)+1,"")</f>
        <v/>
      </c>
    </row>
    <row r="483" customFormat="false" ht="15" hidden="false" customHeight="false" outlineLevel="0" collapsed="false">
      <c r="A483" s="46" t="n">
        <v>30</v>
      </c>
      <c r="B483" s="46" t="n">
        <v>16</v>
      </c>
      <c r="C483" s="38" t="str">
        <f aca="false">IF(OR(Recurring!$B$34="",Recurring!$H$34&lt;&gt;"Yes",Recurring!$D$34=""),"",Recurring!$B$34)</f>
        <v/>
      </c>
      <c r="D483" s="38" t="str">
        <f aca="false">IF($C483="","",Recurring!$C$34)</f>
        <v/>
      </c>
      <c r="E483" s="76" t="str">
        <f aca="false">IF($C483="","",Recurring!$D$34)</f>
        <v/>
      </c>
      <c r="F483" s="77"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77" t="str">
        <f aca="false">IF($F483="","",IF(Recurring!$G$34="Move Before",IF(WEEKDAY($F483,2)=6,$F483-1,IF(WEEKDAY($F483,2)=7,$F483-2,$F483)),IF(Recurring!$G$34="Move After",IF(WEEKDAY($F483,2)=6,$F483+2,IF(WEEKDAY($F483,2)=7,$F483+1,$F483)),$F483)))</f>
        <v/>
      </c>
      <c r="H483" s="78" t="n">
        <f aca="false">IF($G483="",0,IF(AND($G483&gt;='Cash Flow'!$E$6,$G483&lt;'Cash Flow'!$E$6+91),1,0))</f>
        <v>0</v>
      </c>
      <c r="I483" s="78" t="str">
        <f aca="false">IF($H483=1,MAX(1,INT(($G483-'Cash Flow'!$E$6)/7)+1),"")</f>
        <v/>
      </c>
      <c r="J483" s="38" t="str">
        <f aca="false">IF($H483=1,$G483*10000+ROW(),"")</f>
        <v/>
      </c>
      <c r="K483" s="38" t="str">
        <f aca="false">IF($H483=1,$I483*1000+COUNTIFS($I$4:$I$483,$I483,$J$4:$J$483,"&lt;"&amp;$J483)+1,"")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2026-08-08T17:09:41Z</dcterms:created>
  <dc:creator>openpyxl</dc:creator>
  <dc:description/>
  <dc:language>en-US</dc:language>
  <cp:lastModifiedBy/>
  <dcterms:modified xsi:type="dcterms:W3CDTF">2026-08-08T17:09:41Z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