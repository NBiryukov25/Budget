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Recurring" sheetId="2" state="visible" r:id="rId4"/>
    <sheet name="Summary" sheetId="3" state="visible" r:id="rId5"/>
    <sheet name="Week Cards"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<sst xmlns="http://schemas.openxmlformats.org/spreadsheetml/2006/main" count="630" uniqueCount="250">
  <si>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</si>
  <si>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</si>
  <si>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</si>
  <si>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</si>
  <si>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</si>
  <si>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</si>
  <si>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</si>
  <si>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</si>
  <si>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</si>
  <si>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</si>
  <si>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</si>
  <si>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</si>
  <si>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</si>
  <si>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</si>
  <si>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</si>
  <si>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</si>
  <si>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</si>
  <si>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</si>
  <si>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</si>
  <si>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</si>
  <si>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</si>
  <si>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</si>
  <si>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</si>
  <si>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</si>
  <si>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</si>
  <si>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</si>
  <si>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</si>
  <si>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</si>
  <si>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</si>
  <si>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</si>
  <si>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</si>
  <si>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</si>
  <si>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</si>
  <si>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</si>
  <si>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</si>
  <si>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</si>
  <si>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</si>
  <si>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</si>
  <si>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</si>
  <si>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</si>
  <si>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</si>
  <si>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</si>
  <si>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</si>
  <si>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</si>
  <si>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</si>
  <si>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</si>
  <si>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</si>
  <si>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</si>
  <si>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</si>
  <si>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</si>
  <si>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</si>
  <si>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</si>
  <si>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</si>
  <si>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</si>
  <si>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</si>
  <si>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</si>
  <si>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</si>
  <si>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</si>
  <si>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</si>
  <si>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</si>
  <si>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</si>
  <si>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</si>
  <si>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</si>
  <si>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</si>
  <si>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</si>
  <si>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</si>
  <si>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</si>
  <si>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</si>
  <si>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</si>
  <si>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</si>
  <si>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</si>
  <si>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</si>
  <si>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</si>
  <si>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</si>
  <si>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</si>
  <si>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</si>
  <si>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</si>
  <si>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</si>
  <si>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</si>
  <si>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</si>
  <si>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</si>
  <si>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</si>
  <si>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</si>
  <si>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</si>
  <si>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</si>
  <si>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</si>
  <si>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</si>
  <si>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</si>
  <si>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</si>
  <si>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Earnin' advance</t>
  </si>
  <si>
    <t xml:space="preserve">Earnin</t>
  </si>
  <si>
    <t xml:space="preserve">Earnin' repayment</t>
  </si>
  <si>
    <t xml:space="preserve">Expected: repays the Aug 29 advance. Tip was 7.99 last time, 11.99 before that.</t>
  </si>
  <si>
    <t xml:space="preserve">Microsoft (2nd subscription)</t>
  </si>
  <si>
    <t xml:space="preserve">Second Microsoft subscription, billed separately from the 13.70</t>
  </si>
  <si>
    <t xml:space="preserve">Earnin'</t>
  </si>
  <si>
    <t xml:space="preserve">Earnin Advance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</si>
  <si>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</si>
  <si>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</si>
  <si>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</si>
  <si>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</si>
  <si>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</si>
  <si>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</si>
  <si>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</si>
  <si>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</si>
  <si>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</si>
  <si>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</si>
  <si>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</si>
  <si>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</si>
  <si>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</si>
  <si>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</si>
  <si>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</si>
  <si>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</si>
  <si>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</si>
  <si>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</si>
  <si>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</si>
  <si>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</si>
  <si>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</si>
  <si>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</si>
  <si>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</si>
  <si>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</si>
  <si>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</si>
  <si>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</si>
  <si>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</si>
  <si>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</si>
  <si>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</si>
  <si>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</si>
  <si>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THE WEEKS AHEAD</t>
  </si>
  <si>
    <t xml:space="preserve">Red banner: the week dips below zero. Amber: it stays up but lands under your cushion.</t>
  </si>
  <si>
    <t xml:space="preserve">Nothing here is typed in. Edit elsewhere and these follow.</t>
  </si>
  <si>
    <t xml:space="preserve">Starts with</t>
  </si>
  <si>
    <t xml:space="preserve">SCHEDULED THIS WEEK</t>
  </si>
  <si>
    <t xml:space="preserve">Money in</t>
  </si>
  <si>
    <t xml:space="preserve">Bills</t>
  </si>
  <si>
    <t xml:space="preserve">Lowest point</t>
  </si>
  <si>
    <t xml:space="preserve">ENDS WITH</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</si>
  <si>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</si>
  <si>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</si>
  <si>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</si>
  <si>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</si>
  <si>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</si>
  <si>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</si>
  <si>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</si>
  <si>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</si>
  <si>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</si>
  <si>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</si>
  <si>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</si>
  <si>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</si>
  <si>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</si>
  <si>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</si>
  <si>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</si>
  <si>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</si>
  <si>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</si>
  <si>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</si>
  <si>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</si>
  <si>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</si>
  <si>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</si>
  <si>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</si>
  <si>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</si>
  <si>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</si>
  <si>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</si>
  <si>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</si>
  <si>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</si>
  <si>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</si>
  <si>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</si>
  <si>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</si>
  <si>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</si>
  <si>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</si>
  <si>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</si>
  <si>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</si>
  <si>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</si>
  <si>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</si>
  <si>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</si>
  <si>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</si>
  <si>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</si>
  <si>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</si>
  <si>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</si>
  <si>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</si>
  <si>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Remitly</t>
  </si>
  <si>
    <t xml:space="preserve">Dunkin</t>
  </si>
  <si>
    <t xml:space="preserve">7-eleven</t>
  </si>
  <si>
    <t xml:space="preserve">Hannaford </t>
  </si>
  <si>
    <t xml:space="preserve">Smart glocal</t>
  </si>
  <si>
    <t xml:space="preserve">First stop convenience</t>
  </si>
  <si>
    <t xml:space="preserve">Cash withdrawal at 3 Auburn St</t>
  </si>
  <si>
    <t xml:space="preserve">Cumberland Farms</t>
  </si>
  <si>
    <t xml:space="preserve">Idexx Cafe</t>
  </si>
  <si>
    <t xml:space="preserve">Big Apple #1084</t>
  </si>
  <si>
    <t xml:space="preserve">Hannaford Supermarket</t>
  </si>
  <si>
    <t xml:space="preserve">Amatos Gorham 3 M</t>
  </si>
  <si>
    <t xml:space="preserve">Cash withdrawal at 16 Main Street</t>
  </si>
  <si>
    <t xml:space="preserve">Westbrook Market</t>
  </si>
  <si>
    <t xml:space="preserve">Venice.ai</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</si>
  <si>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</si>
  <si>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</si>
  <si>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</si>
  <si>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</si>
  <si>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</si>
  <si>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</si>
  <si>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</si>
  <si>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</si>
  <si>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</si>
  <si>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</si>
  <si>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</si>
  <si>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</si>
  <si>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</si>
  <si>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</si>
  <si>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</si>
  <si>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</si>
  <si>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</si>
  <si>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</si>
  <si>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</si>
  <si>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</si>
  <si>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</si>
  <si>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</si>
  <si>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</si>
  <si>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</si>
  <si>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</si>
  <si>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Moved from Amount Paid</t>
  </si>
  <si>
    <t xml:space="preserve">PAYROLL BRT1     *1820373204 on Aug 25</t>
  </si>
  <si>
    <t xml:space="preserve">PAYROLL 1019275906        M3 on Aug 27</t>
  </si>
  <si>
    <t xml:space="preserve">REPAYMENT on Aug 27</t>
  </si>
  <si>
    <t xml:space="preserve">Earnin Ad on Aug 29</t>
  </si>
  <si>
    <t xml:space="preserve">Paid Aug 23</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</si>
  <si>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</si>
  <si>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</si>
  <si>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</si>
  <si>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</si>
  <si>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</si>
  <si>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</si>
  <si>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</si>
  <si>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</si>
  <si>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</si>
  <si>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</si>
  <si>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Compunnel Software (Paycheck)</t>
  </si>
  <si>
    <t xml:space="preserve">Labor Day short, one day of pay</t>
  </si>
  <si>
    <t xml:space="preserv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</si>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</sst>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0">
    <numFmt numFmtId="164" formatCode="General"/>
    <numFmt numFmtId="165" formatCode="General"/>
    <numFmt numFmtId="166" formatCode="\$#,##0.00;&quot;($&quot;#,##0.00\);\–"/>
    <numFmt numFmtId="167" formatCode="ddd\ mmm\ d&quot;, &quot;yyyy"/>
    <numFmt numFmtId="168" formatCode="\$#,##0.00"/>
    <numFmt numFmtId="169" formatCode="\$#,##0.00;[RED]&quot;($&quot;#,##0.00\);\–"/>
    <numFmt numFmtId="170" formatCode="ddd\ mm/dd"/>
    <numFmt numFmtId="171" formatCode="\$#,##0.00;&quot;($&quot;#,##0.00\);\-"/>
    <numFmt numFmtId="172" formatCode="ddd\ m/d"/>
    <numFmt numFmtId="173" formatCode="\$#,##0.00;&quot;($&quot;#,##0.00\);\$0.00"/>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i val="true"/>
      <sz val="9"/>
      <color rgb="FF595959"/>
      <name val="Aptos Narrow"/>
      <family val="0"/>
      <charset val="1"/>
    </font>
    <font>
      <b val="true"/>
      <sz val="11"/>
      <color rgb="FFFFFFFF"/>
      <name val="Aptos Narrow"/>
      <family val="0"/>
      <charset val="1"/>
    </font>
    <font>
      <sz val="10"/>
      <color rgb="FF595959"/>
      <name val="Aptos Narrow"/>
      <family val="0"/>
      <charset val="1"/>
    </font>
    <font>
      <sz val="10"/>
      <color rgb="FF000000"/>
      <name val="Aptos Narrow"/>
      <family val="0"/>
      <charset val="1"/>
    </font>
    <font>
      <sz val="9"/>
      <color rgb="FF595959"/>
      <name val="Aptos Narrow"/>
      <family val="0"/>
      <charset val="1"/>
    </font>
    <font>
      <b val="true"/>
      <sz val="10"/>
      <color rgb="FF006100"/>
      <name val="Aptos Narrow"/>
      <family val="0"/>
      <charset val="1"/>
    </font>
    <font>
      <sz val="10"/>
      <color rgb="FF9C0006"/>
      <name val="Aptos Narrow"/>
      <family val="0"/>
      <charset val="1"/>
    </font>
    <font>
      <b val="true"/>
      <sz val="10"/>
      <color rgb="FF000000"/>
      <name val="Aptos Narrow"/>
      <family val="0"/>
      <charset val="1"/>
    </font>
    <font>
      <b val="true"/>
      <sz val="12"/>
      <color rgb="FFFFFFFF"/>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FFFF00"/>
        <bgColor rgb="FFFFEB9C"/>
      </patternFill>
    </fill>
    <fill>
      <patternFill patternType="solid">
        <fgColor rgb="FFD9E2F3"/>
        <bgColor rgb="FFDDEBF7"/>
      </patternFill>
    </fill>
  </fills>
  <borders count="1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AEAEAE"/>
      </left>
      <right style="thin">
        <color rgb="FFAEAEAE"/>
      </right>
      <top style="thin">
        <color rgb="FFAEAEAE"/>
      </top>
      <bottom/>
      <diagonal/>
    </border>
    <border diagonalUp="false" diagonalDown="false">
      <left style="thin">
        <color rgb="FFAEAEAE"/>
      </left>
      <right/>
      <top/>
      <bottom/>
      <diagonal/>
    </border>
    <border diagonalUp="false" diagonalDown="false">
      <left/>
      <right style="thin">
        <color rgb="FFAEAEAE"/>
      </right>
      <top/>
      <bottom/>
      <diagonal/>
    </border>
    <border diagonalUp="false" diagonalDown="false">
      <left style="thin">
        <color rgb="FFAEAEAE"/>
      </left>
      <right/>
      <top style="thin">
        <color rgb="FFD0D0D0"/>
      </top>
      <bottom/>
      <diagonal/>
    </border>
    <border diagonalUp="false" diagonalDown="false">
      <left/>
      <right/>
      <top style="thin">
        <color rgb="FFD0D0D0"/>
      </top>
      <bottom/>
      <diagonal/>
    </border>
    <border diagonalUp="false" diagonalDown="false">
      <left/>
      <right style="thin">
        <color rgb="FFAEAEAE"/>
      </right>
      <top style="thin">
        <color rgb="FFD0D0D0"/>
      </top>
      <bottom/>
      <diagonal/>
    </border>
    <border diagonalUp="false" diagonalDown="false">
      <left style="thin">
        <color rgb="FFAEAEAE"/>
      </left>
      <right style="thin">
        <color rgb="FFAEAEAE"/>
      </right>
      <top/>
      <bottom style="thin">
        <color rgb="FFAEAEAE"/>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8" fontId="12" fillId="3" borderId="1" xfId="0" applyFont="true" applyBorder="tru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9"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center" textRotation="0" wrapText="false" indent="0" shrinkToFit="false"/>
      <protection locked="true" hidden="false"/>
    </xf>
    <xf numFmtId="164" fontId="20" fillId="0" borderId="3" xfId="0" applyFont="true" applyBorder="true" applyAlignment="true" applyProtection="false">
      <alignment horizontal="general" vertical="bottom" textRotation="0" wrapText="false" indent="0" shrinkToFit="false"/>
      <protection locked="true" hidden="false"/>
    </xf>
    <xf numFmtId="171" fontId="21" fillId="0" borderId="4" xfId="0" applyFont="true" applyBorder="true" applyAlignment="true" applyProtection="false">
      <alignment horizontal="right" vertical="bottom" textRotation="0" wrapText="false" indent="0" shrinkToFit="false"/>
      <protection locked="true" hidden="false"/>
    </xf>
    <xf numFmtId="164" fontId="22" fillId="0"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72" fontId="22" fillId="0" borderId="3" xfId="0" applyFont="true" applyBorder="tru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left" vertical="bottom" textRotation="0" wrapText="false" indent="0" shrinkToFit="false"/>
      <protection locked="true" hidden="false"/>
    </xf>
    <xf numFmtId="173" fontId="21" fillId="0" borderId="4" xfId="0" applyFont="true" applyBorder="true" applyAlignment="true" applyProtection="false">
      <alignment horizontal="right" vertical="bottom" textRotation="0" wrapText="false" indent="0" shrinkToFit="false"/>
      <protection locked="true" hidden="false"/>
    </xf>
    <xf numFmtId="164" fontId="20" fillId="0" borderId="5" xfId="0" applyFont="true" applyBorder="true" applyAlignment="true" applyProtection="false">
      <alignment horizontal="general" vertical="bottom" textRotation="0" wrapText="false" indent="0" shrinkToFit="false"/>
      <protection locked="true" hidden="false"/>
    </xf>
    <xf numFmtId="171" fontId="23" fillId="0" borderId="7" xfId="0" applyFont="true" applyBorder="true" applyAlignment="true" applyProtection="false">
      <alignment horizontal="right" vertical="bottom" textRotation="0" wrapText="false" indent="0" shrinkToFit="false"/>
      <protection locked="true" hidden="false"/>
    </xf>
    <xf numFmtId="171" fontId="24" fillId="0" borderId="4"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71" fontId="25" fillId="0" borderId="4" xfId="0" applyFont="true" applyBorder="true" applyAlignment="true" applyProtection="false">
      <alignment horizontal="right" vertical="bottom" textRotation="0" wrapText="false" indent="0" shrinkToFit="false"/>
      <protection locked="true" hidden="false"/>
    </xf>
    <xf numFmtId="164" fontId="26" fillId="8" borderId="3" xfId="0" applyFont="true" applyBorder="true" applyAlignment="true" applyProtection="false">
      <alignment horizontal="left" vertical="center" textRotation="0" wrapText="false" indent="0" shrinkToFit="false"/>
      <protection locked="true" hidden="false"/>
    </xf>
    <xf numFmtId="171" fontId="26" fillId="0" borderId="4" xfId="0" applyFont="true" applyBorder="tru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bottom" textRotation="0" wrapText="false" indent="0" shrinkToFit="false"/>
      <protection locked="true" hidden="false"/>
    </xf>
    <xf numFmtId="166" fontId="12" fillId="9" borderId="1" xfId="0" applyFont="true" applyBorder="true" applyAlignment="true" applyProtection="true">
      <alignment horizontal="center" vertical="center" textRotation="0" wrapText="false" indent="0" shrinkToFit="false"/>
      <protection locked="false" hidden="false"/>
    </xf>
    <xf numFmtId="167" fontId="12" fillId="9"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69"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0"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9"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border diagonalUp="false" diagonalDown="false">
        <left/>
        <right/>
        <top/>
        <bottom style="hair">
          <color rgb="FFBFBFBF"/>
        </bottom>
        <diagonal/>
      </border>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AEAEAE"/>
      <rgbColor rgb="FF993366"/>
      <rgbColor rgb="FFFFF9D6"/>
      <rgbColor rgb="FFDDEBF7"/>
      <rgbColor rgb="FF660066"/>
      <rgbColor rgb="FFF2F2F2"/>
      <rgbColor rgb="FF0066CC"/>
      <rgbColor rgb="FFD0D0D0"/>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33CCCC"/>
      <rgbColor rgb="FFF2F6FB"/>
      <rgbColor rgb="FFFCE4D6"/>
      <rgbColor rgb="FFFF9900"/>
      <rgbColor rgb="FFFF6600"/>
      <rgbColor rgb="FF595959"/>
      <rgbColor rgb="FFA6A6A6"/>
      <rgbColor rgb="FF1F3864"/>
      <rgbColor rgb="FF339966"/>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25.97"/>
    <col collapsed="false" customWidth="true" hidden="false" outlineLevel="0" max="3" min="3" style="1" width="96.05"/>
    <col collapsed="false" customWidth="true" hidden="false" outlineLevel="0" max="5" min="4" style="1" width="2.96"/>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$400.00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$802.65,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F5" activePane="bottomRight" state="frozen"/>
      <selection pane="topLeft" activeCell="A1" activeCellId="0" sqref="A1"/>
      <selection pane="topRight" activeCell="F1" activeCellId="0" sqref="F1"/>
      <selection pane="bottomLeft" activeCell="A5" activeCellId="0" sqref="A5"/>
      <selection pane="bottomRight" activeCell="E36" activeCellId="0" sqref="E36"/>
    </sheetView>
  </sheetViews>
  <sheetFormatPr defaultColWidth="8.609375" defaultRowHeight="15" zeroHeight="false" outlineLevelRow="0" outlineLevelCol="0"/>
  <cols>
    <col collapsed="false" customWidth="true" hidden="false" outlineLevel="0" max="1" min="1" style="1" width="6.05"/>
    <col collapsed="false" customWidth="true" hidden="false" outlineLevel="0" max="2" min="2" style="1" width="29.99"/>
    <col collapsed="false" customWidth="true" hidden="false" outlineLevel="0" max="3" min="3" style="1" width="11.03"/>
    <col collapsed="false" customWidth="true" hidden="false" outlineLevel="0" max="4" min="4" style="1" width="11.97"/>
    <col collapsed="false" customWidth="true" hidden="false" outlineLevel="0" max="5" min="5" style="1" width="16.01"/>
    <col collapsed="false" customWidth="true" hidden="false" outlineLevel="0" max="6" min="6" style="1" width="20.44"/>
    <col collapsed="false" customWidth="true" hidden="false" outlineLevel="0" max="7" min="7" style="1" width="13.99"/>
    <col collapsed="false" customWidth="true" hidden="false" outlineLevel="0" max="8" min="8" style="1" width="7.94"/>
    <col collapsed="false" customWidth="true" hidden="false" outlineLevel="0" max="9" min="9" style="1" width="14.93"/>
    <col collapsed="false" customWidth="true" hidden="false" outlineLevel="0" max="10" min="10" style="1" width="20.04"/>
    <col collapsed="false" customWidth="true" hidden="false" outlineLevel="0" max="11" min="11" style="1" width="46.01"/>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802.65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314.95</v>
      </c>
      <c r="E22" s="14" t="s">
        <v>86</v>
      </c>
      <c r="F22" s="16" t="n">
        <v>46257</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9" t="s">
        <v>89</v>
      </c>
      <c r="C23" s="20" t="s">
        <v>51</v>
      </c>
      <c r="D23" s="25" t="n">
        <v>100</v>
      </c>
      <c r="E23" s="20" t="s">
        <v>86</v>
      </c>
      <c r="F23" s="22" t="n">
        <v>46263</v>
      </c>
      <c r="G23" s="20" t="s">
        <v>53</v>
      </c>
      <c r="H23" s="20" t="s">
        <v>54</v>
      </c>
      <c r="I23" s="19" t="s">
        <v>90</v>
      </c>
      <c r="J23" s="19"/>
      <c r="K23" s="23"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t="s">
        <v>91</v>
      </c>
      <c r="C24" s="20" t="s">
        <v>58</v>
      </c>
      <c r="D24" s="25" t="n">
        <v>107.99</v>
      </c>
      <c r="E24" s="20" t="s">
        <v>86</v>
      </c>
      <c r="F24" s="22" t="n">
        <v>46261</v>
      </c>
      <c r="G24" s="20" t="s">
        <v>53</v>
      </c>
      <c r="H24" s="20" t="s">
        <v>54</v>
      </c>
      <c r="I24" s="19" t="s">
        <v>90</v>
      </c>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9" t="s">
        <v>91</v>
      </c>
      <c r="C25" s="20" t="s">
        <v>58</v>
      </c>
      <c r="D25" s="25" t="n">
        <v>107.99</v>
      </c>
      <c r="E25" s="20" t="s">
        <v>86</v>
      </c>
      <c r="F25" s="22" t="n">
        <v>46269</v>
      </c>
      <c r="G25" s="20" t="s">
        <v>53</v>
      </c>
      <c r="H25" s="20" t="s">
        <v>54</v>
      </c>
      <c r="I25" s="19" t="s">
        <v>90</v>
      </c>
      <c r="J25" s="19" t="s">
        <v>92</v>
      </c>
      <c r="K25" s="23"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t="s">
        <v>93</v>
      </c>
      <c r="C26" s="20" t="s">
        <v>58</v>
      </c>
      <c r="D26" s="25" t="n">
        <v>2.39</v>
      </c>
      <c r="E26" s="20" t="s">
        <v>59</v>
      </c>
      <c r="F26" s="22" t="n">
        <v>46257</v>
      </c>
      <c r="G26" s="20" t="s">
        <v>53</v>
      </c>
      <c r="H26" s="20" t="s">
        <v>54</v>
      </c>
      <c r="I26" s="19" t="s">
        <v>60</v>
      </c>
      <c r="J26" s="19" t="s">
        <v>94</v>
      </c>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t="s">
        <v>95</v>
      </c>
      <c r="C27" s="14" t="s">
        <v>51</v>
      </c>
      <c r="D27" s="15" t="n">
        <v>100</v>
      </c>
      <c r="E27" s="14" t="s">
        <v>86</v>
      </c>
      <c r="F27" s="16" t="n">
        <v>46258</v>
      </c>
      <c r="G27" s="14" t="s">
        <v>53</v>
      </c>
      <c r="H27" s="14" t="s">
        <v>54</v>
      </c>
      <c r="I27" s="13" t="s">
        <v>96</v>
      </c>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97</v>
      </c>
    </row>
    <row r="37" customFormat="false" ht="32.25" hidden="false" customHeight="true" outlineLevel="0" collapsed="false">
      <c r="B37" s="10" t="s">
        <v>98</v>
      </c>
    </row>
    <row r="38" customFormat="false" ht="15" hidden="false" customHeight="true" outlineLevel="0" collapsed="false">
      <c r="B38" s="26" t="s">
        <v>99</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6.99"/>
    <col collapsed="false" customWidth="true" hidden="false" outlineLevel="0" max="3" min="3" style="1" width="18.96"/>
    <col collapsed="false" customWidth="true" hidden="false" outlineLevel="0" max="4" min="4" style="1" width="13.05"/>
    <col collapsed="false" customWidth="true" hidden="false" outlineLevel="0" max="5" min="5" style="1" width="14.93"/>
    <col collapsed="false" customWidth="true" hidden="false" outlineLevel="0" max="6" min="6" style="1" width="16.01"/>
    <col collapsed="false" customWidth="true" hidden="false" outlineLevel="0" max="7" min="7" style="1" width="16.95"/>
    <col collapsed="false" customWidth="true" hidden="false" outlineLevel="0" max="9" min="8" style="1" width="16.01"/>
    <col collapsed="false" customWidth="true" hidden="false" outlineLevel="0" max="10" min="10" style="1" width="14.93"/>
    <col collapsed="false" customWidth="true" hidden="false" outlineLevel="0" max="12" min="11" style="1" width="11.97"/>
    <col collapsed="false" customWidth="true" hidden="true" outlineLevel="0" max="13" min="13" style="1" width="11.03"/>
    <col collapsed="false" customWidth="true" hidden="true" outlineLevel="0" max="16" min="14" style="1" width="11.97"/>
    <col collapsed="false" customWidth="true" hidden="false" outlineLevel="0" max="18" min="17" style="1" width="9.95"/>
  </cols>
  <sheetData>
    <row r="1" customFormat="false" ht="19.5" hidden="false" customHeight="true" outlineLevel="0" collapsed="false">
      <c r="B1" s="2" t="s">
        <v>100</v>
      </c>
    </row>
    <row r="2" customFormat="false" ht="15" hidden="false" customHeight="true" outlineLevel="0" collapsed="false">
      <c r="B2" s="3" t="s">
        <v>101</v>
      </c>
    </row>
    <row r="3" customFormat="false" ht="15" hidden="false" customHeight="true" outlineLevel="0" collapsed="false">
      <c r="B3" s="4" t="s">
        <v>102</v>
      </c>
    </row>
    <row r="4" customFormat="false" ht="15.75" hidden="false" customHeight="true" outlineLevel="0" collapsed="false">
      <c r="B4" s="27" t="s">
        <v>103</v>
      </c>
      <c r="C4" s="27"/>
      <c r="D4" s="28" t="n">
        <f aca="false">BeginningBalance+SUM($N$13:$N$25)-SUM($O$13:$O$25)</f>
        <v>254.54</v>
      </c>
      <c r="E4" s="28"/>
      <c r="F4" s="27" t="s">
        <v>104</v>
      </c>
      <c r="G4" s="27"/>
      <c r="H4" s="29" t="n">
        <f aca="false">MinCushion</f>
        <v>200</v>
      </c>
      <c r="I4" s="29"/>
      <c r="J4" s="29"/>
      <c r="N4" s="26" t="n">
        <f aca="false">IF(COUNT(Schedule!$N$4:$N$483)=0,"",MIN(Schedule!$N$4:$N$483))</f>
        <v>4626700006</v>
      </c>
    </row>
    <row r="5" customFormat="false" ht="15.75" hidden="false" customHeight="true" outlineLevel="0" collapsed="false">
      <c r="B5" s="27" t="s">
        <v>105</v>
      </c>
      <c r="C5" s="27"/>
      <c r="D5" s="28" t="n">
        <f aca="false">IF($N$4="","",MIN($D$4,MIN($P$13:$P$25)))</f>
        <v>-388.83</v>
      </c>
      <c r="E5" s="28"/>
      <c r="F5" s="27" t="s">
        <v>106</v>
      </c>
      <c r="G5" s="27"/>
      <c r="H5" s="29" t="n">
        <f aca="false">MAX(0,MinCushion-MIN($J$13:$J$25))</f>
        <v>992.02</v>
      </c>
      <c r="I5" s="29"/>
      <c r="J5" s="29"/>
      <c r="N5" s="26" t="n">
        <f aca="false">IF(COUNT(Schedule!$M$4:$M$483)=0,"",MIN(Schedule!$M$4:$M$483))</f>
        <v>4626400244</v>
      </c>
    </row>
    <row r="6" customFormat="false" ht="15.75" hidden="false" customHeight="true" outlineLevel="0" collapsed="false">
      <c r="B6" s="27" t="s">
        <v>107</v>
      </c>
      <c r="C6" s="27"/>
      <c r="D6" s="28" t="n">
        <f aca="false">MIN($J$13:$J$25)</f>
        <v>-792.02</v>
      </c>
      <c r="E6" s="28"/>
      <c r="F6" s="27" t="s">
        <v>108</v>
      </c>
      <c r="G6" s="27"/>
      <c r="H6" s="30" t="str">
        <f aca="false">COUNTIF($J$13:$J$25,"&lt;0")&amp;" of 13"</f>
        <v>12 of 13</v>
      </c>
      <c r="I6" s="30"/>
      <c r="J6" s="30"/>
      <c r="N6" s="31" t="n">
        <f aca="false">IF($N$4="","",INT($N$4/100000))</f>
        <v>46267</v>
      </c>
    </row>
    <row r="7" customFormat="false" ht="15.75" hidden="false" customHeight="true" outlineLevel="0" collapsed="false">
      <c r="B7" s="27" t="s">
        <v>109</v>
      </c>
      <c r="C7" s="27"/>
      <c r="D7" s="28" t="n">
        <f aca="false">$I$25</f>
        <v>-227.25</v>
      </c>
      <c r="E7" s="28"/>
      <c r="F7" s="27" t="s">
        <v>110</v>
      </c>
      <c r="G7" s="27"/>
      <c r="H7" s="30" t="str">
        <f aca="false">IF($N$5="","none over $100",$N$10&amp;"  "&amp;TEXT($N$11,"$#,##0.00")&amp;"  on "&amp;TEXT($N$9,"ddd mmm d"))</f>
        <v>Maine Revenue Services (2)  $150.00  on Sun Aug 30</v>
      </c>
      <c r="I7" s="30"/>
      <c r="J7" s="30"/>
      <c r="N7" s="26" t="str">
        <f aca="false">IF($N$4="","",INDEX(Schedule!$C$4:$C$483,MATCH($N$4,Schedule!$N$4:$N$483,0)))</f>
        <v>Bruno's Restaurant (paycheck)</v>
      </c>
    </row>
    <row r="8" customFormat="false" ht="15" hidden="false" customHeight="true" outlineLevel="0" collapsed="false">
      <c r="B8" s="27" t="s">
        <v>111</v>
      </c>
      <c r="C8" s="27"/>
      <c r="D8" s="32" t="str">
        <f aca="false">IF($N$4="","none scheduled",$N$7&amp;"  "&amp;TEXT($N$8,"$#,##0.00")&amp;"  on "&amp;TEXT($N$6,"ddd mmm d"))</f>
        <v>Bruno's Restaurant (paycheck)  $90.00  on Wed Sep 2</v>
      </c>
      <c r="E8" s="32"/>
      <c r="F8" s="27" t="s">
        <v>112</v>
      </c>
      <c r="G8" s="27"/>
      <c r="H8" s="33" t="str">
        <f aca="false">IF(COUNTIF(Recurring!$K$5:$K$34,"!*")=0,"All recurring items complete","! "&amp;COUNTIF(Recurring!$K$5:$K$34,"!*")&amp;" recurring item(s) need attention — see the Recurring tab")</f>
        <v>All recurring items complete</v>
      </c>
      <c r="I8" s="33"/>
      <c r="J8" s="33"/>
      <c r="K8" s="33"/>
      <c r="L8" s="33"/>
      <c r="N8" s="34" t="n">
        <f aca="false">IF($N$4="","",INDEX(Schedule!$E$4:$E$483,MATCH($N$4,Schedule!$N$4:$N$483,0)))</f>
        <v>90</v>
      </c>
    </row>
    <row r="9" customFormat="false" ht="15" hidden="false" customHeight="true" outlineLevel="0" collapsed="false">
      <c r="B9" s="7"/>
      <c r="E9" s="35"/>
      <c r="N9" s="31" t="n">
        <f aca="false">IF($N$5="","",INT($N$5/100000))</f>
        <v>46264</v>
      </c>
    </row>
    <row r="10" customFormat="false" ht="25.5" hidden="false" customHeight="true" outlineLevel="0" collapsed="false">
      <c r="B10" s="36" t="s">
        <v>113</v>
      </c>
      <c r="C10" s="36"/>
      <c r="D10" s="36"/>
      <c r="E10" s="36"/>
      <c r="F10" s="36"/>
      <c r="G10" s="36"/>
      <c r="H10" s="36"/>
      <c r="I10" s="36"/>
      <c r="J10" s="36"/>
      <c r="K10" s="36"/>
      <c r="L10" s="36"/>
      <c r="N10" s="26" t="str">
        <f aca="false">IF($N$5="","",INDEX(Schedule!$C$4:$C$483,MATCH($N$5,Schedule!$M$4:$M$483,0)))</f>
        <v>Maine Revenue Services (2)</v>
      </c>
    </row>
    <row r="11" customFormat="false" ht="15" hidden="false" customHeight="true" outlineLevel="0" collapsed="false">
      <c r="N11" s="34" t="n">
        <f aca="false">IF($N$5="","",INDEX(Schedule!$E$4:$E$483,MATCH($N$5,Schedule!$M$4:$M$483,0)))</f>
        <v>150</v>
      </c>
    </row>
    <row r="12" customFormat="false" ht="31.5" hidden="false" customHeight="true" outlineLevel="0" collapsed="false">
      <c r="B12" s="11" t="s">
        <v>114</v>
      </c>
      <c r="C12" s="11" t="s">
        <v>115</v>
      </c>
      <c r="D12" s="37" t="s">
        <v>116</v>
      </c>
      <c r="E12" s="38" t="s">
        <v>117</v>
      </c>
      <c r="F12" s="38" t="s">
        <v>118</v>
      </c>
      <c r="G12" s="39" t="s">
        <v>18</v>
      </c>
      <c r="H12" s="11" t="s">
        <v>119</v>
      </c>
      <c r="I12" s="11" t="s">
        <v>120</v>
      </c>
      <c r="J12" s="11" t="s">
        <v>16</v>
      </c>
      <c r="K12" s="11" t="s">
        <v>121</v>
      </c>
      <c r="L12" s="11" t="s">
        <v>14</v>
      </c>
      <c r="M12" s="11" t="s">
        <v>122</v>
      </c>
      <c r="Q12" s="40" t="s">
        <v>123</v>
      </c>
      <c r="R12" s="40" t="s">
        <v>124</v>
      </c>
    </row>
    <row r="13" customFormat="false" ht="15" hidden="false" customHeight="true" outlineLevel="0" collapsed="false">
      <c r="B13" s="12" t="n">
        <v>1</v>
      </c>
      <c r="C13" s="41" t="n">
        <f aca="false">'Cash Flow'!$E$6+0</f>
        <v>46249</v>
      </c>
      <c r="D13" s="42" t="n">
        <f aca="false">SUM('Cash Flow'!$G$15:$G$65)</f>
        <v>950.99</v>
      </c>
      <c r="E13" s="42" t="n">
        <f aca="false">SUM('Cash Flow'!$H$15:$H$24)</f>
        <v>45</v>
      </c>
      <c r="F13" s="42" t="n">
        <f aca="false">SUM('Cash Flow'!$H$26:$H$65)</f>
        <v>621.74</v>
      </c>
      <c r="G13" s="43" t="n">
        <f aca="false">$D13-$E13-$F13</f>
        <v>284.25</v>
      </c>
      <c r="H13" s="44" t="n">
        <f aca="false">'Cash Flow'!$I$13</f>
        <v>228.41</v>
      </c>
      <c r="I13" s="45" t="n">
        <f aca="false">'Cash Flow'!$I$66</f>
        <v>512.66</v>
      </c>
      <c r="J13" s="45" t="n">
        <f aca="false">MIN('Cash Flow'!$I$15:$I$65)</f>
        <v>-262.64</v>
      </c>
      <c r="K13" s="46" t="n">
        <f aca="false">IFERROR(INDEX('Cash Flow'!$C$15:$C$65,MATCH(MIN('Cash Flow'!$I$15:$I$65),'Cash Flow'!$I$15:$I$65,0)),"")</f>
        <v>46254</v>
      </c>
      <c r="L13" s="47" t="str">
        <f aca="false">IF($J13&lt;0,"SHORTFALL",IF($J13&lt;'Cash Flow'!$E$7,"TIGHT","OK"))</f>
        <v>SHORTFALL</v>
      </c>
      <c r="M13" s="48" t="n">
        <f aca="false">IF($J13&lt;0,$B13,999)</f>
        <v>1</v>
      </c>
      <c r="N13" s="34" t="n">
        <f aca="true">SUMIFS('Cash Flow'!$G$15:$G$65,'Cash Flow'!$C$15:$C$65,"&lt;="&amp;TODAY())</f>
        <v>950.99</v>
      </c>
      <c r="O13" s="34" t="n">
        <f aca="true">SUMIFS('Cash Flow'!$H$15:$H$65,'Cash Flow'!$C$15:$C$65,"&lt;="&amp;TODAY())</f>
        <v>666.74</v>
      </c>
      <c r="P13" s="34" t="str">
        <f aca="true">IF($N$4="","",IF(COUNTIFS('Cash Flow'!$C$15:$C$65,"&gt;="&amp;TODAY(),'Cash Flow'!$C$15:$C$65,"&lt;="&amp;$N$6)=0,"",_xlfn.MINIFS('Cash Flow'!$I$15:$I$65,'Cash Flow'!$C$15:$C$65,"&gt;="&amp;TODAY(),'Cash Flow'!$C$15:$C$65,"&lt;="&amp;$N$6)))</f>
        <v/>
      </c>
      <c r="Q13" s="34" t="n">
        <v>0</v>
      </c>
      <c r="R13" s="34" t="n">
        <f aca="false">MinCushion</f>
        <v>200</v>
      </c>
    </row>
    <row r="14" customFormat="false" ht="15" hidden="false" customHeight="true" outlineLevel="0" collapsed="false">
      <c r="B14" s="18" t="n">
        <v>2</v>
      </c>
      <c r="C14" s="49" t="n">
        <f aca="false">'Cash Flow'!$E$6+7</f>
        <v>46256</v>
      </c>
      <c r="D14" s="50" t="n">
        <f aca="false">SUM('Cash Flow'!$G$70:$G$120)</f>
        <v>1052.38</v>
      </c>
      <c r="E14" s="50" t="n">
        <f aca="false">SUM('Cash Flow'!$H$70:$H$79)</f>
        <v>439.03</v>
      </c>
      <c r="F14" s="50" t="n">
        <f aca="false">SUM('Cash Flow'!$H$81:$H$120)</f>
        <v>971.47</v>
      </c>
      <c r="G14" s="43" t="n">
        <f aca="false">$D14-$E14-$F14</f>
        <v>-358.12</v>
      </c>
      <c r="H14" s="51" t="n">
        <f aca="false">'Cash Flow'!$I$68</f>
        <v>512.66</v>
      </c>
      <c r="I14" s="52" t="n">
        <f aca="false">'Cash Flow'!$I$121</f>
        <v>154.54</v>
      </c>
      <c r="J14" s="52" t="n">
        <f aca="false">MIN('Cash Flow'!$I$70:$I$120)</f>
        <v>-235.27</v>
      </c>
      <c r="K14" s="53" t="n">
        <f aca="false">IFERROR(INDEX('Cash Flow'!$C$70:$C$120,MATCH(MIN('Cash Flow'!$I$70:$I$120),'Cash Flow'!$I$70:$I$120,0)),"")</f>
        <v>46261</v>
      </c>
      <c r="L14" s="54" t="str">
        <f aca="false">IF($J14&lt;0,"SHORTFALL",IF($J14&lt;'Cash Flow'!$E$7,"TIGHT","OK"))</f>
        <v>SHORTFALL</v>
      </c>
      <c r="M14" s="48" t="n">
        <f aca="false">IF($J14&lt;0,$B14,999)</f>
        <v>2</v>
      </c>
      <c r="N14" s="34" t="n">
        <f aca="true">SUMIFS('Cash Flow'!$G$70:$G$120,'Cash Flow'!$C$70:$C$120,"&lt;="&amp;TODAY())</f>
        <v>1052.38</v>
      </c>
      <c r="O14" s="34" t="n">
        <f aca="true">SUMIFS('Cash Flow'!$H$70:$H$120,'Cash Flow'!$C$70:$C$120,"&lt;="&amp;TODAY())</f>
        <v>1410.5</v>
      </c>
      <c r="P14" s="34" t="str">
        <f aca="true">IF($N$4="","",IF(COUNTIFS('Cash Flow'!$C$70:$C$120,"&gt;="&amp;TODAY(),'Cash Flow'!$C$70:$C$120,"&lt;="&amp;$N$6)=0,"",_xlfn.MINIFS('Cash Flow'!$I$70:$I$120,'Cash Flow'!$C$70:$C$120,"&gt;="&amp;TODAY(),'Cash Flow'!$C$70:$C$120,"&lt;="&amp;$N$6)))</f>
        <v/>
      </c>
      <c r="Q14" s="34" t="n">
        <v>0</v>
      </c>
      <c r="R14" s="34" t="n">
        <f aca="false">MinCushion</f>
        <v>200</v>
      </c>
    </row>
    <row r="15" customFormat="false" ht="15" hidden="false" customHeight="true" outlineLevel="0" collapsed="false">
      <c r="B15" s="12" t="n">
        <v>3</v>
      </c>
      <c r="C15" s="41" t="n">
        <f aca="false">'Cash Flow'!$E$6+14</f>
        <v>46263</v>
      </c>
      <c r="D15" s="42" t="n">
        <f aca="false">SUM('Cash Flow'!$G$125:$G$175)</f>
        <v>992.65</v>
      </c>
      <c r="E15" s="42" t="n">
        <f aca="false">SUM('Cash Flow'!$H$125:$H$134)</f>
        <v>772.46</v>
      </c>
      <c r="F15" s="42" t="n">
        <f aca="false">SUM('Cash Flow'!$H$136:$H$175)</f>
        <v>400</v>
      </c>
      <c r="G15" s="43" t="n">
        <f aca="false">$D15-$E15-$F15</f>
        <v>-179.81</v>
      </c>
      <c r="H15" s="44" t="n">
        <f aca="false">'Cash Flow'!$I$123</f>
        <v>154.54</v>
      </c>
      <c r="I15" s="45" t="n">
        <f aca="false">'Cash Flow'!$I$176</f>
        <v>-25.27</v>
      </c>
      <c r="J15" s="45" t="n">
        <f aca="false">MIN('Cash Flow'!$I$125:$I$175)</f>
        <v>-388.83</v>
      </c>
      <c r="K15" s="46" t="n">
        <f aca="false">IFERROR(INDEX('Cash Flow'!$C$125:$C$175,MATCH(MIN('Cash Flow'!$I$125:$I$175),'Cash Flow'!$I$125:$I$175,0)),"")</f>
        <v>46265</v>
      </c>
      <c r="L15" s="47" t="str">
        <f aca="false">IF($J15&lt;0,"SHORTFALL",IF($J15&lt;'Cash Flow'!$E$7,"TIGHT","OK"))</f>
        <v>SHORTFALL</v>
      </c>
      <c r="M15" s="48" t="n">
        <f aca="false">IF($J15&lt;0,$B15,999)</f>
        <v>3</v>
      </c>
      <c r="N15" s="34" t="n">
        <f aca="true">SUMIFS('Cash Flow'!$G$125:$G$175,'Cash Flow'!$C$125:$C$175,"&lt;="&amp;TODAY())</f>
        <v>100</v>
      </c>
      <c r="O15" s="34" t="n">
        <f aca="true">SUMIFS('Cash Flow'!$H$125:$H$175,'Cash Flow'!$C$125:$C$175,"&lt;="&amp;TODAY())</f>
        <v>0</v>
      </c>
      <c r="P15" s="34" t="n">
        <f aca="true">IF($N$4="","",IF(COUNTIFS('Cash Flow'!$C$125:$C$175,"&gt;="&amp;TODAY(),'Cash Flow'!$C$125:$C$175,"&lt;="&amp;$N$6)=0,"",_xlfn.MINIFS('Cash Flow'!$I$125:$I$175,'Cash Flow'!$C$125:$C$175,"&gt;="&amp;TODAY(),'Cash Flow'!$C$125:$C$175,"&lt;="&amp;$N$6)))</f>
        <v>-388.83</v>
      </c>
      <c r="Q15" s="34" t="n">
        <v>0</v>
      </c>
      <c r="R15" s="34" t="n">
        <f aca="false">MinCushion</f>
        <v>200</v>
      </c>
    </row>
    <row r="16" customFormat="false" ht="15" hidden="false" customHeight="true" outlineLevel="0" collapsed="false">
      <c r="B16" s="18" t="n">
        <v>4</v>
      </c>
      <c r="C16" s="49" t="n">
        <f aca="false">'Cash Flow'!$E$6+21</f>
        <v>46270</v>
      </c>
      <c r="D16" s="50" t="n">
        <f aca="false">SUM('Cash Flow'!$G$180:$G$230)</f>
        <v>892.65</v>
      </c>
      <c r="E16" s="50" t="n">
        <f aca="false">SUM('Cash Flow'!$H$180:$H$189)</f>
        <v>718.68</v>
      </c>
      <c r="F16" s="50" t="n">
        <f aca="false">SUM('Cash Flow'!$H$191:$H$230)</f>
        <v>400</v>
      </c>
      <c r="G16" s="43" t="n">
        <f aca="false">$D16-$E16-$F16</f>
        <v>-226.03</v>
      </c>
      <c r="H16" s="51" t="n">
        <f aca="false">'Cash Flow'!$I$178</f>
        <v>-25.27</v>
      </c>
      <c r="I16" s="52" t="n">
        <f aca="false">'Cash Flow'!$I$231</f>
        <v>-251.3</v>
      </c>
      <c r="J16" s="52" t="n">
        <f aca="false">MIN('Cash Flow'!$I$180:$I$230)</f>
        <v>-743.95</v>
      </c>
      <c r="K16" s="53" t="n">
        <f aca="false">IFERROR(INDEX('Cash Flow'!$C$180:$C$230,MATCH(MIN('Cash Flow'!$I$180:$I$230),'Cash Flow'!$I$180:$I$230,0)),"")</f>
        <v>46273</v>
      </c>
      <c r="L16" s="54" t="str">
        <f aca="false">IF($J16&lt;0,"SHORTFALL",IF($J16&lt;'Cash Flow'!$E$7,"TIGHT","OK"))</f>
        <v>SHORTFALL</v>
      </c>
      <c r="M16" s="48" t="n">
        <f aca="false">IF($J16&lt;0,$B16,999)</f>
        <v>4</v>
      </c>
      <c r="N16" s="34" t="n">
        <f aca="true">SUMIFS('Cash Flow'!$G$180:$G$230,'Cash Flow'!$C$180:$C$230,"&lt;="&amp;TODAY())</f>
        <v>0</v>
      </c>
      <c r="O16" s="34" t="n">
        <f aca="true">SUMIFS('Cash Flow'!$H$180:$H$230,'Cash Flow'!$C$180:$C$230,"&lt;="&amp;TODAY())</f>
        <v>0</v>
      </c>
      <c r="P16" s="34" t="str">
        <f aca="true">IF($N$4="","",IF(COUNTIFS('Cash Flow'!$C$180:$C$230,"&gt;="&amp;TODAY(),'Cash Flow'!$C$180:$C$230,"&lt;="&amp;$N$6)=0,"",_xlfn.MINIFS('Cash Flow'!$I$180:$I$230,'Cash Flow'!$C$180:$C$230,"&gt;="&amp;TODAY(),'Cash Flow'!$C$180:$C$230,"&lt;="&amp;$N$6)))</f>
        <v/>
      </c>
      <c r="Q16" s="34" t="n">
        <v>0</v>
      </c>
      <c r="R16" s="34" t="n">
        <f aca="false">MinCushion</f>
        <v>200</v>
      </c>
    </row>
    <row r="17" customFormat="false" ht="15" hidden="false" customHeight="true" outlineLevel="0" collapsed="false">
      <c r="B17" s="12" t="n">
        <v>5</v>
      </c>
      <c r="C17" s="41" t="n">
        <f aca="false">'Cash Flow'!$E$6+28</f>
        <v>46277</v>
      </c>
      <c r="D17" s="42" t="n">
        <f aca="false">SUM('Cash Flow'!$G$235:$G$285)</f>
        <v>732.12</v>
      </c>
      <c r="E17" s="42" t="n">
        <f aca="false">SUM('Cash Flow'!$H$235:$H$244)</f>
        <v>397.99</v>
      </c>
      <c r="F17" s="42" t="n">
        <f aca="false">SUM('Cash Flow'!$H$246:$H$285)</f>
        <v>400</v>
      </c>
      <c r="G17" s="43" t="n">
        <f aca="false">$D17-$E17-$F17</f>
        <v>-65.87</v>
      </c>
      <c r="H17" s="44" t="n">
        <f aca="false">'Cash Flow'!$I$233</f>
        <v>-251.3</v>
      </c>
      <c r="I17" s="45" t="n">
        <f aca="false">'Cash Flow'!$I$286</f>
        <v>-317.17</v>
      </c>
      <c r="J17" s="45" t="n">
        <f aca="false">MIN('Cash Flow'!$I$235:$I$285)</f>
        <v>-604.29</v>
      </c>
      <c r="K17" s="46" t="n">
        <f aca="false">IFERROR(INDEX('Cash Flow'!$C$235:$C$285,MATCH(MIN('Cash Flow'!$I$235:$I$285),'Cash Flow'!$I$235:$I$285,0)),"")</f>
        <v>46280</v>
      </c>
      <c r="L17" s="47" t="str">
        <f aca="false">IF($J17&lt;0,"SHORTFALL",IF($J17&lt;'Cash Flow'!$E$7,"TIGHT","OK"))</f>
        <v>SHORTFALL</v>
      </c>
      <c r="M17" s="48" t="n">
        <f aca="false">IF($J17&lt;0,$B17,999)</f>
        <v>5</v>
      </c>
      <c r="N17" s="34" t="n">
        <f aca="true">SUMIFS('Cash Flow'!$G$235:$G$285,'Cash Flow'!$C$235:$C$285,"&lt;="&amp;TODAY())</f>
        <v>0</v>
      </c>
      <c r="O17" s="34" t="n">
        <f aca="true">SUMIFS('Cash Flow'!$H$235:$H$285,'Cash Flow'!$C$235:$C$285,"&lt;="&amp;TODAY())</f>
        <v>0</v>
      </c>
      <c r="P17" s="34" t="str">
        <f aca="true">IF($N$4="","",IF(COUNTIFS('Cash Flow'!$C$235:$C$285,"&gt;="&amp;TODAY(),'Cash Flow'!$C$235:$C$285,"&lt;="&amp;$N$6)=0,"",_xlfn.MINIFS('Cash Flow'!$I$235:$I$285,'Cash Flow'!$C$235:$C$285,"&gt;="&amp;TODAY(),'Cash Flow'!$C$235:$C$285,"&lt;="&amp;$N$6)))</f>
        <v/>
      </c>
      <c r="Q17" s="34" t="n">
        <v>0</v>
      </c>
      <c r="R17" s="34" t="n">
        <f aca="false">MinCushion</f>
        <v>200</v>
      </c>
    </row>
    <row r="18" customFormat="false" ht="15" hidden="false" customHeight="true" outlineLevel="0" collapsed="false">
      <c r="B18" s="18" t="n">
        <v>6</v>
      </c>
      <c r="C18" s="49" t="n">
        <f aca="false">'Cash Flow'!$E$6+35</f>
        <v>46284</v>
      </c>
      <c r="D18" s="50" t="n">
        <f aca="false">SUM('Cash Flow'!$G$290:$G$340)</f>
        <v>892.65</v>
      </c>
      <c r="E18" s="50" t="n">
        <f aca="false">SUM('Cash Flow'!$H$290:$H$299)</f>
        <v>187.19</v>
      </c>
      <c r="F18" s="50" t="n">
        <f aca="false">SUM('Cash Flow'!$H$301:$H$340)</f>
        <v>400</v>
      </c>
      <c r="G18" s="43" t="n">
        <f aca="false">$D18-$E18-$F18</f>
        <v>305.46</v>
      </c>
      <c r="H18" s="51" t="n">
        <f aca="false">'Cash Flow'!$I$288</f>
        <v>-317.17</v>
      </c>
      <c r="I18" s="52" t="n">
        <f aca="false">'Cash Flow'!$I$341</f>
        <v>-11.7099999999999</v>
      </c>
      <c r="J18" s="52" t="n">
        <f aca="false">MIN('Cash Flow'!$I$290:$I$340)</f>
        <v>-501.97</v>
      </c>
      <c r="K18" s="53" t="n">
        <f aca="false">IFERROR(INDEX('Cash Flow'!$C$290:$C$340,MATCH(MIN('Cash Flow'!$I$290:$I$340),'Cash Flow'!$I$290:$I$340,0)),"")</f>
        <v>46287</v>
      </c>
      <c r="L18" s="54" t="str">
        <f aca="false">IF($J18&lt;0,"SHORTFALL",IF($J18&lt;'Cash Flow'!$E$7,"TIGHT","OK"))</f>
        <v>SHORTFALL</v>
      </c>
      <c r="M18" s="48" t="n">
        <f aca="false">IF($J18&lt;0,$B18,999)</f>
        <v>6</v>
      </c>
      <c r="N18" s="34" t="n">
        <f aca="true">SUMIFS('Cash Flow'!$G$290:$G$340,'Cash Flow'!$C$290:$C$340,"&lt;="&amp;TODAY())</f>
        <v>0</v>
      </c>
      <c r="O18" s="34" t="n">
        <f aca="true">SUMIFS('Cash Flow'!$H$290:$H$340,'Cash Flow'!$C$290:$C$340,"&lt;="&amp;TODAY())</f>
        <v>0</v>
      </c>
      <c r="P18" s="34" t="str">
        <f aca="true">IF($N$4="","",IF(COUNTIFS('Cash Flow'!$C$290:$C$340,"&gt;="&amp;TODAY(),'Cash Flow'!$C$290:$C$340,"&lt;="&amp;$N$6)=0,"",_xlfn.MINIFS('Cash Flow'!$I$290:$I$340,'Cash Flow'!$C$290:$C$340,"&gt;="&amp;TODAY(),'Cash Flow'!$C$290:$C$340,"&lt;="&amp;$N$6)))</f>
        <v/>
      </c>
      <c r="Q18" s="34" t="n">
        <v>0</v>
      </c>
      <c r="R18" s="34" t="n">
        <f aca="false">MinCushion</f>
        <v>200</v>
      </c>
    </row>
    <row r="19" customFormat="false" ht="15" hidden="false" customHeight="true" outlineLevel="0" collapsed="false">
      <c r="B19" s="12" t="n">
        <v>7</v>
      </c>
      <c r="C19" s="41" t="n">
        <f aca="false">'Cash Flow'!$E$6+42</f>
        <v>46291</v>
      </c>
      <c r="D19" s="42" t="n">
        <f aca="false">SUM('Cash Flow'!$G$345:$G$395)</f>
        <v>892.65</v>
      </c>
      <c r="E19" s="42" t="n">
        <f aca="false">SUM('Cash Flow'!$H$345:$H$354)</f>
        <v>643.37</v>
      </c>
      <c r="F19" s="42" t="n">
        <f aca="false">SUM('Cash Flow'!$H$356:$H$395)</f>
        <v>400</v>
      </c>
      <c r="G19" s="43" t="n">
        <f aca="false">$D19-$E19-$F19</f>
        <v>-150.72</v>
      </c>
      <c r="H19" s="44" t="n">
        <f aca="false">'Cash Flow'!$I$343</f>
        <v>-11.7099999999999</v>
      </c>
      <c r="I19" s="45" t="n">
        <f aca="false">'Cash Flow'!$I$396</f>
        <v>-162.43</v>
      </c>
      <c r="J19" s="45" t="n">
        <f aca="false">MIN('Cash Flow'!$I$345:$I$395)</f>
        <v>-565.08</v>
      </c>
      <c r="K19" s="46" t="n">
        <f aca="false">IFERROR(INDEX('Cash Flow'!$C$345:$C$395,MATCH(MIN('Cash Flow'!$I$345:$I$395),'Cash Flow'!$I$345:$I$395,0)),"")</f>
        <v>46295</v>
      </c>
      <c r="L19" s="47" t="str">
        <f aca="false">IF($J19&lt;0,"SHORTFALL",IF($J19&lt;'Cash Flow'!$E$7,"TIGHT","OK"))</f>
        <v>SHORTFALL</v>
      </c>
      <c r="M19" s="48" t="n">
        <f aca="false">IF($J19&lt;0,$B19,999)</f>
        <v>7</v>
      </c>
      <c r="N19" s="34" t="n">
        <f aca="true">SUMIFS('Cash Flow'!$G$345:$G$395,'Cash Flow'!$C$345:$C$395,"&lt;="&amp;TODAY())</f>
        <v>0</v>
      </c>
      <c r="O19" s="34" t="n">
        <f aca="true">SUMIFS('Cash Flow'!$H$345:$H$395,'Cash Flow'!$C$345:$C$395,"&lt;="&amp;TODAY())</f>
        <v>0</v>
      </c>
      <c r="P19" s="34" t="str">
        <f aca="true">IF($N$4="","",IF(COUNTIFS('Cash Flow'!$C$345:$C$395,"&gt;="&amp;TODAY(),'Cash Flow'!$C$345:$C$395,"&lt;="&amp;$N$6)=0,"",_xlfn.MINIFS('Cash Flow'!$I$345:$I$395,'Cash Flow'!$C$345:$C$395,"&gt;="&amp;TODAY(),'Cash Flow'!$C$345:$C$395,"&lt;="&amp;$N$6)))</f>
        <v/>
      </c>
      <c r="Q19" s="34" t="n">
        <v>0</v>
      </c>
      <c r="R19" s="34" t="n">
        <f aca="false">MinCushion</f>
        <v>200</v>
      </c>
    </row>
    <row r="20" customFormat="false" ht="15" hidden="false" customHeight="true" outlineLevel="0" collapsed="false">
      <c r="B20" s="18" t="n">
        <v>8</v>
      </c>
      <c r="C20" s="49" t="n">
        <f aca="false">'Cash Flow'!$E$6+49</f>
        <v>46298</v>
      </c>
      <c r="D20" s="50" t="n">
        <f aca="false">SUM('Cash Flow'!$G$400:$G$450)</f>
        <v>892.65</v>
      </c>
      <c r="E20" s="50" t="n">
        <f aca="false">SUM('Cash Flow'!$H$400:$H$409)</f>
        <v>719.59</v>
      </c>
      <c r="F20" s="50" t="n">
        <f aca="false">SUM('Cash Flow'!$H$411:$H$450)</f>
        <v>400</v>
      </c>
      <c r="G20" s="43" t="n">
        <f aca="false">$D20-$E20-$F20</f>
        <v>-226.94</v>
      </c>
      <c r="H20" s="51" t="n">
        <f aca="false">'Cash Flow'!$I$398</f>
        <v>-162.43</v>
      </c>
      <c r="I20" s="52" t="n">
        <f aca="false">'Cash Flow'!$I$451</f>
        <v>-389.37</v>
      </c>
      <c r="J20" s="52" t="n">
        <f aca="false">MIN('Cash Flow'!$I$400:$I$450)</f>
        <v>-792.02</v>
      </c>
      <c r="K20" s="53" t="n">
        <f aca="false">IFERROR(INDEX('Cash Flow'!$C$400:$C$450,MATCH(MIN('Cash Flow'!$I$400:$I$450),'Cash Flow'!$I$400:$I$450,0)),"")</f>
        <v>46303</v>
      </c>
      <c r="L20" s="54" t="str">
        <f aca="false">IF($J20&lt;0,"SHORTFALL",IF($J20&lt;'Cash Flow'!$E$7,"TIGHT","OK"))</f>
        <v>SHORTFALL</v>
      </c>
      <c r="M20" s="48" t="n">
        <f aca="false">IF($J20&lt;0,$B20,999)</f>
        <v>8</v>
      </c>
      <c r="N20" s="34" t="n">
        <f aca="true">SUMIFS('Cash Flow'!$G$400:$G$450,'Cash Flow'!$C$400:$C$450,"&lt;="&amp;TODAY())</f>
        <v>0</v>
      </c>
      <c r="O20" s="34" t="n">
        <f aca="true">SUMIFS('Cash Flow'!$H$400:$H$450,'Cash Flow'!$C$400:$C$450,"&lt;="&amp;TODAY())</f>
        <v>0</v>
      </c>
      <c r="P20" s="34" t="str">
        <f aca="true">IF($N$4="","",IF(COUNTIFS('Cash Flow'!$C$400:$C$450,"&gt;="&amp;TODAY(),'Cash Flow'!$C$400:$C$450,"&lt;="&amp;$N$6)=0,"",_xlfn.MINIFS('Cash Flow'!$I$400:$I$450,'Cash Flow'!$C$400:$C$450,"&gt;="&amp;TODAY(),'Cash Flow'!$C$400:$C$450,"&lt;="&amp;$N$6)))</f>
        <v/>
      </c>
      <c r="Q20" s="34" t="n">
        <v>0</v>
      </c>
      <c r="R20" s="34" t="n">
        <f aca="false">MinCushion</f>
        <v>200</v>
      </c>
    </row>
    <row r="21" customFormat="false" ht="15" hidden="false" customHeight="true" outlineLevel="0" collapsed="false">
      <c r="B21" s="12" t="n">
        <v>9</v>
      </c>
      <c r="C21" s="41" t="n">
        <f aca="false">'Cash Flow'!$E$6+56</f>
        <v>46305</v>
      </c>
      <c r="D21" s="42" t="n">
        <f aca="false">SUM('Cash Flow'!$G$455:$G$505)</f>
        <v>892.65</v>
      </c>
      <c r="E21" s="42" t="n">
        <f aca="false">SUM('Cash Flow'!$H$455:$H$464)</f>
        <v>397.99</v>
      </c>
      <c r="F21" s="42" t="n">
        <f aca="false">SUM('Cash Flow'!$H$466:$H$505)</f>
        <v>400</v>
      </c>
      <c r="G21" s="43" t="n">
        <f aca="false">$D21-$E21-$F21</f>
        <v>94.66</v>
      </c>
      <c r="H21" s="44" t="n">
        <f aca="false">'Cash Flow'!$I$453</f>
        <v>-389.37</v>
      </c>
      <c r="I21" s="45" t="n">
        <f aca="false">'Cash Flow'!$I$506</f>
        <v>-294.71</v>
      </c>
      <c r="J21" s="45" t="n">
        <f aca="false">MIN('Cash Flow'!$I$455:$I$505)</f>
        <v>-652.36</v>
      </c>
      <c r="K21" s="46" t="n">
        <f aca="false">IFERROR(INDEX('Cash Flow'!$C$455:$C$505,MATCH(MIN('Cash Flow'!$I$455:$I$505),'Cash Flow'!$I$455:$I$505,0)),"")</f>
        <v>46310</v>
      </c>
      <c r="L21" s="47" t="str">
        <f aca="false">IF($J21&lt;0,"SHORTFALL",IF($J21&lt;'Cash Flow'!$E$7,"TIGHT","OK"))</f>
        <v>SHORTFALL</v>
      </c>
      <c r="M21" s="48" t="n">
        <f aca="false">IF($J21&lt;0,$B21,999)</f>
        <v>9</v>
      </c>
      <c r="N21" s="34" t="n">
        <f aca="true">SUMIFS('Cash Flow'!$G$455:$G$505,'Cash Flow'!$C$455:$C$505,"&lt;="&amp;TODAY())</f>
        <v>0</v>
      </c>
      <c r="O21" s="34" t="n">
        <f aca="true">SUMIFS('Cash Flow'!$H$455:$H$505,'Cash Flow'!$C$455:$C$505,"&lt;="&amp;TODAY())</f>
        <v>0</v>
      </c>
      <c r="P21" s="34" t="str">
        <f aca="true">IF($N$4="","",IF(COUNTIFS('Cash Flow'!$C$455:$C$505,"&gt;="&amp;TODAY(),'Cash Flow'!$C$455:$C$505,"&lt;="&amp;$N$6)=0,"",_xlfn.MINIFS('Cash Flow'!$I$455:$I$505,'Cash Flow'!$C$455:$C$505,"&gt;="&amp;TODAY(),'Cash Flow'!$C$455:$C$505,"&lt;="&amp;$N$6)))</f>
        <v/>
      </c>
      <c r="Q21" s="34" t="n">
        <v>0</v>
      </c>
      <c r="R21" s="34" t="n">
        <f aca="false">MinCushion</f>
        <v>200</v>
      </c>
    </row>
    <row r="22" customFormat="false" ht="15" hidden="false" customHeight="true" outlineLevel="0" collapsed="false">
      <c r="B22" s="18" t="n">
        <v>10</v>
      </c>
      <c r="C22" s="49" t="n">
        <f aca="false">'Cash Flow'!$E$6+63</f>
        <v>46312</v>
      </c>
      <c r="D22" s="50" t="n">
        <f aca="false">SUM('Cash Flow'!$G$510:$G$560)</f>
        <v>892.65</v>
      </c>
      <c r="E22" s="50" t="n">
        <f aca="false">SUM('Cash Flow'!$H$510:$H$519)</f>
        <v>187.19</v>
      </c>
      <c r="F22" s="50" t="n">
        <f aca="false">SUM('Cash Flow'!$H$521:$H$560)</f>
        <v>400</v>
      </c>
      <c r="G22" s="43" t="n">
        <f aca="false">$D22-$E22-$F22</f>
        <v>305.46</v>
      </c>
      <c r="H22" s="51" t="n">
        <f aca="false">'Cash Flow'!$I$508</f>
        <v>-294.71</v>
      </c>
      <c r="I22" s="52" t="n">
        <f aca="false">'Cash Flow'!$I$561</f>
        <v>10.7499999999999</v>
      </c>
      <c r="J22" s="52" t="n">
        <f aca="false">MIN('Cash Flow'!$I$510:$I$560)</f>
        <v>-389.51</v>
      </c>
      <c r="K22" s="53" t="n">
        <f aca="false">IFERROR(INDEX('Cash Flow'!$C$510:$C$560,MATCH(MIN('Cash Flow'!$I$510:$I$560),'Cash Flow'!$I$510:$I$560,0)),"")</f>
        <v>46317</v>
      </c>
      <c r="L22" s="54" t="str">
        <f aca="false">IF($J22&lt;0,"SHORTFALL",IF($J22&lt;'Cash Flow'!$E$7,"TIGHT","OK"))</f>
        <v>SHORTFALL</v>
      </c>
      <c r="M22" s="48" t="n">
        <f aca="false">IF($J22&lt;0,$B22,999)</f>
        <v>10</v>
      </c>
      <c r="N22" s="34" t="n">
        <f aca="true">SUMIFS('Cash Flow'!$G$510:$G$560,'Cash Flow'!$C$510:$C$560,"&lt;="&amp;TODAY())</f>
        <v>0</v>
      </c>
      <c r="O22" s="34" t="n">
        <f aca="true">SUMIFS('Cash Flow'!$H$510:$H$560,'Cash Flow'!$C$510:$C$560,"&lt;="&amp;TODAY())</f>
        <v>0</v>
      </c>
      <c r="P22" s="34" t="str">
        <f aca="true">IF($N$4="","",IF(COUNTIFS('Cash Flow'!$C$510:$C$560,"&gt;="&amp;TODAY(),'Cash Flow'!$C$510:$C$560,"&lt;="&amp;$N$6)=0,"",_xlfn.MINIFS('Cash Flow'!$I$510:$I$560,'Cash Flow'!$C$510:$C$560,"&gt;="&amp;TODAY(),'Cash Flow'!$C$510:$C$560,"&lt;="&amp;$N$6)))</f>
        <v/>
      </c>
      <c r="Q22" s="34" t="n">
        <v>0</v>
      </c>
      <c r="R22" s="34" t="n">
        <f aca="false">MinCushion</f>
        <v>200</v>
      </c>
    </row>
    <row r="23" customFormat="false" ht="15" hidden="false" customHeight="true" outlineLevel="0" collapsed="false">
      <c r="B23" s="12" t="n">
        <v>11</v>
      </c>
      <c r="C23" s="41" t="n">
        <f aca="false">'Cash Flow'!$E$6+70</f>
        <v>46319</v>
      </c>
      <c r="D23" s="42" t="n">
        <f aca="false">SUM('Cash Flow'!$G$565:$G$615)</f>
        <v>892.65</v>
      </c>
      <c r="E23" s="42" t="n">
        <f aca="false">SUM('Cash Flow'!$H$565:$H$574)</f>
        <v>500</v>
      </c>
      <c r="F23" s="42" t="n">
        <f aca="false">SUM('Cash Flow'!$H$576:$H$615)</f>
        <v>400</v>
      </c>
      <c r="G23" s="43" t="n">
        <f aca="false">$D23-$E23-$F23</f>
        <v>-7.35000000000002</v>
      </c>
      <c r="H23" s="44" t="n">
        <f aca="false">'Cash Flow'!$I$563</f>
        <v>10.7499999999999</v>
      </c>
      <c r="I23" s="45" t="n">
        <f aca="false">'Cash Flow'!$I$616</f>
        <v>3.39999999999986</v>
      </c>
      <c r="J23" s="45" t="n">
        <f aca="false">MIN('Cash Flow'!$I$565:$I$615)</f>
        <v>3.39999999999986</v>
      </c>
      <c r="K23" s="46" t="n">
        <f aca="false">IFERROR(INDEX('Cash Flow'!$C$565:$C$615,MATCH(MIN('Cash Flow'!$I$565:$I$615),'Cash Flow'!$I$565:$I$615,0)),"")</f>
        <v>46325</v>
      </c>
      <c r="L23" s="47" t="str">
        <f aca="false">IF($J23&lt;0,"SHORTFALL",IF($J23&lt;'Cash Flow'!$E$7,"TIGHT","OK"))</f>
        <v>TIGHT</v>
      </c>
      <c r="M23" s="48" t="n">
        <f aca="false">IF($J23&lt;0,$B23,999)</f>
        <v>999</v>
      </c>
      <c r="N23" s="34" t="n">
        <f aca="true">SUMIFS('Cash Flow'!$G$565:$G$615,'Cash Flow'!$C$565:$C$615,"&lt;="&amp;TODAY())</f>
        <v>0</v>
      </c>
      <c r="O23" s="34" t="n">
        <f aca="true">SUMIFS('Cash Flow'!$H$565:$H$615,'Cash Flow'!$C$565:$C$615,"&lt;="&amp;TODAY())</f>
        <v>0</v>
      </c>
      <c r="P23" s="34" t="str">
        <f aca="true">IF($N$4="","",IF(COUNTIFS('Cash Flow'!$C$565:$C$615,"&gt;="&amp;TODAY(),'Cash Flow'!$C$565:$C$615,"&lt;="&amp;$N$6)=0,"",_xlfn.MINIFS('Cash Flow'!$I$565:$I$615,'Cash Flow'!$C$565:$C$615,"&gt;="&amp;TODAY(),'Cash Flow'!$C$565:$C$615,"&lt;="&amp;$N$6)))</f>
        <v/>
      </c>
      <c r="Q23" s="34" t="n">
        <v>0</v>
      </c>
      <c r="R23" s="34" t="n">
        <f aca="false">MinCushion</f>
        <v>200</v>
      </c>
    </row>
    <row r="24" customFormat="false" ht="15" hidden="false" customHeight="true" outlineLevel="0" collapsed="false">
      <c r="B24" s="18" t="n">
        <v>12</v>
      </c>
      <c r="C24" s="49" t="n">
        <f aca="false">'Cash Flow'!$E$6+77</f>
        <v>46326</v>
      </c>
      <c r="D24" s="50" t="n">
        <f aca="false">SUM('Cash Flow'!$G$620:$G$670)</f>
        <v>892.65</v>
      </c>
      <c r="E24" s="50" t="n">
        <f aca="false">SUM('Cash Flow'!$H$620:$H$629)</f>
        <v>194.47</v>
      </c>
      <c r="F24" s="50" t="n">
        <f aca="false">SUM('Cash Flow'!$H$631:$H$670)</f>
        <v>400</v>
      </c>
      <c r="G24" s="43" t="n">
        <f aca="false">$D24-$E24-$F24</f>
        <v>298.18</v>
      </c>
      <c r="H24" s="51" t="n">
        <f aca="false">'Cash Flow'!$I$618</f>
        <v>3.39999999999986</v>
      </c>
      <c r="I24" s="52" t="n">
        <f aca="false">'Cash Flow'!$I$671</f>
        <v>301.58</v>
      </c>
      <c r="J24" s="52" t="n">
        <f aca="false">MIN('Cash Flow'!$I$620:$I$670)</f>
        <v>-139.97</v>
      </c>
      <c r="K24" s="53" t="n">
        <f aca="false">IFERROR(INDEX('Cash Flow'!$C$620:$C$670,MATCH(MIN('Cash Flow'!$I$620:$I$670),'Cash Flow'!$I$620:$I$670,0)),"")</f>
        <v>46326</v>
      </c>
      <c r="L24" s="54" t="str">
        <f aca="false">IF($J24&lt;0,"SHORTFALL",IF($J24&lt;'Cash Flow'!$E$7,"TIGHT","OK"))</f>
        <v>SHORTFALL</v>
      </c>
      <c r="M24" s="48" t="n">
        <f aca="false">IF($J24&lt;0,$B24,999)</f>
        <v>12</v>
      </c>
      <c r="N24" s="34" t="n">
        <f aca="true">SUMIFS('Cash Flow'!$G$620:$G$670,'Cash Flow'!$C$620:$C$670,"&lt;="&amp;TODAY())</f>
        <v>0</v>
      </c>
      <c r="O24" s="34" t="n">
        <f aca="true">SUMIFS('Cash Flow'!$H$620:$H$670,'Cash Flow'!$C$620:$C$670,"&lt;="&amp;TODAY())</f>
        <v>0</v>
      </c>
      <c r="P24" s="34" t="str">
        <f aca="true">IF($N$4="","",IF(COUNTIFS('Cash Flow'!$C$620:$C$670,"&gt;="&amp;TODAY(),'Cash Flow'!$C$620:$C$670,"&lt;="&amp;$N$6)=0,"",_xlfn.MINIFS('Cash Flow'!$I$620:$I$670,'Cash Flow'!$C$620:$C$670,"&gt;="&amp;TODAY(),'Cash Flow'!$C$620:$C$670,"&lt;="&amp;$N$6)))</f>
        <v/>
      </c>
      <c r="Q24" s="34" t="n">
        <v>0</v>
      </c>
      <c r="R24" s="34" t="n">
        <f aca="false">MinCushion</f>
        <v>200</v>
      </c>
    </row>
    <row r="25" customFormat="false" ht="15" hidden="false" customHeight="true" outlineLevel="0" collapsed="false">
      <c r="B25" s="12" t="n">
        <v>13</v>
      </c>
      <c r="C25" s="41" t="n">
        <f aca="false">'Cash Flow'!$E$6+84</f>
        <v>46333</v>
      </c>
      <c r="D25" s="42" t="n">
        <f aca="false">SUM('Cash Flow'!$G$675:$G$725)</f>
        <v>892.65</v>
      </c>
      <c r="E25" s="42" t="n">
        <f aca="false">SUM('Cash Flow'!$H$675:$H$684)</f>
        <v>1021.48</v>
      </c>
      <c r="F25" s="42" t="n">
        <f aca="false">SUM('Cash Flow'!$H$686:$H$725)</f>
        <v>400</v>
      </c>
      <c r="G25" s="43" t="n">
        <f aca="false">$D25-$E25-$F25</f>
        <v>-528.83</v>
      </c>
      <c r="H25" s="44" t="n">
        <f aca="false">'Cash Flow'!$I$673</f>
        <v>301.58</v>
      </c>
      <c r="I25" s="45" t="n">
        <f aca="false">'Cash Flow'!$I$726</f>
        <v>-227.25</v>
      </c>
      <c r="J25" s="45" t="n">
        <f aca="false">MIN('Cash Flow'!$I$675:$I$725)</f>
        <v>-366.91</v>
      </c>
      <c r="K25" s="46" t="n">
        <f aca="false">IFERROR(INDEX('Cash Flow'!$C$675:$C$725,MATCH(MIN('Cash Flow'!$I$675:$I$725),'Cash Flow'!$I$675:$I$725,0)),"")</f>
        <v>46334</v>
      </c>
      <c r="L25" s="47" t="str">
        <f aca="false">IF($J25&lt;0,"SHORTFALL",IF($J25&lt;'Cash Flow'!$E$7,"TIGHT","OK"))</f>
        <v>SHORTFALL</v>
      </c>
      <c r="M25" s="48" t="n">
        <f aca="false">IF($J25&lt;0,$B25,999)</f>
        <v>13</v>
      </c>
      <c r="N25" s="34" t="n">
        <f aca="true">SUMIFS('Cash Flow'!$G$675:$G$725,'Cash Flow'!$C$675:$C$725,"&lt;="&amp;TODAY())</f>
        <v>0</v>
      </c>
      <c r="O25" s="34" t="n">
        <f aca="true">SUMIFS('Cash Flow'!$H$675:$H$725,'Cash Flow'!$C$675:$C$725,"&lt;="&amp;TODAY())</f>
        <v>0</v>
      </c>
      <c r="P25" s="34" t="str">
        <f aca="true">IF($N$4="","",IF(COUNTIFS('Cash Flow'!$C$675:$C$725,"&gt;="&amp;TODAY(),'Cash Flow'!$C$675:$C$725,"&lt;="&amp;$N$6)=0,"",_xlfn.MINIFS('Cash Flow'!$I$675:$I$725,'Cash Flow'!$C$675:$C$725,"&gt;="&amp;TODAY(),'Cash Flow'!$C$675:$C$725,"&lt;="&amp;$N$6)))</f>
        <v/>
      </c>
      <c r="Q25" s="34" t="n">
        <v>0</v>
      </c>
      <c r="R25" s="34" t="n">
        <f aca="false">MinCushion</f>
        <v>200</v>
      </c>
    </row>
    <row r="26" customFormat="false" ht="15" hidden="false" customHeight="true" outlineLevel="0" collapsed="false">
      <c r="B26" s="55" t="s">
        <v>125</v>
      </c>
      <c r="C26" s="56"/>
      <c r="D26" s="57" t="n">
        <f aca="false">SUM($D$13:$D$25)</f>
        <v>11761.99</v>
      </c>
      <c r="E26" s="57" t="n">
        <f aca="false">SUM($E$13:$E$25)</f>
        <v>6224.44</v>
      </c>
      <c r="F26" s="57" t="n">
        <f aca="false">SUM($F$13:$F$25)</f>
        <v>5993.21</v>
      </c>
      <c r="G26" s="43" t="n">
        <f aca="false">SUM($G$13:$G$25)</f>
        <v>-455.66</v>
      </c>
      <c r="H26" s="43" t="n">
        <f aca="false">$H$13</f>
        <v>228.41</v>
      </c>
      <c r="I26" s="43" t="n">
        <f aca="false">$I$25</f>
        <v>-227.25</v>
      </c>
      <c r="J26" s="43" t="n">
        <f aca="false">MIN($J$13:$J$25)</f>
        <v>-792.02</v>
      </c>
      <c r="K26" s="58"/>
      <c r="L26" s="58"/>
    </row>
    <row r="28" customFormat="false" ht="30" hidden="false" customHeight="true" outlineLevel="0" collapsed="false">
      <c r="B28" s="36" t="s">
        <v>126</v>
      </c>
      <c r="C28" s="36"/>
      <c r="D28" s="36"/>
      <c r="E28" s="36"/>
      <c r="F28" s="36"/>
      <c r="G28" s="36"/>
      <c r="H28" s="36"/>
      <c r="I28" s="36"/>
      <c r="J28" s="36"/>
      <c r="K28" s="36"/>
      <c r="L28" s="36"/>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1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1" min="1" style="1" width="2.01"/>
    <col collapsed="false" customWidth="true" hidden="false" outlineLevel="0" max="2" min="2" style="1" width="7.94"/>
    <col collapsed="false" customWidth="true" hidden="false" outlineLevel="0" max="3" min="3" style="1" width="25.97"/>
    <col collapsed="false" customWidth="true" hidden="false" outlineLevel="0" max="4" min="4" style="1" width="11.97"/>
    <col collapsed="false" customWidth="true" hidden="false" outlineLevel="0" max="5" min="5" style="1" width="2.01"/>
    <col collapsed="false" customWidth="true" hidden="false" outlineLevel="0" max="6" min="6" style="1" width="7.94"/>
    <col collapsed="false" customWidth="true" hidden="false" outlineLevel="0" max="7" min="7" style="1" width="25.97"/>
    <col collapsed="false" customWidth="true" hidden="false" outlineLevel="0" max="8" min="8" style="1" width="11.97"/>
    <col collapsed="false" customWidth="true" hidden="false" outlineLevel="0" max="9" min="9" style="1" width="2.01"/>
    <col collapsed="false" customWidth="true" hidden="false" outlineLevel="0" max="10" min="10" style="1" width="7.94"/>
    <col collapsed="false" customWidth="true" hidden="false" outlineLevel="0" max="11" min="11" style="1" width="25.97"/>
    <col collapsed="false" customWidth="true" hidden="false" outlineLevel="0" max="12" min="12" style="1" width="11.97"/>
    <col collapsed="false" customWidth="true" hidden="false" outlineLevel="0" max="13" min="13" style="1" width="2.01"/>
  </cols>
  <sheetData>
    <row r="2" customFormat="false" ht="19.5" hidden="false" customHeight="true" outlineLevel="0" collapsed="false">
      <c r="B2" s="59" t="s">
        <v>127</v>
      </c>
    </row>
    <row r="3" customFormat="false" ht="15" hidden="false" customHeight="true" outlineLevel="0" collapsed="false">
      <c r="B3" s="60" t="s">
        <v>128</v>
      </c>
    </row>
    <row r="4" customFormat="false" ht="15" hidden="false" customHeight="true" outlineLevel="0" collapsed="false">
      <c r="B4" s="61" t="s">
        <v>129</v>
      </c>
    </row>
    <row r="6" customFormat="false" ht="19.5" hidden="false" customHeight="true" outlineLevel="0" collapsed="false">
      <c r="B6" s="62" t="str">
        <f aca="false">"WEEK "&amp;Summary!$B13&amp;"    "&amp;TEXT(Summary!$C13,"mmm d")&amp;" - "&amp;TEXT(Summary!$C13+6,"mmm d")</f>
        <v>WEEK 1    Aug 15 - Aug 21</v>
      </c>
      <c r="C6" s="62"/>
      <c r="D6" s="62"/>
      <c r="F6" s="62" t="str">
        <f aca="false">"WEEK "&amp;Summary!$B14&amp;"    "&amp;TEXT(Summary!$C14,"mmm d")&amp;" - "&amp;TEXT(Summary!$C14+6,"mmm d")</f>
        <v>WEEK 2    Aug 22 - Aug 28</v>
      </c>
      <c r="G6" s="62"/>
      <c r="H6" s="62"/>
      <c r="J6" s="62" t="str">
        <f aca="false">"WEEK "&amp;Summary!$B15&amp;"    "&amp;TEXT(Summary!$C15,"mmm d")&amp;" - "&amp;TEXT(Summary!$C15+6,"mmm d")</f>
        <v>WEEK 3    Aug 29 - Sep 4</v>
      </c>
      <c r="K6" s="62"/>
      <c r="L6" s="62"/>
    </row>
    <row r="7" customFormat="false" ht="15" hidden="false" customHeight="true" outlineLevel="0" collapsed="false">
      <c r="B7" s="63" t="s">
        <v>130</v>
      </c>
      <c r="D7" s="64" t="n">
        <f aca="false">Summary!$H13</f>
        <v>228.41</v>
      </c>
      <c r="F7" s="63" t="s">
        <v>130</v>
      </c>
      <c r="H7" s="64" t="n">
        <f aca="false">Summary!$H14</f>
        <v>512.66</v>
      </c>
      <c r="J7" s="63" t="s">
        <v>130</v>
      </c>
      <c r="L7" s="64" t="n">
        <f aca="false">Summary!$H15</f>
        <v>154.54</v>
      </c>
    </row>
    <row r="8" customFormat="false" ht="15" hidden="false" customHeight="true" outlineLevel="0" collapsed="false">
      <c r="B8" s="65" t="s">
        <v>131</v>
      </c>
      <c r="C8" s="66"/>
      <c r="D8" s="67"/>
      <c r="F8" s="65" t="s">
        <v>131</v>
      </c>
      <c r="G8" s="66"/>
      <c r="H8" s="67"/>
      <c r="J8" s="65" t="s">
        <v>131</v>
      </c>
      <c r="K8" s="66"/>
      <c r="L8" s="67"/>
    </row>
    <row r="9" customFormat="false" ht="12.75" hidden="false" customHeight="true" outlineLevel="0" collapsed="false">
      <c r="B9" s="68" t="n">
        <f aca="false">IF('Cash Flow'!$B15="","",'Cash Flow'!$C15)</f>
        <v>46250</v>
      </c>
      <c r="C9" s="69" t="str">
        <f aca="false">IF('Cash Flow'!$B15="","",'Cash Flow'!$B15)</f>
        <v>Maine Revenue Services</v>
      </c>
      <c r="D9" s="70" t="n">
        <f aca="false">IF('Cash Flow'!$B15="","",IF('Cash Flow'!$G15&lt;&gt;"",'Cash Flow'!$G15,-'Cash Flow'!$H15))</f>
        <v>-45</v>
      </c>
      <c r="F9" s="68" t="n">
        <f aca="false">IF('Cash Flow'!$B70="","",'Cash Flow'!$C70)</f>
        <v>46256</v>
      </c>
      <c r="G9" s="69" t="str">
        <f aca="false">IF('Cash Flow'!$B70="","",'Cash Flow'!$B70)</f>
        <v>Microsoft</v>
      </c>
      <c r="H9" s="70" t="n">
        <f aca="false">IF('Cash Flow'!$B70="","",IF('Cash Flow'!$G70&lt;&gt;"",'Cash Flow'!$G70,-'Cash Flow'!$H70))</f>
        <v>-13.7</v>
      </c>
      <c r="J9" s="68" t="n">
        <f aca="false">IF('Cash Flow'!$B125="","",'Cash Flow'!$C125)</f>
        <v>46263</v>
      </c>
      <c r="K9" s="69" t="str">
        <f aca="false">IF('Cash Flow'!$B125="","",'Cash Flow'!$B125)</f>
        <v>Earnin' advance</v>
      </c>
      <c r="L9" s="70" t="n">
        <f aca="false">IF('Cash Flow'!$B125="","",IF('Cash Flow'!$G125&lt;&gt;"",'Cash Flow'!$G125,-'Cash Flow'!$H125))</f>
        <v>100</v>
      </c>
    </row>
    <row r="10" customFormat="false" ht="12.75" hidden="false" customHeight="true" outlineLevel="0" collapsed="false">
      <c r="B10" s="68" t="n">
        <f aca="false">IF('Cash Flow'!$B16="","",'Cash Flow'!$C16)</f>
        <v>46253</v>
      </c>
      <c r="C10" s="69" t="str">
        <f aca="false">IF('Cash Flow'!$B16="","",'Cash Flow'!$B16)</f>
        <v>Bruno's Restaurant (paycheck)</v>
      </c>
      <c r="D10" s="70" t="n">
        <f aca="false">IF('Cash Flow'!$B16="","",IF('Cash Flow'!$G16&lt;&gt;"",'Cash Flow'!$G16,-'Cash Flow'!$H16))</f>
        <v>148.34</v>
      </c>
      <c r="F10" s="68" t="n">
        <f aca="false">IF('Cash Flow'!$B71="","",'Cash Flow'!$C71)</f>
        <v>46257</v>
      </c>
      <c r="G10" s="69" t="str">
        <f aca="false">IF('Cash Flow'!$B71="","",'Cash Flow'!$B71)</f>
        <v>Sneaker Premier (school clothes)</v>
      </c>
      <c r="H10" s="70" t="n">
        <f aca="false">IF('Cash Flow'!$B71="","",IF('Cash Flow'!$G71&lt;&gt;"",'Cash Flow'!$G71,-'Cash Flow'!$H71))</f>
        <v>-314.95</v>
      </c>
      <c r="J10" s="68" t="n">
        <f aca="false">IF('Cash Flow'!$B126="","",'Cash Flow'!$C126)</f>
        <v>46264</v>
      </c>
      <c r="K10" s="69" t="str">
        <f aca="false">IF('Cash Flow'!$B126="","",'Cash Flow'!$B126)</f>
        <v>Maine Revenue Services (2)</v>
      </c>
      <c r="L10" s="70" t="n">
        <f aca="false">IF('Cash Flow'!$B126="","",IF('Cash Flow'!$G126&lt;&gt;"",'Cash Flow'!$G126,-'Cash Flow'!$H126))</f>
        <v>-150</v>
      </c>
    </row>
    <row r="11" customFormat="false" ht="12.75" hidden="false" customHeight="true" outlineLevel="0" collapsed="false">
      <c r="B11" s="68" t="n">
        <f aca="false">IF('Cash Flow'!$B17="","",'Cash Flow'!$C17)</f>
        <v>46255</v>
      </c>
      <c r="C11" s="69" t="str">
        <f aca="false">IF('Cash Flow'!$B17="","",'Cash Flow'!$B17)</f>
        <v>Compunnel Software (paycheck)</v>
      </c>
      <c r="D11" s="70" t="n">
        <f aca="false">IF('Cash Flow'!$B17="","",IF('Cash Flow'!$G17&lt;&gt;"",'Cash Flow'!$G17,-'Cash Flow'!$H17))</f>
        <v>802.65</v>
      </c>
      <c r="F11" s="68" t="n">
        <f aca="false">IF('Cash Flow'!$B72="","",'Cash Flow'!$C72)</f>
        <v>46257</v>
      </c>
      <c r="G11" s="69" t="str">
        <f aca="false">IF('Cash Flow'!$B72="","",'Cash Flow'!$B72)</f>
        <v>Microsoft (2nd subscription)</v>
      </c>
      <c r="H11" s="70" t="n">
        <f aca="false">IF('Cash Flow'!$B72="","",IF('Cash Flow'!$G72&lt;&gt;"",'Cash Flow'!$G72,-'Cash Flow'!$H72))</f>
        <v>-2.39</v>
      </c>
      <c r="J11" s="68" t="n">
        <f aca="false">IF('Cash Flow'!$B127="","",'Cash Flow'!$C127)</f>
        <v>46265</v>
      </c>
      <c r="K11" s="69" t="str">
        <f aca="false">IF('Cash Flow'!$B127="","",'Cash Flow'!$B127)</f>
        <v>Patrick Rombalski (rent)</v>
      </c>
      <c r="L11" s="70" t="n">
        <f aca="false">IF('Cash Flow'!$B127="","",IF('Cash Flow'!$G127&lt;&gt;"",'Cash Flow'!$G127,-'Cash Flow'!$H127))</f>
        <v>-350</v>
      </c>
    </row>
    <row r="12" customFormat="false" ht="12.75" hidden="false" customHeight="true" outlineLevel="0" collapsed="false">
      <c r="B12" s="68" t="n">
        <f aca="false">IF('Cash Flow'!$B18="","",'Cash Flow'!$C18)</f>
        <v>46255</v>
      </c>
      <c r="C12" s="69" t="str">
        <f aca="false">IF('Cash Flow'!$B18="","",'Cash Flow'!$B18)</f>
        <v>Spectrum</v>
      </c>
      <c r="D12" s="70" t="n">
        <f aca="false">IF('Cash Flow'!$B18="","",IF('Cash Flow'!$G18&lt;&gt;"",'Cash Flow'!$G18,-'Cash Flow'!$H18))</f>
        <v>-0</v>
      </c>
      <c r="F12" s="68" t="n">
        <f aca="false">IF('Cash Flow'!$B73="","",'Cash Flow'!$C73)</f>
        <v>46258</v>
      </c>
      <c r="G12" s="69" t="str">
        <f aca="false">IF('Cash Flow'!$B73="","",'Cash Flow'!$B73)</f>
        <v>Earnin'</v>
      </c>
      <c r="H12" s="70" t="n">
        <f aca="false">IF('Cash Flow'!$B73="","",IF('Cash Flow'!$G73&lt;&gt;"",'Cash Flow'!$G73,-'Cash Flow'!$H73))</f>
        <v>100</v>
      </c>
      <c r="J12" s="68" t="n">
        <f aca="false">IF('Cash Flow'!$B128="","",'Cash Flow'!$C128)</f>
        <v>46265</v>
      </c>
      <c r="K12" s="69" t="str">
        <f aca="false">IF('Cash Flow'!$B128="","",'Cash Flow'!$B128)</f>
        <v>Progressive Insurance</v>
      </c>
      <c r="L12" s="70" t="n">
        <f aca="false">IF('Cash Flow'!$B128="","",IF('Cash Flow'!$G128&lt;&gt;"",'Cash Flow'!$G128,-'Cash Flow'!$H128))</f>
        <v>-143.37</v>
      </c>
    </row>
    <row r="13" customFormat="false" ht="12.75" hidden="false" customHeight="true" outlineLevel="0" collapsed="false">
      <c r="B13" s="68" t="str">
        <f aca="false">IF('Cash Flow'!$B19="","",'Cash Flow'!$C19)</f>
        <v/>
      </c>
      <c r="C13" s="69" t="str">
        <f aca="false">IF('Cash Flow'!$B19="","",'Cash Flow'!$B19)</f>
        <v/>
      </c>
      <c r="D13" s="70" t="str">
        <f aca="false">IF('Cash Flow'!$B19="","",IF('Cash Flow'!$G19&lt;&gt;"",'Cash Flow'!$G19,-'Cash Flow'!$H19))</f>
        <v/>
      </c>
      <c r="F13" s="68" t="n">
        <f aca="false">IF('Cash Flow'!$B74="","",'Cash Flow'!$C74)</f>
        <v>46260</v>
      </c>
      <c r="G13" s="69" t="str">
        <f aca="false">IF('Cash Flow'!$B74="","",'Cash Flow'!$B74)</f>
        <v>Bruno's Restaurant (paycheck)</v>
      </c>
      <c r="H13" s="70" t="n">
        <f aca="false">IF('Cash Flow'!$B74="","",IF('Cash Flow'!$G74&lt;&gt;"",'Cash Flow'!$G74,-'Cash Flow'!$H74))</f>
        <v>149.73</v>
      </c>
      <c r="J13" s="68" t="n">
        <f aca="false">IF('Cash Flow'!$B129="","",'Cash Flow'!$C129)</f>
        <v>46267</v>
      </c>
      <c r="K13" s="69" t="str">
        <f aca="false">IF('Cash Flow'!$B129="","",'Cash Flow'!$B129)</f>
        <v>Bruno's Restaurant (paycheck)</v>
      </c>
      <c r="L13" s="70" t="n">
        <f aca="false">IF('Cash Flow'!$B129="","",IF('Cash Flow'!$G129&lt;&gt;"",'Cash Flow'!$G129,-'Cash Flow'!$H129))</f>
        <v>90</v>
      </c>
    </row>
    <row r="14" customFormat="false" ht="12.75" hidden="false" customHeight="true" outlineLevel="0" collapsed="false">
      <c r="B14" s="68" t="str">
        <f aca="false">IF('Cash Flow'!$B20="","",'Cash Flow'!$C20)</f>
        <v/>
      </c>
      <c r="C14" s="69" t="str">
        <f aca="false">IF('Cash Flow'!$B20="","",'Cash Flow'!$B20)</f>
        <v/>
      </c>
      <c r="D14" s="70" t="str">
        <f aca="false">IF('Cash Flow'!$B20="","",IF('Cash Flow'!$G20&lt;&gt;"",'Cash Flow'!$G20,-'Cash Flow'!$H20))</f>
        <v/>
      </c>
      <c r="F14" s="68" t="n">
        <f aca="false">IF('Cash Flow'!$B75="","",'Cash Flow'!$C75)</f>
        <v>46261</v>
      </c>
      <c r="G14" s="69" t="str">
        <f aca="false">IF('Cash Flow'!$B75="","",'Cash Flow'!$B75)</f>
        <v>Earnin' repayment</v>
      </c>
      <c r="H14" s="70" t="n">
        <f aca="false">IF('Cash Flow'!$B75="","",IF('Cash Flow'!$G75&lt;&gt;"",'Cash Flow'!$G75,-'Cash Flow'!$H75))</f>
        <v>-107.99</v>
      </c>
      <c r="J14" s="68" t="n">
        <f aca="false">IF('Cash Flow'!$B130="","",'Cash Flow'!$C130)</f>
        <v>46269</v>
      </c>
      <c r="K14" s="69" t="str">
        <f aca="false">IF('Cash Flow'!$B130="","",'Cash Flow'!$B130)</f>
        <v>Compunnel Software (paycheck)</v>
      </c>
      <c r="L14" s="70" t="n">
        <f aca="false">IF('Cash Flow'!$B130="","",IF('Cash Flow'!$G130&lt;&gt;"",'Cash Flow'!$G130,-'Cash Flow'!$H130))</f>
        <v>802.65</v>
      </c>
    </row>
    <row r="15" customFormat="false" ht="12.75" hidden="false" customHeight="true" outlineLevel="0" collapsed="false">
      <c r="B15" s="68" t="str">
        <f aca="false">IF('Cash Flow'!$B21="","",'Cash Flow'!$C21)</f>
        <v/>
      </c>
      <c r="C15" s="69" t="str">
        <f aca="false">IF('Cash Flow'!$B21="","",'Cash Flow'!$B21)</f>
        <v/>
      </c>
      <c r="D15" s="70" t="str">
        <f aca="false">IF('Cash Flow'!$B21="","",IF('Cash Flow'!$G21&lt;&gt;"",'Cash Flow'!$G21,-'Cash Flow'!$H21))</f>
        <v/>
      </c>
      <c r="F15" s="68" t="n">
        <f aca="false">IF('Cash Flow'!$B76="","",'Cash Flow'!$C76)</f>
        <v>46262</v>
      </c>
      <c r="G15" s="69" t="str">
        <f aca="false">IF('Cash Flow'!$B76="","",'Cash Flow'!$B76)</f>
        <v>Compunnel Software (paycheck)</v>
      </c>
      <c r="H15" s="70" t="n">
        <f aca="false">IF('Cash Flow'!$B76="","",IF('Cash Flow'!$G76&lt;&gt;"",'Cash Flow'!$G76,-'Cash Flow'!$H76))</f>
        <v>802.65</v>
      </c>
      <c r="J15" s="68" t="n">
        <f aca="false">IF('Cash Flow'!$B131="","",'Cash Flow'!$C131)</f>
        <v>46269</v>
      </c>
      <c r="K15" s="69" t="str">
        <f aca="false">IF('Cash Flow'!$B131="","",'Cash Flow'!$B131)</f>
        <v>Apple: Claude</v>
      </c>
      <c r="L15" s="70" t="n">
        <f aca="false">IF('Cash Flow'!$B131="","",IF('Cash Flow'!$G131&lt;&gt;"",'Cash Flow'!$G131,-'Cash Flow'!$H131))</f>
        <v>-21.1</v>
      </c>
    </row>
    <row r="16" customFormat="false" ht="12.75" hidden="false" customHeight="true" outlineLevel="0" collapsed="false">
      <c r="B16" s="68" t="str">
        <f aca="false">IF('Cash Flow'!$B22="","",'Cash Flow'!$C22)</f>
        <v/>
      </c>
      <c r="C16" s="69" t="str">
        <f aca="false">IF('Cash Flow'!$B22="","",'Cash Flow'!$B22)</f>
        <v/>
      </c>
      <c r="D16" s="70" t="str">
        <f aca="false">IF('Cash Flow'!$B22="","",IF('Cash Flow'!$G22&lt;&gt;"",'Cash Flow'!$G22,-'Cash Flow'!$H22))</f>
        <v/>
      </c>
      <c r="F16" s="68" t="str">
        <f aca="false">IF('Cash Flow'!$B77="","",'Cash Flow'!$C77)</f>
        <v/>
      </c>
      <c r="G16" s="69" t="str">
        <f aca="false">IF('Cash Flow'!$B77="","",'Cash Flow'!$B77)</f>
        <v/>
      </c>
      <c r="H16" s="70" t="str">
        <f aca="false">IF('Cash Flow'!$B77="","",IF('Cash Flow'!$G77&lt;&gt;"",'Cash Flow'!$G77,-'Cash Flow'!$H77))</f>
        <v/>
      </c>
      <c r="J16" s="68" t="n">
        <f aca="false">IF('Cash Flow'!$B132="","",'Cash Flow'!$C132)</f>
        <v>46269</v>
      </c>
      <c r="K16" s="69" t="str">
        <f aca="false">IF('Cash Flow'!$B132="","",'Cash Flow'!$B132)</f>
        <v>Earnin' repayment</v>
      </c>
      <c r="L16" s="70" t="n">
        <f aca="false">IF('Cash Flow'!$B132="","",IF('Cash Flow'!$G132&lt;&gt;"",'Cash Flow'!$G132,-'Cash Flow'!$H132))</f>
        <v>-107.99</v>
      </c>
    </row>
    <row r="17" customFormat="false" ht="12.75" hidden="false" customHeight="true" outlineLevel="0" collapsed="false">
      <c r="B17" s="68" t="str">
        <f aca="false">IF('Cash Flow'!$B23="","",'Cash Flow'!$C23)</f>
        <v/>
      </c>
      <c r="C17" s="69" t="str">
        <f aca="false">IF('Cash Flow'!$B23="","",'Cash Flow'!$B23)</f>
        <v/>
      </c>
      <c r="D17" s="70" t="str">
        <f aca="false">IF('Cash Flow'!$B23="","",IF('Cash Flow'!$G23&lt;&gt;"",'Cash Flow'!$G23,-'Cash Flow'!$H23))</f>
        <v/>
      </c>
      <c r="F17" s="68" t="str">
        <f aca="false">IF('Cash Flow'!$B78="","",'Cash Flow'!$C78)</f>
        <v/>
      </c>
      <c r="G17" s="69" t="str">
        <f aca="false">IF('Cash Flow'!$B78="","",'Cash Flow'!$B78)</f>
        <v/>
      </c>
      <c r="H17" s="70" t="str">
        <f aca="false">IF('Cash Flow'!$B78="","",IF('Cash Flow'!$G78&lt;&gt;"",'Cash Flow'!$G78,-'Cash Flow'!$H78))</f>
        <v/>
      </c>
      <c r="J17" s="68" t="str">
        <f aca="false">IF('Cash Flow'!$B133="","",'Cash Flow'!$C133)</f>
        <v/>
      </c>
      <c r="K17" s="69" t="str">
        <f aca="false">IF('Cash Flow'!$B133="","",'Cash Flow'!$B133)</f>
        <v/>
      </c>
      <c r="L17" s="70" t="str">
        <f aca="false">IF('Cash Flow'!$B133="","",IF('Cash Flow'!$G133&lt;&gt;"",'Cash Flow'!$G133,-'Cash Flow'!$H133))</f>
        <v/>
      </c>
    </row>
    <row r="18" customFormat="false" ht="12.75" hidden="false" customHeight="true" outlineLevel="0" collapsed="false">
      <c r="B18" s="68" t="str">
        <f aca="false">IF('Cash Flow'!$B24="","",'Cash Flow'!$C24)</f>
        <v/>
      </c>
      <c r="C18" s="69" t="str">
        <f aca="false">IF('Cash Flow'!$B24="","",'Cash Flow'!$B24)</f>
        <v/>
      </c>
      <c r="D18" s="70" t="str">
        <f aca="false">IF('Cash Flow'!$B24="","",IF('Cash Flow'!$G24&lt;&gt;"",'Cash Flow'!$G24,-'Cash Flow'!$H24))</f>
        <v/>
      </c>
      <c r="F18" s="68" t="str">
        <f aca="false">IF('Cash Flow'!$B79="","",'Cash Flow'!$C79)</f>
        <v/>
      </c>
      <c r="G18" s="69" t="str">
        <f aca="false">IF('Cash Flow'!$B79="","",'Cash Flow'!$B79)</f>
        <v/>
      </c>
      <c r="H18" s="70" t="str">
        <f aca="false">IF('Cash Flow'!$B79="","",IF('Cash Flow'!$G79&lt;&gt;"",'Cash Flow'!$G79,-'Cash Flow'!$H79))</f>
        <v/>
      </c>
      <c r="J18" s="68" t="str">
        <f aca="false">IF('Cash Flow'!$B134="","",'Cash Flow'!$C134)</f>
        <v/>
      </c>
      <c r="K18" s="69" t="str">
        <f aca="false">IF('Cash Flow'!$B134="","",'Cash Flow'!$B134)</f>
        <v/>
      </c>
      <c r="L18" s="70" t="str">
        <f aca="false">IF('Cash Flow'!$B134="","",IF('Cash Flow'!$G134&lt;&gt;"",'Cash Flow'!$G134,-'Cash Flow'!$H134))</f>
        <v/>
      </c>
    </row>
    <row r="19" customFormat="false" ht="15" hidden="false" customHeight="true" outlineLevel="0" collapsed="false">
      <c r="B19" s="71" t="s">
        <v>132</v>
      </c>
      <c r="C19" s="66"/>
      <c r="D19" s="72" t="n">
        <f aca="false">Summary!$D13</f>
        <v>950.99</v>
      </c>
      <c r="F19" s="71" t="s">
        <v>132</v>
      </c>
      <c r="G19" s="66"/>
      <c r="H19" s="72" t="n">
        <f aca="false">Summary!$D14</f>
        <v>1052.38</v>
      </c>
      <c r="J19" s="71" t="s">
        <v>132</v>
      </c>
      <c r="K19" s="66"/>
      <c r="L19" s="72" t="n">
        <f aca="false">Summary!$D15</f>
        <v>992.65</v>
      </c>
    </row>
    <row r="20" customFormat="false" ht="15" hidden="false" customHeight="true" outlineLevel="0" collapsed="false">
      <c r="B20" s="63" t="s">
        <v>133</v>
      </c>
      <c r="D20" s="73" t="n">
        <f aca="false">-Summary!$E13</f>
        <v>-45</v>
      </c>
      <c r="F20" s="63" t="s">
        <v>133</v>
      </c>
      <c r="H20" s="73" t="n">
        <f aca="false">-Summary!$E14</f>
        <v>-439.03</v>
      </c>
      <c r="J20" s="63" t="s">
        <v>133</v>
      </c>
      <c r="L20" s="73" t="n">
        <f aca="false">-Summary!$E15</f>
        <v>-772.46</v>
      </c>
    </row>
    <row r="21" customFormat="false" ht="15" hidden="false" customHeight="true" outlineLevel="0" collapsed="false">
      <c r="B21" s="63" t="s">
        <v>28</v>
      </c>
      <c r="D21" s="73" t="n">
        <f aca="false">-Summary!$F13</f>
        <v>-621.74</v>
      </c>
      <c r="F21" s="63" t="s">
        <v>28</v>
      </c>
      <c r="H21" s="73" t="n">
        <f aca="false">-Summary!$F14</f>
        <v>-971.47</v>
      </c>
      <c r="J21" s="63" t="s">
        <v>28</v>
      </c>
      <c r="L21" s="73" t="n">
        <f aca="false">-Summary!$F15</f>
        <v>-400</v>
      </c>
    </row>
    <row r="22" customFormat="false" ht="15" hidden="false" customHeight="true" outlineLevel="0" collapsed="false">
      <c r="B22" s="63" t="s">
        <v>134</v>
      </c>
      <c r="C22" s="74" t="str">
        <f aca="false">IF(Summary!$K13="","",TEXT(Summary!$K13,"ddd mmm d"))</f>
        <v>Thu Aug 20</v>
      </c>
      <c r="D22" s="75" t="n">
        <f aca="false">Summary!$J13</f>
        <v>-262.64</v>
      </c>
      <c r="F22" s="63" t="s">
        <v>134</v>
      </c>
      <c r="G22" s="74" t="str">
        <f aca="false">IF(Summary!$K14="","",TEXT(Summary!$K14,"ddd mmm d"))</f>
        <v>Thu Aug 27</v>
      </c>
      <c r="H22" s="75" t="n">
        <f aca="false">Summary!$J14</f>
        <v>-235.27</v>
      </c>
      <c r="J22" s="63" t="s">
        <v>134</v>
      </c>
      <c r="K22" s="74" t="str">
        <f aca="false">IF(Summary!$K15="","",TEXT(Summary!$K15,"ddd mmm d"))</f>
        <v>Mon Aug 31</v>
      </c>
      <c r="L22" s="75" t="n">
        <f aca="false">Summary!$J15</f>
        <v>-388.83</v>
      </c>
    </row>
    <row r="23" customFormat="false" ht="21.75" hidden="false" customHeight="true" outlineLevel="0" collapsed="false">
      <c r="B23" s="76" t="s">
        <v>135</v>
      </c>
      <c r="C23" s="76"/>
      <c r="D23" s="77" t="n">
        <f aca="false">Summary!$I13</f>
        <v>512.66</v>
      </c>
      <c r="F23" s="76" t="s">
        <v>135</v>
      </c>
      <c r="G23" s="76"/>
      <c r="H23" s="77" t="n">
        <f aca="false">Summary!$I14</f>
        <v>154.54</v>
      </c>
      <c r="J23" s="76" t="s">
        <v>135</v>
      </c>
      <c r="K23" s="76"/>
      <c r="L23" s="77" t="n">
        <f aca="false">Summary!$I15</f>
        <v>-25.27</v>
      </c>
    </row>
    <row r="24" customFormat="false" ht="15" hidden="false" customHeight="true" outlineLevel="0" collapsed="false">
      <c r="B24" s="78" t="str">
        <f aca="false">Summary!$L13</f>
        <v>SHORTFALL</v>
      </c>
      <c r="C24" s="78"/>
      <c r="D24" s="78"/>
      <c r="F24" s="78" t="str">
        <f aca="false">Summary!$L14</f>
        <v>SHORTFALL</v>
      </c>
      <c r="G24" s="78"/>
      <c r="H24" s="78"/>
      <c r="J24" s="78" t="str">
        <f aca="false">Summary!$L15</f>
        <v>SHORTFALL</v>
      </c>
      <c r="K24" s="78"/>
      <c r="L24" s="78"/>
    </row>
    <row r="28" customFormat="false" ht="19.5" hidden="false" customHeight="true" outlineLevel="0" collapsed="false">
      <c r="B28" s="62" t="str">
        <f aca="false">"WEEK "&amp;Summary!$B16&amp;"    "&amp;TEXT(Summary!$C16,"mmm d")&amp;" - "&amp;TEXT(Summary!$C16+6,"mmm d")</f>
        <v>WEEK 4    Sep 5 - Sep 11</v>
      </c>
      <c r="C28" s="62"/>
      <c r="D28" s="62"/>
      <c r="F28" s="62" t="str">
        <f aca="false">"WEEK "&amp;Summary!$B17&amp;"    "&amp;TEXT(Summary!$C17,"mmm d")&amp;" - "&amp;TEXT(Summary!$C17+6,"mmm d")</f>
        <v>WEEK 5    Sep 12 - Sep 18</v>
      </c>
      <c r="G28" s="62"/>
      <c r="H28" s="62"/>
      <c r="J28" s="62" t="str">
        <f aca="false">"WEEK "&amp;Summary!$B18&amp;"    "&amp;TEXT(Summary!$C18,"mmm d")&amp;" - "&amp;TEXT(Summary!$C18+6,"mmm d")</f>
        <v>WEEK 6    Sep 19 - Sep 25</v>
      </c>
      <c r="K28" s="62"/>
      <c r="L28" s="62"/>
    </row>
    <row r="29" customFormat="false" ht="15" hidden="false" customHeight="true" outlineLevel="0" collapsed="false">
      <c r="B29" s="63" t="s">
        <v>130</v>
      </c>
      <c r="D29" s="64" t="n">
        <f aca="false">Summary!$H16</f>
        <v>-25.27</v>
      </c>
      <c r="F29" s="63" t="s">
        <v>130</v>
      </c>
      <c r="H29" s="64" t="n">
        <f aca="false">Summary!$H17</f>
        <v>-251.3</v>
      </c>
      <c r="J29" s="63" t="s">
        <v>130</v>
      </c>
      <c r="L29" s="64" t="n">
        <f aca="false">Summary!$H18</f>
        <v>-317.17</v>
      </c>
    </row>
    <row r="30" customFormat="false" ht="15" hidden="false" customHeight="true" outlineLevel="0" collapsed="false">
      <c r="B30" s="65" t="s">
        <v>131</v>
      </c>
      <c r="C30" s="66"/>
      <c r="D30" s="67"/>
      <c r="F30" s="65" t="s">
        <v>131</v>
      </c>
      <c r="G30" s="66"/>
      <c r="H30" s="67"/>
      <c r="J30" s="65" t="s">
        <v>131</v>
      </c>
      <c r="K30" s="66"/>
      <c r="L30" s="67"/>
    </row>
    <row r="31" customFormat="false" ht="12.75" hidden="false" customHeight="true" outlineLevel="0" collapsed="false">
      <c r="B31" s="68" t="n">
        <f aca="false">IF('Cash Flow'!$B180="","",'Cash Flow'!$C180)</f>
        <v>46270</v>
      </c>
      <c r="C31" s="69" t="str">
        <f aca="false">IF('Cash Flow'!$B180="","",'Cash Flow'!$B180)</f>
        <v>OpenAI</v>
      </c>
      <c r="D31" s="70" t="n">
        <f aca="false">IF('Cash Flow'!$B180="","",IF('Cash Flow'!$G180&lt;&gt;"",'Cash Flow'!$G180,-'Cash Flow'!$H180))</f>
        <v>-20</v>
      </c>
      <c r="F31" s="68" t="n">
        <f aca="false">IF('Cash Flow'!$B235="","",'Cash Flow'!$C235)</f>
        <v>46278</v>
      </c>
      <c r="G31" s="69" t="str">
        <f aca="false">IF('Cash Flow'!$B235="","",'Cash Flow'!$B235)</f>
        <v>Apple: iCloud</v>
      </c>
      <c r="H31" s="70" t="n">
        <f aca="false">IF('Cash Flow'!$B235="","",IF('Cash Flow'!$G235&lt;&gt;"",'Cash Flow'!$G235,-'Cash Flow'!$H235))</f>
        <v>-2.99</v>
      </c>
      <c r="J31" s="68" t="n">
        <f aca="false">IF('Cash Flow'!$B290="","",'Cash Flow'!$C290)</f>
        <v>46286</v>
      </c>
      <c r="K31" s="69" t="str">
        <f aca="false">IF('Cash Flow'!$B290="","",'Cash Flow'!$B290)</f>
        <v>Spectrum</v>
      </c>
      <c r="L31" s="70" t="n">
        <f aca="false">IF('Cash Flow'!$B290="","",IF('Cash Flow'!$G290&lt;&gt;"",'Cash Flow'!$G290,-'Cash Flow'!$H290))</f>
        <v>-171.1</v>
      </c>
    </row>
    <row r="32" customFormat="false" ht="12.75" hidden="false" customHeight="true" outlineLevel="0" collapsed="false">
      <c r="B32" s="68" t="n">
        <f aca="false">IF('Cash Flow'!$B181="","",'Cash Flow'!$C181)</f>
        <v>46270</v>
      </c>
      <c r="C32" s="69" t="str">
        <f aca="false">IF('Cash Flow'!$B181="","",'Cash Flow'!$B181)</f>
        <v>Obsidian</v>
      </c>
      <c r="D32" s="70" t="n">
        <f aca="false">IF('Cash Flow'!$B181="","",IF('Cash Flow'!$G181&lt;&gt;"",'Cash Flow'!$G181,-'Cash Flow'!$H181))</f>
        <v>-10</v>
      </c>
      <c r="F32" s="68" t="n">
        <f aca="false">IF('Cash Flow'!$B236="","",'Cash Flow'!$C236)</f>
        <v>46280</v>
      </c>
      <c r="G32" s="69" t="str">
        <f aca="false">IF('Cash Flow'!$B236="","",'Cash Flow'!$B236)</f>
        <v>Patrick Rombalski (rent)</v>
      </c>
      <c r="H32" s="70" t="n">
        <f aca="false">IF('Cash Flow'!$B236="","",IF('Cash Flow'!$G236&lt;&gt;"",'Cash Flow'!$G236,-'Cash Flow'!$H236))</f>
        <v>-350</v>
      </c>
      <c r="J32" s="68" t="n">
        <f aca="false">IF('Cash Flow'!$B291="","",'Cash Flow'!$C291)</f>
        <v>46287</v>
      </c>
      <c r="K32" s="69" t="str">
        <f aca="false">IF('Cash Flow'!$B291="","",'Cash Flow'!$B291)</f>
        <v>Microsoft</v>
      </c>
      <c r="L32" s="70" t="n">
        <f aca="false">IF('Cash Flow'!$B291="","",IF('Cash Flow'!$G291&lt;&gt;"",'Cash Flow'!$G291,-'Cash Flow'!$H291))</f>
        <v>-13.7</v>
      </c>
    </row>
    <row r="33" customFormat="false" ht="12.75" hidden="false" customHeight="true" outlineLevel="0" collapsed="false">
      <c r="B33" s="68" t="n">
        <f aca="false">IF('Cash Flow'!$B182="","",'Cash Flow'!$C182)</f>
        <v>46272</v>
      </c>
      <c r="C33" s="69" t="str">
        <f aca="false">IF('Cash Flow'!$B182="","",'Cash Flow'!$B182)</f>
        <v>Google One</v>
      </c>
      <c r="D33" s="70" t="n">
        <f aca="false">IF('Cash Flow'!$B182="","",IF('Cash Flow'!$G182&lt;&gt;"",'Cash Flow'!$G182,-'Cash Flow'!$H182))</f>
        <v>-4.99</v>
      </c>
      <c r="F33" s="68" t="n">
        <f aca="false">IF('Cash Flow'!$B237="","",'Cash Flow'!$C237)</f>
        <v>46281</v>
      </c>
      <c r="G33" s="69" t="str">
        <f aca="false">IF('Cash Flow'!$B237="","",'Cash Flow'!$B237)</f>
        <v>Bruno's Restaurant (paycheck)</v>
      </c>
      <c r="H33" s="70" t="n">
        <f aca="false">IF('Cash Flow'!$B237="","",IF('Cash Flow'!$G237&lt;&gt;"",'Cash Flow'!$G237,-'Cash Flow'!$H237))</f>
        <v>90</v>
      </c>
      <c r="J33" s="68" t="n">
        <f aca="false">IF('Cash Flow'!$B292="","",'Cash Flow'!$C292)</f>
        <v>46288</v>
      </c>
      <c r="K33" s="69" t="str">
        <f aca="false">IF('Cash Flow'!$B292="","",'Cash Flow'!$B292)</f>
        <v>Bruno's Restaurant (paycheck)</v>
      </c>
      <c r="L33" s="70" t="n">
        <f aca="false">IF('Cash Flow'!$B292="","",IF('Cash Flow'!$G292&lt;&gt;"",'Cash Flow'!$G292,-'Cash Flow'!$H292))</f>
        <v>90</v>
      </c>
    </row>
    <row r="34" customFormat="false" ht="12.75" hidden="false" customHeight="true" outlineLevel="0" collapsed="false">
      <c r="B34" s="68" t="n">
        <f aca="false">IF('Cash Flow'!$B183="","",'Cash Flow'!$C183)</f>
        <v>46272</v>
      </c>
      <c r="C34" s="69" t="str">
        <f aca="false">IF('Cash Flow'!$B183="","",'Cash Flow'!$B183)</f>
        <v>Upstart (loan)</v>
      </c>
      <c r="D34" s="70" t="n">
        <f aca="false">IF('Cash Flow'!$B183="","",IF('Cash Flow'!$G183&lt;&gt;"",'Cash Flow'!$G183,-'Cash Flow'!$H183))</f>
        <v>-500</v>
      </c>
      <c r="F34" s="68" t="n">
        <f aca="false">IF('Cash Flow'!$B238="","",'Cash Flow'!$C238)</f>
        <v>46281</v>
      </c>
      <c r="G34" s="69" t="str">
        <f aca="false">IF('Cash Flow'!$B238="","",'Cash Flow'!$B238)</f>
        <v>Maine Revenue Services</v>
      </c>
      <c r="H34" s="70" t="n">
        <f aca="false">IF('Cash Flow'!$B238="","",IF('Cash Flow'!$G238&lt;&gt;"",'Cash Flow'!$G238,-'Cash Flow'!$H238))</f>
        <v>-45</v>
      </c>
      <c r="J34" s="68" t="n">
        <f aca="false">IF('Cash Flow'!$B293="","",'Cash Flow'!$C293)</f>
        <v>46288</v>
      </c>
      <c r="K34" s="69" t="str">
        <f aca="false">IF('Cash Flow'!$B293="","",'Cash Flow'!$B293)</f>
        <v>Microsoft (2nd subscription)</v>
      </c>
      <c r="L34" s="70" t="n">
        <f aca="false">IF('Cash Flow'!$B293="","",IF('Cash Flow'!$G293&lt;&gt;"",'Cash Flow'!$G293,-'Cash Flow'!$H293))</f>
        <v>-2.39</v>
      </c>
    </row>
    <row r="35" customFormat="false" ht="12.75" hidden="false" customHeight="true" outlineLevel="0" collapsed="false">
      <c r="B35" s="68" t="n">
        <f aca="false">IF('Cash Flow'!$B184="","",'Cash Flow'!$C184)</f>
        <v>46273</v>
      </c>
      <c r="C35" s="69" t="str">
        <f aca="false">IF('Cash Flow'!$B184="","",'Cash Flow'!$B184)</f>
        <v>Central Maine Power Co.</v>
      </c>
      <c r="D35" s="70" t="n">
        <f aca="false">IF('Cash Flow'!$B184="","",IF('Cash Flow'!$G184&lt;&gt;"",'Cash Flow'!$G184,-'Cash Flow'!$H184))</f>
        <v>-183.69</v>
      </c>
      <c r="F35" s="68" t="n">
        <f aca="false">IF('Cash Flow'!$B239="","",'Cash Flow'!$C239)</f>
        <v>46283</v>
      </c>
      <c r="G35" s="69" t="str">
        <f aca="false">IF('Cash Flow'!$B239="","",'Cash Flow'!$B239)</f>
        <v>Compunnel Software (paycheck)</v>
      </c>
      <c r="H35" s="70" t="n">
        <f aca="false">IF('Cash Flow'!$B239="","",IF('Cash Flow'!$G239&lt;&gt;"",'Cash Flow'!$G239,-'Cash Flow'!$H239))</f>
        <v>642.12</v>
      </c>
      <c r="J35" s="68" t="n">
        <f aca="false">IF('Cash Flow'!$B294="","",'Cash Flow'!$C294)</f>
        <v>46290</v>
      </c>
      <c r="K35" s="69" t="str">
        <f aca="false">IF('Cash Flow'!$B294="","",'Cash Flow'!$B294)</f>
        <v>Compunnel Software (paycheck)</v>
      </c>
      <c r="L35" s="70" t="n">
        <f aca="false">IF('Cash Flow'!$B294="","",IF('Cash Flow'!$G294&lt;&gt;"",'Cash Flow'!$G294,-'Cash Flow'!$H294))</f>
        <v>802.65</v>
      </c>
    </row>
    <row r="36" customFormat="false" ht="12.75" hidden="false" customHeight="true" outlineLevel="0" collapsed="false">
      <c r="B36" s="68" t="n">
        <f aca="false">IF('Cash Flow'!$B185="","",'Cash Flow'!$C185)</f>
        <v>46274</v>
      </c>
      <c r="C36" s="69" t="str">
        <f aca="false">IF('Cash Flow'!$B185="","",'Cash Flow'!$B185)</f>
        <v>Bruno's Restaurant (paycheck)</v>
      </c>
      <c r="D36" s="70" t="n">
        <f aca="false">IF('Cash Flow'!$B185="","",IF('Cash Flow'!$G185&lt;&gt;"",'Cash Flow'!$G185,-'Cash Flow'!$H185))</f>
        <v>90</v>
      </c>
      <c r="F36" s="68" t="str">
        <f aca="false">IF('Cash Flow'!$B240="","",'Cash Flow'!$C240)</f>
        <v/>
      </c>
      <c r="G36" s="69" t="str">
        <f aca="false">IF('Cash Flow'!$B240="","",'Cash Flow'!$B240)</f>
        <v/>
      </c>
      <c r="H36" s="70" t="str">
        <f aca="false">IF('Cash Flow'!$B240="","",IF('Cash Flow'!$G240&lt;&gt;"",'Cash Flow'!$G240,-'Cash Flow'!$H240))</f>
        <v/>
      </c>
      <c r="J36" s="68" t="str">
        <f aca="false">IF('Cash Flow'!$B295="","",'Cash Flow'!$C295)</f>
        <v/>
      </c>
      <c r="K36" s="69" t="str">
        <f aca="false">IF('Cash Flow'!$B295="","",'Cash Flow'!$B295)</f>
        <v/>
      </c>
      <c r="L36" s="70" t="str">
        <f aca="false">IF('Cash Flow'!$B295="","",IF('Cash Flow'!$G295&lt;&gt;"",'Cash Flow'!$G295,-'Cash Flow'!$H295))</f>
        <v/>
      </c>
    </row>
    <row r="37" customFormat="false" ht="12.75" hidden="false" customHeight="true" outlineLevel="0" collapsed="false">
      <c r="B37" s="68" t="n">
        <f aca="false">IF('Cash Flow'!$B186="","",'Cash Flow'!$C186)</f>
        <v>46276</v>
      </c>
      <c r="C37" s="69" t="str">
        <f aca="false">IF('Cash Flow'!$B186="","",'Cash Flow'!$B186)</f>
        <v>Compunnel Software (paycheck)</v>
      </c>
      <c r="D37" s="70" t="n">
        <f aca="false">IF('Cash Flow'!$B186="","",IF('Cash Flow'!$G186&lt;&gt;"",'Cash Flow'!$G186,-'Cash Flow'!$H186))</f>
        <v>802.65</v>
      </c>
      <c r="F37" s="68" t="str">
        <f aca="false">IF('Cash Flow'!$B241="","",'Cash Flow'!$C241)</f>
        <v/>
      </c>
      <c r="G37" s="69" t="str">
        <f aca="false">IF('Cash Flow'!$B241="","",'Cash Flow'!$B241)</f>
        <v/>
      </c>
      <c r="H37" s="70" t="str">
        <f aca="false">IF('Cash Flow'!$B241="","",IF('Cash Flow'!$G241&lt;&gt;"",'Cash Flow'!$G241,-'Cash Flow'!$H241))</f>
        <v/>
      </c>
      <c r="J37" s="68" t="str">
        <f aca="false">IF('Cash Flow'!$B296="","",'Cash Flow'!$C296)</f>
        <v/>
      </c>
      <c r="K37" s="69" t="str">
        <f aca="false">IF('Cash Flow'!$B296="","",'Cash Flow'!$B296)</f>
        <v/>
      </c>
      <c r="L37" s="70" t="str">
        <f aca="false">IF('Cash Flow'!$B296="","",IF('Cash Flow'!$G296&lt;&gt;"",'Cash Flow'!$G296,-'Cash Flow'!$H296))</f>
        <v/>
      </c>
    </row>
    <row r="38" customFormat="false" ht="12.75" hidden="false" customHeight="true" outlineLevel="0" collapsed="false">
      <c r="B38" s="68" t="str">
        <f aca="false">IF('Cash Flow'!$B187="","",'Cash Flow'!$C187)</f>
        <v/>
      </c>
      <c r="C38" s="69" t="str">
        <f aca="false">IF('Cash Flow'!$B187="","",'Cash Flow'!$B187)</f>
        <v/>
      </c>
      <c r="D38" s="70" t="str">
        <f aca="false">IF('Cash Flow'!$B187="","",IF('Cash Flow'!$G187&lt;&gt;"",'Cash Flow'!$G187,-'Cash Flow'!$H187))</f>
        <v/>
      </c>
      <c r="F38" s="68" t="str">
        <f aca="false">IF('Cash Flow'!$B242="","",'Cash Flow'!$C242)</f>
        <v/>
      </c>
      <c r="G38" s="69" t="str">
        <f aca="false">IF('Cash Flow'!$B242="","",'Cash Flow'!$B242)</f>
        <v/>
      </c>
      <c r="H38" s="70" t="str">
        <f aca="false">IF('Cash Flow'!$B242="","",IF('Cash Flow'!$G242&lt;&gt;"",'Cash Flow'!$G242,-'Cash Flow'!$H242))</f>
        <v/>
      </c>
      <c r="J38" s="68" t="str">
        <f aca="false">IF('Cash Flow'!$B297="","",'Cash Flow'!$C297)</f>
        <v/>
      </c>
      <c r="K38" s="69" t="str">
        <f aca="false">IF('Cash Flow'!$B297="","",'Cash Flow'!$B297)</f>
        <v/>
      </c>
      <c r="L38" s="70" t="str">
        <f aca="false">IF('Cash Flow'!$B297="","",IF('Cash Flow'!$G297&lt;&gt;"",'Cash Flow'!$G297,-'Cash Flow'!$H297))</f>
        <v/>
      </c>
    </row>
    <row r="39" customFormat="false" ht="12.75" hidden="false" customHeight="true" outlineLevel="0" collapsed="false">
      <c r="B39" s="68" t="str">
        <f aca="false">IF('Cash Flow'!$B188="","",'Cash Flow'!$C188)</f>
        <v/>
      </c>
      <c r="C39" s="69" t="str">
        <f aca="false">IF('Cash Flow'!$B188="","",'Cash Flow'!$B188)</f>
        <v/>
      </c>
      <c r="D39" s="70" t="str">
        <f aca="false">IF('Cash Flow'!$B188="","",IF('Cash Flow'!$G188&lt;&gt;"",'Cash Flow'!$G188,-'Cash Flow'!$H188))</f>
        <v/>
      </c>
      <c r="F39" s="68" t="str">
        <f aca="false">IF('Cash Flow'!$B243="","",'Cash Flow'!$C243)</f>
        <v/>
      </c>
      <c r="G39" s="69" t="str">
        <f aca="false">IF('Cash Flow'!$B243="","",'Cash Flow'!$B243)</f>
        <v/>
      </c>
      <c r="H39" s="70" t="str">
        <f aca="false">IF('Cash Flow'!$B243="","",IF('Cash Flow'!$G243&lt;&gt;"",'Cash Flow'!$G243,-'Cash Flow'!$H243))</f>
        <v/>
      </c>
      <c r="J39" s="68" t="str">
        <f aca="false">IF('Cash Flow'!$B298="","",'Cash Flow'!$C298)</f>
        <v/>
      </c>
      <c r="K39" s="69" t="str">
        <f aca="false">IF('Cash Flow'!$B298="","",'Cash Flow'!$B298)</f>
        <v/>
      </c>
      <c r="L39" s="70" t="str">
        <f aca="false">IF('Cash Flow'!$B298="","",IF('Cash Flow'!$G298&lt;&gt;"",'Cash Flow'!$G298,-'Cash Flow'!$H298))</f>
        <v/>
      </c>
    </row>
    <row r="40" customFormat="false" ht="12.75" hidden="false" customHeight="true" outlineLevel="0" collapsed="false">
      <c r="B40" s="68" t="str">
        <f aca="false">IF('Cash Flow'!$B189="","",'Cash Flow'!$C189)</f>
        <v/>
      </c>
      <c r="C40" s="69" t="str">
        <f aca="false">IF('Cash Flow'!$B189="","",'Cash Flow'!$B189)</f>
        <v/>
      </c>
      <c r="D40" s="70" t="str">
        <f aca="false">IF('Cash Flow'!$B189="","",IF('Cash Flow'!$G189&lt;&gt;"",'Cash Flow'!$G189,-'Cash Flow'!$H189))</f>
        <v/>
      </c>
      <c r="F40" s="68" t="str">
        <f aca="false">IF('Cash Flow'!$B244="","",'Cash Flow'!$C244)</f>
        <v/>
      </c>
      <c r="G40" s="69" t="str">
        <f aca="false">IF('Cash Flow'!$B244="","",'Cash Flow'!$B244)</f>
        <v/>
      </c>
      <c r="H40" s="70" t="str">
        <f aca="false">IF('Cash Flow'!$B244="","",IF('Cash Flow'!$G244&lt;&gt;"",'Cash Flow'!$G244,-'Cash Flow'!$H244))</f>
        <v/>
      </c>
      <c r="J40" s="68" t="str">
        <f aca="false">IF('Cash Flow'!$B299="","",'Cash Flow'!$C299)</f>
        <v/>
      </c>
      <c r="K40" s="69" t="str">
        <f aca="false">IF('Cash Flow'!$B299="","",'Cash Flow'!$B299)</f>
        <v/>
      </c>
      <c r="L40" s="70" t="str">
        <f aca="false">IF('Cash Flow'!$B299="","",IF('Cash Flow'!$G299&lt;&gt;"",'Cash Flow'!$G299,-'Cash Flow'!$H299))</f>
        <v/>
      </c>
    </row>
    <row r="41" customFormat="false" ht="15" hidden="false" customHeight="true" outlineLevel="0" collapsed="false">
      <c r="B41" s="71" t="s">
        <v>132</v>
      </c>
      <c r="C41" s="66"/>
      <c r="D41" s="72" t="n">
        <f aca="false">Summary!$D16</f>
        <v>892.65</v>
      </c>
      <c r="F41" s="71" t="s">
        <v>132</v>
      </c>
      <c r="G41" s="66"/>
      <c r="H41" s="72" t="n">
        <f aca="false">Summary!$D17</f>
        <v>732.12</v>
      </c>
      <c r="J41" s="71" t="s">
        <v>132</v>
      </c>
      <c r="K41" s="66"/>
      <c r="L41" s="72" t="n">
        <f aca="false">Summary!$D18</f>
        <v>892.65</v>
      </c>
    </row>
    <row r="42" customFormat="false" ht="15" hidden="false" customHeight="true" outlineLevel="0" collapsed="false">
      <c r="B42" s="63" t="s">
        <v>133</v>
      </c>
      <c r="D42" s="73" t="n">
        <f aca="false">-Summary!$E16</f>
        <v>-718.68</v>
      </c>
      <c r="F42" s="63" t="s">
        <v>133</v>
      </c>
      <c r="H42" s="73" t="n">
        <f aca="false">-Summary!$E17</f>
        <v>-397.99</v>
      </c>
      <c r="J42" s="63" t="s">
        <v>133</v>
      </c>
      <c r="L42" s="73" t="n">
        <f aca="false">-Summary!$E18</f>
        <v>-187.19</v>
      </c>
    </row>
    <row r="43" customFormat="false" ht="15" hidden="false" customHeight="true" outlineLevel="0" collapsed="false">
      <c r="B43" s="63" t="s">
        <v>28</v>
      </c>
      <c r="D43" s="73" t="n">
        <f aca="false">-Summary!$F16</f>
        <v>-400</v>
      </c>
      <c r="F43" s="63" t="s">
        <v>28</v>
      </c>
      <c r="H43" s="73" t="n">
        <f aca="false">-Summary!$F17</f>
        <v>-400</v>
      </c>
      <c r="J43" s="63" t="s">
        <v>28</v>
      </c>
      <c r="L43" s="73" t="n">
        <f aca="false">-Summary!$F18</f>
        <v>-400</v>
      </c>
    </row>
    <row r="44" customFormat="false" ht="15" hidden="false" customHeight="true" outlineLevel="0" collapsed="false">
      <c r="B44" s="63" t="s">
        <v>134</v>
      </c>
      <c r="C44" s="74" t="str">
        <f aca="false">IF(Summary!$K16="","",TEXT(Summary!$K16,"ddd mmm d"))</f>
        <v>Tue Sep 8</v>
      </c>
      <c r="D44" s="75" t="n">
        <f aca="false">Summary!$J16</f>
        <v>-743.95</v>
      </c>
      <c r="F44" s="63" t="s">
        <v>134</v>
      </c>
      <c r="G44" s="74" t="str">
        <f aca="false">IF(Summary!$K17="","",TEXT(Summary!$K17,"ddd mmm d"))</f>
        <v>Tue Sep 15</v>
      </c>
      <c r="H44" s="75" t="n">
        <f aca="false">Summary!$J17</f>
        <v>-604.29</v>
      </c>
      <c r="J44" s="63" t="s">
        <v>134</v>
      </c>
      <c r="K44" s="74" t="str">
        <f aca="false">IF(Summary!$K18="","",TEXT(Summary!$K18,"ddd mmm d"))</f>
        <v>Tue Sep 22</v>
      </c>
      <c r="L44" s="75" t="n">
        <f aca="false">Summary!$J18</f>
        <v>-501.97</v>
      </c>
    </row>
    <row r="45" customFormat="false" ht="21.75" hidden="false" customHeight="true" outlineLevel="0" collapsed="false">
      <c r="B45" s="76" t="s">
        <v>135</v>
      </c>
      <c r="C45" s="76"/>
      <c r="D45" s="77" t="n">
        <f aca="false">Summary!$I16</f>
        <v>-251.3</v>
      </c>
      <c r="F45" s="76" t="s">
        <v>135</v>
      </c>
      <c r="G45" s="76"/>
      <c r="H45" s="77" t="n">
        <f aca="false">Summary!$I17</f>
        <v>-317.17</v>
      </c>
      <c r="J45" s="76" t="s">
        <v>135</v>
      </c>
      <c r="K45" s="76"/>
      <c r="L45" s="77" t="n">
        <f aca="false">Summary!$I18</f>
        <v>-11.7099999999999</v>
      </c>
    </row>
    <row r="46" customFormat="false" ht="15" hidden="false" customHeight="true" outlineLevel="0" collapsed="false">
      <c r="B46" s="78" t="str">
        <f aca="false">Summary!$L16</f>
        <v>SHORTFALL</v>
      </c>
      <c r="C46" s="78"/>
      <c r="D46" s="78"/>
      <c r="F46" s="78" t="str">
        <f aca="false">Summary!$L17</f>
        <v>SHORTFALL</v>
      </c>
      <c r="G46" s="78"/>
      <c r="H46" s="78"/>
      <c r="J46" s="78" t="str">
        <f aca="false">Summary!$L18</f>
        <v>SHORTFALL</v>
      </c>
      <c r="K46" s="78"/>
      <c r="L46" s="78"/>
    </row>
    <row r="50" customFormat="false" ht="19.5" hidden="false" customHeight="true" outlineLevel="0" collapsed="false">
      <c r="B50" s="62" t="str">
        <f aca="false">"WEEK "&amp;Summary!$B19&amp;"    "&amp;TEXT(Summary!$C19,"mmm d")&amp;" - "&amp;TEXT(Summary!$C19+6,"mmm d")</f>
        <v>WEEK 7    Sep 26 - Oct 2</v>
      </c>
      <c r="C50" s="62"/>
      <c r="D50" s="62"/>
      <c r="F50" s="62" t="str">
        <f aca="false">"WEEK "&amp;Summary!$B20&amp;"    "&amp;TEXT(Summary!$C20,"mmm d")&amp;" - "&amp;TEXT(Summary!$C20+6,"mmm d")</f>
        <v>WEEK 8    Oct 3 - Oct 9</v>
      </c>
      <c r="G50" s="62"/>
      <c r="H50" s="62"/>
      <c r="J50" s="62" t="str">
        <f aca="false">"WEEK "&amp;Summary!$B21&amp;"    "&amp;TEXT(Summary!$C21,"mmm d")&amp;" - "&amp;TEXT(Summary!$C21+6,"mmm d")</f>
        <v>WEEK 9    Oct 10 - Oct 16</v>
      </c>
      <c r="K50" s="62"/>
      <c r="L50" s="62"/>
    </row>
    <row r="51" customFormat="false" ht="15" hidden="false" customHeight="true" outlineLevel="0" collapsed="false">
      <c r="B51" s="63" t="s">
        <v>130</v>
      </c>
      <c r="D51" s="64" t="n">
        <f aca="false">Summary!$H19</f>
        <v>-11.7099999999999</v>
      </c>
      <c r="F51" s="63" t="s">
        <v>130</v>
      </c>
      <c r="H51" s="64" t="n">
        <f aca="false">Summary!$H20</f>
        <v>-162.43</v>
      </c>
      <c r="J51" s="63" t="s">
        <v>130</v>
      </c>
      <c r="L51" s="64" t="n">
        <f aca="false">Summary!$H21</f>
        <v>-389.37</v>
      </c>
    </row>
    <row r="52" customFormat="false" ht="15" hidden="false" customHeight="true" outlineLevel="0" collapsed="false">
      <c r="B52" s="65" t="s">
        <v>131</v>
      </c>
      <c r="C52" s="66"/>
      <c r="D52" s="67"/>
      <c r="F52" s="65" t="s">
        <v>131</v>
      </c>
      <c r="G52" s="66"/>
      <c r="H52" s="67"/>
      <c r="J52" s="65" t="s">
        <v>131</v>
      </c>
      <c r="K52" s="66"/>
      <c r="L52" s="67"/>
    </row>
    <row r="53" customFormat="false" ht="12.75" hidden="false" customHeight="true" outlineLevel="0" collapsed="false">
      <c r="B53" s="68" t="n">
        <f aca="false">IF('Cash Flow'!$B345="","",'Cash Flow'!$C345)</f>
        <v>46295</v>
      </c>
      <c r="C53" s="69" t="str">
        <f aca="false">IF('Cash Flow'!$B345="","",'Cash Flow'!$B345)</f>
        <v>Bruno's Restaurant (paycheck)</v>
      </c>
      <c r="D53" s="70" t="n">
        <f aca="false">IF('Cash Flow'!$B345="","",IF('Cash Flow'!$G345&lt;&gt;"",'Cash Flow'!$G345,-'Cash Flow'!$H345))</f>
        <v>90</v>
      </c>
      <c r="F53" s="68" t="n">
        <f aca="false">IF('Cash Flow'!$B400="","",'Cash Flow'!$C400)</f>
        <v>46299</v>
      </c>
      <c r="G53" s="69" t="str">
        <f aca="false">IF('Cash Flow'!$B400="","",'Cash Flow'!$B400)</f>
        <v>Apple: Claude</v>
      </c>
      <c r="H53" s="70" t="n">
        <f aca="false">IF('Cash Flow'!$B400="","",IF('Cash Flow'!$G400&lt;&gt;"",'Cash Flow'!$G400,-'Cash Flow'!$H400))</f>
        <v>-21.1</v>
      </c>
      <c r="J53" s="68" t="n">
        <f aca="false">IF('Cash Flow'!$B455="","",'Cash Flow'!$C455)</f>
        <v>46308</v>
      </c>
      <c r="K53" s="69" t="str">
        <f aca="false">IF('Cash Flow'!$B455="","",'Cash Flow'!$B455)</f>
        <v>Apple: iCloud</v>
      </c>
      <c r="L53" s="70" t="n">
        <f aca="false">IF('Cash Flow'!$B455="","",IF('Cash Flow'!$G455&lt;&gt;"",'Cash Flow'!$G455,-'Cash Flow'!$H455))</f>
        <v>-2.99</v>
      </c>
    </row>
    <row r="54" customFormat="false" ht="12.75" hidden="false" customHeight="true" outlineLevel="0" collapsed="false">
      <c r="B54" s="68" t="n">
        <f aca="false">IF('Cash Flow'!$B346="","",'Cash Flow'!$C346)</f>
        <v>46295</v>
      </c>
      <c r="C54" s="69" t="str">
        <f aca="false">IF('Cash Flow'!$B346="","",'Cash Flow'!$B346)</f>
        <v>Patrick Rombalski (rent)</v>
      </c>
      <c r="D54" s="70" t="n">
        <f aca="false">IF('Cash Flow'!$B346="","",IF('Cash Flow'!$G346&lt;&gt;"",'Cash Flow'!$G346,-'Cash Flow'!$H346))</f>
        <v>-350</v>
      </c>
      <c r="F54" s="68" t="n">
        <f aca="false">IF('Cash Flow'!$B401="","",'Cash Flow'!$C401)</f>
        <v>46300</v>
      </c>
      <c r="G54" s="69" t="str">
        <f aca="false">IF('Cash Flow'!$B401="","",'Cash Flow'!$B401)</f>
        <v>OpenAI</v>
      </c>
      <c r="H54" s="70" t="n">
        <f aca="false">IF('Cash Flow'!$B401="","",IF('Cash Flow'!$G401&lt;&gt;"",'Cash Flow'!$G401,-'Cash Flow'!$H401))</f>
        <v>-20</v>
      </c>
      <c r="J54" s="68" t="n">
        <f aca="false">IF('Cash Flow'!$B456="","",'Cash Flow'!$C456)</f>
        <v>46309</v>
      </c>
      <c r="K54" s="69" t="str">
        <f aca="false">IF('Cash Flow'!$B456="","",'Cash Flow'!$B456)</f>
        <v>Bruno's Restaurant (paycheck)</v>
      </c>
      <c r="L54" s="70" t="n">
        <f aca="false">IF('Cash Flow'!$B456="","",IF('Cash Flow'!$G456&lt;&gt;"",'Cash Flow'!$G456,-'Cash Flow'!$H456))</f>
        <v>90</v>
      </c>
    </row>
    <row r="55" customFormat="false" ht="12.75" hidden="false" customHeight="true" outlineLevel="0" collapsed="false">
      <c r="B55" s="68" t="n">
        <f aca="false">IF('Cash Flow'!$B347="","",'Cash Flow'!$C347)</f>
        <v>46295</v>
      </c>
      <c r="C55" s="69" t="str">
        <f aca="false">IF('Cash Flow'!$B347="","",'Cash Flow'!$B347)</f>
        <v>Maine Revenue Services (2)</v>
      </c>
      <c r="D55" s="70" t="n">
        <f aca="false">IF('Cash Flow'!$B347="","",IF('Cash Flow'!$G347&lt;&gt;"",'Cash Flow'!$G347,-'Cash Flow'!$H347))</f>
        <v>-150</v>
      </c>
      <c r="F55" s="68" t="n">
        <f aca="false">IF('Cash Flow'!$B402="","",'Cash Flow'!$C402)</f>
        <v>46300</v>
      </c>
      <c r="G55" s="69" t="str">
        <f aca="false">IF('Cash Flow'!$B402="","",'Cash Flow'!$B402)</f>
        <v>Obsidian</v>
      </c>
      <c r="H55" s="70" t="n">
        <f aca="false">IF('Cash Flow'!$B402="","",IF('Cash Flow'!$G402&lt;&gt;"",'Cash Flow'!$G402,-'Cash Flow'!$H402))</f>
        <v>-10</v>
      </c>
      <c r="J55" s="68" t="n">
        <f aca="false">IF('Cash Flow'!$B457="","",'Cash Flow'!$C457)</f>
        <v>46310</v>
      </c>
      <c r="K55" s="69" t="str">
        <f aca="false">IF('Cash Flow'!$B457="","",'Cash Flow'!$B457)</f>
        <v>Patrick Rombalski (rent)</v>
      </c>
      <c r="L55" s="70" t="n">
        <f aca="false">IF('Cash Flow'!$B457="","",IF('Cash Flow'!$G457&lt;&gt;"",'Cash Flow'!$G457,-'Cash Flow'!$H457))</f>
        <v>-350</v>
      </c>
    </row>
    <row r="56" customFormat="false" ht="12.75" hidden="false" customHeight="true" outlineLevel="0" collapsed="false">
      <c r="B56" s="68" t="n">
        <f aca="false">IF('Cash Flow'!$B348="","",'Cash Flow'!$C348)</f>
        <v>46295</v>
      </c>
      <c r="C56" s="69" t="str">
        <f aca="false">IF('Cash Flow'!$B348="","",'Cash Flow'!$B348)</f>
        <v>Progressive Insurance</v>
      </c>
      <c r="D56" s="70" t="n">
        <f aca="false">IF('Cash Flow'!$B348="","",IF('Cash Flow'!$G348&lt;&gt;"",'Cash Flow'!$G348,-'Cash Flow'!$H348))</f>
        <v>-143.37</v>
      </c>
      <c r="F56" s="68" t="n">
        <f aca="false">IF('Cash Flow'!$B403="","",'Cash Flow'!$C403)</f>
        <v>46302</v>
      </c>
      <c r="G56" s="69" t="str">
        <f aca="false">IF('Cash Flow'!$B403="","",'Cash Flow'!$B403)</f>
        <v>Bruno's Restaurant (paycheck)</v>
      </c>
      <c r="H56" s="70" t="n">
        <f aca="false">IF('Cash Flow'!$B403="","",IF('Cash Flow'!$G403&lt;&gt;"",'Cash Flow'!$G403,-'Cash Flow'!$H403))</f>
        <v>90</v>
      </c>
      <c r="J56" s="68" t="n">
        <f aca="false">IF('Cash Flow'!$B458="","",'Cash Flow'!$C458)</f>
        <v>46311</v>
      </c>
      <c r="K56" s="69" t="str">
        <f aca="false">IF('Cash Flow'!$B458="","",'Cash Flow'!$B458)</f>
        <v>Compunnel Software (paycheck)</v>
      </c>
      <c r="L56" s="70" t="n">
        <f aca="false">IF('Cash Flow'!$B458="","",IF('Cash Flow'!$G458&lt;&gt;"",'Cash Flow'!$G458,-'Cash Flow'!$H458))</f>
        <v>802.65</v>
      </c>
    </row>
    <row r="57" customFormat="false" ht="12.75" hidden="false" customHeight="true" outlineLevel="0" collapsed="false">
      <c r="B57" s="68" t="n">
        <f aca="false">IF('Cash Flow'!$B349="","",'Cash Flow'!$C349)</f>
        <v>46297</v>
      </c>
      <c r="C57" s="69" t="str">
        <f aca="false">IF('Cash Flow'!$B349="","",'Cash Flow'!$B349)</f>
        <v>Compunnel Software (paycheck)</v>
      </c>
      <c r="D57" s="70" t="n">
        <f aca="false">IF('Cash Flow'!$B349="","",IF('Cash Flow'!$G349&lt;&gt;"",'Cash Flow'!$G349,-'Cash Flow'!$H349))</f>
        <v>802.65</v>
      </c>
      <c r="F57" s="68" t="n">
        <f aca="false">IF('Cash Flow'!$B404="","",'Cash Flow'!$C404)</f>
        <v>46302</v>
      </c>
      <c r="G57" s="69" t="str">
        <f aca="false">IF('Cash Flow'!$B404="","",'Cash Flow'!$B404)</f>
        <v>Google One</v>
      </c>
      <c r="H57" s="70" t="n">
        <f aca="false">IF('Cash Flow'!$B404="","",IF('Cash Flow'!$G404&lt;&gt;"",'Cash Flow'!$G404,-'Cash Flow'!$H404))</f>
        <v>-4.99</v>
      </c>
      <c r="J57" s="68" t="n">
        <f aca="false">IF('Cash Flow'!$B459="","",'Cash Flow'!$C459)</f>
        <v>46311</v>
      </c>
      <c r="K57" s="69" t="str">
        <f aca="false">IF('Cash Flow'!$B459="","",'Cash Flow'!$B459)</f>
        <v>Maine Revenue Services</v>
      </c>
      <c r="L57" s="70" t="n">
        <f aca="false">IF('Cash Flow'!$B459="","",IF('Cash Flow'!$G459&lt;&gt;"",'Cash Flow'!$G459,-'Cash Flow'!$H459))</f>
        <v>-45</v>
      </c>
    </row>
    <row r="58" customFormat="false" ht="12.75" hidden="false" customHeight="true" outlineLevel="0" collapsed="false">
      <c r="B58" s="68" t="str">
        <f aca="false">IF('Cash Flow'!$B350="","",'Cash Flow'!$C350)</f>
        <v/>
      </c>
      <c r="C58" s="69" t="str">
        <f aca="false">IF('Cash Flow'!$B350="","",'Cash Flow'!$B350)</f>
        <v/>
      </c>
      <c r="D58" s="70" t="str">
        <f aca="false">IF('Cash Flow'!$B350="","",IF('Cash Flow'!$G350&lt;&gt;"",'Cash Flow'!$G350,-'Cash Flow'!$H350))</f>
        <v/>
      </c>
      <c r="F58" s="68" t="n">
        <f aca="false">IF('Cash Flow'!$B405="","",'Cash Flow'!$C405)</f>
        <v>46302</v>
      </c>
      <c r="G58" s="69" t="str">
        <f aca="false">IF('Cash Flow'!$B405="","",'Cash Flow'!$B405)</f>
        <v>Upstart (loan)</v>
      </c>
      <c r="H58" s="70" t="n">
        <f aca="false">IF('Cash Flow'!$B405="","",IF('Cash Flow'!$G405&lt;&gt;"",'Cash Flow'!$G405,-'Cash Flow'!$H405))</f>
        <v>-500</v>
      </c>
      <c r="J58" s="68" t="str">
        <f aca="false">IF('Cash Flow'!$B460="","",'Cash Flow'!$C460)</f>
        <v/>
      </c>
      <c r="K58" s="69" t="str">
        <f aca="false">IF('Cash Flow'!$B460="","",'Cash Flow'!$B460)</f>
        <v/>
      </c>
      <c r="L58" s="70" t="str">
        <f aca="false">IF('Cash Flow'!$B460="","",IF('Cash Flow'!$G460&lt;&gt;"",'Cash Flow'!$G460,-'Cash Flow'!$H460))</f>
        <v/>
      </c>
    </row>
    <row r="59" customFormat="false" ht="12.75" hidden="false" customHeight="true" outlineLevel="0" collapsed="false">
      <c r="B59" s="68" t="str">
        <f aca="false">IF('Cash Flow'!$B351="","",'Cash Flow'!$C351)</f>
        <v/>
      </c>
      <c r="C59" s="69" t="str">
        <f aca="false">IF('Cash Flow'!$B351="","",'Cash Flow'!$B351)</f>
        <v/>
      </c>
      <c r="D59" s="70" t="str">
        <f aca="false">IF('Cash Flow'!$B351="","",IF('Cash Flow'!$G351&lt;&gt;"",'Cash Flow'!$G351,-'Cash Flow'!$H351))</f>
        <v/>
      </c>
      <c r="F59" s="68" t="n">
        <f aca="false">IF('Cash Flow'!$B406="","",'Cash Flow'!$C406)</f>
        <v>46303</v>
      </c>
      <c r="G59" s="69" t="str">
        <f aca="false">IF('Cash Flow'!$B406="","",'Cash Flow'!$B406)</f>
        <v>Central Maine Power Co.</v>
      </c>
      <c r="H59" s="70" t="n">
        <f aca="false">IF('Cash Flow'!$B406="","",IF('Cash Flow'!$G406&lt;&gt;"",'Cash Flow'!$G406,-'Cash Flow'!$H406))</f>
        <v>-163.5</v>
      </c>
      <c r="J59" s="68" t="str">
        <f aca="false">IF('Cash Flow'!$B461="","",'Cash Flow'!$C461)</f>
        <v/>
      </c>
      <c r="K59" s="69" t="str">
        <f aca="false">IF('Cash Flow'!$B461="","",'Cash Flow'!$B461)</f>
        <v/>
      </c>
      <c r="L59" s="70" t="str">
        <f aca="false">IF('Cash Flow'!$B461="","",IF('Cash Flow'!$G461&lt;&gt;"",'Cash Flow'!$G461,-'Cash Flow'!$H461))</f>
        <v/>
      </c>
    </row>
    <row r="60" customFormat="false" ht="12.75" hidden="false" customHeight="true" outlineLevel="0" collapsed="false">
      <c r="B60" s="68" t="str">
        <f aca="false">IF('Cash Flow'!$B352="","",'Cash Flow'!$C352)</f>
        <v/>
      </c>
      <c r="C60" s="69" t="str">
        <f aca="false">IF('Cash Flow'!$B352="","",'Cash Flow'!$B352)</f>
        <v/>
      </c>
      <c r="D60" s="70" t="str">
        <f aca="false">IF('Cash Flow'!$B352="","",IF('Cash Flow'!$G352&lt;&gt;"",'Cash Flow'!$G352,-'Cash Flow'!$H352))</f>
        <v/>
      </c>
      <c r="F60" s="68" t="n">
        <f aca="false">IF('Cash Flow'!$B407="","",'Cash Flow'!$C407)</f>
        <v>46304</v>
      </c>
      <c r="G60" s="69" t="str">
        <f aca="false">IF('Cash Flow'!$B407="","",'Cash Flow'!$B407)</f>
        <v>Compunnel Software (paycheck)</v>
      </c>
      <c r="H60" s="70" t="n">
        <f aca="false">IF('Cash Flow'!$B407="","",IF('Cash Flow'!$G407&lt;&gt;"",'Cash Flow'!$G407,-'Cash Flow'!$H407))</f>
        <v>802.65</v>
      </c>
      <c r="J60" s="68" t="str">
        <f aca="false">IF('Cash Flow'!$B462="","",'Cash Flow'!$C462)</f>
        <v/>
      </c>
      <c r="K60" s="69" t="str">
        <f aca="false">IF('Cash Flow'!$B462="","",'Cash Flow'!$B462)</f>
        <v/>
      </c>
      <c r="L60" s="70" t="str">
        <f aca="false">IF('Cash Flow'!$B462="","",IF('Cash Flow'!$G462&lt;&gt;"",'Cash Flow'!$G462,-'Cash Flow'!$H462))</f>
        <v/>
      </c>
    </row>
    <row r="61" customFormat="false" ht="12.75" hidden="false" customHeight="true" outlineLevel="0" collapsed="false">
      <c r="B61" s="68" t="str">
        <f aca="false">IF('Cash Flow'!$B353="","",'Cash Flow'!$C353)</f>
        <v/>
      </c>
      <c r="C61" s="69" t="str">
        <f aca="false">IF('Cash Flow'!$B353="","",'Cash Flow'!$B353)</f>
        <v/>
      </c>
      <c r="D61" s="70" t="str">
        <f aca="false">IF('Cash Flow'!$B353="","",IF('Cash Flow'!$G353&lt;&gt;"",'Cash Flow'!$G353,-'Cash Flow'!$H353))</f>
        <v/>
      </c>
      <c r="F61" s="68" t="str">
        <f aca="false">IF('Cash Flow'!$B408="","",'Cash Flow'!$C408)</f>
        <v/>
      </c>
      <c r="G61" s="69" t="str">
        <f aca="false">IF('Cash Flow'!$B408="","",'Cash Flow'!$B408)</f>
        <v/>
      </c>
      <c r="H61" s="70" t="str">
        <f aca="false">IF('Cash Flow'!$B408="","",IF('Cash Flow'!$G408&lt;&gt;"",'Cash Flow'!$G408,-'Cash Flow'!$H408))</f>
        <v/>
      </c>
      <c r="J61" s="68" t="str">
        <f aca="false">IF('Cash Flow'!$B463="","",'Cash Flow'!$C463)</f>
        <v/>
      </c>
      <c r="K61" s="69" t="str">
        <f aca="false">IF('Cash Flow'!$B463="","",'Cash Flow'!$B463)</f>
        <v/>
      </c>
      <c r="L61" s="70" t="str">
        <f aca="false">IF('Cash Flow'!$B463="","",IF('Cash Flow'!$G463&lt;&gt;"",'Cash Flow'!$G463,-'Cash Flow'!$H463))</f>
        <v/>
      </c>
    </row>
    <row r="62" customFormat="false" ht="12.75" hidden="false" customHeight="true" outlineLevel="0" collapsed="false">
      <c r="B62" s="68" t="str">
        <f aca="false">IF('Cash Flow'!$B354="","",'Cash Flow'!$C354)</f>
        <v/>
      </c>
      <c r="C62" s="69" t="str">
        <f aca="false">IF('Cash Flow'!$B354="","",'Cash Flow'!$B354)</f>
        <v/>
      </c>
      <c r="D62" s="70" t="str">
        <f aca="false">IF('Cash Flow'!$B354="","",IF('Cash Flow'!$G354&lt;&gt;"",'Cash Flow'!$G354,-'Cash Flow'!$H354))</f>
        <v/>
      </c>
      <c r="F62" s="68" t="str">
        <f aca="false">IF('Cash Flow'!$B409="","",'Cash Flow'!$C409)</f>
        <v/>
      </c>
      <c r="G62" s="69" t="str">
        <f aca="false">IF('Cash Flow'!$B409="","",'Cash Flow'!$B409)</f>
        <v/>
      </c>
      <c r="H62" s="70" t="str">
        <f aca="false">IF('Cash Flow'!$B409="","",IF('Cash Flow'!$G409&lt;&gt;"",'Cash Flow'!$G409,-'Cash Flow'!$H409))</f>
        <v/>
      </c>
      <c r="J62" s="68" t="str">
        <f aca="false">IF('Cash Flow'!$B464="","",'Cash Flow'!$C464)</f>
        <v/>
      </c>
      <c r="K62" s="69" t="str">
        <f aca="false">IF('Cash Flow'!$B464="","",'Cash Flow'!$B464)</f>
        <v/>
      </c>
      <c r="L62" s="70" t="str">
        <f aca="false">IF('Cash Flow'!$B464="","",IF('Cash Flow'!$G464&lt;&gt;"",'Cash Flow'!$G464,-'Cash Flow'!$H464))</f>
        <v/>
      </c>
    </row>
    <row r="63" customFormat="false" ht="15" hidden="false" customHeight="true" outlineLevel="0" collapsed="false">
      <c r="B63" s="71" t="s">
        <v>132</v>
      </c>
      <c r="C63" s="66"/>
      <c r="D63" s="72" t="n">
        <f aca="false">Summary!$D19</f>
        <v>892.65</v>
      </c>
      <c r="F63" s="71" t="s">
        <v>132</v>
      </c>
      <c r="G63" s="66"/>
      <c r="H63" s="72" t="n">
        <f aca="false">Summary!$D20</f>
        <v>892.65</v>
      </c>
      <c r="J63" s="71" t="s">
        <v>132</v>
      </c>
      <c r="K63" s="66"/>
      <c r="L63" s="72" t="n">
        <f aca="false">Summary!$D21</f>
        <v>892.65</v>
      </c>
    </row>
    <row r="64" customFormat="false" ht="15" hidden="false" customHeight="true" outlineLevel="0" collapsed="false">
      <c r="B64" s="63" t="s">
        <v>133</v>
      </c>
      <c r="D64" s="73" t="n">
        <f aca="false">-Summary!$E19</f>
        <v>-643.37</v>
      </c>
      <c r="F64" s="63" t="s">
        <v>133</v>
      </c>
      <c r="H64" s="73" t="n">
        <f aca="false">-Summary!$E20</f>
        <v>-719.59</v>
      </c>
      <c r="J64" s="63" t="s">
        <v>133</v>
      </c>
      <c r="L64" s="73" t="n">
        <f aca="false">-Summary!$E21</f>
        <v>-397.99</v>
      </c>
    </row>
    <row r="65" customFormat="false" ht="15" hidden="false" customHeight="true" outlineLevel="0" collapsed="false">
      <c r="B65" s="63" t="s">
        <v>28</v>
      </c>
      <c r="D65" s="73" t="n">
        <f aca="false">-Summary!$F19</f>
        <v>-400</v>
      </c>
      <c r="F65" s="63" t="s">
        <v>28</v>
      </c>
      <c r="H65" s="73" t="n">
        <f aca="false">-Summary!$F20</f>
        <v>-400</v>
      </c>
      <c r="J65" s="63" t="s">
        <v>28</v>
      </c>
      <c r="L65" s="73" t="n">
        <f aca="false">-Summary!$F21</f>
        <v>-400</v>
      </c>
    </row>
    <row r="66" customFormat="false" ht="15" hidden="false" customHeight="true" outlineLevel="0" collapsed="false">
      <c r="B66" s="63" t="s">
        <v>134</v>
      </c>
      <c r="C66" s="74" t="str">
        <f aca="false">IF(Summary!$K19="","",TEXT(Summary!$K19,"ddd mmm d"))</f>
        <v>Wed Sep 30</v>
      </c>
      <c r="D66" s="75" t="n">
        <f aca="false">Summary!$J19</f>
        <v>-565.08</v>
      </c>
      <c r="F66" s="63" t="s">
        <v>134</v>
      </c>
      <c r="G66" s="74" t="str">
        <f aca="false">IF(Summary!$K20="","",TEXT(Summary!$K20,"ddd mmm d"))</f>
        <v>Thu Oct 8</v>
      </c>
      <c r="H66" s="75" t="n">
        <f aca="false">Summary!$J20</f>
        <v>-792.02</v>
      </c>
      <c r="J66" s="63" t="s">
        <v>134</v>
      </c>
      <c r="K66" s="74" t="str">
        <f aca="false">IF(Summary!$K21="","",TEXT(Summary!$K21,"ddd mmm d"))</f>
        <v>Thu Oct 15</v>
      </c>
      <c r="L66" s="75" t="n">
        <f aca="false">Summary!$J21</f>
        <v>-652.36</v>
      </c>
    </row>
    <row r="67" customFormat="false" ht="21.75" hidden="false" customHeight="true" outlineLevel="0" collapsed="false">
      <c r="B67" s="76" t="s">
        <v>135</v>
      </c>
      <c r="C67" s="76"/>
      <c r="D67" s="77" t="n">
        <f aca="false">Summary!$I19</f>
        <v>-162.43</v>
      </c>
      <c r="F67" s="76" t="s">
        <v>135</v>
      </c>
      <c r="G67" s="76"/>
      <c r="H67" s="77" t="n">
        <f aca="false">Summary!$I20</f>
        <v>-389.37</v>
      </c>
      <c r="J67" s="76" t="s">
        <v>135</v>
      </c>
      <c r="K67" s="76"/>
      <c r="L67" s="77" t="n">
        <f aca="false">Summary!$I21</f>
        <v>-294.71</v>
      </c>
    </row>
    <row r="68" customFormat="false" ht="15" hidden="false" customHeight="true" outlineLevel="0" collapsed="false">
      <c r="B68" s="78" t="str">
        <f aca="false">Summary!$L19</f>
        <v>SHORTFALL</v>
      </c>
      <c r="C68" s="78"/>
      <c r="D68" s="78"/>
      <c r="F68" s="78" t="str">
        <f aca="false">Summary!$L20</f>
        <v>SHORTFALL</v>
      </c>
      <c r="G68" s="78"/>
      <c r="H68" s="78"/>
      <c r="J68" s="78" t="str">
        <f aca="false">Summary!$L21</f>
        <v>SHORTFALL</v>
      </c>
      <c r="K68" s="78"/>
      <c r="L68" s="78"/>
    </row>
    <row r="72" customFormat="false" ht="19.5" hidden="false" customHeight="true" outlineLevel="0" collapsed="false">
      <c r="B72" s="62" t="str">
        <f aca="false">"WEEK "&amp;Summary!$B22&amp;"    "&amp;TEXT(Summary!$C22,"mmm d")&amp;" - "&amp;TEXT(Summary!$C22+6,"mmm d")</f>
        <v>WEEK 10    Oct 17 - Oct 23</v>
      </c>
      <c r="C72" s="62"/>
      <c r="D72" s="62"/>
      <c r="F72" s="62" t="str">
        <f aca="false">"WEEK "&amp;Summary!$B23&amp;"    "&amp;TEXT(Summary!$C23,"mmm d")&amp;" - "&amp;TEXT(Summary!$C23+6,"mmm d")</f>
        <v>WEEK 11    Oct 24 - Oct 30</v>
      </c>
      <c r="G72" s="62"/>
      <c r="H72" s="62"/>
      <c r="J72" s="62" t="str">
        <f aca="false">"WEEK "&amp;Summary!$B24&amp;"    "&amp;TEXT(Summary!$C24,"mmm d")&amp;" - "&amp;TEXT(Summary!$C24+6,"mmm d")</f>
        <v>WEEK 12    Oct 31 - Nov 6</v>
      </c>
      <c r="K72" s="62"/>
      <c r="L72" s="62"/>
    </row>
    <row r="73" customFormat="false" ht="15" hidden="false" customHeight="true" outlineLevel="0" collapsed="false">
      <c r="B73" s="63" t="s">
        <v>130</v>
      </c>
      <c r="D73" s="64" t="n">
        <f aca="false">Summary!$H22</f>
        <v>-294.71</v>
      </c>
      <c r="F73" s="63" t="s">
        <v>130</v>
      </c>
      <c r="H73" s="64" t="n">
        <f aca="false">Summary!$H23</f>
        <v>10.7499999999999</v>
      </c>
      <c r="J73" s="63" t="s">
        <v>130</v>
      </c>
      <c r="L73" s="64" t="n">
        <f aca="false">Summary!$H24</f>
        <v>3.39999999999986</v>
      </c>
    </row>
    <row r="74" customFormat="false" ht="15" hidden="false" customHeight="true" outlineLevel="0" collapsed="false">
      <c r="B74" s="65" t="s">
        <v>131</v>
      </c>
      <c r="C74" s="66"/>
      <c r="D74" s="67"/>
      <c r="F74" s="65" t="s">
        <v>131</v>
      </c>
      <c r="G74" s="66"/>
      <c r="H74" s="67"/>
      <c r="J74" s="65" t="s">
        <v>131</v>
      </c>
      <c r="K74" s="66"/>
      <c r="L74" s="67"/>
    </row>
    <row r="75" customFormat="false" ht="12.75" hidden="false" customHeight="true" outlineLevel="0" collapsed="false">
      <c r="B75" s="68" t="n">
        <f aca="false">IF('Cash Flow'!$B510="","",'Cash Flow'!$C510)</f>
        <v>46316</v>
      </c>
      <c r="C75" s="69" t="str">
        <f aca="false">IF('Cash Flow'!$B510="","",'Cash Flow'!$B510)</f>
        <v>Bruno's Restaurant (paycheck)</v>
      </c>
      <c r="D75" s="70" t="n">
        <f aca="false">IF('Cash Flow'!$B510="","",IF('Cash Flow'!$G510&lt;&gt;"",'Cash Flow'!$G510,-'Cash Flow'!$H510))</f>
        <v>90</v>
      </c>
      <c r="F75" s="68" t="n">
        <f aca="false">IF('Cash Flow'!$B565="","",'Cash Flow'!$C565)</f>
        <v>46323</v>
      </c>
      <c r="G75" s="69" t="str">
        <f aca="false">IF('Cash Flow'!$B565="","",'Cash Flow'!$B565)</f>
        <v>Bruno's Restaurant (paycheck)</v>
      </c>
      <c r="H75" s="70" t="n">
        <f aca="false">IF('Cash Flow'!$B565="","",IF('Cash Flow'!$G565&lt;&gt;"",'Cash Flow'!$G565,-'Cash Flow'!$H565))</f>
        <v>90</v>
      </c>
      <c r="J75" s="68" t="n">
        <f aca="false">IF('Cash Flow'!$B620="","",'Cash Flow'!$C620)</f>
        <v>46326</v>
      </c>
      <c r="K75" s="69" t="str">
        <f aca="false">IF('Cash Flow'!$B620="","",'Cash Flow'!$B620)</f>
        <v>Progressive Insurance</v>
      </c>
      <c r="L75" s="70" t="n">
        <f aca="false">IF('Cash Flow'!$B620="","",IF('Cash Flow'!$G620&lt;&gt;"",'Cash Flow'!$G620,-'Cash Flow'!$H620))</f>
        <v>-143.37</v>
      </c>
    </row>
    <row r="76" customFormat="false" ht="12.75" hidden="false" customHeight="true" outlineLevel="0" collapsed="false">
      <c r="B76" s="68" t="n">
        <f aca="false">IF('Cash Flow'!$B511="","",'Cash Flow'!$C511)</f>
        <v>46316</v>
      </c>
      <c r="C76" s="69" t="str">
        <f aca="false">IF('Cash Flow'!$B511="","",'Cash Flow'!$B511)</f>
        <v>Spectrum</v>
      </c>
      <c r="D76" s="70" t="n">
        <f aca="false">IF('Cash Flow'!$B511="","",IF('Cash Flow'!$G511&lt;&gt;"",'Cash Flow'!$G511,-'Cash Flow'!$H511))</f>
        <v>-171.1</v>
      </c>
      <c r="F76" s="68" t="n">
        <f aca="false">IF('Cash Flow'!$B566="","",'Cash Flow'!$C566)</f>
        <v>46325</v>
      </c>
      <c r="G76" s="69" t="str">
        <f aca="false">IF('Cash Flow'!$B566="","",'Cash Flow'!$B566)</f>
        <v>Compunnel Software (paycheck)</v>
      </c>
      <c r="H76" s="70" t="n">
        <f aca="false">IF('Cash Flow'!$B566="","",IF('Cash Flow'!$G566&lt;&gt;"",'Cash Flow'!$G566,-'Cash Flow'!$H566))</f>
        <v>802.65</v>
      </c>
      <c r="J76" s="68" t="n">
        <f aca="false">IF('Cash Flow'!$B621="","",'Cash Flow'!$C621)</f>
        <v>46330</v>
      </c>
      <c r="K76" s="69" t="str">
        <f aca="false">IF('Cash Flow'!$B621="","",'Cash Flow'!$B621)</f>
        <v>Bruno's Restaurant (paycheck)</v>
      </c>
      <c r="L76" s="70" t="n">
        <f aca="false">IF('Cash Flow'!$B621="","",IF('Cash Flow'!$G621&lt;&gt;"",'Cash Flow'!$G621,-'Cash Flow'!$H621))</f>
        <v>90</v>
      </c>
    </row>
    <row r="77" customFormat="false" ht="12.75" hidden="false" customHeight="true" outlineLevel="0" collapsed="false">
      <c r="B77" s="68" t="n">
        <f aca="false">IF('Cash Flow'!$B512="","",'Cash Flow'!$C512)</f>
        <v>46317</v>
      </c>
      <c r="C77" s="69" t="str">
        <f aca="false">IF('Cash Flow'!$B512="","",'Cash Flow'!$B512)</f>
        <v>Microsoft</v>
      </c>
      <c r="D77" s="70" t="n">
        <f aca="false">IF('Cash Flow'!$B512="","",IF('Cash Flow'!$G512&lt;&gt;"",'Cash Flow'!$G512,-'Cash Flow'!$H512))</f>
        <v>-13.7</v>
      </c>
      <c r="F77" s="68" t="n">
        <f aca="false">IF('Cash Flow'!$B567="","",'Cash Flow'!$C567)</f>
        <v>46325</v>
      </c>
      <c r="G77" s="69" t="str">
        <f aca="false">IF('Cash Flow'!$B567="","",'Cash Flow'!$B567)</f>
        <v>Patrick Rombalski (rent)</v>
      </c>
      <c r="H77" s="70" t="n">
        <f aca="false">IF('Cash Flow'!$B567="","",IF('Cash Flow'!$G567&lt;&gt;"",'Cash Flow'!$G567,-'Cash Flow'!$H567))</f>
        <v>-350</v>
      </c>
      <c r="J77" s="68" t="n">
        <f aca="false">IF('Cash Flow'!$B622="","",'Cash Flow'!$C622)</f>
        <v>46330</v>
      </c>
      <c r="K77" s="69" t="str">
        <f aca="false">IF('Cash Flow'!$B622="","",'Cash Flow'!$B622)</f>
        <v>Apple: Claude</v>
      </c>
      <c r="L77" s="70" t="n">
        <f aca="false">IF('Cash Flow'!$B622="","",IF('Cash Flow'!$G622&lt;&gt;"",'Cash Flow'!$G622,-'Cash Flow'!$H622))</f>
        <v>-21.1</v>
      </c>
    </row>
    <row r="78" customFormat="false" ht="12.75" hidden="false" customHeight="true" outlineLevel="0" collapsed="false">
      <c r="B78" s="68" t="n">
        <f aca="false">IF('Cash Flow'!$B513="","",'Cash Flow'!$C513)</f>
        <v>46318</v>
      </c>
      <c r="C78" s="69" t="str">
        <f aca="false">IF('Cash Flow'!$B513="","",'Cash Flow'!$B513)</f>
        <v>Compunnel Software (paycheck)</v>
      </c>
      <c r="D78" s="70" t="n">
        <f aca="false">IF('Cash Flow'!$B513="","",IF('Cash Flow'!$G513&lt;&gt;"",'Cash Flow'!$G513,-'Cash Flow'!$H513))</f>
        <v>802.65</v>
      </c>
      <c r="F78" s="68" t="n">
        <f aca="false">IF('Cash Flow'!$B568="","",'Cash Flow'!$C568)</f>
        <v>46325</v>
      </c>
      <c r="G78" s="69" t="str">
        <f aca="false">IF('Cash Flow'!$B568="","",'Cash Flow'!$B568)</f>
        <v>Maine Revenue Services (2)</v>
      </c>
      <c r="H78" s="70" t="n">
        <f aca="false">IF('Cash Flow'!$B568="","",IF('Cash Flow'!$G568&lt;&gt;"",'Cash Flow'!$G568,-'Cash Flow'!$H568))</f>
        <v>-150</v>
      </c>
      <c r="J78" s="68" t="n">
        <f aca="false">IF('Cash Flow'!$B623="","",'Cash Flow'!$C623)</f>
        <v>46331</v>
      </c>
      <c r="K78" s="69" t="str">
        <f aca="false">IF('Cash Flow'!$B623="","",'Cash Flow'!$B623)</f>
        <v>OpenAI</v>
      </c>
      <c r="L78" s="70" t="n">
        <f aca="false">IF('Cash Flow'!$B623="","",IF('Cash Flow'!$G623&lt;&gt;"",'Cash Flow'!$G623,-'Cash Flow'!$H623))</f>
        <v>-20</v>
      </c>
    </row>
    <row r="79" customFormat="false" ht="12.75" hidden="false" customHeight="true" outlineLevel="0" collapsed="false">
      <c r="B79" s="68" t="n">
        <f aca="false">IF('Cash Flow'!$B514="","",'Cash Flow'!$C514)</f>
        <v>46318</v>
      </c>
      <c r="C79" s="69" t="str">
        <f aca="false">IF('Cash Flow'!$B514="","",'Cash Flow'!$B514)</f>
        <v>Microsoft (2nd subscription)</v>
      </c>
      <c r="D79" s="70" t="n">
        <f aca="false">IF('Cash Flow'!$B514="","",IF('Cash Flow'!$G514&lt;&gt;"",'Cash Flow'!$G514,-'Cash Flow'!$H514))</f>
        <v>-2.39</v>
      </c>
      <c r="F79" s="68" t="str">
        <f aca="false">IF('Cash Flow'!$B569="","",'Cash Flow'!$C569)</f>
        <v/>
      </c>
      <c r="G79" s="69" t="str">
        <f aca="false">IF('Cash Flow'!$B569="","",'Cash Flow'!$B569)</f>
        <v/>
      </c>
      <c r="H79" s="70" t="str">
        <f aca="false">IF('Cash Flow'!$B569="","",IF('Cash Flow'!$G569&lt;&gt;"",'Cash Flow'!$G569,-'Cash Flow'!$H569))</f>
        <v/>
      </c>
      <c r="J79" s="68" t="n">
        <f aca="false">IF('Cash Flow'!$B624="","",'Cash Flow'!$C624)</f>
        <v>46331</v>
      </c>
      <c r="K79" s="69" t="str">
        <f aca="false">IF('Cash Flow'!$B624="","",'Cash Flow'!$B624)</f>
        <v>Obsidian</v>
      </c>
      <c r="L79" s="70" t="n">
        <f aca="false">IF('Cash Flow'!$B624="","",IF('Cash Flow'!$G624&lt;&gt;"",'Cash Flow'!$G624,-'Cash Flow'!$H624))</f>
        <v>-10</v>
      </c>
    </row>
    <row r="80" customFormat="false" ht="12.75" hidden="false" customHeight="true" outlineLevel="0" collapsed="false">
      <c r="B80" s="68" t="str">
        <f aca="false">IF('Cash Flow'!$B515="","",'Cash Flow'!$C515)</f>
        <v/>
      </c>
      <c r="C80" s="69" t="str">
        <f aca="false">IF('Cash Flow'!$B515="","",'Cash Flow'!$B515)</f>
        <v/>
      </c>
      <c r="D80" s="70" t="str">
        <f aca="false">IF('Cash Flow'!$B515="","",IF('Cash Flow'!$G515&lt;&gt;"",'Cash Flow'!$G515,-'Cash Flow'!$H515))</f>
        <v/>
      </c>
      <c r="F80" s="68" t="str">
        <f aca="false">IF('Cash Flow'!$B570="","",'Cash Flow'!$C570)</f>
        <v/>
      </c>
      <c r="G80" s="69" t="str">
        <f aca="false">IF('Cash Flow'!$B570="","",'Cash Flow'!$B570)</f>
        <v/>
      </c>
      <c r="H80" s="70" t="str">
        <f aca="false">IF('Cash Flow'!$B570="","",IF('Cash Flow'!$G570&lt;&gt;"",'Cash Flow'!$G570,-'Cash Flow'!$H570))</f>
        <v/>
      </c>
      <c r="J80" s="68" t="n">
        <f aca="false">IF('Cash Flow'!$B625="","",'Cash Flow'!$C625)</f>
        <v>46332</v>
      </c>
      <c r="K80" s="69" t="str">
        <f aca="false">IF('Cash Flow'!$B625="","",'Cash Flow'!$B625)</f>
        <v>Compunnel Software (paycheck)</v>
      </c>
      <c r="L80" s="70" t="n">
        <f aca="false">IF('Cash Flow'!$B625="","",IF('Cash Flow'!$G625&lt;&gt;"",'Cash Flow'!$G625,-'Cash Flow'!$H625))</f>
        <v>802.65</v>
      </c>
    </row>
    <row r="81" customFormat="false" ht="12.75" hidden="false" customHeight="true" outlineLevel="0" collapsed="false">
      <c r="B81" s="68" t="str">
        <f aca="false">IF('Cash Flow'!$B516="","",'Cash Flow'!$C516)</f>
        <v/>
      </c>
      <c r="C81" s="69" t="str">
        <f aca="false">IF('Cash Flow'!$B516="","",'Cash Flow'!$B516)</f>
        <v/>
      </c>
      <c r="D81" s="70" t="str">
        <f aca="false">IF('Cash Flow'!$B516="","",IF('Cash Flow'!$G516&lt;&gt;"",'Cash Flow'!$G516,-'Cash Flow'!$H516))</f>
        <v/>
      </c>
      <c r="F81" s="68" t="str">
        <f aca="false">IF('Cash Flow'!$B571="","",'Cash Flow'!$C571)</f>
        <v/>
      </c>
      <c r="G81" s="69" t="str">
        <f aca="false">IF('Cash Flow'!$B571="","",'Cash Flow'!$B571)</f>
        <v/>
      </c>
      <c r="H81" s="70" t="str">
        <f aca="false">IF('Cash Flow'!$B571="","",IF('Cash Flow'!$G571&lt;&gt;"",'Cash Flow'!$G571,-'Cash Flow'!$H571))</f>
        <v/>
      </c>
      <c r="J81" s="68" t="str">
        <f aca="false">IF('Cash Flow'!$B626="","",'Cash Flow'!$C626)</f>
        <v/>
      </c>
      <c r="K81" s="69" t="str">
        <f aca="false">IF('Cash Flow'!$B626="","",'Cash Flow'!$B626)</f>
        <v/>
      </c>
      <c r="L81" s="70" t="str">
        <f aca="false">IF('Cash Flow'!$B626="","",IF('Cash Flow'!$G626&lt;&gt;"",'Cash Flow'!$G626,-'Cash Flow'!$H626))</f>
        <v/>
      </c>
    </row>
    <row r="82" customFormat="false" ht="12.75" hidden="false" customHeight="true" outlineLevel="0" collapsed="false">
      <c r="B82" s="68" t="str">
        <f aca="false">IF('Cash Flow'!$B517="","",'Cash Flow'!$C517)</f>
        <v/>
      </c>
      <c r="C82" s="69" t="str">
        <f aca="false">IF('Cash Flow'!$B517="","",'Cash Flow'!$B517)</f>
        <v/>
      </c>
      <c r="D82" s="70" t="str">
        <f aca="false">IF('Cash Flow'!$B517="","",IF('Cash Flow'!$G517&lt;&gt;"",'Cash Flow'!$G517,-'Cash Flow'!$H517))</f>
        <v/>
      </c>
      <c r="F82" s="68" t="str">
        <f aca="false">IF('Cash Flow'!$B572="","",'Cash Flow'!$C572)</f>
        <v/>
      </c>
      <c r="G82" s="69" t="str">
        <f aca="false">IF('Cash Flow'!$B572="","",'Cash Flow'!$B572)</f>
        <v/>
      </c>
      <c r="H82" s="70" t="str">
        <f aca="false">IF('Cash Flow'!$B572="","",IF('Cash Flow'!$G572&lt;&gt;"",'Cash Flow'!$G572,-'Cash Flow'!$H572))</f>
        <v/>
      </c>
      <c r="J82" s="68" t="str">
        <f aca="false">IF('Cash Flow'!$B627="","",'Cash Flow'!$C627)</f>
        <v/>
      </c>
      <c r="K82" s="69" t="str">
        <f aca="false">IF('Cash Flow'!$B627="","",'Cash Flow'!$B627)</f>
        <v/>
      </c>
      <c r="L82" s="70" t="str">
        <f aca="false">IF('Cash Flow'!$B627="","",IF('Cash Flow'!$G627&lt;&gt;"",'Cash Flow'!$G627,-'Cash Flow'!$H627))</f>
        <v/>
      </c>
    </row>
    <row r="83" customFormat="false" ht="12.75" hidden="false" customHeight="true" outlineLevel="0" collapsed="false">
      <c r="B83" s="68" t="str">
        <f aca="false">IF('Cash Flow'!$B518="","",'Cash Flow'!$C518)</f>
        <v/>
      </c>
      <c r="C83" s="69" t="str">
        <f aca="false">IF('Cash Flow'!$B518="","",'Cash Flow'!$B518)</f>
        <v/>
      </c>
      <c r="D83" s="70" t="str">
        <f aca="false">IF('Cash Flow'!$B518="","",IF('Cash Flow'!$G518&lt;&gt;"",'Cash Flow'!$G518,-'Cash Flow'!$H518))</f>
        <v/>
      </c>
      <c r="F83" s="68" t="str">
        <f aca="false">IF('Cash Flow'!$B573="","",'Cash Flow'!$C573)</f>
        <v/>
      </c>
      <c r="G83" s="69" t="str">
        <f aca="false">IF('Cash Flow'!$B573="","",'Cash Flow'!$B573)</f>
        <v/>
      </c>
      <c r="H83" s="70" t="str">
        <f aca="false">IF('Cash Flow'!$B573="","",IF('Cash Flow'!$G573&lt;&gt;"",'Cash Flow'!$G573,-'Cash Flow'!$H573))</f>
        <v/>
      </c>
      <c r="J83" s="68" t="str">
        <f aca="false">IF('Cash Flow'!$B628="","",'Cash Flow'!$C628)</f>
        <v/>
      </c>
      <c r="K83" s="69" t="str">
        <f aca="false">IF('Cash Flow'!$B628="","",'Cash Flow'!$B628)</f>
        <v/>
      </c>
      <c r="L83" s="70" t="str">
        <f aca="false">IF('Cash Flow'!$B628="","",IF('Cash Flow'!$G628&lt;&gt;"",'Cash Flow'!$G628,-'Cash Flow'!$H628))</f>
        <v/>
      </c>
    </row>
    <row r="84" customFormat="false" ht="12.75" hidden="false" customHeight="true" outlineLevel="0" collapsed="false">
      <c r="B84" s="68" t="str">
        <f aca="false">IF('Cash Flow'!$B519="","",'Cash Flow'!$C519)</f>
        <v/>
      </c>
      <c r="C84" s="69" t="str">
        <f aca="false">IF('Cash Flow'!$B519="","",'Cash Flow'!$B519)</f>
        <v/>
      </c>
      <c r="D84" s="70" t="str">
        <f aca="false">IF('Cash Flow'!$B519="","",IF('Cash Flow'!$G519&lt;&gt;"",'Cash Flow'!$G519,-'Cash Flow'!$H519))</f>
        <v/>
      </c>
      <c r="F84" s="68" t="str">
        <f aca="false">IF('Cash Flow'!$B574="","",'Cash Flow'!$C574)</f>
        <v/>
      </c>
      <c r="G84" s="69" t="str">
        <f aca="false">IF('Cash Flow'!$B574="","",'Cash Flow'!$B574)</f>
        <v/>
      </c>
      <c r="H84" s="70" t="str">
        <f aca="false">IF('Cash Flow'!$B574="","",IF('Cash Flow'!$G574&lt;&gt;"",'Cash Flow'!$G574,-'Cash Flow'!$H574))</f>
        <v/>
      </c>
      <c r="J84" s="68" t="str">
        <f aca="false">IF('Cash Flow'!$B629="","",'Cash Flow'!$C629)</f>
        <v/>
      </c>
      <c r="K84" s="69" t="str">
        <f aca="false">IF('Cash Flow'!$B629="","",'Cash Flow'!$B629)</f>
        <v/>
      </c>
      <c r="L84" s="70" t="str">
        <f aca="false">IF('Cash Flow'!$B629="","",IF('Cash Flow'!$G629&lt;&gt;"",'Cash Flow'!$G629,-'Cash Flow'!$H629))</f>
        <v/>
      </c>
    </row>
    <row r="85" customFormat="false" ht="15" hidden="false" customHeight="true" outlineLevel="0" collapsed="false">
      <c r="B85" s="71" t="s">
        <v>132</v>
      </c>
      <c r="C85" s="66"/>
      <c r="D85" s="72" t="n">
        <f aca="false">Summary!$D22</f>
        <v>892.65</v>
      </c>
      <c r="F85" s="71" t="s">
        <v>132</v>
      </c>
      <c r="G85" s="66"/>
      <c r="H85" s="72" t="n">
        <f aca="false">Summary!$D23</f>
        <v>892.65</v>
      </c>
      <c r="J85" s="71" t="s">
        <v>132</v>
      </c>
      <c r="K85" s="66"/>
      <c r="L85" s="72" t="n">
        <f aca="false">Summary!$D24</f>
        <v>892.65</v>
      </c>
    </row>
    <row r="86" customFormat="false" ht="15" hidden="false" customHeight="true" outlineLevel="0" collapsed="false">
      <c r="B86" s="63" t="s">
        <v>133</v>
      </c>
      <c r="D86" s="73" t="n">
        <f aca="false">-Summary!$E22</f>
        <v>-187.19</v>
      </c>
      <c r="F86" s="63" t="s">
        <v>133</v>
      </c>
      <c r="H86" s="73" t="n">
        <f aca="false">-Summary!$E23</f>
        <v>-500</v>
      </c>
      <c r="J86" s="63" t="s">
        <v>133</v>
      </c>
      <c r="L86" s="73" t="n">
        <f aca="false">-Summary!$E24</f>
        <v>-194.47</v>
      </c>
    </row>
    <row r="87" customFormat="false" ht="15" hidden="false" customHeight="true" outlineLevel="0" collapsed="false">
      <c r="B87" s="63" t="s">
        <v>28</v>
      </c>
      <c r="D87" s="73" t="n">
        <f aca="false">-Summary!$F22</f>
        <v>-400</v>
      </c>
      <c r="F87" s="63" t="s">
        <v>28</v>
      </c>
      <c r="H87" s="73" t="n">
        <f aca="false">-Summary!$F23</f>
        <v>-400</v>
      </c>
      <c r="J87" s="63" t="s">
        <v>28</v>
      </c>
      <c r="L87" s="73" t="n">
        <f aca="false">-Summary!$F24</f>
        <v>-400</v>
      </c>
    </row>
    <row r="88" customFormat="false" ht="15" hidden="false" customHeight="true" outlineLevel="0" collapsed="false">
      <c r="B88" s="63" t="s">
        <v>134</v>
      </c>
      <c r="C88" s="74" t="str">
        <f aca="false">IF(Summary!$K22="","",TEXT(Summary!$K22,"ddd mmm d"))</f>
        <v>Thu Oct 22</v>
      </c>
      <c r="D88" s="75" t="n">
        <f aca="false">Summary!$J22</f>
        <v>-389.51</v>
      </c>
      <c r="F88" s="63" t="s">
        <v>134</v>
      </c>
      <c r="G88" s="74" t="str">
        <f aca="false">IF(Summary!$K23="","",TEXT(Summary!$K23,"ddd mmm d"))</f>
        <v>Fri Oct 30</v>
      </c>
      <c r="H88" s="75" t="n">
        <f aca="false">Summary!$J23</f>
        <v>3.39999999999986</v>
      </c>
      <c r="J88" s="63" t="s">
        <v>134</v>
      </c>
      <c r="K88" s="74" t="str">
        <f aca="false">IF(Summary!$K24="","",TEXT(Summary!$K24,"ddd mmm d"))</f>
        <v>Sat Oct 31</v>
      </c>
      <c r="L88" s="75" t="n">
        <f aca="false">Summary!$J24</f>
        <v>-139.97</v>
      </c>
    </row>
    <row r="89" customFormat="false" ht="21.75" hidden="false" customHeight="true" outlineLevel="0" collapsed="false">
      <c r="B89" s="76" t="s">
        <v>135</v>
      </c>
      <c r="C89" s="76"/>
      <c r="D89" s="77" t="n">
        <f aca="false">Summary!$I22</f>
        <v>10.7499999999999</v>
      </c>
      <c r="F89" s="76" t="s">
        <v>135</v>
      </c>
      <c r="G89" s="76"/>
      <c r="H89" s="77" t="n">
        <f aca="false">Summary!$I23</f>
        <v>3.39999999999986</v>
      </c>
      <c r="J89" s="76" t="s">
        <v>135</v>
      </c>
      <c r="K89" s="76"/>
      <c r="L89" s="77" t="n">
        <f aca="false">Summary!$I24</f>
        <v>301.58</v>
      </c>
    </row>
    <row r="90" customFormat="false" ht="15" hidden="false" customHeight="true" outlineLevel="0" collapsed="false">
      <c r="B90" s="78" t="str">
        <f aca="false">Summary!$L22</f>
        <v>SHORTFALL</v>
      </c>
      <c r="C90" s="78"/>
      <c r="D90" s="78"/>
      <c r="F90" s="78" t="str">
        <f aca="false">Summary!$L23</f>
        <v>TIGHT</v>
      </c>
      <c r="G90" s="78"/>
      <c r="H90" s="78"/>
      <c r="J90" s="78" t="str">
        <f aca="false">Summary!$L24</f>
        <v>SHORTFALL</v>
      </c>
      <c r="K90" s="78"/>
      <c r="L90" s="78"/>
    </row>
    <row r="94" customFormat="false" ht="19.5" hidden="false" customHeight="true" outlineLevel="0" collapsed="false">
      <c r="B94" s="62" t="str">
        <f aca="false">"WEEK "&amp;Summary!$B25&amp;"    "&amp;TEXT(Summary!$C25,"mmm d")&amp;" - "&amp;TEXT(Summary!$C25+6,"mmm d")</f>
        <v>WEEK 13    Nov 7 - Nov 13</v>
      </c>
      <c r="C94" s="62"/>
      <c r="D94" s="62"/>
    </row>
    <row r="95" customFormat="false" ht="15" hidden="false" customHeight="true" outlineLevel="0" collapsed="false">
      <c r="B95" s="63" t="s">
        <v>130</v>
      </c>
      <c r="D95" s="64" t="n">
        <f aca="false">Summary!$H25</f>
        <v>301.58</v>
      </c>
    </row>
    <row r="96" customFormat="false" ht="15" hidden="false" customHeight="true" outlineLevel="0" collapsed="false">
      <c r="B96" s="65" t="s">
        <v>131</v>
      </c>
      <c r="C96" s="66"/>
      <c r="D96" s="67"/>
    </row>
    <row r="97" customFormat="false" ht="12.75" hidden="false" customHeight="true" outlineLevel="0" collapsed="false">
      <c r="B97" s="68" t="n">
        <f aca="false">IF('Cash Flow'!$B675="","",'Cash Flow'!$C675)</f>
        <v>46333</v>
      </c>
      <c r="C97" s="69" t="str">
        <f aca="false">IF('Cash Flow'!$B675="","",'Cash Flow'!$B675)</f>
        <v>Google One</v>
      </c>
      <c r="D97" s="70" t="n">
        <f aca="false">IF('Cash Flow'!$B675="","",IF('Cash Flow'!$G675&lt;&gt;"",'Cash Flow'!$G675,-'Cash Flow'!$H675))</f>
        <v>-4.99</v>
      </c>
    </row>
    <row r="98" customFormat="false" ht="12.75" hidden="false" customHeight="true" outlineLevel="0" collapsed="false">
      <c r="B98" s="68" t="n">
        <f aca="false">IF('Cash Flow'!$B676="","",'Cash Flow'!$C676)</f>
        <v>46333</v>
      </c>
      <c r="C98" s="69" t="str">
        <f aca="false">IF('Cash Flow'!$B676="","",'Cash Flow'!$B676)</f>
        <v>Upstart (loan)</v>
      </c>
      <c r="D98" s="70" t="n">
        <f aca="false">IF('Cash Flow'!$B676="","",IF('Cash Flow'!$G676&lt;&gt;"",'Cash Flow'!$G676,-'Cash Flow'!$H676))</f>
        <v>-500</v>
      </c>
    </row>
    <row r="99" customFormat="false" ht="12.75" hidden="false" customHeight="true" outlineLevel="0" collapsed="false">
      <c r="B99" s="68" t="n">
        <f aca="false">IF('Cash Flow'!$B677="","",'Cash Flow'!$C677)</f>
        <v>46334</v>
      </c>
      <c r="C99" s="69" t="str">
        <f aca="false">IF('Cash Flow'!$B677="","",'Cash Flow'!$B677)</f>
        <v>Central Maine Power Co.</v>
      </c>
      <c r="D99" s="70" t="n">
        <f aca="false">IF('Cash Flow'!$B677="","",IF('Cash Flow'!$G677&lt;&gt;"",'Cash Flow'!$G677,-'Cash Flow'!$H677))</f>
        <v>-163.5</v>
      </c>
    </row>
    <row r="100" customFormat="false" ht="12.75" hidden="false" customHeight="true" outlineLevel="0" collapsed="false">
      <c r="B100" s="68" t="n">
        <f aca="false">IF('Cash Flow'!$B678="","",'Cash Flow'!$C678)</f>
        <v>46337</v>
      </c>
      <c r="C100" s="69" t="str">
        <f aca="false">IF('Cash Flow'!$B678="","",'Cash Flow'!$B678)</f>
        <v>Bruno's Restaurant (paycheck)</v>
      </c>
      <c r="D100" s="70" t="n">
        <f aca="false">IF('Cash Flow'!$B678="","",IF('Cash Flow'!$G678&lt;&gt;"",'Cash Flow'!$G678,-'Cash Flow'!$H678))</f>
        <v>90</v>
      </c>
    </row>
    <row r="101" customFormat="false" ht="12.75" hidden="false" customHeight="true" outlineLevel="0" collapsed="false">
      <c r="B101" s="68" t="n">
        <f aca="false">IF('Cash Flow'!$B679="","",'Cash Flow'!$C679)</f>
        <v>46339</v>
      </c>
      <c r="C101" s="69" t="str">
        <f aca="false">IF('Cash Flow'!$B679="","",'Cash Flow'!$B679)</f>
        <v>Compunnel Software (paycheck)</v>
      </c>
      <c r="D101" s="70" t="n">
        <f aca="false">IF('Cash Flow'!$B679="","",IF('Cash Flow'!$G679&lt;&gt;"",'Cash Flow'!$G679,-'Cash Flow'!$H679))</f>
        <v>802.65</v>
      </c>
    </row>
    <row r="102" customFormat="false" ht="12.75" hidden="false" customHeight="true" outlineLevel="0" collapsed="false">
      <c r="B102" s="68" t="n">
        <f aca="false">IF('Cash Flow'!$B680="","",'Cash Flow'!$C680)</f>
        <v>46339</v>
      </c>
      <c r="C102" s="69" t="str">
        <f aca="false">IF('Cash Flow'!$B680="","",'Cash Flow'!$B680)</f>
        <v>Apple: iCloud</v>
      </c>
      <c r="D102" s="70" t="n">
        <f aca="false">IF('Cash Flow'!$B680="","",IF('Cash Flow'!$G680&lt;&gt;"",'Cash Flow'!$G680,-'Cash Flow'!$H680))</f>
        <v>-2.99</v>
      </c>
    </row>
    <row r="103" customFormat="false" ht="12.75" hidden="false" customHeight="true" outlineLevel="0" collapsed="false">
      <c r="B103" s="68" t="n">
        <f aca="false">IF('Cash Flow'!$B681="","",'Cash Flow'!$C681)</f>
        <v>46339</v>
      </c>
      <c r="C103" s="69" t="str">
        <f aca="false">IF('Cash Flow'!$B681="","",'Cash Flow'!$B681)</f>
        <v>Patrick Rombalski (rent)</v>
      </c>
      <c r="D103" s="70" t="n">
        <f aca="false">IF('Cash Flow'!$B681="","",IF('Cash Flow'!$G681&lt;&gt;"",'Cash Flow'!$G681,-'Cash Flow'!$H681))</f>
        <v>-350</v>
      </c>
    </row>
    <row r="104" customFormat="false" ht="12.75" hidden="false" customHeight="true" outlineLevel="0" collapsed="false">
      <c r="B104" s="68" t="str">
        <f aca="false">IF('Cash Flow'!$B682="","",'Cash Flow'!$C682)</f>
        <v/>
      </c>
      <c r="C104" s="69" t="str">
        <f aca="false">IF('Cash Flow'!$B682="","",'Cash Flow'!$B682)</f>
        <v/>
      </c>
      <c r="D104" s="70" t="str">
        <f aca="false">IF('Cash Flow'!$B682="","",IF('Cash Flow'!$G682&lt;&gt;"",'Cash Flow'!$G682,-'Cash Flow'!$H682))</f>
        <v/>
      </c>
    </row>
    <row r="105" customFormat="false" ht="12.75" hidden="false" customHeight="true" outlineLevel="0" collapsed="false">
      <c r="B105" s="68" t="str">
        <f aca="false">IF('Cash Flow'!$B683="","",'Cash Flow'!$C683)</f>
        <v/>
      </c>
      <c r="C105" s="69" t="str">
        <f aca="false">IF('Cash Flow'!$B683="","",'Cash Flow'!$B683)</f>
        <v/>
      </c>
      <c r="D105" s="70" t="str">
        <f aca="false">IF('Cash Flow'!$B683="","",IF('Cash Flow'!$G683&lt;&gt;"",'Cash Flow'!$G683,-'Cash Flow'!$H683))</f>
        <v/>
      </c>
    </row>
    <row r="106" customFormat="false" ht="12.75" hidden="false" customHeight="true" outlineLevel="0" collapsed="false">
      <c r="B106" s="68" t="str">
        <f aca="false">IF('Cash Flow'!$B684="","",'Cash Flow'!$C684)</f>
        <v/>
      </c>
      <c r="C106" s="69" t="str">
        <f aca="false">IF('Cash Flow'!$B684="","",'Cash Flow'!$B684)</f>
        <v/>
      </c>
      <c r="D106" s="70" t="str">
        <f aca="false">IF('Cash Flow'!$B684="","",IF('Cash Flow'!$G684&lt;&gt;"",'Cash Flow'!$G684,-'Cash Flow'!$H684))</f>
        <v/>
      </c>
    </row>
    <row r="107" customFormat="false" ht="15" hidden="false" customHeight="true" outlineLevel="0" collapsed="false">
      <c r="B107" s="71" t="s">
        <v>132</v>
      </c>
      <c r="C107" s="66"/>
      <c r="D107" s="72" t="n">
        <f aca="false">Summary!$D25</f>
        <v>892.65</v>
      </c>
    </row>
    <row r="108" customFormat="false" ht="15" hidden="false" customHeight="true" outlineLevel="0" collapsed="false">
      <c r="B108" s="63" t="s">
        <v>133</v>
      </c>
      <c r="D108" s="73" t="n">
        <f aca="false">-Summary!$E25</f>
        <v>-1021.48</v>
      </c>
    </row>
    <row r="109" customFormat="false" ht="15" hidden="false" customHeight="true" outlineLevel="0" collapsed="false">
      <c r="B109" s="63" t="s">
        <v>28</v>
      </c>
      <c r="D109" s="73" t="n">
        <f aca="false">-Summary!$F25</f>
        <v>-400</v>
      </c>
    </row>
    <row r="110" customFormat="false" ht="15" hidden="false" customHeight="true" outlineLevel="0" collapsed="false">
      <c r="B110" s="63" t="s">
        <v>134</v>
      </c>
      <c r="C110" s="74" t="str">
        <f aca="false">IF(Summary!$K25="","",TEXT(Summary!$K25,"ddd mmm d"))</f>
        <v>Sun Nov 8</v>
      </c>
      <c r="D110" s="75" t="n">
        <f aca="false">Summary!$J25</f>
        <v>-366.91</v>
      </c>
    </row>
    <row r="111" customFormat="false" ht="21.75" hidden="false" customHeight="true" outlineLevel="0" collapsed="false">
      <c r="B111" s="76" t="s">
        <v>135</v>
      </c>
      <c r="C111" s="76"/>
      <c r="D111" s="77" t="n">
        <f aca="false">Summary!$I25</f>
        <v>-227.25</v>
      </c>
    </row>
    <row r="112" customFormat="false" ht="15" hidden="false" customHeight="true" outlineLevel="0" collapsed="false">
      <c r="B112" s="78" t="str">
        <f aca="false">Summary!$L25</f>
        <v>SHORTFALL</v>
      </c>
      <c r="C112" s="78"/>
      <c r="D112" s="78"/>
    </row>
  </sheetData>
  <mergeCells count="39">
    <mergeCell ref="B6:D6"/>
    <mergeCell ref="F6:H6"/>
    <mergeCell ref="J6:L6"/>
    <mergeCell ref="B23:C23"/>
    <mergeCell ref="F23:G23"/>
    <mergeCell ref="J23:K23"/>
    <mergeCell ref="B24:D24"/>
    <mergeCell ref="F24:H24"/>
    <mergeCell ref="J24:L24"/>
    <mergeCell ref="B28:D28"/>
    <mergeCell ref="F28:H28"/>
    <mergeCell ref="J28:L28"/>
    <mergeCell ref="B45:C45"/>
    <mergeCell ref="F45:G45"/>
    <mergeCell ref="J45:K45"/>
    <mergeCell ref="B46:D46"/>
    <mergeCell ref="F46:H46"/>
    <mergeCell ref="J46:L46"/>
    <mergeCell ref="B50:D50"/>
    <mergeCell ref="F50:H50"/>
    <mergeCell ref="J50:L50"/>
    <mergeCell ref="B67:C67"/>
    <mergeCell ref="F67:G67"/>
    <mergeCell ref="J67:K67"/>
    <mergeCell ref="B68:D68"/>
    <mergeCell ref="F68:H68"/>
    <mergeCell ref="J68:L68"/>
    <mergeCell ref="B72:D72"/>
    <mergeCell ref="F72:H72"/>
    <mergeCell ref="J72:L72"/>
    <mergeCell ref="B89:C89"/>
    <mergeCell ref="F89:G89"/>
    <mergeCell ref="J89:K89"/>
    <mergeCell ref="B90:D90"/>
    <mergeCell ref="F90:H90"/>
    <mergeCell ref="J90:L90"/>
    <mergeCell ref="B94:D94"/>
    <mergeCell ref="B111:C111"/>
    <mergeCell ref="B112:D112"/>
  </mergeCells>
  <conditionalFormatting sqref="B9:D18">
    <cfRule type="expression" priority="2" aboveAverage="0" equalAverage="0" bottom="0" percent="0" rank="0" text="" dxfId="19">
      <formula>$C9&lt;&gt;""</formula>
    </cfRule>
  </conditionalFormatting>
  <conditionalFormatting sqref="F9:H18">
    <cfRule type="expression" priority="3" aboveAverage="0" equalAverage="0" bottom="0" percent="0" rank="0" text="" dxfId="19">
      <formula>$G9&lt;&gt;""</formula>
    </cfRule>
  </conditionalFormatting>
  <conditionalFormatting sqref="J9:L18">
    <cfRule type="expression" priority="4" aboveAverage="0" equalAverage="0" bottom="0" percent="0" rank="0" text="" dxfId="19">
      <formula>$K9&lt;&gt;""</formula>
    </cfRule>
  </conditionalFormatting>
  <conditionalFormatting sqref="B31:D40">
    <cfRule type="expression" priority="5" aboveAverage="0" equalAverage="0" bottom="0" percent="0" rank="0" text="" dxfId="19">
      <formula>$C31&lt;&gt;""</formula>
    </cfRule>
  </conditionalFormatting>
  <conditionalFormatting sqref="F31:H40">
    <cfRule type="expression" priority="6" aboveAverage="0" equalAverage="0" bottom="0" percent="0" rank="0" text="" dxfId="19">
      <formula>$G31&lt;&gt;""</formula>
    </cfRule>
  </conditionalFormatting>
  <conditionalFormatting sqref="J31:L40">
    <cfRule type="expression" priority="7" aboveAverage="0" equalAverage="0" bottom="0" percent="0" rank="0" text="" dxfId="19">
      <formula>$K31&lt;&gt;""</formula>
    </cfRule>
  </conditionalFormatting>
  <conditionalFormatting sqref="B53:D62">
    <cfRule type="expression" priority="8" aboveAverage="0" equalAverage="0" bottom="0" percent="0" rank="0" text="" dxfId="19">
      <formula>$C53&lt;&gt;""</formula>
    </cfRule>
  </conditionalFormatting>
  <conditionalFormatting sqref="F53:H62">
    <cfRule type="expression" priority="9" aboveAverage="0" equalAverage="0" bottom="0" percent="0" rank="0" text="" dxfId="19">
      <formula>$G53&lt;&gt;""</formula>
    </cfRule>
  </conditionalFormatting>
  <conditionalFormatting sqref="J53:L62">
    <cfRule type="expression" priority="10" aboveAverage="0" equalAverage="0" bottom="0" percent="0" rank="0" text="" dxfId="19">
      <formula>$K53&lt;&gt;""</formula>
    </cfRule>
  </conditionalFormatting>
  <conditionalFormatting sqref="B75:D84">
    <cfRule type="expression" priority="11" aboveAverage="0" equalAverage="0" bottom="0" percent="0" rank="0" text="" dxfId="19">
      <formula>$C75&lt;&gt;""</formula>
    </cfRule>
  </conditionalFormatting>
  <conditionalFormatting sqref="F75:H84">
    <cfRule type="expression" priority="12" aboveAverage="0" equalAverage="0" bottom="0" percent="0" rank="0" text="" dxfId="19">
      <formula>$G75&lt;&gt;""</formula>
    </cfRule>
  </conditionalFormatting>
  <conditionalFormatting sqref="J75:L84">
    <cfRule type="expression" priority="13" aboveAverage="0" equalAverage="0" bottom="0" percent="0" rank="0" text="" dxfId="19">
      <formula>$K75&lt;&gt;""</formula>
    </cfRule>
  </conditionalFormatting>
  <conditionalFormatting sqref="B97:D106">
    <cfRule type="expression" priority="14" aboveAverage="0" equalAverage="0" bottom="0" percent="0" rank="0" text="" dxfId="19">
      <formula>$C97&lt;&gt;""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78" activePane="bottomRight" state="frozen"/>
      <selection pane="topLeft" activeCell="A1" activeCellId="0" sqref="A1"/>
      <selection pane="topRight" activeCell="B1" activeCellId="0" sqref="B1"/>
      <selection pane="bottomLeft" activeCell="A78" activeCellId="0" sqref="A78"/>
      <selection pane="bottomRight" activeCell="K128" activeCellId="0" sqref="K128"/>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2.02"/>
    <col collapsed="false" customWidth="true" hidden="false" outlineLevel="0" max="3" min="3" style="1" width="13.05"/>
    <col collapsed="false" customWidth="true" hidden="false" outlineLevel="0" max="4" min="4" style="1" width="11.03"/>
    <col collapsed="false" customWidth="true" hidden="false" outlineLevel="0" max="8" min="5" style="1" width="13.99"/>
    <col collapsed="false" customWidth="true" hidden="false" outlineLevel="0" max="9" min="9" style="1" width="14.93"/>
    <col collapsed="false" customWidth="true" hidden="false" outlineLevel="0" max="10" min="10" style="1" width="11.97"/>
    <col collapsed="false" customWidth="true" hidden="false" outlineLevel="0" max="11" min="11" style="1" width="13.05"/>
    <col collapsed="false" customWidth="true" hidden="true" outlineLevel="0" max="12" min="12" style="1" width="9.95"/>
    <col collapsed="false" customWidth="true" hidden="true" outlineLevel="0" max="13" min="13" style="1" width="7.94"/>
    <col collapsed="false" customWidth="true" hidden="false" outlineLevel="0" max="14" min="14" style="1" width="53.94"/>
  </cols>
  <sheetData>
    <row r="1" customFormat="false" ht="19.5" hidden="false" customHeight="true" outlineLevel="0" collapsed="false">
      <c r="B1" s="2" t="s">
        <v>0</v>
      </c>
    </row>
    <row r="2" customFormat="false" ht="15" hidden="false" customHeight="true" outlineLevel="0" collapsed="false">
      <c r="B2" s="3" t="s">
        <v>136</v>
      </c>
    </row>
    <row r="4" customFormat="false" ht="15" hidden="false" customHeight="true" outlineLevel="0" collapsed="false">
      <c r="B4" s="4" t="s">
        <v>137</v>
      </c>
    </row>
    <row r="5" customFormat="false" ht="15" hidden="false" customHeight="true" outlineLevel="0" collapsed="false">
      <c r="B5" s="7" t="s">
        <v>138</v>
      </c>
      <c r="E5" s="79" t="n">
        <v>228.41</v>
      </c>
    </row>
    <row r="6" customFormat="false" ht="15" hidden="false" customHeight="true" outlineLevel="0" collapsed="false">
      <c r="B6" s="7" t="s">
        <v>139</v>
      </c>
      <c r="E6" s="80" t="n">
        <v>46249</v>
      </c>
      <c r="G6" s="26"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140</v>
      </c>
      <c r="E7" s="79" t="n">
        <v>200</v>
      </c>
    </row>
    <row r="8" customFormat="false" ht="15" hidden="false" customHeight="true" outlineLevel="0" collapsed="false">
      <c r="B8" s="7" t="s">
        <v>141</v>
      </c>
      <c r="E8" s="79" t="n">
        <v>400</v>
      </c>
      <c r="G8" s="26" t="s">
        <v>142</v>
      </c>
    </row>
    <row r="9" customFormat="false" ht="15" hidden="false" customHeight="true" outlineLevel="0" collapsed="false">
      <c r="B9" s="48" t="s">
        <v>143</v>
      </c>
      <c r="E9" s="81" t="n">
        <f aca="true">TODAY()</f>
        <v>46263</v>
      </c>
    </row>
    <row r="10" customFormat="false" ht="15" hidden="false" customHeight="true" outlineLevel="0" collapsed="false">
      <c r="B10" s="26" t="s">
        <v>144</v>
      </c>
    </row>
    <row r="11" customFormat="false" ht="15" hidden="false" customHeight="true" outlineLevel="0" collapsed="false">
      <c r="B11" s="26" t="s">
        <v>145</v>
      </c>
    </row>
    <row r="12" customFormat="false" ht="15" hidden="false" customHeight="true" outlineLevel="0" collapsed="false">
      <c r="B12" s="26" t="s">
        <v>146</v>
      </c>
    </row>
    <row r="13" customFormat="false" ht="21.75" hidden="false" customHeight="true" outlineLevel="0" collapsed="false">
      <c r="B13" s="82" t="str">
        <f aca="false">"WEEK 1     "&amp;TEXT($E$6+0,"ddd, mmm d")&amp;"   through   "&amp;TEXT($E$6+0+6,"ddd, mmm d, yyyy")</f>
        <v>WEEK 1     Sat, Aug 15   through   Fri, Aug 21, 2026</v>
      </c>
      <c r="C13" s="83"/>
      <c r="D13" s="83"/>
      <c r="E13" s="83"/>
      <c r="F13" s="83"/>
      <c r="G13" s="84" t="s">
        <v>147</v>
      </c>
      <c r="H13" s="83"/>
      <c r="I13" s="85" t="n">
        <f aca="false">$E$5</f>
        <v>228.41</v>
      </c>
      <c r="J13" s="83"/>
      <c r="K13" s="86"/>
      <c r="N13" s="86" t="str">
        <f aca="false">IF(COUNTIF(Schedule!$I$4:$I$483,1)&gt;10,"! "&amp;COUNTIF(Schedule!$I$4:$I$483,1)-10&amp;" more transaction(s) fall in this week than there are rows to show them.","")</f>
        <v/>
      </c>
    </row>
    <row r="14" customFormat="false" ht="25.5" hidden="false" customHeight="true" outlineLevel="0" collapsed="false">
      <c r="B14" s="87" t="s">
        <v>148</v>
      </c>
      <c r="C14" s="87" t="s">
        <v>149</v>
      </c>
      <c r="D14" s="87" t="s">
        <v>42</v>
      </c>
      <c r="E14" s="87" t="s">
        <v>150</v>
      </c>
      <c r="F14" s="87" t="s">
        <v>151</v>
      </c>
      <c r="G14" s="37" t="s">
        <v>152</v>
      </c>
      <c r="H14" s="38" t="s">
        <v>153</v>
      </c>
      <c r="I14" s="87" t="s">
        <v>154</v>
      </c>
      <c r="J14" s="87" t="s">
        <v>14</v>
      </c>
      <c r="K14" s="87" t="s">
        <v>155</v>
      </c>
    </row>
    <row r="15" customFormat="false" ht="15" hidden="false" customHeight="true" outlineLevel="0" collapsed="false">
      <c r="B15" s="8" t="str">
        <f aca="false">IFERROR(INDEX(Schedule!$C$4:$C$483,MATCH(1001,Schedule!$K$4:$K$483,0)),"")</f>
        <v>Maine Revenue Services</v>
      </c>
      <c r="C15" s="88" t="n">
        <f aca="false">IF($B15="","",INDEX(Schedule!$G$4:$G$483,MATCH(1001,Schedule!$K$4:$K$483,0)))</f>
        <v>46250</v>
      </c>
      <c r="D15" s="89" t="str">
        <f aca="false">IF($B15="","",INDEX(Schedule!$D$4:$D$483,MATCH(1001,Schedule!$K$4:$K$483,0)))</f>
        <v>Expense</v>
      </c>
      <c r="E15" s="90" t="n">
        <f aca="false">IF($B15="","",INDEX(Schedule!$E$4:$E$483,MATCH(1001,Schedule!$K$4:$K$483,0)))</f>
        <v>45</v>
      </c>
      <c r="F15" s="91"/>
      <c r="G15" s="92" t="str">
        <f aca="false">IF($B15="","",IF($D15="Income",IF($F15&lt;&gt;"",$F15,IF(COUNTIFS('Paid Log'!$B$9:$B$308,$C15,'Paid Log'!$C$9:$C$308,$B15)&gt;0,SUMIFS('Paid Log'!$D$9:$D$308,'Paid Log'!$B$9:$B$308,$C15,'Paid Log'!$C$9:$C$308,$B15),$E15)),""))</f>
        <v/>
      </c>
      <c r="H15" s="93" t="n">
        <f aca="false">IF($B15="","",IF($D15="Income","",IF($F15&lt;&gt;"",$F15,IF(COUNTIFS('Paid Log'!$B$9:$B$308,$C15,'Paid Log'!$C$9:$C$308,$B15)&gt;0,SUMIFS('Paid Log'!$D$9:$D$308,'Paid Log'!$B$9:$B$308,$C15,'Paid Log'!$C$9:$C$308,$B15),$E15))))</f>
        <v>45</v>
      </c>
      <c r="I15" s="94" t="n">
        <f aca="false">IF($B15="","",$I$13+SUMIFS($G$15:$G$65,$M$15:$M$65,"&lt;="&amp;$M15)-SUMIFS($H$15:$H$65,$M$15:$M$65,"&lt;="&amp;$M15))</f>
        <v>139.17</v>
      </c>
      <c r="J15" s="95" t="str">
        <f aca="true">IF($B15="","",IF(OR($F15&lt;&gt;"",COUNTIFS('Paid Log'!$B$9:$B$308,$C15,'Paid Log'!$C$9:$C$308,$B15)&gt;0),IF($C15&gt;TODAY(),"ADJUSTED","PAID"),IF($C15&lt;TODAY(),"PAST DUE",IF($C15&lt;=TODAY()+7,"DUE","Upcoming"))))</f>
        <v>PAID</v>
      </c>
      <c r="K15" s="96" t="str">
        <f aca="false">IF($B15="","",IF(OR($F15&lt;&gt;"",COUNTIFS('Paid Log'!$B$9:$B$308,$C15,'Paid Log'!$C$9:$C$308,$B15)&gt;0),"ACTUAL","FORECAST"))</f>
        <v>ACTUAL</v>
      </c>
      <c r="L15" s="97"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88" t="n">
        <f aca="false">IF($B16="","",INDEX(Schedule!$G$4:$G$483,MATCH(1002,Schedule!$K$4:$K$483,0)))</f>
        <v>46253</v>
      </c>
      <c r="D16" s="89" t="str">
        <f aca="false">IF($B16="","",INDEX(Schedule!$D$4:$D$483,MATCH(1002,Schedule!$K$4:$K$483,0)))</f>
        <v>Income</v>
      </c>
      <c r="E16" s="90" t="n">
        <f aca="false">IF($B16="","",INDEX(Schedule!$E$4:$E$483,MATCH(1002,Schedule!$K$4:$K$483,0)))</f>
        <v>90</v>
      </c>
      <c r="F16" s="91"/>
      <c r="G16" s="92" t="n">
        <f aca="false">IF($B16="","",IF($D16="Income",IF($F16&lt;&gt;"",$F16,IF(COUNTIFS('Paid Log'!$B$9:$B$308,$C16,'Paid Log'!$C$9:$C$308,$B16)&gt;0,SUMIFS('Paid Log'!$D$9:$D$308,'Paid Log'!$B$9:$B$308,$C16,'Paid Log'!$C$9:$C$308,$B16),$E16)),""))</f>
        <v>148.34</v>
      </c>
      <c r="H16" s="93" t="str">
        <f aca="false">IF($B16="","",IF($D16="Income","",IF($F16&lt;&gt;"",$F16,IF(COUNTIFS('Paid Log'!$B$9:$B$308,$C16,'Paid Log'!$C$9:$C$308,$B16)&gt;0,SUMIFS('Paid Log'!$D$9:$D$308,'Paid Log'!$B$9:$B$308,$C16,'Paid Log'!$C$9:$C$308,$B16),$E16))))</f>
        <v/>
      </c>
      <c r="I16" s="94" t="n">
        <f aca="false">IF($B16="","",$I$13+SUMIFS($G$15:$G$65,$M$15:$M$65,"&lt;="&amp;$M16)-SUMIFS($H$15:$H$65,$M$15:$M$65,"&lt;="&amp;$M16))</f>
        <v>119.84</v>
      </c>
      <c r="J16" s="95" t="str">
        <f aca="true">IF($B16="","",IF(OR($F16&lt;&gt;"",COUNTIFS('Paid Log'!$B$9:$B$308,$C16,'Paid Log'!$C$9:$C$308,$B16)&gt;0),IF($C16&gt;TODAY(),"ADJUSTED","PAID"),IF($C16&lt;TODAY(),"PAST DUE",IF($C16&lt;=TODAY()+7,"DUE","Upcoming"))))</f>
        <v>PAID</v>
      </c>
      <c r="K16" s="96" t="str">
        <f aca="false">IF($B16="","",IF(OR($F16&lt;&gt;"",COUNTIFS('Paid Log'!$B$9:$B$308,$C16,'Paid Log'!$C$9:$C$308,$B16)&gt;0),"ACTUAL","FORECAST"))</f>
        <v>ACTUAL</v>
      </c>
      <c r="L16" s="97"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88" t="n">
        <f aca="false">IF($B17="","",INDEX(Schedule!$G$4:$G$483,MATCH(1003,Schedule!$K$4:$K$483,0)))</f>
        <v>46255</v>
      </c>
      <c r="D17" s="89" t="str">
        <f aca="false">IF($B17="","",INDEX(Schedule!$D$4:$D$483,MATCH(1003,Schedule!$K$4:$K$483,0)))</f>
        <v>Income</v>
      </c>
      <c r="E17" s="90" t="n">
        <f aca="false">IF($B17="","",INDEX(Schedule!$E$4:$E$483,MATCH(1003,Schedule!$K$4:$K$483,0)))</f>
        <v>802.65</v>
      </c>
      <c r="F17" s="91"/>
      <c r="G17" s="92" t="n">
        <f aca="false">IF($B17="","",IF($D17="Income",IF($F17&lt;&gt;"",$F17,IF(COUNTIFS('Paid Log'!$B$9:$B$308,$C17,'Paid Log'!$C$9:$C$308,$B17)&gt;0,SUMIFS('Paid Log'!$D$9:$D$308,'Paid Log'!$B$9:$B$308,$C17,'Paid Log'!$C$9:$C$308,$B17),$E17)),""))</f>
        <v>802.65</v>
      </c>
      <c r="H17" s="93" t="str">
        <f aca="false">IF($B17="","",IF($D17="Income","",IF($F17&lt;&gt;"",$F17,IF(COUNTIFS('Paid Log'!$B$9:$B$308,$C17,'Paid Log'!$C$9:$C$308,$B17)&gt;0,SUMIFS('Paid Log'!$D$9:$D$308,'Paid Log'!$B$9:$B$308,$C17,'Paid Log'!$C$9:$C$308,$B17),$E17))))</f>
        <v/>
      </c>
      <c r="I17" s="94" t="n">
        <f aca="false">IF($B17="","",$I$13+SUMIFS($G$15:$G$65,$M$15:$M$65,"&lt;="&amp;$M17)-SUMIFS($H$15:$H$65,$M$15:$M$65,"&lt;="&amp;$M17))</f>
        <v>540.01</v>
      </c>
      <c r="J17" s="95" t="str">
        <f aca="true">IF($B17="","",IF(OR($F17&lt;&gt;"",COUNTIFS('Paid Log'!$B$9:$B$308,$C17,'Paid Log'!$C$9:$C$308,$B17)&gt;0),IF($C17&gt;TODAY(),"ADJUSTED","PAID"),IF($C17&lt;TODAY(),"PAST DUE",IF($C17&lt;=TODAY()+7,"DUE","Upcoming"))))</f>
        <v>PAID</v>
      </c>
      <c r="K17" s="96" t="str">
        <f aca="false">IF($B17="","",IF(OR($F17&lt;&gt;"",COUNTIFS('Paid Log'!$B$9:$B$308,$C17,'Paid Log'!$C$9:$C$308,$B17)&gt;0),"ACTUAL","FORECAST"))</f>
        <v>ACTUAL</v>
      </c>
      <c r="L17" s="97"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88" t="n">
        <f aca="false">IF($B18="","",INDEX(Schedule!$G$4:$G$483,MATCH(1004,Schedule!$K$4:$K$483,0)))</f>
        <v>46255</v>
      </c>
      <c r="D18" s="89" t="str">
        <f aca="false">IF($B18="","",INDEX(Schedule!$D$4:$D$483,MATCH(1004,Schedule!$K$4:$K$483,0)))</f>
        <v>Expense</v>
      </c>
      <c r="E18" s="90" t="n">
        <f aca="false">IF($B18="","",INDEX(Schedule!$E$4:$E$483,MATCH(1004,Schedule!$K$4:$K$483,0)))</f>
        <v>171.1</v>
      </c>
      <c r="F18" s="91"/>
      <c r="G18" s="92" t="str">
        <f aca="false">IF($B18="","",IF($D18="Income",IF($F18&lt;&gt;"",$F18,IF(COUNTIFS('Paid Log'!$B$9:$B$308,$C18,'Paid Log'!$C$9:$C$308,$B18)&gt;0,SUMIFS('Paid Log'!$D$9:$D$308,'Paid Log'!$B$9:$B$308,$C18,'Paid Log'!$C$9:$C$308,$B18),$E18)),""))</f>
        <v/>
      </c>
      <c r="H18" s="93" t="n">
        <f aca="false">IF($B18="","",IF($D18="Income","",IF($F18&lt;&gt;"",$F18,IF(COUNTIFS('Paid Log'!$B$9:$B$308,$C18,'Paid Log'!$C$9:$C$308,$B18)&gt;0,SUMIFS('Paid Log'!$D$9:$D$308,'Paid Log'!$B$9:$B$308,$C18,'Paid Log'!$C$9:$C$308,$B18),$E18))))</f>
        <v>0</v>
      </c>
      <c r="I18" s="94" t="n">
        <f aca="false">IF($B18="","",$I$13+SUMIFS($G$15:$G$65,$M$15:$M$65,"&lt;="&amp;$M18)-SUMIFS($H$15:$H$65,$M$15:$M$65,"&lt;="&amp;$M18))</f>
        <v>540.01</v>
      </c>
      <c r="J18" s="95" t="str">
        <f aca="true">IF($B18="","",IF(OR($F18&lt;&gt;"",COUNTIFS('Paid Log'!$B$9:$B$308,$C18,'Paid Log'!$C$9:$C$308,$B18)&gt;0),IF($C18&gt;TODAY(),"ADJUSTED","PAID"),IF($C18&lt;TODAY(),"PAST DUE",IF($C18&lt;=TODAY()+7,"DUE","Upcoming"))))</f>
        <v>PAID</v>
      </c>
      <c r="K18" s="96" t="str">
        <f aca="false">IF($B18="","",IF(OR($F18&lt;&gt;"",COUNTIFS('Paid Log'!$B$9:$B$308,$C18,'Paid Log'!$C$9:$C$308,$B18)&gt;0),"ACTUAL","FORECAST"))</f>
        <v>ACTUAL</v>
      </c>
      <c r="L18" s="97"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88" t="str">
        <f aca="false">IF($B19="","",INDEX(Schedule!$G$4:$G$483,MATCH(1005,Schedule!$K$4:$K$483,0)))</f>
        <v/>
      </c>
      <c r="D19" s="89" t="str">
        <f aca="false">IF($B19="","",INDEX(Schedule!$D$4:$D$483,MATCH(1005,Schedule!$K$4:$K$483,0)))</f>
        <v/>
      </c>
      <c r="E19" s="90" t="str">
        <f aca="false">IF($B19="","",INDEX(Schedule!$E$4:$E$483,MATCH(1005,Schedule!$K$4:$K$483,0)))</f>
        <v/>
      </c>
      <c r="F19" s="91"/>
      <c r="G19" s="92" t="str">
        <f aca="false">IF($B19="","",IF($D19="Income",IF($F19&lt;&gt;"",$F19,IF(COUNTIFS('Paid Log'!$B$9:$B$308,$C19,'Paid Log'!$C$9:$C$308,$B19)&gt;0,SUMIFS('Paid Log'!$D$9:$D$308,'Paid Log'!$B$9:$B$308,$C19,'Paid Log'!$C$9:$C$308,$B19),$E19)),""))</f>
        <v/>
      </c>
      <c r="H19" s="93" t="str">
        <f aca="false">IF($B19="","",IF($D19="Income","",IF($F19&lt;&gt;"",$F19,IF(COUNTIFS('Paid Log'!$B$9:$B$308,$C19,'Paid Log'!$C$9:$C$308,$B19)&gt;0,SUMIFS('Paid Log'!$D$9:$D$308,'Paid Log'!$B$9:$B$308,$C19,'Paid Log'!$C$9:$C$308,$B19),$E19))))</f>
        <v/>
      </c>
      <c r="I19" s="94" t="str">
        <f aca="false">IF($B19="","",$I$13+SUMIFS($G$15:$G$65,$M$15:$M$65,"&lt;="&amp;$M19)-SUMIFS($H$15:$H$65,$M$15:$M$65,"&lt;="&amp;$M19))</f>
        <v/>
      </c>
      <c r="J19" s="95" t="str">
        <f aca="true">IF($B19="","",IF(OR($F19&lt;&gt;"",COUNTIFS('Paid Log'!$B$9:$B$308,$C19,'Paid Log'!$C$9:$C$308,$B19)&gt;0),IF($C19&gt;TODAY(),"ADJUSTED","PAID"),IF($C19&lt;TODAY(),"PAST DUE",IF($C19&lt;=TODAY()+7,"DUE","Upcoming"))))</f>
        <v/>
      </c>
      <c r="K19" s="96"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88" t="str">
        <f aca="false">IF($B20="","",INDEX(Schedule!$G$4:$G$483,MATCH(1006,Schedule!$K$4:$K$483,0)))</f>
        <v/>
      </c>
      <c r="D20" s="89" t="str">
        <f aca="false">IF($B20="","",INDEX(Schedule!$D$4:$D$483,MATCH(1006,Schedule!$K$4:$K$483,0)))</f>
        <v/>
      </c>
      <c r="E20" s="90" t="str">
        <f aca="false">IF($B20="","",INDEX(Schedule!$E$4:$E$483,MATCH(1006,Schedule!$K$4:$K$483,0)))</f>
        <v/>
      </c>
      <c r="F20" s="91"/>
      <c r="G20" s="92" t="str">
        <f aca="false">IF($B20="","",IF($D20="Income",IF($F20&lt;&gt;"",$F20,IF(COUNTIFS('Paid Log'!$B$9:$B$308,$C20,'Paid Log'!$C$9:$C$308,$B20)&gt;0,SUMIFS('Paid Log'!$D$9:$D$308,'Paid Log'!$B$9:$B$308,$C20,'Paid Log'!$C$9:$C$308,$B20),$E20)),""))</f>
        <v/>
      </c>
      <c r="H20" s="93" t="str">
        <f aca="false">IF($B20="","",IF($D20="Income","",IF($F20&lt;&gt;"",$F20,IF(COUNTIFS('Paid Log'!$B$9:$B$308,$C20,'Paid Log'!$C$9:$C$308,$B20)&gt;0,SUMIFS('Paid Log'!$D$9:$D$308,'Paid Log'!$B$9:$B$308,$C20,'Paid Log'!$C$9:$C$308,$B20),$E20))))</f>
        <v/>
      </c>
      <c r="I20" s="94" t="str">
        <f aca="false">IF($B20="","",$I$13+SUMIFS($G$15:$G$65,$M$15:$M$65,"&lt;="&amp;$M20)-SUMIFS($H$15:$H$65,$M$15:$M$65,"&lt;="&amp;$M20))</f>
        <v/>
      </c>
      <c r="J20" s="95" t="str">
        <f aca="true">IF($B20="","",IF(OR($F20&lt;&gt;"",COUNTIFS('Paid Log'!$B$9:$B$308,$C20,'Paid Log'!$C$9:$C$308,$B20)&gt;0),IF($C20&gt;TODAY(),"ADJUSTED","PAID"),IF($C20&lt;TODAY(),"PAST DUE",IF($C20&lt;=TODAY()+7,"DUE","Upcoming"))))</f>
        <v/>
      </c>
      <c r="K20" s="96"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88" t="str">
        <f aca="false">IF($B21="","",INDEX(Schedule!$G$4:$G$483,MATCH(1007,Schedule!$K$4:$K$483,0)))</f>
        <v/>
      </c>
      <c r="D21" s="89" t="str">
        <f aca="false">IF($B21="","",INDEX(Schedule!$D$4:$D$483,MATCH(1007,Schedule!$K$4:$K$483,0)))</f>
        <v/>
      </c>
      <c r="E21" s="90" t="str">
        <f aca="false">IF($B21="","",INDEX(Schedule!$E$4:$E$483,MATCH(1007,Schedule!$K$4:$K$483,0)))</f>
        <v/>
      </c>
      <c r="F21" s="91"/>
      <c r="G21" s="92" t="str">
        <f aca="false">IF($B21="","",IF($D21="Income",IF($F21&lt;&gt;"",$F21,IF(COUNTIFS('Paid Log'!$B$9:$B$308,$C21,'Paid Log'!$C$9:$C$308,$B21)&gt;0,SUMIFS('Paid Log'!$D$9:$D$308,'Paid Log'!$B$9:$B$308,$C21,'Paid Log'!$C$9:$C$308,$B21),$E21)),""))</f>
        <v/>
      </c>
      <c r="H21" s="93" t="str">
        <f aca="false">IF($B21="","",IF($D21="Income","",IF($F21&lt;&gt;"",$F21,IF(COUNTIFS('Paid Log'!$B$9:$B$308,$C21,'Paid Log'!$C$9:$C$308,$B21)&gt;0,SUMIFS('Paid Log'!$D$9:$D$308,'Paid Log'!$B$9:$B$308,$C21,'Paid Log'!$C$9:$C$308,$B21),$E21))))</f>
        <v/>
      </c>
      <c r="I21" s="94" t="str">
        <f aca="false">IF($B21="","",$I$13+SUMIFS($G$15:$G$65,$M$15:$M$65,"&lt;="&amp;$M21)-SUMIFS($H$15:$H$65,$M$15:$M$65,"&lt;="&amp;$M21))</f>
        <v/>
      </c>
      <c r="J21" s="95" t="str">
        <f aca="true">IF($B21="","",IF(OR($F21&lt;&gt;"",COUNTIFS('Paid Log'!$B$9:$B$308,$C21,'Paid Log'!$C$9:$C$308,$B21)&gt;0),IF($C21&gt;TODAY(),"ADJUSTED","PAID"),IF($C21&lt;TODAY(),"PAST DUE",IF($C21&lt;=TODAY()+7,"DUE","Upcoming"))))</f>
        <v/>
      </c>
      <c r="K21" s="96"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88" t="str">
        <f aca="false">IF($B22="","",INDEX(Schedule!$G$4:$G$483,MATCH(1008,Schedule!$K$4:$K$483,0)))</f>
        <v/>
      </c>
      <c r="D22" s="89" t="str">
        <f aca="false">IF($B22="","",INDEX(Schedule!$D$4:$D$483,MATCH(1008,Schedule!$K$4:$K$483,0)))</f>
        <v/>
      </c>
      <c r="E22" s="90" t="str">
        <f aca="false">IF($B22="","",INDEX(Schedule!$E$4:$E$483,MATCH(1008,Schedule!$K$4:$K$483,0)))</f>
        <v/>
      </c>
      <c r="F22" s="91"/>
      <c r="G22" s="92" t="str">
        <f aca="false">IF($B22="","",IF($D22="Income",IF($F22&lt;&gt;"",$F22,IF(COUNTIFS('Paid Log'!$B$9:$B$308,$C22,'Paid Log'!$C$9:$C$308,$B22)&gt;0,SUMIFS('Paid Log'!$D$9:$D$308,'Paid Log'!$B$9:$B$308,$C22,'Paid Log'!$C$9:$C$308,$B22),$E22)),""))</f>
        <v/>
      </c>
      <c r="H22" s="93" t="str">
        <f aca="false">IF($B22="","",IF($D22="Income","",IF($F22&lt;&gt;"",$F22,IF(COUNTIFS('Paid Log'!$B$9:$B$308,$C22,'Paid Log'!$C$9:$C$308,$B22)&gt;0,SUMIFS('Paid Log'!$D$9:$D$308,'Paid Log'!$B$9:$B$308,$C22,'Paid Log'!$C$9:$C$308,$B22),$E22))))</f>
        <v/>
      </c>
      <c r="I22" s="94" t="str">
        <f aca="false">IF($B22="","",$I$13+SUMIFS($G$15:$G$65,$M$15:$M$65,"&lt;="&amp;$M22)-SUMIFS($H$15:$H$65,$M$15:$M$65,"&lt;="&amp;$M22))</f>
        <v/>
      </c>
      <c r="J22" s="95" t="str">
        <f aca="true">IF($B22="","",IF(OR($F22&lt;&gt;"",COUNTIFS('Paid Log'!$B$9:$B$308,$C22,'Paid Log'!$C$9:$C$308,$B22)&gt;0),IF($C22&gt;TODAY(),"ADJUSTED","PAID"),IF($C22&lt;TODAY(),"PAST DUE",IF($C22&lt;=TODAY()+7,"DUE","Upcoming"))))</f>
        <v/>
      </c>
      <c r="K22" s="96"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88" t="str">
        <f aca="false">IF($B23="","",INDEX(Schedule!$G$4:$G$483,MATCH(1009,Schedule!$K$4:$K$483,0)))</f>
        <v/>
      </c>
      <c r="D23" s="89" t="str">
        <f aca="false">IF($B23="","",INDEX(Schedule!$D$4:$D$483,MATCH(1009,Schedule!$K$4:$K$483,0)))</f>
        <v/>
      </c>
      <c r="E23" s="90" t="str">
        <f aca="false">IF($B23="","",INDEX(Schedule!$E$4:$E$483,MATCH(1009,Schedule!$K$4:$K$483,0)))</f>
        <v/>
      </c>
      <c r="F23" s="91"/>
      <c r="G23" s="92" t="str">
        <f aca="false">IF($B23="","",IF($D23="Income",IF($F23&lt;&gt;"",$F23,IF(COUNTIFS('Paid Log'!$B$9:$B$308,$C23,'Paid Log'!$C$9:$C$308,$B23)&gt;0,SUMIFS('Paid Log'!$D$9:$D$308,'Paid Log'!$B$9:$B$308,$C23,'Paid Log'!$C$9:$C$308,$B23),$E23)),""))</f>
        <v/>
      </c>
      <c r="H23" s="93" t="str">
        <f aca="false">IF($B23="","",IF($D23="Income","",IF($F23&lt;&gt;"",$F23,IF(COUNTIFS('Paid Log'!$B$9:$B$308,$C23,'Paid Log'!$C$9:$C$308,$B23)&gt;0,SUMIFS('Paid Log'!$D$9:$D$308,'Paid Log'!$B$9:$B$308,$C23,'Paid Log'!$C$9:$C$308,$B23),$E23))))</f>
        <v/>
      </c>
      <c r="I23" s="94" t="str">
        <f aca="false">IF($B23="","",$I$13+SUMIFS($G$15:$G$65,$M$15:$M$65,"&lt;="&amp;$M23)-SUMIFS($H$15:$H$65,$M$15:$M$65,"&lt;="&amp;$M23))</f>
        <v/>
      </c>
      <c r="J23" s="95" t="str">
        <f aca="true">IF($B23="","",IF(OR($F23&lt;&gt;"",COUNTIFS('Paid Log'!$B$9:$B$308,$C23,'Paid Log'!$C$9:$C$308,$B23)&gt;0),IF($C23&gt;TODAY(),"ADJUSTED","PAID"),IF($C23&lt;TODAY(),"PAST DUE",IF($C23&lt;=TODAY()+7,"DUE","Upcoming"))))</f>
        <v/>
      </c>
      <c r="K23" s="96"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88" t="str">
        <f aca="false">IF($B24="","",INDEX(Schedule!$G$4:$G$483,MATCH(1010,Schedule!$K$4:$K$483,0)))</f>
        <v/>
      </c>
      <c r="D24" s="89" t="str">
        <f aca="false">IF($B24="","",INDEX(Schedule!$D$4:$D$483,MATCH(1010,Schedule!$K$4:$K$483,0)))</f>
        <v/>
      </c>
      <c r="E24" s="90" t="str">
        <f aca="false">IF($B24="","",INDEX(Schedule!$E$4:$E$483,MATCH(1010,Schedule!$K$4:$K$483,0)))</f>
        <v/>
      </c>
      <c r="F24" s="91"/>
      <c r="G24" s="92" t="str">
        <f aca="false">IF($B24="","",IF($D24="Income",IF($F24&lt;&gt;"",$F24,IF(COUNTIFS('Paid Log'!$B$9:$B$308,$C24,'Paid Log'!$C$9:$C$308,$B24)&gt;0,SUMIFS('Paid Log'!$D$9:$D$308,'Paid Log'!$B$9:$B$308,$C24,'Paid Log'!$C$9:$C$308,$B24),$E24)),""))</f>
        <v/>
      </c>
      <c r="H24" s="93" t="str">
        <f aca="false">IF($B24="","",IF($D24="Income","",IF($F24&lt;&gt;"",$F24,IF(COUNTIFS('Paid Log'!$B$9:$B$308,$C24,'Paid Log'!$C$9:$C$308,$B24)&gt;0,SUMIFS('Paid Log'!$D$9:$D$308,'Paid Log'!$B$9:$B$308,$C24,'Paid Log'!$C$9:$C$308,$B24),$E24))))</f>
        <v/>
      </c>
      <c r="I24" s="94" t="str">
        <f aca="false">IF($B24="","",$I$13+SUMIFS($G$15:$G$65,$M$15:$M$65,"&lt;="&amp;$M24)-SUMIFS($H$15:$H$65,$M$15:$M$65,"&lt;="&amp;$M24))</f>
        <v/>
      </c>
      <c r="J24" s="95" t="str">
        <f aca="true">IF($B24="","",IF(OR($F24&lt;&gt;"",COUNTIFS('Paid Log'!$B$9:$B$308,$C24,'Paid Log'!$C$9:$C$308,$B24)&gt;0),IF($C24&gt;TODAY(),"ADJUSTED","PAID"),IF($C24&lt;TODAY(),"PAST DUE",IF($C24&lt;=TODAY()+7,"DUE","Upcoming"))))</f>
        <v/>
      </c>
      <c r="K24" s="96"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98" t="s">
        <v>156</v>
      </c>
      <c r="C25" s="99"/>
      <c r="D25" s="99"/>
      <c r="E25" s="99"/>
      <c r="F25" s="99"/>
      <c r="G25" s="99"/>
      <c r="H25" s="99"/>
      <c r="I25" s="99"/>
      <c r="J25" s="99"/>
    </row>
    <row r="26" customFormat="false" ht="15" hidden="false" customHeight="true" outlineLevel="0" collapsed="false">
      <c r="B26" s="13" t="s">
        <v>157</v>
      </c>
      <c r="C26" s="100" t="n">
        <v>46249</v>
      </c>
      <c r="D26" s="101" t="str">
        <f aca="false">IF($B26="","","Expense")</f>
        <v>Expense</v>
      </c>
      <c r="E26" s="15" t="n">
        <v>10.61</v>
      </c>
      <c r="F26" s="102"/>
      <c r="G26" s="102"/>
      <c r="H26" s="103" t="n">
        <f aca="false">IF($B26="","",N($E26))</f>
        <v>10.61</v>
      </c>
      <c r="I26" s="104" t="n">
        <f aca="false">IF($B26="","",$I$13+SUMIFS($G$15:$G$65,$M$15:$M$65,"&lt;="&amp;$M26)-SUMIFS($H$15:$H$65,$M$15:$M$65,"&lt;="&amp;$M26))</f>
        <v>217.8</v>
      </c>
      <c r="J26" s="102"/>
      <c r="K26" s="96" t="str">
        <f aca="false">IF($B26="","","ACTUAL")</f>
        <v>ACTUAL</v>
      </c>
      <c r="L26" s="97" t="n">
        <f aca="false">IF($B26="","",IF($C26="",$E$6+6,$C26))</f>
        <v>46249</v>
      </c>
      <c r="M26" s="1" t="n">
        <f aca="false">IF($L26="","",COUNTIFS($L$15:$L$65,"&lt;"&amp;$L26)+COUNTIFS($L$15:$L26,$L26))</f>
        <v>1</v>
      </c>
    </row>
    <row r="27" customFormat="false" ht="15" hidden="false" customHeight="true" outlineLevel="0" collapsed="false">
      <c r="B27" s="13" t="s">
        <v>158</v>
      </c>
      <c r="C27" s="100" t="n">
        <v>46249</v>
      </c>
      <c r="D27" s="101" t="str">
        <f aca="false">IF($B27="","","Expense")</f>
        <v>Expense</v>
      </c>
      <c r="E27" s="15" t="n">
        <v>24.68</v>
      </c>
      <c r="F27" s="102"/>
      <c r="G27" s="102"/>
      <c r="H27" s="103" t="n">
        <f aca="false">IF($B27="","",N($E27))</f>
        <v>24.68</v>
      </c>
      <c r="I27" s="104" t="n">
        <f aca="false">IF($B27="","",$I$13+SUMIFS($G$15:$G$65,$M$15:$M$65,"&lt;="&amp;$M27)-SUMIFS($H$15:$H$65,$M$15:$M$65,"&lt;="&amp;$M27))</f>
        <v>193.12</v>
      </c>
      <c r="J27" s="102"/>
      <c r="K27" s="96" t="str">
        <f aca="false">IF($B27="","","ACTUAL")</f>
        <v>ACTUAL</v>
      </c>
      <c r="L27" s="97" t="n">
        <f aca="false">IF($B27="","",IF($C27="",$E$6+6,$C27))</f>
        <v>46249</v>
      </c>
      <c r="M27" s="1" t="n">
        <f aca="false">IF($L27="","",COUNTIFS($L$15:$L$65,"&lt;"&amp;$L27)+COUNTIFS($L$15:$L27,$L27))</f>
        <v>2</v>
      </c>
    </row>
    <row r="28" customFormat="false" ht="15" hidden="false" customHeight="true" outlineLevel="0" collapsed="false">
      <c r="B28" s="13" t="s">
        <v>159</v>
      </c>
      <c r="C28" s="100" t="n">
        <v>46249</v>
      </c>
      <c r="D28" s="101" t="str">
        <f aca="false">IF($B28="","","Expense")</f>
        <v>Expense</v>
      </c>
      <c r="E28" s="15" t="n">
        <v>2.47</v>
      </c>
      <c r="F28" s="102"/>
      <c r="G28" s="102"/>
      <c r="H28" s="103" t="n">
        <f aca="false">IF($B28="","",N($E28))</f>
        <v>2.47</v>
      </c>
      <c r="I28" s="104" t="n">
        <f aca="false">IF($B28="","",$I$13+SUMIFS($G$15:$G$65,$M$15:$M$65,"&lt;="&amp;$M28)-SUMIFS($H$15:$H$65,$M$15:$M$65,"&lt;="&amp;$M28))</f>
        <v>190.65</v>
      </c>
      <c r="J28" s="102"/>
      <c r="K28" s="96" t="str">
        <f aca="false">IF($B28="","","ACTUAL")</f>
        <v>ACTUAL</v>
      </c>
      <c r="L28" s="97" t="n">
        <f aca="false">IF($B28="","",IF($C28="",$E$6+6,$C28))</f>
        <v>46249</v>
      </c>
      <c r="M28" s="1" t="n">
        <f aca="false">IF($L28="","",COUNTIFS($L$15:$L$65,"&lt;"&amp;$L28)+COUNTIFS($L$15:$L28,$L28))</f>
        <v>3</v>
      </c>
    </row>
    <row r="29" customFormat="false" ht="15" hidden="false" customHeight="true" outlineLevel="0" collapsed="false">
      <c r="B29" s="13" t="s">
        <v>160</v>
      </c>
      <c r="C29" s="100" t="n">
        <v>46249</v>
      </c>
      <c r="D29" s="101" t="str">
        <f aca="false">IF($B29="","","Expense")</f>
        <v>Expense</v>
      </c>
      <c r="E29" s="15" t="n">
        <v>6.48</v>
      </c>
      <c r="F29" s="102"/>
      <c r="G29" s="102"/>
      <c r="H29" s="103" t="n">
        <f aca="false">IF($B29="","",N($E29))</f>
        <v>6.48</v>
      </c>
      <c r="I29" s="104" t="n">
        <f aca="false">IF($B29="","",$I$13+SUMIFS($G$15:$G$65,$M$15:$M$65,"&lt;="&amp;$M29)-SUMIFS($H$15:$H$65,$M$15:$M$65,"&lt;="&amp;$M29))</f>
        <v>184.17</v>
      </c>
      <c r="J29" s="102"/>
      <c r="K29" s="96" t="str">
        <f aca="false">IF($B29="","","ACTUAL")</f>
        <v>ACTUAL</v>
      </c>
      <c r="L29" s="97" t="n">
        <f aca="false">IF($B29="","",IF($C29="",$E$6+6,$C29))</f>
        <v>46249</v>
      </c>
      <c r="M29" s="1" t="n">
        <f aca="false">IF($L29="","",COUNTIFS($L$15:$L$65,"&lt;"&amp;$L29)+COUNTIFS($L$15:$L29,$L29))</f>
        <v>4</v>
      </c>
    </row>
    <row r="30" customFormat="false" ht="15" hidden="false" customHeight="true" outlineLevel="0" collapsed="false">
      <c r="B30" s="13" t="s">
        <v>161</v>
      </c>
      <c r="C30" s="100" t="n">
        <v>46250</v>
      </c>
      <c r="D30" s="101" t="str">
        <f aca="false">IF($B30="","","Expense")</f>
        <v>Expense</v>
      </c>
      <c r="E30" s="15" t="n">
        <v>11.52</v>
      </c>
      <c r="F30" s="102"/>
      <c r="G30" s="102"/>
      <c r="H30" s="103" t="n">
        <f aca="false">IF($B30="","",N($E30))</f>
        <v>11.52</v>
      </c>
      <c r="I30" s="104" t="n">
        <f aca="false">IF($B30="","",$I$13+SUMIFS($G$15:$G$65,$M$15:$M$65,"&lt;="&amp;$M30)-SUMIFS($H$15:$H$65,$M$15:$M$65,"&lt;="&amp;$M30))</f>
        <v>127.65</v>
      </c>
      <c r="J30" s="102"/>
      <c r="K30" s="96" t="str">
        <f aca="false">IF($B30="","","ACTUAL")</f>
        <v>ACTUAL</v>
      </c>
      <c r="L30" s="97" t="n">
        <f aca="false">IF($B30="","",IF($C30="",$E$6+6,$C30))</f>
        <v>46250</v>
      </c>
      <c r="M30" s="1" t="n">
        <f aca="false">IF($L30="","",COUNTIFS($L$15:$L$65,"&lt;"&amp;$L30)+COUNTIFS($L$15:$L30,$L30))</f>
        <v>6</v>
      </c>
    </row>
    <row r="31" customFormat="false" ht="15" hidden="false" customHeight="true" outlineLevel="0" collapsed="false">
      <c r="B31" s="13" t="s">
        <v>158</v>
      </c>
      <c r="C31" s="100" t="n">
        <v>46250</v>
      </c>
      <c r="D31" s="101" t="str">
        <f aca="false">IF($B31="","","Expense")</f>
        <v>Expense</v>
      </c>
      <c r="E31" s="15" t="n">
        <v>12.6</v>
      </c>
      <c r="F31" s="102"/>
      <c r="G31" s="102"/>
      <c r="H31" s="103" t="n">
        <f aca="false">IF($B31="","",N($E31))</f>
        <v>12.6</v>
      </c>
      <c r="I31" s="104" t="n">
        <f aca="false">IF($B31="","",$I$13+SUMIFS($G$15:$G$65,$M$15:$M$65,"&lt;="&amp;$M31)-SUMIFS($H$15:$H$65,$M$15:$M$65,"&lt;="&amp;$M31))</f>
        <v>115.05</v>
      </c>
      <c r="J31" s="102"/>
      <c r="K31" s="96" t="str">
        <f aca="false">IF($B31="","","ACTUAL")</f>
        <v>ACTUAL</v>
      </c>
      <c r="L31" s="97" t="n">
        <f aca="false">IF($B31="","",IF($C31="",$E$6+6,$C31))</f>
        <v>46250</v>
      </c>
      <c r="M31" s="1" t="n">
        <f aca="false">IF($L31="","",COUNTIFS($L$15:$L$65,"&lt;"&amp;$L31)+COUNTIFS($L$15:$L31,$L31))</f>
        <v>7</v>
      </c>
    </row>
    <row r="32" customFormat="false" ht="15" hidden="false" customHeight="true" outlineLevel="0" collapsed="false">
      <c r="B32" s="13" t="s">
        <v>159</v>
      </c>
      <c r="C32" s="100" t="n">
        <v>46250</v>
      </c>
      <c r="D32" s="101" t="str">
        <f aca="false">IF($B32="","","Expense")</f>
        <v>Expense</v>
      </c>
      <c r="E32" s="15" t="n">
        <v>91.84</v>
      </c>
      <c r="F32" s="102"/>
      <c r="G32" s="102"/>
      <c r="H32" s="103" t="n">
        <f aca="false">IF($B32="","",N($E32))</f>
        <v>91.84</v>
      </c>
      <c r="I32" s="104" t="n">
        <f aca="false">IF($B32="","",$I$13+SUMIFS($G$15:$G$65,$M$15:$M$65,"&lt;="&amp;$M32)-SUMIFS($H$15:$H$65,$M$15:$M$65,"&lt;="&amp;$M32))</f>
        <v>23.21</v>
      </c>
      <c r="J32" s="102"/>
      <c r="K32" s="96" t="str">
        <f aca="false">IF($B32="","","ACTUAL")</f>
        <v>ACTUAL</v>
      </c>
      <c r="L32" s="97" t="n">
        <f aca="false">IF($B32="","",IF($C32="",$E$6+6,$C32))</f>
        <v>46250</v>
      </c>
      <c r="M32" s="1" t="n">
        <f aca="false">IF($L32="","",COUNTIFS($L$15:$L$65,"&lt;"&amp;$L32)+COUNTIFS($L$15:$L32,$L32))</f>
        <v>8</v>
      </c>
    </row>
    <row r="33" customFormat="false" ht="15" hidden="false" customHeight="true" outlineLevel="0" collapsed="false">
      <c r="B33" s="13" t="s">
        <v>162</v>
      </c>
      <c r="C33" s="100" t="n">
        <v>46250</v>
      </c>
      <c r="D33" s="101" t="str">
        <f aca="false">IF($B33="","","Expense")</f>
        <v>Expense</v>
      </c>
      <c r="E33" s="15" t="n">
        <v>10.54</v>
      </c>
      <c r="F33" s="102"/>
      <c r="G33" s="102"/>
      <c r="H33" s="103" t="n">
        <f aca="false">IF($B33="","",N($E33))</f>
        <v>10.54</v>
      </c>
      <c r="I33" s="104" t="n">
        <f aca="false">IF($B33="","",$I$13+SUMIFS($G$15:$G$65,$M$15:$M$65,"&lt;="&amp;$M33)-SUMIFS($H$15:$H$65,$M$15:$M$65,"&lt;="&amp;$M33))</f>
        <v>12.67</v>
      </c>
      <c r="J33" s="102"/>
      <c r="K33" s="96" t="str">
        <f aca="false">IF($B33="","","ACTUAL")</f>
        <v>ACTUAL</v>
      </c>
      <c r="L33" s="97" t="n">
        <f aca="false">IF($B33="","",IF($C33="",$E$6+6,$C33))</f>
        <v>46250</v>
      </c>
      <c r="M33" s="1" t="n">
        <f aca="false">IF($L33="","",COUNTIFS($L$15:$L$65,"&lt;"&amp;$L33)+COUNTIFS($L$15:$L33,$L33))</f>
        <v>9</v>
      </c>
    </row>
    <row r="34" customFormat="false" ht="15" hidden="false" customHeight="true" outlineLevel="0" collapsed="false">
      <c r="B34" s="13" t="s">
        <v>163</v>
      </c>
      <c r="C34" s="100" t="n">
        <v>46251</v>
      </c>
      <c r="D34" s="101" t="str">
        <f aca="false">IF($B34="","","Expense")</f>
        <v>Expense</v>
      </c>
      <c r="E34" s="15" t="n">
        <v>12.1</v>
      </c>
      <c r="F34" s="102"/>
      <c r="G34" s="102"/>
      <c r="H34" s="103" t="n">
        <f aca="false">IF($B34="","",N($E34))</f>
        <v>12.1</v>
      </c>
      <c r="I34" s="104" t="n">
        <f aca="false">IF($B34="","",$I$13+SUMIFS($G$15:$G$65,$M$15:$M$65,"&lt;="&amp;$M34)-SUMIFS($H$15:$H$65,$M$15:$M$65,"&lt;="&amp;$M34))</f>
        <v>0.569999999999993</v>
      </c>
      <c r="J34" s="102"/>
      <c r="K34" s="96" t="str">
        <f aca="false">IF($B34="","","ACTUAL")</f>
        <v>ACTUAL</v>
      </c>
      <c r="L34" s="97" t="n">
        <f aca="false">IF($B34="","",IF($C34="",$E$6+6,$C34))</f>
        <v>46251</v>
      </c>
      <c r="M34" s="1" t="n">
        <f aca="false">IF($L34="","",COUNTIFS($L$15:$L$65,"&lt;"&amp;$L34)+COUNTIFS($L$15:$L34,$L34))</f>
        <v>10</v>
      </c>
    </row>
    <row r="35" customFormat="false" ht="15" hidden="false" customHeight="true" outlineLevel="0" collapsed="false">
      <c r="B35" s="13" t="s">
        <v>164</v>
      </c>
      <c r="C35" s="100" t="n">
        <v>46252</v>
      </c>
      <c r="D35" s="101" t="str">
        <f aca="false">IF($B35="","","Expense")</f>
        <v>Expense</v>
      </c>
      <c r="E35" s="15" t="n">
        <v>14.68</v>
      </c>
      <c r="F35" s="102"/>
      <c r="G35" s="102"/>
      <c r="H35" s="103" t="n">
        <f aca="false">IF($B35="","",N($E35))</f>
        <v>14.68</v>
      </c>
      <c r="I35" s="104" t="n">
        <f aca="false">IF($B35="","",$I$13+SUMIFS($G$15:$G$65,$M$15:$M$65,"&lt;="&amp;$M35)-SUMIFS($H$15:$H$65,$M$15:$M$65,"&lt;="&amp;$M35))</f>
        <v>-14.11</v>
      </c>
      <c r="J35" s="102"/>
      <c r="K35" s="96" t="str">
        <f aca="false">IF($B35="","","ACTUAL")</f>
        <v>ACTUAL</v>
      </c>
      <c r="L35" s="97" t="n">
        <f aca="false">IF($B35="","",IF($C35="",$E$6+6,$C35))</f>
        <v>46252</v>
      </c>
      <c r="M35" s="1" t="n">
        <f aca="false">IF($L35="","",COUNTIFS($L$15:$L$65,"&lt;"&amp;$L35)+COUNTIFS($L$15:$L35,$L35))</f>
        <v>11</v>
      </c>
    </row>
    <row r="36" customFormat="false" ht="15" hidden="false" customHeight="true" outlineLevel="0" collapsed="false">
      <c r="B36" s="13" t="s">
        <v>165</v>
      </c>
      <c r="C36" s="100" t="n">
        <v>46252</v>
      </c>
      <c r="D36" s="101" t="str">
        <f aca="false">IF($B36="","","Expense")</f>
        <v>Expense</v>
      </c>
      <c r="E36" s="15" t="n">
        <v>2.64</v>
      </c>
      <c r="F36" s="102"/>
      <c r="G36" s="102"/>
      <c r="H36" s="103" t="n">
        <f aca="false">IF($B36="","",N($E36))</f>
        <v>2.64</v>
      </c>
      <c r="I36" s="104" t="n">
        <f aca="false">IF($B36="","",$I$13+SUMIFS($G$15:$G$65,$M$15:$M$65,"&lt;="&amp;$M36)-SUMIFS($H$15:$H$65,$M$15:$M$65,"&lt;="&amp;$M36))</f>
        <v>-16.75</v>
      </c>
      <c r="J36" s="102"/>
      <c r="K36" s="96" t="str">
        <f aca="false">IF($B36="","","ACTUAL")</f>
        <v>ACTUAL</v>
      </c>
      <c r="L36" s="97" t="n">
        <f aca="false">IF($B36="","",IF($C36="",$E$6+6,$C36))</f>
        <v>46252</v>
      </c>
      <c r="M36" s="1" t="n">
        <f aca="false">IF($L36="","",COUNTIFS($L$15:$L$65,"&lt;"&amp;$L36)+COUNTIFS($L$15:$L36,$L36))</f>
        <v>12</v>
      </c>
    </row>
    <row r="37" customFormat="false" ht="15" hidden="false" customHeight="true" outlineLevel="0" collapsed="false">
      <c r="B37" s="13" t="s">
        <v>166</v>
      </c>
      <c r="C37" s="100" t="n">
        <v>46252</v>
      </c>
      <c r="D37" s="101" t="str">
        <f aca="false">IF($B37="","","Expense")</f>
        <v>Expense</v>
      </c>
      <c r="E37" s="15" t="n">
        <v>11.75</v>
      </c>
      <c r="F37" s="102"/>
      <c r="G37" s="102"/>
      <c r="H37" s="103" t="n">
        <f aca="false">IF($B37="","",N($E37))</f>
        <v>11.75</v>
      </c>
      <c r="I37" s="104" t="n">
        <f aca="false">IF($B37="","",$I$13+SUMIFS($G$15:$G$65,$M$15:$M$65,"&lt;="&amp;$M37)-SUMIFS($H$15:$H$65,$M$15:$M$65,"&lt;="&amp;$M37))</f>
        <v>-28.5</v>
      </c>
      <c r="J37" s="102"/>
      <c r="K37" s="96" t="str">
        <f aca="false">IF($B37="","","ACTUAL")</f>
        <v>ACTUAL</v>
      </c>
      <c r="L37" s="97" t="n">
        <f aca="false">IF($B37="","",IF($C37="",$E$6+6,$C37))</f>
        <v>46252</v>
      </c>
      <c r="M37" s="1" t="n">
        <f aca="false">IF($L37="","",COUNTIFS($L$15:$L$65,"&lt;"&amp;$L37)+COUNTIFS($L$15:$L37,$L37))</f>
        <v>13</v>
      </c>
    </row>
    <row r="38" customFormat="false" ht="15" hidden="false" customHeight="true" outlineLevel="0" collapsed="false">
      <c r="B38" s="13" t="s">
        <v>163</v>
      </c>
      <c r="C38" s="100" t="n">
        <v>46253</v>
      </c>
      <c r="D38" s="101" t="str">
        <f aca="false">IF($B38="","","Expense")</f>
        <v>Expense</v>
      </c>
      <c r="E38" s="15" t="n">
        <v>8.6</v>
      </c>
      <c r="F38" s="102"/>
      <c r="G38" s="102"/>
      <c r="H38" s="103" t="n">
        <f aca="false">IF($B38="","",N($E38))</f>
        <v>8.6</v>
      </c>
      <c r="I38" s="104" t="n">
        <f aca="false">IF($B38="","",$I$13+SUMIFS($G$15:$G$65,$M$15:$M$65,"&lt;="&amp;$M38)-SUMIFS($H$15:$H$65,$M$15:$M$65,"&lt;="&amp;$M38))</f>
        <v>111.24</v>
      </c>
      <c r="J38" s="102"/>
      <c r="K38" s="96" t="str">
        <f aca="false">IF($B38="","","ACTUAL")</f>
        <v>ACTUAL</v>
      </c>
      <c r="L38" s="97" t="n">
        <f aca="false">IF($B38="","",IF($C38="",$E$6+6,$C38))</f>
        <v>46253</v>
      </c>
      <c r="M38" s="1" t="n">
        <f aca="false">IF($L38="","",COUNTIFS($L$15:$L$65,"&lt;"&amp;$L38)+COUNTIFS($L$15:$L38,$L38))</f>
        <v>15</v>
      </c>
    </row>
    <row r="39" customFormat="false" ht="15" hidden="false" customHeight="true" outlineLevel="0" collapsed="false">
      <c r="B39" s="13"/>
      <c r="C39" s="100"/>
      <c r="D39" s="101" t="str">
        <f aca="false">IF($B39="","","Expense")</f>
        <v/>
      </c>
      <c r="E39" s="15"/>
      <c r="F39" s="102"/>
      <c r="G39" s="102"/>
      <c r="H39" s="103" t="str">
        <f aca="false">IF($B39="","",N($E39))</f>
        <v/>
      </c>
      <c r="I39" s="104" t="str">
        <f aca="false">IF($B39="","",$I$13+SUMIFS($G$15:$G$65,$M$15:$M$65,"&lt;="&amp;$M39)-SUMIFS($H$15:$H$65,$M$15:$M$65,"&lt;="&amp;$M39))</f>
        <v/>
      </c>
      <c r="J39" s="102"/>
      <c r="K39" s="96" t="str">
        <f aca="false">IF($B39="","","ACTUAL")</f>
        <v/>
      </c>
      <c r="L39" s="97" t="str">
        <f aca="false">IF($B39="","",IF($C39="",$E$6+6,$C39))</f>
        <v/>
      </c>
      <c r="M39" s="1" t="str">
        <f aca="false">IF($L39="","",COUNTIFS($L$15:$L$65,"&lt;"&amp;$L39)+COUNTIFS($L$15:$L39,$L39))</f>
        <v/>
      </c>
    </row>
    <row r="40" customFormat="false" ht="15" hidden="false" customHeight="true" outlineLevel="0" collapsed="false">
      <c r="B40" s="13"/>
      <c r="C40" s="100"/>
      <c r="D40" s="101" t="str">
        <f aca="false">IF($B40="","","Expense")</f>
        <v/>
      </c>
      <c r="E40" s="15"/>
      <c r="F40" s="102"/>
      <c r="G40" s="102"/>
      <c r="H40" s="103" t="str">
        <f aca="false">IF($B40="","",N($E40))</f>
        <v/>
      </c>
      <c r="I40" s="104" t="str">
        <f aca="false">IF($B40="","",$I$13+SUMIFS($G$15:$G$65,$M$15:$M$65,"&lt;="&amp;$M40)-SUMIFS($H$15:$H$65,$M$15:$M$65,"&lt;="&amp;$M40))</f>
        <v/>
      </c>
      <c r="J40" s="102"/>
      <c r="K40" s="96" t="str">
        <f aca="false">IF($B40="","","ACTUAL")</f>
        <v/>
      </c>
      <c r="L40" s="97" t="str">
        <f aca="false">IF($B40="","",IF($C40="",$E$6+6,$C40))</f>
        <v/>
      </c>
      <c r="M40" s="1" t="str">
        <f aca="false">IF($L40="","",COUNTIFS($L$15:$L$65,"&lt;"&amp;$L40)+COUNTIFS($L$15:$L40,$L40))</f>
        <v/>
      </c>
    </row>
    <row r="41" customFormat="false" ht="15" hidden="false" customHeight="true" outlineLevel="0" collapsed="false">
      <c r="B41" s="13"/>
      <c r="C41" s="100"/>
      <c r="D41" s="101" t="str">
        <f aca="false">IF($B41="","","Expense")</f>
        <v/>
      </c>
      <c r="E41" s="15"/>
      <c r="F41" s="102"/>
      <c r="G41" s="102"/>
      <c r="H41" s="103" t="str">
        <f aca="false">IF($B41="","",N($E41))</f>
        <v/>
      </c>
      <c r="I41" s="104" t="str">
        <f aca="false">IF($B41="","",$I$13+SUMIFS($G$15:$G$65,$M$15:$M$65,"&lt;="&amp;$M41)-SUMIFS($H$15:$H$65,$M$15:$M$65,"&lt;="&amp;$M41))</f>
        <v/>
      </c>
      <c r="J41" s="102"/>
      <c r="K41" s="96" t="str">
        <f aca="false">IF($B41="","","ACTUAL")</f>
        <v/>
      </c>
      <c r="L41" s="97" t="str">
        <f aca="false">IF($B41="","",IF($C41="",$E$6+6,$C41))</f>
        <v/>
      </c>
      <c r="M41" s="1" t="str">
        <f aca="false">IF($L41="","",COUNTIFS($L$15:$L$65,"&lt;"&amp;$L41)+COUNTIFS($L$15:$L41,$L41))</f>
        <v/>
      </c>
    </row>
    <row r="42" customFormat="false" ht="15" hidden="false" customHeight="true" outlineLevel="0" collapsed="false">
      <c r="B42" s="13"/>
      <c r="C42" s="100"/>
      <c r="D42" s="101" t="str">
        <f aca="false">IF($B42="","","Expense")</f>
        <v/>
      </c>
      <c r="E42" s="15"/>
      <c r="F42" s="102"/>
      <c r="G42" s="102"/>
      <c r="H42" s="103" t="str">
        <f aca="false">IF($B42="","",N($E42))</f>
        <v/>
      </c>
      <c r="I42" s="104" t="str">
        <f aca="false">IF($B42="","",$I$13+SUMIFS($G$15:$G$65,$M$15:$M$65,"&lt;="&amp;$M42)-SUMIFS($H$15:$H$65,$M$15:$M$65,"&lt;="&amp;$M42))</f>
        <v/>
      </c>
      <c r="J42" s="102"/>
      <c r="K42" s="96" t="str">
        <f aca="false">IF($B42="","","ACTUAL")</f>
        <v/>
      </c>
      <c r="L42" s="97" t="str">
        <f aca="false">IF($B42="","",IF($C42="",$E$6+6,$C42))</f>
        <v/>
      </c>
      <c r="M42" s="1" t="str">
        <f aca="false">IF($L42="","",COUNTIFS($L$15:$L$65,"&lt;"&amp;$L42)+COUNTIFS($L$15:$L42,$L42))</f>
        <v/>
      </c>
    </row>
    <row r="43" customFormat="false" ht="15" hidden="false" customHeight="true" outlineLevel="0" collapsed="false">
      <c r="B43" s="13" t="s">
        <v>167</v>
      </c>
      <c r="C43" s="100" t="n">
        <v>46253</v>
      </c>
      <c r="D43" s="101" t="str">
        <f aca="false">IF($B43="","","Expense")</f>
        <v>Expense</v>
      </c>
      <c r="E43" s="15" t="n">
        <v>8.32</v>
      </c>
      <c r="F43" s="102"/>
      <c r="G43" s="102"/>
      <c r="H43" s="103" t="n">
        <f aca="false">IF($B43="","",N($E43))</f>
        <v>8.32</v>
      </c>
      <c r="I43" s="104" t="n">
        <f aca="false">IF($B43="","",$I$13+SUMIFS($G$15:$G$65,$M$15:$M$65,"&lt;="&amp;$M43)-SUMIFS($H$15:$H$65,$M$15:$M$65,"&lt;="&amp;$M43))</f>
        <v>102.92</v>
      </c>
      <c r="J43" s="102"/>
      <c r="K43" s="96" t="str">
        <f aca="false">IF($B43="","","ACTUAL")</f>
        <v>ACTUAL</v>
      </c>
      <c r="L43" s="97" t="n">
        <f aca="false">IF($B43="","",IF($C43="",$E$6+6,$C43))</f>
        <v>46253</v>
      </c>
      <c r="M43" s="1" t="n">
        <f aca="false">IF($L43="","",COUNTIFS($L$15:$L$65,"&lt;"&amp;$L43)+COUNTIFS($L$15:$L43,$L43))</f>
        <v>16</v>
      </c>
    </row>
    <row r="44" customFormat="false" ht="15" hidden="false" customHeight="true" outlineLevel="0" collapsed="false">
      <c r="B44" s="13" t="s">
        <v>168</v>
      </c>
      <c r="C44" s="100" t="n">
        <v>46253</v>
      </c>
      <c r="D44" s="101" t="str">
        <f aca="false">IF($B44="","","Expense")</f>
        <v>Expense</v>
      </c>
      <c r="E44" s="15" t="n">
        <v>25.51</v>
      </c>
      <c r="F44" s="102"/>
      <c r="G44" s="102"/>
      <c r="H44" s="103" t="n">
        <f aca="false">IF($B44="","",N($E44))</f>
        <v>25.51</v>
      </c>
      <c r="I44" s="104" t="n">
        <f aca="false">IF($B44="","",$I$13+SUMIFS($G$15:$G$65,$M$15:$M$65,"&lt;="&amp;$M44)-SUMIFS($H$15:$H$65,$M$15:$M$65,"&lt;="&amp;$M44))</f>
        <v>77.41</v>
      </c>
      <c r="J44" s="102"/>
      <c r="K44" s="96" t="str">
        <f aca="false">IF($B44="","","ACTUAL")</f>
        <v>ACTUAL</v>
      </c>
      <c r="L44" s="97" t="n">
        <f aca="false">IF($B44="","",IF($C44="",$E$6+6,$C44))</f>
        <v>46253</v>
      </c>
      <c r="M44" s="1" t="n">
        <f aca="false">IF($L44="","",COUNTIFS($L$15:$L$65,"&lt;"&amp;$L44)+COUNTIFS($L$15:$L44,$L44))</f>
        <v>17</v>
      </c>
    </row>
    <row r="45" customFormat="false" ht="15" hidden="false" customHeight="true" outlineLevel="0" collapsed="false">
      <c r="B45" s="13"/>
      <c r="C45" s="100"/>
      <c r="D45" s="101" t="str">
        <f aca="false">IF($B45="","","Expense")</f>
        <v/>
      </c>
      <c r="E45" s="15"/>
      <c r="F45" s="102"/>
      <c r="G45" s="102"/>
      <c r="H45" s="103" t="str">
        <f aca="false">IF($B45="","",N($E45))</f>
        <v/>
      </c>
      <c r="I45" s="104" t="str">
        <f aca="false">IF($B45="","",$I$13+SUMIFS($G$15:$G$65,$M$15:$M$65,"&lt;="&amp;$M45)-SUMIFS($H$15:$H$65,$M$15:$M$65,"&lt;="&amp;$M45))</f>
        <v/>
      </c>
      <c r="J45" s="102"/>
      <c r="K45" s="96" t="str">
        <f aca="false">IF($B45="","","ACTUAL")</f>
        <v/>
      </c>
      <c r="L45" s="97" t="str">
        <f aca="false">IF($B45="","",IF($C45="",$E$6+6,$C45))</f>
        <v/>
      </c>
      <c r="M45" s="1" t="str">
        <f aca="false">IF($L45="","",COUNTIFS($L$15:$L$65,"&lt;"&amp;$L45)+COUNTIFS($L$15:$L45,$L45))</f>
        <v/>
      </c>
    </row>
    <row r="46" customFormat="false" ht="15" hidden="false" customHeight="true" outlineLevel="0" collapsed="false">
      <c r="B46" s="13" t="s">
        <v>169</v>
      </c>
      <c r="C46" s="100" t="n">
        <v>46253</v>
      </c>
      <c r="D46" s="101" t="str">
        <f aca="false">IF($B46="","","Expense")</f>
        <v>Expense</v>
      </c>
      <c r="E46" s="15" t="n">
        <v>16.68</v>
      </c>
      <c r="F46" s="102"/>
      <c r="G46" s="102"/>
      <c r="H46" s="103" t="n">
        <f aca="false">IF($B46="","",N($E46))</f>
        <v>16.68</v>
      </c>
      <c r="I46" s="104" t="n">
        <f aca="false">IF($B46="","",$I$13+SUMIFS($G$15:$G$65,$M$15:$M$65,"&lt;="&amp;$M46)-SUMIFS($H$15:$H$65,$M$15:$M$65,"&lt;="&amp;$M46))</f>
        <v>60.73</v>
      </c>
      <c r="J46" s="102"/>
      <c r="K46" s="96" t="str">
        <f aca="false">IF($B46="","","ACTUAL")</f>
        <v>ACTUAL</v>
      </c>
      <c r="L46" s="97" t="n">
        <f aca="false">IF($B46="","",IF($C46="",$E$6+6,$C46))</f>
        <v>46253</v>
      </c>
      <c r="M46" s="1" t="n">
        <f aca="false">IF($L46="","",COUNTIFS($L$15:$L$65,"&lt;"&amp;$L46)+COUNTIFS($L$15:$L46,$L46))</f>
        <v>18</v>
      </c>
    </row>
    <row r="47" customFormat="false" ht="15" hidden="false" customHeight="true" outlineLevel="0" collapsed="false">
      <c r="B47" s="13" t="s">
        <v>170</v>
      </c>
      <c r="C47" s="100" t="n">
        <v>46253</v>
      </c>
      <c r="D47" s="101" t="str">
        <f aca="false">IF($B47="","","Expense")</f>
        <v>Expense</v>
      </c>
      <c r="E47" s="15" t="n">
        <v>9.75</v>
      </c>
      <c r="F47" s="102"/>
      <c r="G47" s="102"/>
      <c r="H47" s="103" t="n">
        <f aca="false">IF($B47="","",N($E47))</f>
        <v>9.75</v>
      </c>
      <c r="I47" s="104" t="n">
        <f aca="false">IF($B47="","",$I$13+SUMIFS($G$15:$G$65,$M$15:$M$65,"&lt;="&amp;$M47)-SUMIFS($H$15:$H$65,$M$15:$M$65,"&lt;="&amp;$M47))</f>
        <v>50.98</v>
      </c>
      <c r="J47" s="102"/>
      <c r="K47" s="96" t="str">
        <f aca="false">IF($B47="","","ACTUAL")</f>
        <v>ACTUAL</v>
      </c>
      <c r="L47" s="97" t="n">
        <f aca="false">IF($B47="","",IF($C47="",$E$6+6,$C47))</f>
        <v>46253</v>
      </c>
      <c r="M47" s="1" t="n">
        <f aca="false">IF($L47="","",COUNTIFS($L$15:$L$65,"&lt;"&amp;$L47)+COUNTIFS($L$15:$L47,$L47))</f>
        <v>19</v>
      </c>
    </row>
    <row r="48" customFormat="false" ht="15" hidden="false" customHeight="true" outlineLevel="0" collapsed="false">
      <c r="B48" s="13" t="s">
        <v>171</v>
      </c>
      <c r="C48" s="100" t="n">
        <v>46253</v>
      </c>
      <c r="D48" s="101" t="str">
        <f aca="false">IF($B48="","","Expense")</f>
        <v>Expense</v>
      </c>
      <c r="E48" s="15" t="n">
        <v>21</v>
      </c>
      <c r="F48" s="102"/>
      <c r="G48" s="102"/>
      <c r="H48" s="103" t="n">
        <f aca="false">IF($B48="","",N($E48))</f>
        <v>21</v>
      </c>
      <c r="I48" s="104" t="n">
        <f aca="false">IF($B48="","",$I$13+SUMIFS($G$15:$G$65,$M$15:$M$65,"&lt;="&amp;$M48)-SUMIFS($H$15:$H$65,$M$15:$M$65,"&lt;="&amp;$M48))</f>
        <v>29.98</v>
      </c>
      <c r="J48" s="102"/>
      <c r="K48" s="96" t="str">
        <f aca="false">IF($B48="","","ACTUAL")</f>
        <v>ACTUAL</v>
      </c>
      <c r="L48" s="97" t="n">
        <f aca="false">IF($B48="","",IF($C48="",$E$6+6,$C48))</f>
        <v>46253</v>
      </c>
      <c r="M48" s="1" t="n">
        <f aca="false">IF($L48="","",COUNTIFS($L$15:$L$65,"&lt;"&amp;$L48)+COUNTIFS($L$15:$L48,$L48))</f>
        <v>20</v>
      </c>
    </row>
    <row r="49" customFormat="false" ht="15" hidden="false" customHeight="true" outlineLevel="0" collapsed="false">
      <c r="B49" s="13" t="s">
        <v>172</v>
      </c>
      <c r="C49" s="100" t="n">
        <v>46253</v>
      </c>
      <c r="D49" s="101" t="str">
        <f aca="false">IF($B49="","","Expense")</f>
        <v>Expense</v>
      </c>
      <c r="E49" s="15" t="n">
        <v>14.26</v>
      </c>
      <c r="F49" s="102"/>
      <c r="G49" s="102"/>
      <c r="H49" s="103" t="n">
        <f aca="false">IF($B49="","",N($E49))</f>
        <v>14.26</v>
      </c>
      <c r="I49" s="104" t="n">
        <f aca="false">IF($B49="","",$I$13+SUMIFS($G$15:$G$65,$M$15:$M$65,"&lt;="&amp;$M49)-SUMIFS($H$15:$H$65,$M$15:$M$65,"&lt;="&amp;$M49))</f>
        <v>15.72</v>
      </c>
      <c r="J49" s="102"/>
      <c r="K49" s="96" t="str">
        <f aca="false">IF($B49="","","ACTUAL")</f>
        <v>ACTUAL</v>
      </c>
      <c r="L49" s="97" t="n">
        <f aca="false">IF($B49="","",IF($C49="",$E$6+6,$C49))</f>
        <v>46253</v>
      </c>
      <c r="M49" s="1" t="n">
        <f aca="false">IF($L49="","",COUNTIFS($L$15:$L$65,"&lt;"&amp;$L49)+COUNTIFS($L$15:$L49,$L49))</f>
        <v>21</v>
      </c>
    </row>
    <row r="50" customFormat="false" ht="15" hidden="false" customHeight="true" outlineLevel="0" collapsed="false">
      <c r="B50" s="13" t="s">
        <v>173</v>
      </c>
      <c r="C50" s="100" t="n">
        <v>46254</v>
      </c>
      <c r="D50" s="101" t="str">
        <f aca="false">IF($B50="","","Expense")</f>
        <v>Expense</v>
      </c>
      <c r="E50" s="15" t="n">
        <v>125.9</v>
      </c>
      <c r="F50" s="102"/>
      <c r="G50" s="102"/>
      <c r="H50" s="103" t="n">
        <f aca="false">IF($B50="","",N($E50))</f>
        <v>125.9</v>
      </c>
      <c r="I50" s="104" t="n">
        <f aca="false">IF($B50="","",$I$13+SUMIFS($G$15:$G$65,$M$15:$M$65,"&lt;="&amp;$M50)-SUMIFS($H$15:$H$65,$M$15:$M$65,"&lt;="&amp;$M50))</f>
        <v>-110.18</v>
      </c>
      <c r="J50" s="102"/>
      <c r="K50" s="96" t="str">
        <f aca="false">IF($B50="","","ACTUAL")</f>
        <v>ACTUAL</v>
      </c>
      <c r="L50" s="97" t="n">
        <f aca="false">IF($B50="","",IF($C50="",$E$6+6,$C50))</f>
        <v>46254</v>
      </c>
      <c r="M50" s="1" t="n">
        <f aca="false">IF($L50="","",COUNTIFS($L$15:$L$65,"&lt;"&amp;$L50)+COUNTIFS($L$15:$L50,$L50))</f>
        <v>22</v>
      </c>
    </row>
    <row r="51" customFormat="false" ht="15" hidden="false" customHeight="true" outlineLevel="0" collapsed="false">
      <c r="B51" s="13" t="s">
        <v>174</v>
      </c>
      <c r="C51" s="100" t="n">
        <v>46254</v>
      </c>
      <c r="D51" s="101" t="str">
        <f aca="false">IF($B51="","","Expense")</f>
        <v>Expense</v>
      </c>
      <c r="E51" s="15" t="n">
        <v>15</v>
      </c>
      <c r="F51" s="102"/>
      <c r="G51" s="102"/>
      <c r="H51" s="103" t="n">
        <f aca="false">IF($B51="","",N($E51))</f>
        <v>15</v>
      </c>
      <c r="I51" s="104" t="n">
        <f aca="false">IF($B51="","",$I$13+SUMIFS($G$15:$G$65,$M$15:$M$65,"&lt;="&amp;$M51)-SUMIFS($H$15:$H$65,$M$15:$M$65,"&lt;="&amp;$M51))</f>
        <v>-125.18</v>
      </c>
      <c r="J51" s="102"/>
      <c r="K51" s="96" t="str">
        <f aca="false">IF($B51="","","ACTUAL")</f>
        <v>ACTUAL</v>
      </c>
      <c r="L51" s="97" t="n">
        <f aca="false">IF($B51="","",IF($C51="",$E$6+6,$C51))</f>
        <v>46254</v>
      </c>
      <c r="M51" s="1" t="n">
        <f aca="false">IF($L51="","",COUNTIFS($L$15:$L$65,"&lt;"&amp;$L51)+COUNTIFS($L$15:$L51,$L51))</f>
        <v>23</v>
      </c>
    </row>
    <row r="52" customFormat="false" ht="15" hidden="false" customHeight="true" outlineLevel="0" collapsed="false">
      <c r="B52" s="13" t="s">
        <v>158</v>
      </c>
      <c r="C52" s="100" t="n">
        <v>46254</v>
      </c>
      <c r="D52" s="101" t="str">
        <f aca="false">IF($B52="","","Expense")</f>
        <v>Expense</v>
      </c>
      <c r="E52" s="15" t="n">
        <v>14.47</v>
      </c>
      <c r="F52" s="102"/>
      <c r="G52" s="102"/>
      <c r="H52" s="103" t="n">
        <f aca="false">IF($B52="","",N($E52))</f>
        <v>14.47</v>
      </c>
      <c r="I52" s="104" t="n">
        <f aca="false">IF($B52="","",$I$13+SUMIFS($G$15:$G$65,$M$15:$M$65,"&lt;="&amp;$M52)-SUMIFS($H$15:$H$65,$M$15:$M$65,"&lt;="&amp;$M52))</f>
        <v>-139.65</v>
      </c>
      <c r="J52" s="102"/>
      <c r="K52" s="96" t="str">
        <f aca="false">IF($B52="","","ACTUAL")</f>
        <v>ACTUAL</v>
      </c>
      <c r="L52" s="97" t="n">
        <f aca="false">IF($B52="","",IF($C52="",$E$6+6,$C52))</f>
        <v>46254</v>
      </c>
      <c r="M52" s="1" t="n">
        <f aca="false">IF($L52="","",COUNTIFS($L$15:$L$65,"&lt;"&amp;$L52)+COUNTIFS($L$15:$L52,$L52))</f>
        <v>24</v>
      </c>
    </row>
    <row r="53" customFormat="false" ht="15" hidden="false" customHeight="true" outlineLevel="0" collapsed="false">
      <c r="B53" s="13" t="s">
        <v>175</v>
      </c>
      <c r="C53" s="100" t="n">
        <v>46254</v>
      </c>
      <c r="D53" s="101" t="str">
        <f aca="false">IF($B53="","","Expense")</f>
        <v>Expense</v>
      </c>
      <c r="E53" s="15" t="n">
        <v>111.99</v>
      </c>
      <c r="F53" s="102"/>
      <c r="G53" s="102"/>
      <c r="H53" s="103" t="n">
        <f aca="false">IF($B53="","",N($E53))</f>
        <v>111.99</v>
      </c>
      <c r="I53" s="104" t="n">
        <f aca="false">IF($B53="","",$I$13+SUMIFS($G$15:$G$65,$M$15:$M$65,"&lt;="&amp;$M53)-SUMIFS($H$15:$H$65,$M$15:$M$65,"&lt;="&amp;$M53))</f>
        <v>-251.64</v>
      </c>
      <c r="J53" s="102"/>
      <c r="K53" s="96" t="str">
        <f aca="false">IF($B53="","","ACTUAL")</f>
        <v>ACTUAL</v>
      </c>
      <c r="L53" s="97" t="n">
        <f aca="false">IF($B53="","",IF($C53="",$E$6+6,$C53))</f>
        <v>46254</v>
      </c>
      <c r="M53" s="1" t="n">
        <f aca="false">IF($L53="","",COUNTIFS($L$15:$L$65,"&lt;"&amp;$L53)+COUNTIFS($L$15:$L53,$L53))</f>
        <v>25</v>
      </c>
    </row>
    <row r="54" customFormat="false" ht="15" hidden="false" customHeight="true" outlineLevel="0" collapsed="false">
      <c r="B54" s="13" t="s">
        <v>170</v>
      </c>
      <c r="C54" s="100" t="n">
        <v>46254</v>
      </c>
      <c r="D54" s="101" t="str">
        <f aca="false">IF($B54="","","Expense")</f>
        <v>Expense</v>
      </c>
      <c r="E54" s="15" t="n">
        <v>11</v>
      </c>
      <c r="F54" s="102"/>
      <c r="G54" s="102"/>
      <c r="H54" s="103" t="n">
        <f aca="false">IF($B54="","",N($E54))</f>
        <v>11</v>
      </c>
      <c r="I54" s="104" t="n">
        <f aca="false">IF($B54="","",$I$13+SUMIFS($G$15:$G$65,$M$15:$M$65,"&lt;="&amp;$M54)-SUMIFS($H$15:$H$65,$M$15:$M$65,"&lt;="&amp;$M54))</f>
        <v>-262.64</v>
      </c>
      <c r="J54" s="102"/>
      <c r="K54" s="96" t="str">
        <f aca="false">IF($B54="","","ACTUAL")</f>
        <v>ACTUAL</v>
      </c>
      <c r="L54" s="97" t="n">
        <f aca="false">IF($B54="","",IF($C54="",$E$6+6,$C54))</f>
        <v>46254</v>
      </c>
      <c r="M54" s="1" t="n">
        <f aca="false">IF($L54="","",COUNTIFS($L$15:$L$65,"&lt;"&amp;$L54)+COUNTIFS($L$15:$L54,$L54))</f>
        <v>26</v>
      </c>
    </row>
    <row r="55" customFormat="false" ht="15" hidden="false" customHeight="true" outlineLevel="0" collapsed="false">
      <c r="B55" s="13" t="s">
        <v>160</v>
      </c>
      <c r="C55" s="100" t="n">
        <v>46255</v>
      </c>
      <c r="D55" s="101" t="str">
        <f aca="false">IF($B55="","","Expense")</f>
        <v>Expense</v>
      </c>
      <c r="E55" s="15" t="n">
        <v>6.48</v>
      </c>
      <c r="F55" s="102"/>
      <c r="G55" s="102"/>
      <c r="H55" s="103" t="n">
        <f aca="false">IF($B55="","",N($E55))</f>
        <v>6.48</v>
      </c>
      <c r="I55" s="104" t="n">
        <f aca="false">IF($B55="","",$I$13+SUMIFS($G$15:$G$65,$M$15:$M$65,"&lt;="&amp;$M55)-SUMIFS($H$15:$H$65,$M$15:$M$65,"&lt;="&amp;$M55))</f>
        <v>533.53</v>
      </c>
      <c r="J55" s="102"/>
      <c r="K55" s="96" t="str">
        <f aca="false">IF($B55="","","ACTUAL")</f>
        <v>ACTUAL</v>
      </c>
      <c r="L55" s="97" t="n">
        <f aca="false">IF($B55="","",IF($C55="",$E$6+6,$C55))</f>
        <v>46255</v>
      </c>
      <c r="M55" s="1" t="n">
        <f aca="false">IF($L55="","",COUNTIFS($L$15:$L$65,"&lt;"&amp;$L55)+COUNTIFS($L$15:$L55,$L55))</f>
        <v>29</v>
      </c>
    </row>
    <row r="56" customFormat="false" ht="15" hidden="false" customHeight="true" outlineLevel="0" collapsed="false">
      <c r="B56" s="13" t="s">
        <v>174</v>
      </c>
      <c r="C56" s="100" t="n">
        <v>46255</v>
      </c>
      <c r="D56" s="101" t="str">
        <f aca="false">IF($B56="","","Expense")</f>
        <v>Expense</v>
      </c>
      <c r="E56" s="15" t="n">
        <v>7.82</v>
      </c>
      <c r="F56" s="102"/>
      <c r="G56" s="102"/>
      <c r="H56" s="103" t="n">
        <f aca="false">IF($B56="","",N($E56))</f>
        <v>7.82</v>
      </c>
      <c r="I56" s="104" t="n">
        <f aca="false">IF($B56="","",$I$13+SUMIFS($G$15:$G$65,$M$15:$M$65,"&lt;="&amp;$M56)-SUMIFS($H$15:$H$65,$M$15:$M$65,"&lt;="&amp;$M56))</f>
        <v>525.71</v>
      </c>
      <c r="J56" s="102"/>
      <c r="K56" s="96" t="str">
        <f aca="false">IF($B56="","","ACTUAL")</f>
        <v>ACTUAL</v>
      </c>
      <c r="L56" s="97" t="n">
        <f aca="false">IF($B56="","",IF($C56="",$E$6+6,$C56))</f>
        <v>46255</v>
      </c>
      <c r="M56" s="1" t="n">
        <f aca="false">IF($L56="","",COUNTIFS($L$15:$L$65,"&lt;"&amp;$L56)+COUNTIFS($L$15:$L56,$L56))</f>
        <v>30</v>
      </c>
    </row>
    <row r="57" customFormat="false" ht="15" hidden="false" customHeight="true" outlineLevel="0" collapsed="false">
      <c r="B57" s="13" t="s">
        <v>174</v>
      </c>
      <c r="C57" s="100" t="n">
        <v>46255</v>
      </c>
      <c r="D57" s="101" t="str">
        <f aca="false">IF($B57="","","Expense")</f>
        <v>Expense</v>
      </c>
      <c r="E57" s="15" t="n">
        <v>10.58</v>
      </c>
      <c r="F57" s="102"/>
      <c r="G57" s="102"/>
      <c r="H57" s="103" t="n">
        <f aca="false">IF($B57="","",N($E57))</f>
        <v>10.58</v>
      </c>
      <c r="I57" s="104" t="n">
        <f aca="false">IF($B57="","",$I$13+SUMIFS($G$15:$G$65,$M$15:$M$65,"&lt;="&amp;$M57)-SUMIFS($H$15:$H$65,$M$15:$M$65,"&lt;="&amp;$M57))</f>
        <v>515.13</v>
      </c>
      <c r="J57" s="102"/>
      <c r="K57" s="96" t="str">
        <f aca="false">IF($B57="","","ACTUAL")</f>
        <v>ACTUAL</v>
      </c>
      <c r="L57" s="97" t="n">
        <f aca="false">IF($B57="","",IF($C57="",$E$6+6,$C57))</f>
        <v>46255</v>
      </c>
      <c r="M57" s="1" t="n">
        <f aca="false">IF($L57="","",COUNTIFS($L$15:$L$65,"&lt;"&amp;$L57)+COUNTIFS($L$15:$L57,$L57))</f>
        <v>31</v>
      </c>
    </row>
    <row r="58" customFormat="false" ht="15" hidden="false" customHeight="true" outlineLevel="0" collapsed="false">
      <c r="B58" s="13" t="s">
        <v>159</v>
      </c>
      <c r="C58" s="100" t="n">
        <v>46255</v>
      </c>
      <c r="D58" s="101" t="str">
        <f aca="false">IF($B58="","","Expense")</f>
        <v>Expense</v>
      </c>
      <c r="E58" s="15" t="n">
        <v>2.47</v>
      </c>
      <c r="F58" s="102"/>
      <c r="G58" s="102"/>
      <c r="H58" s="103" t="n">
        <f aca="false">IF($B58="","",N($E58))</f>
        <v>2.47</v>
      </c>
      <c r="I58" s="104" t="n">
        <f aca="false">IF($B58="","",$I$13+SUMIFS($G$15:$G$65,$M$15:$M$65,"&lt;="&amp;$M58)-SUMIFS($H$15:$H$65,$M$15:$M$65,"&lt;="&amp;$M58))</f>
        <v>512.66</v>
      </c>
      <c r="J58" s="102"/>
      <c r="K58" s="96" t="str">
        <f aca="false">IF($B58="","","ACTUAL")</f>
        <v>ACTUAL</v>
      </c>
      <c r="L58" s="97" t="n">
        <f aca="false">IF($B58="","",IF($C58="",$E$6+6,$C58))</f>
        <v>46255</v>
      </c>
      <c r="M58" s="1" t="n">
        <f aca="false">IF($L58="","",COUNTIFS($L$15:$L$65,"&lt;"&amp;$L58)+COUNTIFS($L$15:$L58,$L58))</f>
        <v>32</v>
      </c>
    </row>
    <row r="59" customFormat="false" ht="15" hidden="false" customHeight="true" outlineLevel="0" collapsed="false">
      <c r="B59" s="13"/>
      <c r="C59" s="100"/>
      <c r="D59" s="101" t="str">
        <f aca="false">IF($B59="","","Expense")</f>
        <v/>
      </c>
      <c r="E59" s="15"/>
      <c r="F59" s="102"/>
      <c r="G59" s="102"/>
      <c r="H59" s="103" t="str">
        <f aca="false">IF($B59="","",N($E59))</f>
        <v/>
      </c>
      <c r="I59" s="104" t="str">
        <f aca="false">IF($B59="","",$I$13+SUMIFS($G$15:$G$65,$M$15:$M$65,"&lt;="&amp;$M59)-SUMIFS($H$15:$H$65,$M$15:$M$65,"&lt;="&amp;$M59))</f>
        <v/>
      </c>
      <c r="J59" s="102"/>
      <c r="K59" s="96" t="str">
        <f aca="false">IF($B59="","","ACTUAL")</f>
        <v/>
      </c>
      <c r="L59" s="1" t="str">
        <f aca="false">IF($B59="","",IF($C59="",$E$6+6,$C59))</f>
        <v/>
      </c>
      <c r="M59" s="1" t="str">
        <f aca="false">IF($L59="","",COUNTIFS($L$15:$L$65,"&lt;"&amp;$L59)+COUNTIFS($L$15:$L59,$L59))</f>
        <v/>
      </c>
    </row>
    <row r="60" customFormat="false" ht="15" hidden="false" customHeight="true" outlineLevel="0" collapsed="false">
      <c r="B60" s="13"/>
      <c r="C60" s="100"/>
      <c r="D60" s="101" t="str">
        <f aca="false">IF($B60="","","Expense")</f>
        <v/>
      </c>
      <c r="E60" s="15"/>
      <c r="F60" s="102"/>
      <c r="G60" s="102"/>
      <c r="H60" s="103" t="str">
        <f aca="false">IF($B60="","",N($E60))</f>
        <v/>
      </c>
      <c r="I60" s="104" t="str">
        <f aca="false">IF($B60="","",$I$13+SUMIFS($G$15:$G$65,$M$15:$M$65,"&lt;="&amp;$M60)-SUMIFS($H$15:$H$65,$M$15:$M$65,"&lt;="&amp;$M60))</f>
        <v/>
      </c>
      <c r="J60" s="102"/>
      <c r="K60" s="96" t="str">
        <f aca="false">IF($B60="","","ACTUAL")</f>
        <v/>
      </c>
      <c r="L60" s="1" t="str">
        <f aca="false">IF($B60="","",IF($C60="",$E$6+6,$C60))</f>
        <v/>
      </c>
      <c r="M60" s="1" t="str">
        <f aca="false">IF($L60="","",COUNTIFS($L$15:$L$65,"&lt;"&amp;$L60)+COUNTIFS($L$15:$L60,$L60))</f>
        <v/>
      </c>
    </row>
    <row r="61" customFormat="false" ht="15" hidden="false" customHeight="true" outlineLevel="0" collapsed="false">
      <c r="B61" s="13"/>
      <c r="C61" s="100"/>
      <c r="D61" s="101" t="str">
        <f aca="false">IF($B61="","","Expense")</f>
        <v/>
      </c>
      <c r="E61" s="15"/>
      <c r="F61" s="102"/>
      <c r="G61" s="102"/>
      <c r="H61" s="103" t="str">
        <f aca="false">IF($B61="","",N($E61))</f>
        <v/>
      </c>
      <c r="I61" s="104" t="str">
        <f aca="false">IF($B61="","",$I$13+SUMIFS($G$15:$G$65,$M$15:$M$65,"&lt;="&amp;$M61)-SUMIFS($H$15:$H$65,$M$15:$M$65,"&lt;="&amp;$M61))</f>
        <v/>
      </c>
      <c r="J61" s="102"/>
      <c r="K61" s="96" t="str">
        <f aca="false">IF($B61="","","ACTUAL")</f>
        <v/>
      </c>
      <c r="L61" s="1" t="str">
        <f aca="false">IF($B61="","",IF($C61="",$E$6+6,$C61))</f>
        <v/>
      </c>
      <c r="M61" s="1" t="str">
        <f aca="false">IF($L61="","",COUNTIFS($L$15:$L$65,"&lt;"&amp;$L61)+COUNTIFS($L$15:$L61,$L61))</f>
        <v/>
      </c>
    </row>
    <row r="62" customFormat="false" ht="15" hidden="false" customHeight="true" outlineLevel="0" collapsed="false">
      <c r="B62" s="13"/>
      <c r="C62" s="100"/>
      <c r="D62" s="101" t="str">
        <f aca="false">IF($B62="","","Expense")</f>
        <v/>
      </c>
      <c r="E62" s="15"/>
      <c r="F62" s="102"/>
      <c r="G62" s="102"/>
      <c r="H62" s="103" t="str">
        <f aca="false">IF($B62="","",N($E62))</f>
        <v/>
      </c>
      <c r="I62" s="104" t="str">
        <f aca="false">IF($B62="","",$I$13+SUMIFS($G$15:$G$65,$M$15:$M$65,"&lt;="&amp;$M62)-SUMIFS($H$15:$H$65,$M$15:$M$65,"&lt;="&amp;$M62))</f>
        <v/>
      </c>
      <c r="J62" s="102"/>
      <c r="K62" s="96" t="str">
        <f aca="false">IF($B62="","","ACTUAL")</f>
        <v/>
      </c>
      <c r="L62" s="1" t="str">
        <f aca="false">IF($B62="","",IF($C62="",$E$6+6,$C62))</f>
        <v/>
      </c>
      <c r="M62" s="1" t="str">
        <f aca="false">IF($L62="","",COUNTIFS($L$15:$L$65,"&lt;"&amp;$L62)+COUNTIFS($L$15:$L62,$L62))</f>
        <v/>
      </c>
    </row>
    <row r="63" customFormat="false" ht="15" hidden="false" customHeight="true" outlineLevel="0" collapsed="false">
      <c r="B63" s="13"/>
      <c r="C63" s="100"/>
      <c r="D63" s="101" t="str">
        <f aca="false">IF($B63="","","Expense")</f>
        <v/>
      </c>
      <c r="E63" s="15"/>
      <c r="F63" s="102"/>
      <c r="G63" s="102"/>
      <c r="H63" s="103" t="str">
        <f aca="false">IF($B63="","",N($E63))</f>
        <v/>
      </c>
      <c r="I63" s="104" t="str">
        <f aca="false">IF($B63="","",$I$13+SUMIFS($G$15:$G$65,$M$15:$M$65,"&lt;="&amp;$M63)-SUMIFS($H$15:$H$65,$M$15:$M$65,"&lt;="&amp;$M63))</f>
        <v/>
      </c>
      <c r="J63" s="102"/>
      <c r="K63" s="96" t="str">
        <f aca="false">IF($B63="","","ACTUAL")</f>
        <v/>
      </c>
      <c r="L63" s="1" t="str">
        <f aca="false">IF($B63="","",IF($C63="",$E$6+6,$C63))</f>
        <v/>
      </c>
      <c r="M63" s="1" t="str">
        <f aca="false">IF($L63="","",COUNTIFS($L$15:$L$65,"&lt;"&amp;$L63)+COUNTIFS($L$15:$L63,$L63))</f>
        <v/>
      </c>
    </row>
    <row r="64" customFormat="false" ht="15" hidden="false" customHeight="true" outlineLevel="0" collapsed="false">
      <c r="B64" s="13"/>
      <c r="C64" s="100"/>
      <c r="D64" s="101" t="str">
        <f aca="false">IF($B64="","","Expense")</f>
        <v/>
      </c>
      <c r="E64" s="15"/>
      <c r="F64" s="102"/>
      <c r="G64" s="102"/>
      <c r="H64" s="103" t="str">
        <f aca="false">IF($B64="","",N($E64))</f>
        <v/>
      </c>
      <c r="I64" s="104" t="str">
        <f aca="false">IF($B64="","",$I$13+SUMIFS($G$15:$G$65,$M$15:$M$65,"&lt;="&amp;$M64)-SUMIFS($H$15:$H$65,$M$15:$M$65,"&lt;="&amp;$M64))</f>
        <v/>
      </c>
      <c r="J64" s="102"/>
      <c r="K64" s="96" t="str">
        <f aca="false">IF($B64="","","ACTUAL")</f>
        <v/>
      </c>
      <c r="L64" s="1" t="str">
        <f aca="false">IF($B64="","",IF($C64="",$E$6+6,$C64))</f>
        <v/>
      </c>
      <c r="M64" s="1" t="str">
        <f aca="false">IF($L64="","",COUNTIFS($L$15:$L$65,"&lt;"&amp;$L64)+COUNTIFS($L$15:$L64,$L64))</f>
        <v/>
      </c>
    </row>
    <row r="65" customFormat="false" ht="15" hidden="false" customHeight="true" outlineLevel="0" collapsed="false">
      <c r="B65" s="105" t="str">
        <f aca="false">"Everyday spending still expected this week"</f>
        <v>Everyday spending still expected this week</v>
      </c>
      <c r="C65" s="106" t="n">
        <f aca="false">$E$6+6</f>
        <v>46255</v>
      </c>
      <c r="D65" s="101" t="str">
        <f aca="false">IF($B65="","","Expense")</f>
        <v>Expense</v>
      </c>
      <c r="E65" s="107" t="n">
        <f aca="false">MAX(0,$E$8-SUM($E$26:$E$64))</f>
        <v>0</v>
      </c>
      <c r="F65" s="102"/>
      <c r="G65" s="102"/>
      <c r="H65" s="103" t="n">
        <f aca="false">IF($B65="","",N($E65))</f>
        <v>0</v>
      </c>
      <c r="I65" s="104" t="n">
        <f aca="false">IF($B65="","",$I$13+SUMIFS($G$15:$G$65,$M$15:$M$65,"&lt;="&amp;$M65)-SUMIFS($H$15:$H$65,$M$15:$M$65,"&lt;="&amp;$M65))</f>
        <v>512.66</v>
      </c>
      <c r="J65" s="102"/>
      <c r="K65" s="96" t="str">
        <f aca="false">"FORECAST"</f>
        <v>FORECAST</v>
      </c>
      <c r="L65" s="97" t="n">
        <f aca="false">IF($B65="","",IF($C65="",$E$6+6,$C65))</f>
        <v>46255</v>
      </c>
      <c r="M65" s="1" t="n">
        <f aca="false">IF($L65="","",COUNTIFS($L$15:$L$65,"&lt;"&amp;$L65)+COUNTIFS($L$15:$L65,$L65))</f>
        <v>33</v>
      </c>
    </row>
    <row r="66" customFormat="false" ht="15" hidden="false" customHeight="true" outlineLevel="0" collapsed="false">
      <c r="B66" s="108" t="s">
        <v>176</v>
      </c>
      <c r="C66" s="58"/>
      <c r="D66" s="58"/>
      <c r="E66" s="58"/>
      <c r="F66" s="58"/>
      <c r="G66" s="57" t="n">
        <f aca="false">SUM($G$15:$G$65)</f>
        <v>950.99</v>
      </c>
      <c r="H66" s="57" t="n">
        <f aca="false">SUM($H$15:$H$65)</f>
        <v>666.74</v>
      </c>
      <c r="I66" s="109" t="n">
        <f aca="false">$I$13+$G$66-$H$66</f>
        <v>512.66</v>
      </c>
      <c r="J66" s="110" t="str">
        <f aca="false">IF($I$66&lt;0,"SHORTFALL",IF($I$66&lt;$E$7,"TIGHT","OK"))</f>
        <v>OK</v>
      </c>
      <c r="K66" s="111"/>
      <c r="N66" s="111" t="str">
        <f aca="false">IF(COUNT($I$15:$I$65)=0,"","Lowest point this week: "&amp;TEXT(MIN($I$15:$I$65),"$#,##0.00;-$#,##0.00")&amp;" on "&amp;TEXT(INDEX($C$15:$C$65,MATCH(MIN($I$15:$I$65),$I$15:$I$65,0)),"ddd mmm d")&amp;"     (in "&amp;TEXT($G$66,"$#,##0.00")&amp;", out "&amp;TEXT($H$66,"$#,##0.00")&amp;")")</f>
        <v>Lowest point this week: -$262.64 on Thu Aug 20     (in $950.99, out $666.74)</v>
      </c>
    </row>
    <row r="68" customFormat="false" ht="21.75" hidden="false" customHeight="true" outlineLevel="0" collapsed="false">
      <c r="B68" s="82" t="str">
        <f aca="false">"WEEK 2     "&amp;TEXT($E$6+7,"ddd, mmm d")&amp;"   through   "&amp;TEXT($E$6+7+6,"ddd, mmm d, yyyy")</f>
        <v>WEEK 2     Sat, Aug 22   through   Fri, Aug 28, 2026</v>
      </c>
      <c r="C68" s="83"/>
      <c r="D68" s="83"/>
      <c r="E68" s="83"/>
      <c r="F68" s="83"/>
      <c r="G68" s="84" t="s">
        <v>147</v>
      </c>
      <c r="H68" s="83"/>
      <c r="I68" s="85" t="n">
        <f aca="false">$I$66</f>
        <v>512.66</v>
      </c>
      <c r="J68" s="83"/>
      <c r="K68" s="86"/>
      <c r="N68" s="86" t="str">
        <f aca="false">IF(COUNTIF(Schedule!$I$4:$I$483,2)&gt;10,"! "&amp;COUNTIF(Schedule!$I$4:$I$483,2)-10&amp;" more transaction(s) fall in this week than there are rows to show them.","")</f>
        <v/>
      </c>
    </row>
    <row r="69" customFormat="false" ht="25.5" hidden="false" customHeight="true" outlineLevel="0" collapsed="false">
      <c r="B69" s="87" t="s">
        <v>148</v>
      </c>
      <c r="C69" s="87" t="s">
        <v>149</v>
      </c>
      <c r="D69" s="87" t="s">
        <v>42</v>
      </c>
      <c r="E69" s="87" t="s">
        <v>150</v>
      </c>
      <c r="F69" s="87" t="s">
        <v>151</v>
      </c>
      <c r="G69" s="37" t="s">
        <v>152</v>
      </c>
      <c r="H69" s="38" t="s">
        <v>153</v>
      </c>
      <c r="I69" s="87" t="s">
        <v>154</v>
      </c>
      <c r="J69" s="87" t="s">
        <v>14</v>
      </c>
      <c r="K69" s="87" t="s">
        <v>155</v>
      </c>
    </row>
    <row r="70" customFormat="false" ht="15" hidden="false" customHeight="true" outlineLevel="0" collapsed="false">
      <c r="B70" s="8" t="str">
        <f aca="false">IFERROR(INDEX(Schedule!$C$4:$C$483,MATCH(2001,Schedule!$K$4:$K$483,0)),"")</f>
        <v>Microsoft</v>
      </c>
      <c r="C70" s="88" t="n">
        <f aca="false">IF($B70="","",INDEX(Schedule!$G$4:$G$483,MATCH(2001,Schedule!$K$4:$K$483,0)))</f>
        <v>46256</v>
      </c>
      <c r="D70" s="89" t="str">
        <f aca="false">IF($B70="","",INDEX(Schedule!$D$4:$D$483,MATCH(2001,Schedule!$K$4:$K$483,0)))</f>
        <v>Expense</v>
      </c>
      <c r="E70" s="90" t="n">
        <f aca="false">IF($B70="","",INDEX(Schedule!$E$4:$E$483,MATCH(2001,Schedule!$K$4:$K$483,0)))</f>
        <v>13.7</v>
      </c>
      <c r="F70" s="91"/>
      <c r="G70" s="92" t="str">
        <f aca="false">IF($B70="","",IF($D70="Income",IF($F70&lt;&gt;"",$F70,IF(COUNTIFS('Paid Log'!$B$9:$B$308,$C70,'Paid Log'!$C$9:$C$308,$B70)&gt;0,SUMIFS('Paid Log'!$D$9:$D$308,'Paid Log'!$B$9:$B$308,$C70,'Paid Log'!$C$9:$C$308,$B70),$E70)),""))</f>
        <v/>
      </c>
      <c r="H70" s="93" t="n">
        <f aca="false">IF($B70="","",IF($D70="Income","",IF($F70&lt;&gt;"",$F70,IF(COUNTIFS('Paid Log'!$B$9:$B$308,$C70,'Paid Log'!$C$9:$C$308,$B70)&gt;0,SUMIFS('Paid Log'!$D$9:$D$308,'Paid Log'!$B$9:$B$308,$C70,'Paid Log'!$C$9:$C$308,$B70),$E70))))</f>
        <v>13.7</v>
      </c>
      <c r="I70" s="94" t="n">
        <f aca="false">IF($B70="","",$I$68+SUMIFS($G$70:$G$120,$M$70:$M$120,"&lt;="&amp;$M70)-SUMIFS($H$70:$H$120,$M$70:$M$120,"&lt;="&amp;$M70))</f>
        <v>498.96</v>
      </c>
      <c r="J70" s="95" t="str">
        <f aca="true">IF($B70="","",IF(OR($F70&lt;&gt;"",COUNTIFS('Paid Log'!$B$9:$B$308,$C70,'Paid Log'!$C$9:$C$308,$B70)&gt;0),IF($C70&gt;TODAY(),"ADJUSTED","PAID"),IF($C70&lt;TODAY(),"PAST DUE",IF($C70&lt;=TODAY()+7,"DUE","Upcoming"))))</f>
        <v>PAID</v>
      </c>
      <c r="K70" s="96" t="str">
        <f aca="false">IF($B70="","",IF(OR($F70&lt;&gt;"",COUNTIFS('Paid Log'!$B$9:$B$308,$C70,'Paid Log'!$C$9:$C$308,$B70)&gt;0),"ACTUAL","FORECAST"))</f>
        <v>ACTUAL</v>
      </c>
      <c r="L70" s="97"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88" t="n">
        <f aca="false">IF($B71="","",INDEX(Schedule!$G$4:$G$483,MATCH(2002,Schedule!$K$4:$K$483,0)))</f>
        <v>46257</v>
      </c>
      <c r="D71" s="89" t="str">
        <f aca="false">IF($B71="","",INDEX(Schedule!$D$4:$D$483,MATCH(2002,Schedule!$K$4:$K$483,0)))</f>
        <v>Expense</v>
      </c>
      <c r="E71" s="90" t="n">
        <f aca="false">IF($B71="","",INDEX(Schedule!$E$4:$E$483,MATCH(2002,Schedule!$K$4:$K$483,0)))</f>
        <v>314.95</v>
      </c>
      <c r="F71" s="91"/>
      <c r="G71" s="92" t="str">
        <f aca="false">IF($B71="","",IF($D71="Income",IF($F71&lt;&gt;"",$F71,IF(COUNTIFS('Paid Log'!$B$9:$B$308,$C71,'Paid Log'!$C$9:$C$308,$B71)&gt;0,SUMIFS('Paid Log'!$D$9:$D$308,'Paid Log'!$B$9:$B$308,$C71,'Paid Log'!$C$9:$C$308,$B71),$E71)),""))</f>
        <v/>
      </c>
      <c r="H71" s="93" t="n">
        <f aca="false">IF($B71="","",IF($D71="Income","",IF($F71&lt;&gt;"",$F71,IF(COUNTIFS('Paid Log'!$B$9:$B$308,$C71,'Paid Log'!$C$9:$C$308,$B71)&gt;0,SUMIFS('Paid Log'!$D$9:$D$308,'Paid Log'!$B$9:$B$308,$C71,'Paid Log'!$C$9:$C$308,$B71),$E71))))</f>
        <v>314.95</v>
      </c>
      <c r="I71" s="94" t="n">
        <f aca="false">IF($B71="","",$I$68+SUMIFS($G$70:$G$120,$M$70:$M$120,"&lt;="&amp;$M71)-SUMIFS($H$70:$H$120,$M$70:$M$120,"&lt;="&amp;$M71))</f>
        <v>115.72</v>
      </c>
      <c r="J71" s="95" t="str">
        <f aca="true">IF($B71="","",IF(OR($F71&lt;&gt;"",COUNTIFS('Paid Log'!$B$9:$B$308,$C71,'Paid Log'!$C$9:$C$308,$B71)&gt;0),IF($C71&gt;TODAY(),"ADJUSTED","PAID"),IF($C71&lt;TODAY(),"PAST DUE",IF($C71&lt;=TODAY()+7,"DUE","Upcoming"))))</f>
        <v>PAID</v>
      </c>
      <c r="K71" s="96" t="str">
        <f aca="false">IF($B71="","",IF(OR($F71&lt;&gt;"",COUNTIFS('Paid Log'!$B$9:$B$308,$C71,'Paid Log'!$C$9:$C$308,$B71)&gt;0),"ACTUAL","FORECAST"))</f>
        <v>ACTUAL</v>
      </c>
      <c r="L71" s="97" t="n">
        <f aca="false">IF($B71="","",$C71)</f>
        <v>46257</v>
      </c>
      <c r="M71" s="1" t="n">
        <f aca="false">IF($L71="","",COUNTIFS($L$70:$L$120,"&lt;"&amp;$L71)+COUNTIFS($L$70:$L71,$L71))</f>
        <v>5</v>
      </c>
    </row>
    <row r="72" customFormat="false" ht="15" hidden="false" customHeight="true" outlineLevel="0" collapsed="false">
      <c r="B72" s="8" t="str">
        <f aca="false">IFERROR(INDEX(Schedule!$C$4:$C$483,MATCH(2003,Schedule!$K$4:$K$483,0)),"")</f>
        <v>Microsoft (2nd subscription)</v>
      </c>
      <c r="C72" s="88" t="n">
        <f aca="false">IF($B72="","",INDEX(Schedule!$G$4:$G$483,MATCH(2003,Schedule!$K$4:$K$483,0)))</f>
        <v>46257</v>
      </c>
      <c r="D72" s="89" t="str">
        <f aca="false">IF($B72="","",INDEX(Schedule!$D$4:$D$483,MATCH(2003,Schedule!$K$4:$K$483,0)))</f>
        <v>Expense</v>
      </c>
      <c r="E72" s="90" t="n">
        <f aca="false">IF($B72="","",INDEX(Schedule!$E$4:$E$483,MATCH(2003,Schedule!$K$4:$K$483,0)))</f>
        <v>2.39</v>
      </c>
      <c r="F72" s="91"/>
      <c r="G72" s="92" t="str">
        <f aca="false">IF($B72="","",IF($D72="Income",IF($F72&lt;&gt;"",$F72,IF(COUNTIFS('Paid Log'!$B$9:$B$308,$C72,'Paid Log'!$C$9:$C$308,$B72)&gt;0,SUMIFS('Paid Log'!$D$9:$D$308,'Paid Log'!$B$9:$B$308,$C72,'Paid Log'!$C$9:$C$308,$B72),$E72)),""))</f>
        <v/>
      </c>
      <c r="H72" s="93" t="n">
        <f aca="false">IF($B72="","",IF($D72="Income","",IF($F72&lt;&gt;"",$F72,IF(COUNTIFS('Paid Log'!$B$9:$B$308,$C72,'Paid Log'!$C$9:$C$308,$B72)&gt;0,SUMIFS('Paid Log'!$D$9:$D$308,'Paid Log'!$B$9:$B$308,$C72,'Paid Log'!$C$9:$C$308,$B72),$E72))))</f>
        <v>2.39</v>
      </c>
      <c r="I72" s="94" t="n">
        <f aca="false">IF($B72="","",$I$68+SUMIFS($G$70:$G$120,$M$70:$M$120,"&lt;="&amp;$M72)-SUMIFS($H$70:$H$120,$M$70:$M$120,"&lt;="&amp;$M72))</f>
        <v>113.33</v>
      </c>
      <c r="J72" s="95" t="str">
        <f aca="true">IF($B72="","",IF(OR($F72&lt;&gt;"",COUNTIFS('Paid Log'!$B$9:$B$308,$C72,'Paid Log'!$C$9:$C$308,$B72)&gt;0),IF($C72&gt;TODAY(),"ADJUSTED","PAID"),IF($C72&lt;TODAY(),"PAST DUE",IF($C72&lt;=TODAY()+7,"DUE","Upcoming"))))</f>
        <v>PAID</v>
      </c>
      <c r="K72" s="96" t="str">
        <f aca="false">IF($B72="","",IF(OR($F72&lt;&gt;"",COUNTIFS('Paid Log'!$B$9:$B$308,$C72,'Paid Log'!$C$9:$C$308,$B72)&gt;0),"ACTUAL","FORECAST"))</f>
        <v>ACTUAL</v>
      </c>
      <c r="L72" s="97" t="n">
        <f aca="false">IF($B72="","",$C72)</f>
        <v>46257</v>
      </c>
      <c r="M72" s="1" t="n">
        <f aca="false">IF($L72="","",COUNTIFS($L$70:$L$120,"&lt;"&amp;$L72)+COUNTIFS($L$70:$L72,$L72))</f>
        <v>6</v>
      </c>
    </row>
    <row r="73" customFormat="false" ht="15" hidden="false" customHeight="true" outlineLevel="0" collapsed="false">
      <c r="B73" s="8" t="str">
        <f aca="false">IFERROR(INDEX(Schedule!$C$4:$C$483,MATCH(2004,Schedule!$K$4:$K$483,0)),"")</f>
        <v>Earnin'</v>
      </c>
      <c r="C73" s="88" t="n">
        <f aca="false">IF($B73="","",INDEX(Schedule!$G$4:$G$483,MATCH(2004,Schedule!$K$4:$K$483,0)))</f>
        <v>46258</v>
      </c>
      <c r="D73" s="89" t="str">
        <f aca="false">IF($B73="","",INDEX(Schedule!$D$4:$D$483,MATCH(2004,Schedule!$K$4:$K$483,0)))</f>
        <v>Income</v>
      </c>
      <c r="E73" s="90" t="n">
        <f aca="false">IF($B73="","",INDEX(Schedule!$E$4:$E$483,MATCH(2004,Schedule!$K$4:$K$483,0)))</f>
        <v>100</v>
      </c>
      <c r="F73" s="91"/>
      <c r="G73" s="92" t="n">
        <f aca="false">IF($B73="","",IF($D73="Income",IF($F73&lt;&gt;"",$F73,IF(COUNTIFS('Paid Log'!$B$9:$B$308,$C73,'Paid Log'!$C$9:$C$308,$B73)&gt;0,SUMIFS('Paid Log'!$D$9:$D$308,'Paid Log'!$B$9:$B$308,$C73,'Paid Log'!$C$9:$C$308,$B73),$E73)),""))</f>
        <v>100</v>
      </c>
      <c r="H73" s="93" t="str">
        <f aca="false">IF($B73="","",IF($D73="Income","",IF($F73&lt;&gt;"",$F73,IF(COUNTIFS('Paid Log'!$B$9:$B$308,$C73,'Paid Log'!$C$9:$C$308,$B73)&gt;0,SUMIFS('Paid Log'!$D$9:$D$308,'Paid Log'!$B$9:$B$308,$C73,'Paid Log'!$C$9:$C$308,$B73),$E73))))</f>
        <v/>
      </c>
      <c r="I73" s="94" t="n">
        <f aca="false">IF($B73="","",$I$68+SUMIFS($G$70:$G$120,$M$70:$M$120,"&lt;="&amp;$M73)-SUMIFS($H$70:$H$120,$M$70:$M$120,"&lt;="&amp;$M73))</f>
        <v>150.88</v>
      </c>
      <c r="J73" s="95" t="str">
        <f aca="true">IF($B73="","",IF(OR($F73&lt;&gt;"",COUNTIFS('Paid Log'!$B$9:$B$308,$C73,'Paid Log'!$C$9:$C$308,$B73)&gt;0),IF($C73&gt;TODAY(),"ADJUSTED","PAID"),IF($C73&lt;TODAY(),"PAST DUE",IF($C73&lt;=TODAY()+7,"DUE","Upcoming"))))</f>
        <v>PAID</v>
      </c>
      <c r="K73" s="96" t="str">
        <f aca="false">IF($B73="","",IF(OR($F73&lt;&gt;"",COUNTIFS('Paid Log'!$B$9:$B$308,$C73,'Paid Log'!$C$9:$C$308,$B73)&gt;0),"ACTUAL","FORECAST"))</f>
        <v>ACTUAL</v>
      </c>
      <c r="L73" s="97" t="n">
        <f aca="false">IF($B73="","",$C73)</f>
        <v>46258</v>
      </c>
      <c r="M73" s="1" t="n">
        <f aca="false">IF($L73="","",COUNTIFS($L$70:$L$120,"&lt;"&amp;$L73)+COUNTIFS($L$70:$L73,$L73))</f>
        <v>11</v>
      </c>
    </row>
    <row r="74" customFormat="false" ht="15" hidden="false" customHeight="true" outlineLevel="0" collapsed="false">
      <c r="B74" s="8" t="str">
        <f aca="false">IFERROR(INDEX(Schedule!$C$4:$C$483,MATCH(2005,Schedule!$K$4:$K$483,0)),"")</f>
        <v>Bruno's Restaurant (paycheck)</v>
      </c>
      <c r="C74" s="88" t="n">
        <f aca="false">IF($B74="","",INDEX(Schedule!$G$4:$G$483,MATCH(2005,Schedule!$K$4:$K$483,0)))</f>
        <v>46260</v>
      </c>
      <c r="D74" s="89" t="str">
        <f aca="false">IF($B74="","",INDEX(Schedule!$D$4:$D$483,MATCH(2005,Schedule!$K$4:$K$483,0)))</f>
        <v>Income</v>
      </c>
      <c r="E74" s="90" t="n">
        <f aca="false">IF($B74="","",INDEX(Schedule!$E$4:$E$483,MATCH(2005,Schedule!$K$4:$K$483,0)))</f>
        <v>90</v>
      </c>
      <c r="F74" s="91"/>
      <c r="G74" s="92" t="n">
        <f aca="false">IF($B74="","",IF($D74="Income",IF($F74&lt;&gt;"",$F74,IF(COUNTIFS('Paid Log'!$B$9:$B$308,$C74,'Paid Log'!$C$9:$C$308,$B74)&gt;0,SUMIFS('Paid Log'!$D$9:$D$308,'Paid Log'!$B$9:$B$308,$C74,'Paid Log'!$C$9:$C$308,$B74),$E74)),""))</f>
        <v>149.73</v>
      </c>
      <c r="H74" s="93" t="str">
        <f aca="false">IF($B74="","",IF($D74="Income","",IF($F74&lt;&gt;"",$F74,IF(COUNTIFS('Paid Log'!$B$9:$B$308,$C74,'Paid Log'!$C$9:$C$308,$B74)&gt;0,SUMIFS('Paid Log'!$D$9:$D$308,'Paid Log'!$B$9:$B$308,$C74,'Paid Log'!$C$9:$C$308,$B74),$E74))))</f>
        <v/>
      </c>
      <c r="I74" s="94" t="n">
        <f aca="false">IF($B74="","",$I$68+SUMIFS($G$70:$G$120,$M$70:$M$120,"&lt;="&amp;$M74)-SUMIFS($H$70:$H$120,$M$70:$M$120,"&lt;="&amp;$M74))</f>
        <v>99.9000000000001</v>
      </c>
      <c r="J74" s="95" t="str">
        <f aca="true">IF($B74="","",IF(OR($F74&lt;&gt;"",COUNTIFS('Paid Log'!$B$9:$B$308,$C74,'Paid Log'!$C$9:$C$308,$B74)&gt;0),IF($C74&gt;TODAY(),"ADJUSTED","PAID"),IF($C74&lt;TODAY(),"PAST DUE",IF($C74&lt;=TODAY()+7,"DUE","Upcoming"))))</f>
        <v>PAID</v>
      </c>
      <c r="K74" s="96" t="str">
        <f aca="false">IF($B74="","",IF(OR($F74&lt;&gt;"",COUNTIFS('Paid Log'!$B$9:$B$308,$C74,'Paid Log'!$C$9:$C$308,$B74)&gt;0),"ACTUAL","FORECAST"))</f>
        <v>ACTUAL</v>
      </c>
      <c r="L74" s="97" t="n">
        <f aca="false">IF($B74="","",$C74)</f>
        <v>46260</v>
      </c>
      <c r="M74" s="1" t="n">
        <f aca="false">IF($L74="","",COUNTIFS($L$70:$L$120,"&lt;"&amp;$L74)+COUNTIFS($L$70:$L74,$L74))</f>
        <v>21</v>
      </c>
    </row>
    <row r="75" customFormat="false" ht="15" hidden="false" customHeight="true" outlineLevel="0" collapsed="false">
      <c r="B75" s="8" t="str">
        <f aca="false">IFERROR(INDEX(Schedule!$C$4:$C$483,MATCH(2006,Schedule!$K$4:$K$483,0)),"")</f>
        <v>Earnin' repayment</v>
      </c>
      <c r="C75" s="88" t="n">
        <f aca="false">IF($B75="","",INDEX(Schedule!$G$4:$G$483,MATCH(2006,Schedule!$K$4:$K$483,0)))</f>
        <v>46261</v>
      </c>
      <c r="D75" s="89" t="str">
        <f aca="false">IF($B75="","",INDEX(Schedule!$D$4:$D$483,MATCH(2006,Schedule!$K$4:$K$483,0)))</f>
        <v>Expense</v>
      </c>
      <c r="E75" s="90" t="n">
        <f aca="false">IF($B75="","",INDEX(Schedule!$E$4:$E$483,MATCH(2006,Schedule!$K$4:$K$483,0)))</f>
        <v>107.99</v>
      </c>
      <c r="F75" s="91"/>
      <c r="G75" s="92" t="str">
        <f aca="false">IF($B75="","",IF($D75="Income",IF($F75&lt;&gt;"",$F75,IF(COUNTIFS('Paid Log'!$B$9:$B$308,$C75,'Paid Log'!$C$9:$C$308,$B75)&gt;0,SUMIFS('Paid Log'!$D$9:$D$308,'Paid Log'!$B$9:$B$308,$C75,'Paid Log'!$C$9:$C$308,$B75),$E75)),""))</f>
        <v/>
      </c>
      <c r="H75" s="93" t="n">
        <f aca="false">IF($B75="","",IF($D75="Income","",IF($F75&lt;&gt;"",$F75,IF(COUNTIFS('Paid Log'!$B$9:$B$308,$C75,'Paid Log'!$C$9:$C$308,$B75)&gt;0,SUMIFS('Paid Log'!$D$9:$D$308,'Paid Log'!$B$9:$B$308,$C75,'Paid Log'!$C$9:$C$308,$B75),$E75))))</f>
        <v>107.99</v>
      </c>
      <c r="I75" s="94" t="n">
        <f aca="false">IF($B75="","",$I$68+SUMIFS($G$70:$G$120,$M$70:$M$120,"&lt;="&amp;$M75)-SUMIFS($H$70:$H$120,$M$70:$M$120,"&lt;="&amp;$M75))</f>
        <v>-58.9199999999998</v>
      </c>
      <c r="J75" s="95" t="str">
        <f aca="true">IF($B75="","",IF(OR($F75&lt;&gt;"",COUNTIFS('Paid Log'!$B$9:$B$308,$C75,'Paid Log'!$C$9:$C$308,$B75)&gt;0),IF($C75&gt;TODAY(),"ADJUSTED","PAID"),IF($C75&lt;TODAY(),"PAST DUE",IF($C75&lt;=TODAY()+7,"DUE","Upcoming"))))</f>
        <v>PAID</v>
      </c>
      <c r="K75" s="96" t="str">
        <f aca="false">IF($B75="","",IF(OR($F75&lt;&gt;"",COUNTIFS('Paid Log'!$B$9:$B$308,$C75,'Paid Log'!$C$9:$C$308,$B75)&gt;0),"ACTUAL","FORECAST"))</f>
        <v>ACTUAL</v>
      </c>
      <c r="L75" s="97" t="n">
        <f aca="false">IF($B75="","",$C75)</f>
        <v>46261</v>
      </c>
      <c r="M75" s="1" t="n">
        <f aca="false">IF($L75="","",COUNTIFS($L$70:$L$120,"&lt;"&amp;$L75)+COUNTIFS($L$70:$L75,$L75))</f>
        <v>26</v>
      </c>
    </row>
    <row r="76" customFormat="false" ht="15" hidden="false" customHeight="true" outlineLevel="0" collapsed="false">
      <c r="B76" s="8" t="str">
        <f aca="false">IFERROR(INDEX(Schedule!$C$4:$C$483,MATCH(2007,Schedule!$K$4:$K$483,0)),"")</f>
        <v>Compunnel Software (paycheck)</v>
      </c>
      <c r="C76" s="88" t="n">
        <f aca="false">IF($B76="","",INDEX(Schedule!$G$4:$G$483,MATCH(2007,Schedule!$K$4:$K$483,0)))</f>
        <v>46262</v>
      </c>
      <c r="D76" s="89" t="str">
        <f aca="false">IF($B76="","",INDEX(Schedule!$D$4:$D$483,MATCH(2007,Schedule!$K$4:$K$483,0)))</f>
        <v>Income</v>
      </c>
      <c r="E76" s="90" t="n">
        <f aca="false">IF($B76="","",INDEX(Schedule!$E$4:$E$483,MATCH(2007,Schedule!$K$4:$K$483,0)))</f>
        <v>802.65</v>
      </c>
      <c r="F76" s="91"/>
      <c r="G76" s="92" t="n">
        <f aca="false">IF($B76="","",IF($D76="Income",IF($F76&lt;&gt;"",$F76,IF(COUNTIFS('Paid Log'!$B$9:$B$308,$C76,'Paid Log'!$C$9:$C$308,$B76)&gt;0,SUMIFS('Paid Log'!$D$9:$D$308,'Paid Log'!$B$9:$B$308,$C76,'Paid Log'!$C$9:$C$308,$B76),$E76)),""))</f>
        <v>802.65</v>
      </c>
      <c r="H76" s="93" t="str">
        <f aca="false">IF($B76="","",IF($D76="Income","",IF($F76&lt;&gt;"",$F76,IF(COUNTIFS('Paid Log'!$B$9:$B$308,$C76,'Paid Log'!$C$9:$C$308,$B76)&gt;0,SUMIFS('Paid Log'!$D$9:$D$308,'Paid Log'!$B$9:$B$308,$C76,'Paid Log'!$C$9:$C$308,$B76),$E76))))</f>
        <v/>
      </c>
      <c r="I76" s="94" t="n">
        <f aca="false">IF($B76="","",$I$68+SUMIFS($G$70:$G$120,$M$70:$M$120,"&lt;="&amp;$M76)-SUMIFS($H$70:$H$120,$M$70:$M$120,"&lt;="&amp;$M76))</f>
        <v>567.38</v>
      </c>
      <c r="J76" s="95" t="str">
        <f aca="true">IF($B76="","",IF(OR($F76&lt;&gt;"",COUNTIFS('Paid Log'!$B$9:$B$308,$C76,'Paid Log'!$C$9:$C$308,$B76)&gt;0),IF($C76&gt;TODAY(),"ADJUSTED","PAID"),IF($C76&lt;TODAY(),"PAST DUE",IF($C76&lt;=TODAY()+7,"DUE","Upcoming"))))</f>
        <v>PAID</v>
      </c>
      <c r="K76" s="96" t="str">
        <f aca="false">IF($B76="","",IF(OR($F76&lt;&gt;"",COUNTIFS('Paid Log'!$B$9:$B$308,$C76,'Paid Log'!$C$9:$C$308,$B76)&gt;0),"ACTUAL","FORECAST"))</f>
        <v>ACTUAL</v>
      </c>
      <c r="L76" s="97" t="n">
        <f aca="false">IF($B76="","",$C76)</f>
        <v>46262</v>
      </c>
      <c r="M76" s="1" t="n">
        <f aca="false">IF($L76="","",COUNTIFS($L$70:$L$120,"&lt;"&amp;$L76)+COUNTIFS($L$70:$L76,$L76))</f>
        <v>33</v>
      </c>
    </row>
    <row r="77" customFormat="false" ht="15" hidden="false" customHeight="true" outlineLevel="0" collapsed="false">
      <c r="B77" s="8" t="str">
        <f aca="false">IFERROR(INDEX(Schedule!$C$4:$C$483,MATCH(2008,Schedule!$K$4:$K$483,0)),"")</f>
        <v/>
      </c>
      <c r="C77" s="88" t="str">
        <f aca="false">IF($B77="","",INDEX(Schedule!$G$4:$G$483,MATCH(2008,Schedule!$K$4:$K$483,0)))</f>
        <v/>
      </c>
      <c r="D77" s="89" t="str">
        <f aca="false">IF($B77="","",INDEX(Schedule!$D$4:$D$483,MATCH(2008,Schedule!$K$4:$K$483,0)))</f>
        <v/>
      </c>
      <c r="E77" s="90" t="str">
        <f aca="false">IF($B77="","",INDEX(Schedule!$E$4:$E$483,MATCH(2008,Schedule!$K$4:$K$483,0)))</f>
        <v/>
      </c>
      <c r="F77" s="91"/>
      <c r="G77" s="92" t="str">
        <f aca="false">IF($B77="","",IF($D77="Income",IF($F77&lt;&gt;"",$F77,IF(COUNTIFS('Paid Log'!$B$9:$B$308,$C77,'Paid Log'!$C$9:$C$308,$B77)&gt;0,SUMIFS('Paid Log'!$D$9:$D$308,'Paid Log'!$B$9:$B$308,$C77,'Paid Log'!$C$9:$C$308,$B77),$E77)),""))</f>
        <v/>
      </c>
      <c r="H77" s="93" t="str">
        <f aca="false">IF($B77="","",IF($D77="Income","",IF($F77&lt;&gt;"",$F77,IF(COUNTIFS('Paid Log'!$B$9:$B$308,$C77,'Paid Log'!$C$9:$C$308,$B77)&gt;0,SUMIFS('Paid Log'!$D$9:$D$308,'Paid Log'!$B$9:$B$308,$C77,'Paid Log'!$C$9:$C$308,$B77),$E77))))</f>
        <v/>
      </c>
      <c r="I77" s="94" t="str">
        <f aca="false">IF($B77="","",$I$68+SUMIFS($G$70:$G$120,$M$70:$M$120,"&lt;="&amp;$M77)-SUMIFS($H$70:$H$120,$M$70:$M$120,"&lt;="&amp;$M77))</f>
        <v/>
      </c>
      <c r="J77" s="95" t="str">
        <f aca="true">IF($B77="","",IF(OR($F77&lt;&gt;"",COUNTIFS('Paid Log'!$B$9:$B$308,$C77,'Paid Log'!$C$9:$C$308,$B77)&gt;0),IF($C77&gt;TODAY(),"ADJUSTED","PAID"),IF($C77&lt;TODAY(),"PAST DUE",IF($C77&lt;=TODAY()+7,"DUE","Upcoming"))))</f>
        <v/>
      </c>
      <c r="K77" s="96"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88" t="str">
        <f aca="false">IF($B78="","",INDEX(Schedule!$G$4:$G$483,MATCH(2009,Schedule!$K$4:$K$483,0)))</f>
        <v/>
      </c>
      <c r="D78" s="89" t="str">
        <f aca="false">IF($B78="","",INDEX(Schedule!$D$4:$D$483,MATCH(2009,Schedule!$K$4:$K$483,0)))</f>
        <v/>
      </c>
      <c r="E78" s="90" t="str">
        <f aca="false">IF($B78="","",INDEX(Schedule!$E$4:$E$483,MATCH(2009,Schedule!$K$4:$K$483,0)))</f>
        <v/>
      </c>
      <c r="F78" s="91"/>
      <c r="G78" s="92" t="str">
        <f aca="false">IF($B78="","",IF($D78="Income",IF($F78&lt;&gt;"",$F78,IF(COUNTIFS('Paid Log'!$B$9:$B$308,$C78,'Paid Log'!$C$9:$C$308,$B78)&gt;0,SUMIFS('Paid Log'!$D$9:$D$308,'Paid Log'!$B$9:$B$308,$C78,'Paid Log'!$C$9:$C$308,$B78),$E78)),""))</f>
        <v/>
      </c>
      <c r="H78" s="93" t="str">
        <f aca="false">IF($B78="","",IF($D78="Income","",IF($F78&lt;&gt;"",$F78,IF(COUNTIFS('Paid Log'!$B$9:$B$308,$C78,'Paid Log'!$C$9:$C$308,$B78)&gt;0,SUMIFS('Paid Log'!$D$9:$D$308,'Paid Log'!$B$9:$B$308,$C78,'Paid Log'!$C$9:$C$308,$B78),$E78))))</f>
        <v/>
      </c>
      <c r="I78" s="94" t="str">
        <f aca="false">IF($B78="","",$I$68+SUMIFS($G$70:$G$120,$M$70:$M$120,"&lt;="&amp;$M78)-SUMIFS($H$70:$H$120,$M$70:$M$120,"&lt;="&amp;$M78))</f>
        <v/>
      </c>
      <c r="J78" s="95" t="str">
        <f aca="true">IF($B78="","",IF(OR($F78&lt;&gt;"",COUNTIFS('Paid Log'!$B$9:$B$308,$C78,'Paid Log'!$C$9:$C$308,$B78)&gt;0),IF($C78&gt;TODAY(),"ADJUSTED","PAID"),IF($C78&lt;TODAY(),"PAST DUE",IF($C78&lt;=TODAY()+7,"DUE","Upcoming"))))</f>
        <v/>
      </c>
      <c r="K78" s="96"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88" t="str">
        <f aca="false">IF($B79="","",INDEX(Schedule!$G$4:$G$483,MATCH(2010,Schedule!$K$4:$K$483,0)))</f>
        <v/>
      </c>
      <c r="D79" s="89" t="str">
        <f aca="false">IF($B79="","",INDEX(Schedule!$D$4:$D$483,MATCH(2010,Schedule!$K$4:$K$483,0)))</f>
        <v/>
      </c>
      <c r="E79" s="90" t="str">
        <f aca="false">IF($B79="","",INDEX(Schedule!$E$4:$E$483,MATCH(2010,Schedule!$K$4:$K$483,0)))</f>
        <v/>
      </c>
      <c r="F79" s="91"/>
      <c r="G79" s="92" t="str">
        <f aca="false">IF($B79="","",IF($D79="Income",IF($F79&lt;&gt;"",$F79,IF(COUNTIFS('Paid Log'!$B$9:$B$308,$C79,'Paid Log'!$C$9:$C$308,$B79)&gt;0,SUMIFS('Paid Log'!$D$9:$D$308,'Paid Log'!$B$9:$B$308,$C79,'Paid Log'!$C$9:$C$308,$B79),$E79)),""))</f>
        <v/>
      </c>
      <c r="H79" s="93" t="str">
        <f aca="false">IF($B79="","",IF($D79="Income","",IF($F79&lt;&gt;"",$F79,IF(COUNTIFS('Paid Log'!$B$9:$B$308,$C79,'Paid Log'!$C$9:$C$308,$B79)&gt;0,SUMIFS('Paid Log'!$D$9:$D$308,'Paid Log'!$B$9:$B$308,$C79,'Paid Log'!$C$9:$C$308,$B79),$E79))))</f>
        <v/>
      </c>
      <c r="I79" s="94" t="str">
        <f aca="false">IF($B79="","",$I$68+SUMIFS($G$70:$G$120,$M$70:$M$120,"&lt;="&amp;$M79)-SUMIFS($H$70:$H$120,$M$70:$M$120,"&lt;="&amp;$M79))</f>
        <v/>
      </c>
      <c r="J79" s="95" t="str">
        <f aca="true">IF($B79="","",IF(OR($F79&lt;&gt;"",COUNTIFS('Paid Log'!$B$9:$B$308,$C79,'Paid Log'!$C$9:$C$308,$B79)&gt;0),IF($C79&gt;TODAY(),"ADJUSTED","PAID"),IF($C79&lt;TODAY(),"PAST DUE",IF($C79&lt;=TODAY()+7,"DUE","Upcoming"))))</f>
        <v/>
      </c>
      <c r="K79" s="96"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98" t="s">
        <v>156</v>
      </c>
      <c r="C80" s="99"/>
      <c r="D80" s="99"/>
      <c r="E80" s="99"/>
      <c r="F80" s="99"/>
      <c r="G80" s="99"/>
      <c r="H80" s="99"/>
      <c r="I80" s="99"/>
      <c r="J80" s="99"/>
    </row>
    <row r="81" customFormat="false" ht="15" hidden="false" customHeight="true" outlineLevel="0" collapsed="false">
      <c r="B81" s="13" t="s">
        <v>177</v>
      </c>
      <c r="C81" s="100" t="n">
        <v>46256</v>
      </c>
      <c r="D81" s="101" t="str">
        <f aca="false">IF($B81="","","Expense")</f>
        <v>Expense</v>
      </c>
      <c r="E81" s="15" t="n">
        <v>20.29</v>
      </c>
      <c r="F81" s="102"/>
      <c r="G81" s="102"/>
      <c r="H81" s="103" t="n">
        <f aca="false">IF($B81="","",N($E81))</f>
        <v>20.29</v>
      </c>
      <c r="I81" s="104" t="n">
        <f aca="false">IF($B81="","",$I$68+SUMIFS($G$70:$G$120,$M$70:$M$120,"&lt;="&amp;$M81)-SUMIFS($H$70:$H$120,$M$70:$M$120,"&lt;="&amp;$M81))</f>
        <v>478.67</v>
      </c>
      <c r="J81" s="102"/>
      <c r="K81" s="96" t="str">
        <f aca="false">IF($B81="","","ACTUAL")</f>
        <v>ACTUAL</v>
      </c>
      <c r="L81" s="97" t="n">
        <f aca="false">IF($B81="","",IF($C81="",$E$6+13,$C81))</f>
        <v>46256</v>
      </c>
      <c r="M81" s="1" t="n">
        <f aca="false">IF($L81="","",COUNTIFS($L$70:$L$120,"&lt;"&amp;$L81)+COUNTIFS($L$70:$L81,$L81))</f>
        <v>2</v>
      </c>
    </row>
    <row r="82" customFormat="false" ht="15" hidden="false" customHeight="true" outlineLevel="0" collapsed="false">
      <c r="B82" s="13" t="s">
        <v>177</v>
      </c>
      <c r="C82" s="100" t="n">
        <v>46256</v>
      </c>
      <c r="D82" s="101" t="str">
        <f aca="false">IF($B82="","","Expense")</f>
        <v>Expense</v>
      </c>
      <c r="E82" s="15" t="n">
        <v>10</v>
      </c>
      <c r="F82" s="102"/>
      <c r="G82" s="102"/>
      <c r="H82" s="103" t="n">
        <f aca="false">IF($B82="","",N($E82))</f>
        <v>10</v>
      </c>
      <c r="I82" s="104" t="n">
        <f aca="false">IF($B82="","",$I$68+SUMIFS($G$70:$G$120,$M$70:$M$120,"&lt;="&amp;$M82)-SUMIFS($H$70:$H$120,$M$70:$M$120,"&lt;="&amp;$M82))</f>
        <v>468.67</v>
      </c>
      <c r="J82" s="102"/>
      <c r="K82" s="96" t="str">
        <f aca="false">IF($B82="","","ACTUAL")</f>
        <v>ACTUAL</v>
      </c>
      <c r="L82" s="97" t="n">
        <f aca="false">IF($B82="","",IF($C82="",$E$6+13,$C82))</f>
        <v>46256</v>
      </c>
      <c r="M82" s="1" t="n">
        <f aca="false">IF($L82="","",COUNTIFS($L$70:$L$120,"&lt;"&amp;$L82)+COUNTIFS($L$70:$L82,$L82))</f>
        <v>3</v>
      </c>
    </row>
    <row r="83" customFormat="false" ht="15" hidden="false" customHeight="true" outlineLevel="0" collapsed="false">
      <c r="B83" s="13" t="s">
        <v>178</v>
      </c>
      <c r="C83" s="100" t="n">
        <v>46256</v>
      </c>
      <c r="D83" s="101" t="str">
        <f aca="false">IF($B83="","","Expense")</f>
        <v>Expense</v>
      </c>
      <c r="E83" s="15" t="n">
        <v>38</v>
      </c>
      <c r="F83" s="102"/>
      <c r="G83" s="102"/>
      <c r="H83" s="103" t="n">
        <f aca="false">IF($B83="","",N($E83))</f>
        <v>38</v>
      </c>
      <c r="I83" s="104" t="n">
        <f aca="false">IF($B83="","",$I$68+SUMIFS($G$70:$G$120,$M$70:$M$120,"&lt;="&amp;$M83)-SUMIFS($H$70:$H$120,$M$70:$M$120,"&lt;="&amp;$M83))</f>
        <v>430.67</v>
      </c>
      <c r="J83" s="102"/>
      <c r="K83" s="96" t="str">
        <f aca="false">IF($B83="","","ACTUAL")</f>
        <v>ACTUAL</v>
      </c>
      <c r="L83" s="97" t="n">
        <f aca="false">IF($B83="","",IF($C83="",$E$6+13,$C83))</f>
        <v>46256</v>
      </c>
      <c r="M83" s="1" t="n">
        <f aca="false">IF($L83="","",COUNTIFS($L$70:$L$120,"&lt;"&amp;$L83)+COUNTIFS($L$70:$L83,$L83))</f>
        <v>4</v>
      </c>
    </row>
    <row r="84" customFormat="false" ht="15" hidden="false" customHeight="true" outlineLevel="0" collapsed="false">
      <c r="B84" s="13" t="s">
        <v>164</v>
      </c>
      <c r="C84" s="100" t="n">
        <v>46257</v>
      </c>
      <c r="D84" s="101" t="str">
        <f aca="false">IF($B84="","","Expense")</f>
        <v>Expense</v>
      </c>
      <c r="E84" s="15" t="n">
        <v>13.66</v>
      </c>
      <c r="F84" s="102"/>
      <c r="G84" s="102"/>
      <c r="H84" s="103" t="n">
        <f aca="false">IF($B84="","",N($E84))</f>
        <v>13.66</v>
      </c>
      <c r="I84" s="104" t="n">
        <f aca="false">IF($B84="","",$I$68+SUMIFS($G$70:$G$120,$M$70:$M$120,"&lt;="&amp;$M84)-SUMIFS($H$70:$H$120,$M$70:$M$120,"&lt;="&amp;$M84))</f>
        <v>99.6700000000001</v>
      </c>
      <c r="J84" s="102"/>
      <c r="K84" s="96" t="str">
        <f aca="false">IF($B84="","","ACTUAL")</f>
        <v>ACTUAL</v>
      </c>
      <c r="L84" s="97" t="n">
        <f aca="false">IF($B84="","",IF($C84="",$E$6+13,$C84))</f>
        <v>46257</v>
      </c>
      <c r="M84" s="1" t="n">
        <f aca="false">IF($L84="","",COUNTIFS($L$70:$L$120,"&lt;"&amp;$L84)+COUNTIFS($L$70:$L84,$L84))</f>
        <v>7</v>
      </c>
    </row>
    <row r="85" customFormat="false" ht="15" hidden="false" customHeight="true" outlineLevel="0" collapsed="false">
      <c r="B85" s="13" t="s">
        <v>179</v>
      </c>
      <c r="C85" s="100" t="n">
        <v>46257</v>
      </c>
      <c r="D85" s="101" t="str">
        <f aca="false">IF($B85="","","Expense")</f>
        <v>Expense</v>
      </c>
      <c r="E85" s="15" t="n">
        <v>5.82</v>
      </c>
      <c r="F85" s="102"/>
      <c r="G85" s="102"/>
      <c r="H85" s="103" t="n">
        <f aca="false">IF($B85="","",N($E85))</f>
        <v>5.82</v>
      </c>
      <c r="I85" s="104" t="n">
        <f aca="false">IF($B85="","",$I$68+SUMIFS($G$70:$G$120,$M$70:$M$120,"&lt;="&amp;$M85)-SUMIFS($H$70:$H$120,$M$70:$M$120,"&lt;="&amp;$M85))</f>
        <v>93.8500000000001</v>
      </c>
      <c r="J85" s="102"/>
      <c r="K85" s="96" t="str">
        <f aca="false">IF($B85="","","ACTUAL")</f>
        <v>ACTUAL</v>
      </c>
      <c r="L85" s="97" t="n">
        <f aca="false">IF($B85="","",IF($C85="",$E$6+13,$C85))</f>
        <v>46257</v>
      </c>
      <c r="M85" s="1" t="n">
        <f aca="false">IF($L85="","",COUNTIFS($L$70:$L$120,"&lt;"&amp;$L85)+COUNTIFS($L$70:$L85,$L85))</f>
        <v>8</v>
      </c>
    </row>
    <row r="86" customFormat="false" ht="15" hidden="false" customHeight="true" outlineLevel="0" collapsed="false">
      <c r="B86" s="13" t="s">
        <v>180</v>
      </c>
      <c r="C86" s="100" t="n">
        <v>46257</v>
      </c>
      <c r="D86" s="101" t="str">
        <f aca="false">IF($B86="","","Expense")</f>
        <v>Expense</v>
      </c>
      <c r="E86" s="15" t="n">
        <v>3.73</v>
      </c>
      <c r="F86" s="102"/>
      <c r="G86" s="102"/>
      <c r="H86" s="103" t="n">
        <f aca="false">IF($B86="","",N($E86))</f>
        <v>3.73</v>
      </c>
      <c r="I86" s="104" t="n">
        <f aca="false">IF($B86="","",$I$68+SUMIFS($G$70:$G$120,$M$70:$M$120,"&lt;="&amp;$M86)-SUMIFS($H$70:$H$120,$M$70:$M$120,"&lt;="&amp;$M86))</f>
        <v>90.1200000000001</v>
      </c>
      <c r="J86" s="102"/>
      <c r="K86" s="96" t="str">
        <f aca="false">IF($B86="","","ACTUAL")</f>
        <v>ACTUAL</v>
      </c>
      <c r="L86" s="97" t="n">
        <f aca="false">IF($B86="","",IF($C86="",$E$6+13,$C86))</f>
        <v>46257</v>
      </c>
      <c r="M86" s="1" t="n">
        <f aca="false">IF($L86="","",COUNTIFS($L$70:$L$120,"&lt;"&amp;$L86)+COUNTIFS($L$70:$L86,$L86))</f>
        <v>9</v>
      </c>
    </row>
    <row r="87" customFormat="false" ht="15" hidden="false" customHeight="true" outlineLevel="0" collapsed="false">
      <c r="B87" s="13" t="s">
        <v>181</v>
      </c>
      <c r="C87" s="100" t="n">
        <v>46257</v>
      </c>
      <c r="D87" s="101" t="str">
        <f aca="false">IF($B87="","","Expense")</f>
        <v>Expense</v>
      </c>
      <c r="E87" s="15" t="n">
        <v>39.24</v>
      </c>
      <c r="F87" s="102"/>
      <c r="G87" s="102"/>
      <c r="H87" s="103" t="n">
        <f aca="false">IF($B87="","",N($E87))</f>
        <v>39.24</v>
      </c>
      <c r="I87" s="104" t="n">
        <f aca="false">IF($B87="","",$I$68+SUMIFS($G$70:$G$120,$M$70:$M$120,"&lt;="&amp;$M87)-SUMIFS($H$70:$H$120,$M$70:$M$120,"&lt;="&amp;$M87))</f>
        <v>50.8800000000001</v>
      </c>
      <c r="J87" s="102"/>
      <c r="K87" s="96" t="str">
        <f aca="false">IF($B87="","","ACTUAL")</f>
        <v>ACTUAL</v>
      </c>
      <c r="L87" s="97" t="n">
        <f aca="false">IF($B87="","",IF($C87="",$E$6+13,$C87))</f>
        <v>46257</v>
      </c>
      <c r="M87" s="1" t="n">
        <f aca="false">IF($L87="","",COUNTIFS($L$70:$L$120,"&lt;"&amp;$L87)+COUNTIFS($L$70:$L87,$L87))</f>
        <v>10</v>
      </c>
    </row>
    <row r="88" customFormat="false" ht="15" hidden="false" customHeight="true" outlineLevel="0" collapsed="false">
      <c r="B88" s="13"/>
      <c r="C88" s="100"/>
      <c r="D88" s="101" t="str">
        <f aca="false">IF($B88="","","Expense")</f>
        <v/>
      </c>
      <c r="E88" s="15"/>
      <c r="F88" s="102"/>
      <c r="G88" s="102"/>
      <c r="H88" s="103" t="str">
        <f aca="false">IF($B88="","",N($E88))</f>
        <v/>
      </c>
      <c r="I88" s="104" t="str">
        <f aca="false">IF($B88="","",$I$68+SUMIFS($G$70:$G$120,$M$70:$M$120,"&lt;="&amp;$M88)-SUMIFS($H$70:$H$120,$M$70:$M$120,"&lt;="&amp;$M88))</f>
        <v/>
      </c>
      <c r="J88" s="102"/>
      <c r="K88" s="96" t="str">
        <f aca="false">IF($B88="","","ACTUAL")</f>
        <v/>
      </c>
      <c r="L88" s="97" t="str">
        <f aca="false">IF($B88="","",IF($C88="",$E$6+13,$C88))</f>
        <v/>
      </c>
      <c r="M88" s="1" t="str">
        <f aca="false">IF($L88="","",COUNTIFS($L$70:$L$120,"&lt;"&amp;$L88)+COUNTIFS($L$70:$L88,$L88))</f>
        <v/>
      </c>
    </row>
    <row r="89" customFormat="false" ht="15" hidden="false" customHeight="true" outlineLevel="0" collapsed="false">
      <c r="B89" s="13" t="s">
        <v>182</v>
      </c>
      <c r="C89" s="100" t="n">
        <v>46258</v>
      </c>
      <c r="D89" s="101" t="str">
        <f aca="false">IF($B89="","","Expense")</f>
        <v>Expense</v>
      </c>
      <c r="E89" s="15" t="n">
        <v>15.69</v>
      </c>
      <c r="F89" s="102"/>
      <c r="G89" s="102"/>
      <c r="H89" s="103" t="n">
        <f aca="false">IF($B89="","",N($E89))</f>
        <v>15.69</v>
      </c>
      <c r="I89" s="104" t="n">
        <f aca="false">IF($B89="","",$I$68+SUMIFS($G$70:$G$120,$M$70:$M$120,"&lt;="&amp;$M89)-SUMIFS($H$70:$H$120,$M$70:$M$120,"&lt;="&amp;$M89))</f>
        <v>135.19</v>
      </c>
      <c r="J89" s="102"/>
      <c r="K89" s="96" t="str">
        <f aca="false">IF($B89="","","ACTUAL")</f>
        <v>ACTUAL</v>
      </c>
      <c r="L89" s="97" t="n">
        <f aca="false">IF($B89="","",IF($C89="",$E$6+13,$C89))</f>
        <v>46258</v>
      </c>
      <c r="M89" s="1" t="n">
        <f aca="false">IF($L89="","",COUNTIFS($L$70:$L$120,"&lt;"&amp;$L89)+COUNTIFS($L$70:$L89,$L89))</f>
        <v>12</v>
      </c>
    </row>
    <row r="90" customFormat="false" ht="15" hidden="false" customHeight="true" outlineLevel="0" collapsed="false">
      <c r="B90" s="13" t="s">
        <v>183</v>
      </c>
      <c r="C90" s="100" t="n">
        <v>46258</v>
      </c>
      <c r="D90" s="101" t="str">
        <f aca="false">IF($B90="","","Expense")</f>
        <v>Expense</v>
      </c>
      <c r="E90" s="15" t="n">
        <v>11.11</v>
      </c>
      <c r="F90" s="102"/>
      <c r="G90" s="102"/>
      <c r="H90" s="103" t="n">
        <f aca="false">IF($B90="","",N($E90))</f>
        <v>11.11</v>
      </c>
      <c r="I90" s="104" t="n">
        <f aca="false">IF($B90="","",$I$68+SUMIFS($G$70:$G$120,$M$70:$M$120,"&lt;="&amp;$M90)-SUMIFS($H$70:$H$120,$M$70:$M$120,"&lt;="&amp;$M90))</f>
        <v>124.08</v>
      </c>
      <c r="J90" s="102"/>
      <c r="K90" s="96" t="str">
        <f aca="false">IF($B90="","","ACTUAL")</f>
        <v>ACTUAL</v>
      </c>
      <c r="L90" s="97" t="n">
        <f aca="false">IF($B90="","",IF($C90="",$E$6+13,$C90))</f>
        <v>46258</v>
      </c>
      <c r="M90" s="1" t="n">
        <f aca="false">IF($L90="","",COUNTIFS($L$70:$L$120,"&lt;"&amp;$L90)+COUNTIFS($L$70:$L90,$L90))</f>
        <v>13</v>
      </c>
    </row>
    <row r="91" customFormat="false" ht="15" hidden="false" customHeight="true" outlineLevel="0" collapsed="false">
      <c r="B91" s="13" t="s">
        <v>181</v>
      </c>
      <c r="C91" s="100" t="n">
        <v>46258</v>
      </c>
      <c r="D91" s="101" t="str">
        <f aca="false">IF($B91="","","Expense")</f>
        <v>Expense</v>
      </c>
      <c r="E91" s="15" t="n">
        <v>29.93</v>
      </c>
      <c r="F91" s="102"/>
      <c r="G91" s="102"/>
      <c r="H91" s="103" t="n">
        <f aca="false">IF($B91="","",N($E91))</f>
        <v>29.93</v>
      </c>
      <c r="I91" s="104" t="n">
        <f aca="false">IF($B91="","",$I$68+SUMIFS($G$70:$G$120,$M$70:$M$120,"&lt;="&amp;$M91)-SUMIFS($H$70:$H$120,$M$70:$M$120,"&lt;="&amp;$M91))</f>
        <v>94.1500000000001</v>
      </c>
      <c r="J91" s="102"/>
      <c r="K91" s="96" t="str">
        <f aca="false">IF($B91="","","ACTUAL")</f>
        <v>ACTUAL</v>
      </c>
      <c r="L91" s="97" t="n">
        <f aca="false">IF($B91="","",IF($C91="",$E$6+13,$C91))</f>
        <v>46258</v>
      </c>
      <c r="M91" s="1" t="n">
        <f aca="false">IF($L91="","",COUNTIFS($L$70:$L$120,"&lt;"&amp;$L91)+COUNTIFS($L$70:$L91,$L91))</f>
        <v>14</v>
      </c>
    </row>
    <row r="92" customFormat="false" ht="15" hidden="false" customHeight="true" outlineLevel="0" collapsed="false">
      <c r="B92" s="13" t="s">
        <v>167</v>
      </c>
      <c r="C92" s="100" t="n">
        <v>46259</v>
      </c>
      <c r="D92" s="101" t="str">
        <f aca="false">IF($B92="","","Expense")</f>
        <v>Expense</v>
      </c>
      <c r="E92" s="15" t="n">
        <v>9.91</v>
      </c>
      <c r="F92" s="102"/>
      <c r="G92" s="102"/>
      <c r="H92" s="103" t="n">
        <f aca="false">IF($B92="","",N($E92))</f>
        <v>9.91</v>
      </c>
      <c r="I92" s="104" t="n">
        <f aca="false">IF($B92="","",$I$68+SUMIFS($G$70:$G$120,$M$70:$M$120,"&lt;="&amp;$M92)-SUMIFS($H$70:$H$120,$M$70:$M$120,"&lt;="&amp;$M92))</f>
        <v>84.2400000000001</v>
      </c>
      <c r="J92" s="102"/>
      <c r="K92" s="96" t="str">
        <f aca="false">IF($B92="","","ACTUAL")</f>
        <v>ACTUAL</v>
      </c>
      <c r="L92" s="97" t="n">
        <f aca="false">IF($B92="","",IF($C92="",$E$6+13,$C92))</f>
        <v>46259</v>
      </c>
      <c r="M92" s="1" t="n">
        <f aca="false">IF($L92="","",COUNTIFS($L$70:$L$120,"&lt;"&amp;$L92)+COUNTIFS($L$70:$L92,$L92))</f>
        <v>15</v>
      </c>
    </row>
    <row r="93" customFormat="false" ht="15" hidden="false" customHeight="true" outlineLevel="0" collapsed="false">
      <c r="B93" s="13" t="s">
        <v>184</v>
      </c>
      <c r="C93" s="100" t="n">
        <v>46259</v>
      </c>
      <c r="D93" s="101" t="str">
        <f aca="false">IF($B93="","","Expense")</f>
        <v>Expense</v>
      </c>
      <c r="E93" s="15" t="n">
        <v>74.4</v>
      </c>
      <c r="F93" s="102"/>
      <c r="G93" s="102"/>
      <c r="H93" s="103" t="n">
        <f aca="false">IF($B93="","",N($E93))</f>
        <v>74.4</v>
      </c>
      <c r="I93" s="104" t="n">
        <f aca="false">IF($B93="","",$I$68+SUMIFS($G$70:$G$120,$M$70:$M$120,"&lt;="&amp;$M93)-SUMIFS($H$70:$H$120,$M$70:$M$120,"&lt;="&amp;$M93))</f>
        <v>9.84000000000003</v>
      </c>
      <c r="J93" s="102"/>
      <c r="K93" s="96" t="str">
        <f aca="false">IF($B93="","","ACTUAL")</f>
        <v>ACTUAL</v>
      </c>
      <c r="L93" s="97" t="n">
        <f aca="false">IF($B93="","",IF($C93="",$E$6+13,$C93))</f>
        <v>46259</v>
      </c>
      <c r="M93" s="1" t="n">
        <f aca="false">IF($L93="","",COUNTIFS($L$70:$L$120,"&lt;"&amp;$L93)+COUNTIFS($L$70:$L93,$L93))</f>
        <v>16</v>
      </c>
    </row>
    <row r="94" customFormat="false" ht="15" hidden="false" customHeight="true" outlineLevel="0" collapsed="false">
      <c r="B94" s="13" t="s">
        <v>185</v>
      </c>
      <c r="C94" s="100" t="n">
        <v>46259</v>
      </c>
      <c r="D94" s="101" t="str">
        <f aca="false">IF($B94="","","Expense")</f>
        <v>Expense</v>
      </c>
      <c r="E94" s="15" t="n">
        <v>4.05</v>
      </c>
      <c r="F94" s="102"/>
      <c r="G94" s="102"/>
      <c r="H94" s="103" t="n">
        <f aca="false">IF($B94="","",N($E94))</f>
        <v>4.05</v>
      </c>
      <c r="I94" s="104" t="n">
        <f aca="false">IF($B94="","",$I$68+SUMIFS($G$70:$G$120,$M$70:$M$120,"&lt;="&amp;$M94)-SUMIFS($H$70:$H$120,$M$70:$M$120,"&lt;="&amp;$M94))</f>
        <v>5.79000000000008</v>
      </c>
      <c r="J94" s="102"/>
      <c r="K94" s="96" t="str">
        <f aca="false">IF($B94="","","ACTUAL")</f>
        <v>ACTUAL</v>
      </c>
      <c r="L94" s="97" t="n">
        <f aca="false">IF($B94="","",IF($C94="",$E$6+13,$C94))</f>
        <v>46259</v>
      </c>
      <c r="M94" s="1" t="n">
        <f aca="false">IF($L94="","",COUNTIFS($L$70:$L$120,"&lt;"&amp;$L94)+COUNTIFS($L$70:$L94,$L94))</f>
        <v>17</v>
      </c>
    </row>
    <row r="95" customFormat="false" ht="15" hidden="false" customHeight="true" outlineLevel="0" collapsed="false">
      <c r="B95" s="13" t="s">
        <v>168</v>
      </c>
      <c r="C95" s="100" t="n">
        <v>46259</v>
      </c>
      <c r="D95" s="101" t="str">
        <f aca="false">IF($B95="","","Expense")</f>
        <v>Expense</v>
      </c>
      <c r="E95" s="15" t="n">
        <v>25.62</v>
      </c>
      <c r="F95" s="102"/>
      <c r="G95" s="102"/>
      <c r="H95" s="103" t="n">
        <f aca="false">IF($B95="","",N($E95))</f>
        <v>25.62</v>
      </c>
      <c r="I95" s="104" t="n">
        <f aca="false">IF($B95="","",$I$68+SUMIFS($G$70:$G$120,$M$70:$M$120,"&lt;="&amp;$M95)-SUMIFS($H$70:$H$120,$M$70:$M$120,"&lt;="&amp;$M95))</f>
        <v>-19.8299999999999</v>
      </c>
      <c r="J95" s="102"/>
      <c r="K95" s="96" t="str">
        <f aca="false">IF($B95="","","ACTUAL")</f>
        <v>ACTUAL</v>
      </c>
      <c r="L95" s="97" t="n">
        <f aca="false">IF($B95="","",IF($C95="",$E$6+13,$C95))</f>
        <v>46259</v>
      </c>
      <c r="M95" s="1" t="n">
        <f aca="false">IF($L95="","",COUNTIFS($L$70:$L$120,"&lt;"&amp;$L95)+COUNTIFS($L$70:$L95,$L95))</f>
        <v>18</v>
      </c>
    </row>
    <row r="96" customFormat="false" ht="15" hidden="false" customHeight="true" outlineLevel="0" collapsed="false">
      <c r="B96" s="13" t="s">
        <v>186</v>
      </c>
      <c r="C96" s="100" t="n">
        <v>46259</v>
      </c>
      <c r="D96" s="101" t="str">
        <f aca="false">IF($B96="","","Expense")</f>
        <v>Expense</v>
      </c>
      <c r="E96" s="15" t="n">
        <v>4</v>
      </c>
      <c r="F96" s="102"/>
      <c r="G96" s="102"/>
      <c r="H96" s="103" t="n">
        <f aca="false">IF($B96="","",N($E96))</f>
        <v>4</v>
      </c>
      <c r="I96" s="104" t="n">
        <f aca="false">IF($B96="","",$I$68+SUMIFS($G$70:$G$120,$M$70:$M$120,"&lt;="&amp;$M96)-SUMIFS($H$70:$H$120,$M$70:$M$120,"&lt;="&amp;$M96))</f>
        <v>-23.8299999999999</v>
      </c>
      <c r="J96" s="102"/>
      <c r="K96" s="96" t="str">
        <f aca="false">IF($B96="","","ACTUAL")</f>
        <v>ACTUAL</v>
      </c>
      <c r="L96" s="97" t="n">
        <f aca="false">IF($B96="","",IF($C96="",$E$6+13,$C96))</f>
        <v>46259</v>
      </c>
      <c r="M96" s="1" t="n">
        <f aca="false">IF($L96="","",COUNTIFS($L$70:$L$120,"&lt;"&amp;$L96)+COUNTIFS($L$70:$L96,$L96))</f>
        <v>19</v>
      </c>
    </row>
    <row r="97" customFormat="false" ht="15" hidden="false" customHeight="true" outlineLevel="0" collapsed="false">
      <c r="B97" s="13" t="s">
        <v>178</v>
      </c>
      <c r="C97" s="100" t="n">
        <v>46259</v>
      </c>
      <c r="D97" s="101" t="str">
        <f aca="false">IF($B97="","","Expense")</f>
        <v>Expense</v>
      </c>
      <c r="E97" s="15" t="n">
        <v>26</v>
      </c>
      <c r="F97" s="102"/>
      <c r="G97" s="102"/>
      <c r="H97" s="103" t="n">
        <f aca="false">IF($B97="","",N($E97))</f>
        <v>26</v>
      </c>
      <c r="I97" s="104" t="n">
        <f aca="false">IF($B97="","",$I$68+SUMIFS($G$70:$G$120,$M$70:$M$120,"&lt;="&amp;$M97)-SUMIFS($H$70:$H$120,$M$70:$M$120,"&lt;="&amp;$M97))</f>
        <v>-49.8299999999999</v>
      </c>
      <c r="J97" s="102"/>
      <c r="K97" s="96" t="str">
        <f aca="false">IF($B97="","","ACTUAL")</f>
        <v>ACTUAL</v>
      </c>
      <c r="L97" s="97" t="n">
        <f aca="false">IF($B97="","",IF($C97="",$E$6+13,$C97))</f>
        <v>46259</v>
      </c>
      <c r="M97" s="1" t="n">
        <f aca="false">IF($L97="","",COUNTIFS($L$70:$L$120,"&lt;"&amp;$L97)+COUNTIFS($L$70:$L97,$L97))</f>
        <v>20</v>
      </c>
    </row>
    <row r="98" customFormat="false" ht="15" hidden="false" customHeight="true" outlineLevel="0" collapsed="false">
      <c r="B98" s="13" t="s">
        <v>167</v>
      </c>
      <c r="C98" s="100" t="n">
        <v>46260</v>
      </c>
      <c r="D98" s="101" t="str">
        <f aca="false">IF($B98="","","Expense")</f>
        <v>Expense</v>
      </c>
      <c r="E98" s="15" t="n">
        <v>10.43</v>
      </c>
      <c r="F98" s="102"/>
      <c r="G98" s="102"/>
      <c r="H98" s="103" t="n">
        <f aca="false">IF($B98="","",N($E98))</f>
        <v>10.43</v>
      </c>
      <c r="I98" s="104" t="n">
        <f aca="false">IF($B98="","",$I$68+SUMIFS($G$70:$G$120,$M$70:$M$120,"&lt;="&amp;$M98)-SUMIFS($H$70:$H$120,$M$70:$M$120,"&lt;="&amp;$M98))</f>
        <v>89.4700000000001</v>
      </c>
      <c r="J98" s="102"/>
      <c r="K98" s="96" t="str">
        <f aca="false">IF($B98="","","ACTUAL")</f>
        <v>ACTUAL</v>
      </c>
      <c r="L98" s="97" t="n">
        <f aca="false">IF($B98="","",IF($C98="",$E$6+13,$C98))</f>
        <v>46260</v>
      </c>
      <c r="M98" s="1" t="n">
        <f aca="false">IF($L98="","",COUNTIFS($L$70:$L$120,"&lt;"&amp;$L98)+COUNTIFS($L$70:$L98,$L98))</f>
        <v>22</v>
      </c>
    </row>
    <row r="99" customFormat="false" ht="15" hidden="false" customHeight="true" outlineLevel="0" collapsed="false">
      <c r="B99" s="13" t="s">
        <v>187</v>
      </c>
      <c r="C99" s="100" t="n">
        <v>46260</v>
      </c>
      <c r="D99" s="101" t="str">
        <f aca="false">IF($B99="","","Expense")</f>
        <v>Expense</v>
      </c>
      <c r="E99" s="15" t="n">
        <v>20.31</v>
      </c>
      <c r="F99" s="102"/>
      <c r="G99" s="102"/>
      <c r="H99" s="103" t="n">
        <f aca="false">IF($B99="","",N($E99))</f>
        <v>20.31</v>
      </c>
      <c r="I99" s="104" t="n">
        <f aca="false">IF($B99="","",$I$68+SUMIFS($G$70:$G$120,$M$70:$M$120,"&lt;="&amp;$M99)-SUMIFS($H$70:$H$120,$M$70:$M$120,"&lt;="&amp;$M99))</f>
        <v>69.1600000000001</v>
      </c>
      <c r="J99" s="102"/>
      <c r="K99" s="96" t="str">
        <f aca="false">IF($B99="","","ACTUAL")</f>
        <v>ACTUAL</v>
      </c>
      <c r="L99" s="97" t="n">
        <f aca="false">IF($B99="","",IF($C99="",$E$6+13,$C99))</f>
        <v>46260</v>
      </c>
      <c r="M99" s="1" t="n">
        <f aca="false">IF($L99="","",COUNTIFS($L$70:$L$120,"&lt;"&amp;$L99)+COUNTIFS($L$70:$L99,$L99))</f>
        <v>23</v>
      </c>
    </row>
    <row r="100" customFormat="false" ht="15" hidden="false" customHeight="true" outlineLevel="0" collapsed="false">
      <c r="B100" s="13" t="s">
        <v>188</v>
      </c>
      <c r="C100" s="100" t="n">
        <v>46260</v>
      </c>
      <c r="D100" s="101" t="str">
        <f aca="false">IF($B100="","","Expense")</f>
        <v>Expense</v>
      </c>
      <c r="E100" s="15" t="n">
        <v>11.59</v>
      </c>
      <c r="F100" s="102"/>
      <c r="G100" s="102"/>
      <c r="H100" s="103" t="n">
        <f aca="false">IF($B100="","",N($E100))</f>
        <v>11.59</v>
      </c>
      <c r="I100" s="104" t="n">
        <f aca="false">IF($B100="","",$I$68+SUMIFS($G$70:$G$120,$M$70:$M$120,"&lt;="&amp;$M100)-SUMIFS($H$70:$H$120,$M$70:$M$120,"&lt;="&amp;$M100))</f>
        <v>57.5700000000002</v>
      </c>
      <c r="J100" s="102"/>
      <c r="K100" s="96" t="str">
        <f aca="false">IF($B100="","","ACTUAL")</f>
        <v>ACTUAL</v>
      </c>
      <c r="L100" s="97" t="n">
        <f aca="false">IF($B100="","",IF($C100="",$E$6+13,$C100))</f>
        <v>46260</v>
      </c>
      <c r="M100" s="1" t="n">
        <f aca="false">IF($L100="","",COUNTIFS($L$70:$L$120,"&lt;"&amp;$L100)+COUNTIFS($L$70:$L100,$L100))</f>
        <v>24</v>
      </c>
    </row>
    <row r="101" customFormat="false" ht="15" hidden="false" customHeight="true" outlineLevel="0" collapsed="false">
      <c r="B101" s="13" t="s">
        <v>186</v>
      </c>
      <c r="C101" s="100" t="n">
        <v>46260</v>
      </c>
      <c r="D101" s="101" t="str">
        <f aca="false">IF($B101="","","Expense")</f>
        <v>Expense</v>
      </c>
      <c r="E101" s="15" t="n">
        <v>8.5</v>
      </c>
      <c r="F101" s="102"/>
      <c r="G101" s="102"/>
      <c r="H101" s="103" t="n">
        <f aca="false">IF($B101="","",N($E101))</f>
        <v>8.5</v>
      </c>
      <c r="I101" s="104" t="n">
        <f aca="false">IF($B101="","",$I$68+SUMIFS($G$70:$G$120,$M$70:$M$120,"&lt;="&amp;$M101)-SUMIFS($H$70:$H$120,$M$70:$M$120,"&lt;="&amp;$M101))</f>
        <v>49.0700000000002</v>
      </c>
      <c r="J101" s="102"/>
      <c r="K101" s="96" t="str">
        <f aca="false">IF($B101="","","ACTUAL")</f>
        <v>ACTUAL</v>
      </c>
      <c r="L101" s="97" t="n">
        <f aca="false">IF($B101="","",IF($C101="",$E$6+13,$C101))</f>
        <v>46260</v>
      </c>
      <c r="M101" s="1" t="n">
        <f aca="false">IF($L101="","",COUNTIFS($L$70:$L$120,"&lt;"&amp;$L101)+COUNTIFS($L$70:$L101,$L101))</f>
        <v>25</v>
      </c>
    </row>
    <row r="102" customFormat="false" ht="15" hidden="false" customHeight="true" outlineLevel="0" collapsed="false">
      <c r="B102" s="13" t="s">
        <v>167</v>
      </c>
      <c r="C102" s="100" t="n">
        <v>46261</v>
      </c>
      <c r="D102" s="101" t="str">
        <f aca="false">IF($B102="","","Expense")</f>
        <v>Expense</v>
      </c>
      <c r="E102" s="15" t="n">
        <v>13.7</v>
      </c>
      <c r="F102" s="102"/>
      <c r="G102" s="102"/>
      <c r="H102" s="103" t="n">
        <f aca="false">IF($B102="","",N($E102))</f>
        <v>13.7</v>
      </c>
      <c r="I102" s="104" t="n">
        <f aca="false">IF($B102="","",$I$68+SUMIFS($G$70:$G$120,$M$70:$M$120,"&lt;="&amp;$M102)-SUMIFS($H$70:$H$120,$M$70:$M$120,"&lt;="&amp;$M102))</f>
        <v>-72.6199999999999</v>
      </c>
      <c r="J102" s="102"/>
      <c r="K102" s="96" t="str">
        <f aca="false">IF($B102="","","ACTUAL")</f>
        <v>ACTUAL</v>
      </c>
      <c r="L102" s="97" t="n">
        <f aca="false">IF($B102="","",IF($C102="",$E$6+13,$C102))</f>
        <v>46261</v>
      </c>
      <c r="M102" s="1" t="n">
        <f aca="false">IF($L102="","",COUNTIFS($L$70:$L$120,"&lt;"&amp;$L102)+COUNTIFS($L$70:$L102,$L102))</f>
        <v>27</v>
      </c>
    </row>
    <row r="103" customFormat="false" ht="15" hidden="false" customHeight="true" outlineLevel="0" collapsed="false">
      <c r="B103" s="13" t="s">
        <v>189</v>
      </c>
      <c r="C103" s="100" t="n">
        <v>46261</v>
      </c>
      <c r="D103" s="101" t="str">
        <f aca="false">IF($B103="","","Expense")</f>
        <v>Expense</v>
      </c>
      <c r="E103" s="15" t="n">
        <v>15.11</v>
      </c>
      <c r="F103" s="102"/>
      <c r="G103" s="102"/>
      <c r="H103" s="103" t="n">
        <f aca="false">IF($B103="","",N($E103))</f>
        <v>15.11</v>
      </c>
      <c r="I103" s="104" t="n">
        <f aca="false">IF($B103="","",$I$68+SUMIFS($G$70:$G$120,$M$70:$M$120,"&lt;="&amp;$M103)-SUMIFS($H$70:$H$120,$M$70:$M$120,"&lt;="&amp;$M103))</f>
        <v>-87.7299999999999</v>
      </c>
      <c r="J103" s="102"/>
      <c r="K103" s="96" t="str">
        <f aca="false">IF($B103="","","ACTUAL")</f>
        <v>ACTUAL</v>
      </c>
      <c r="L103" s="97" t="n">
        <f aca="false">IF($B103="","",IF($C103="",$E$6+13,$C103))</f>
        <v>46261</v>
      </c>
      <c r="M103" s="1" t="n">
        <f aca="false">IF($L103="","",COUNTIFS($L$70:$L$120,"&lt;"&amp;$L103)+COUNTIFS($L$70:$L103,$L103))</f>
        <v>28</v>
      </c>
    </row>
    <row r="104" customFormat="false" ht="15" hidden="false" customHeight="true" outlineLevel="0" collapsed="false">
      <c r="B104" s="13" t="s">
        <v>190</v>
      </c>
      <c r="C104" s="100" t="n">
        <v>46261</v>
      </c>
      <c r="D104" s="101" t="str">
        <f aca="false">IF($B104="","","Expense")</f>
        <v>Expense</v>
      </c>
      <c r="E104" s="15" t="n">
        <v>100</v>
      </c>
      <c r="F104" s="102"/>
      <c r="G104" s="102"/>
      <c r="H104" s="103" t="n">
        <f aca="false">IF($B104="","",N($E104))</f>
        <v>100</v>
      </c>
      <c r="I104" s="104" t="n">
        <f aca="false">IF($B104="","",$I$68+SUMIFS($G$70:$G$120,$M$70:$M$120,"&lt;="&amp;$M104)-SUMIFS($H$70:$H$120,$M$70:$M$120,"&lt;="&amp;$M104))</f>
        <v>-187.73</v>
      </c>
      <c r="J104" s="102"/>
      <c r="K104" s="96" t="str">
        <f aca="false">IF($B104="","","ACTUAL")</f>
        <v>ACTUAL</v>
      </c>
      <c r="L104" s="97" t="n">
        <f aca="false">IF($B104="","",IF($C104="",$E$6+13,$C104))</f>
        <v>46261</v>
      </c>
      <c r="M104" s="1" t="n">
        <f aca="false">IF($L104="","",COUNTIFS($L$70:$L$120,"&lt;"&amp;$L104)+COUNTIFS($L$70:$L104,$L104))</f>
        <v>29</v>
      </c>
    </row>
    <row r="105" customFormat="false" ht="15" hidden="false" customHeight="true" outlineLevel="0" collapsed="false">
      <c r="B105" s="13" t="s">
        <v>168</v>
      </c>
      <c r="C105" s="100" t="n">
        <v>46261</v>
      </c>
      <c r="D105" s="101" t="str">
        <f aca="false">IF($B105="","","Expense")</f>
        <v>Expense</v>
      </c>
      <c r="E105" s="15" t="n">
        <v>25.6</v>
      </c>
      <c r="F105" s="102"/>
      <c r="G105" s="102"/>
      <c r="H105" s="103" t="n">
        <f aca="false">IF($B105="","",N($E105))</f>
        <v>25.6</v>
      </c>
      <c r="I105" s="104" t="n">
        <f aca="false">IF($B105="","",$I$68+SUMIFS($G$70:$G$120,$M$70:$M$120,"&lt;="&amp;$M105)-SUMIFS($H$70:$H$120,$M$70:$M$120,"&lt;="&amp;$M105))</f>
        <v>-213.33</v>
      </c>
      <c r="J105" s="102"/>
      <c r="K105" s="96" t="str">
        <f aca="false">IF($B105="","","ACTUAL")</f>
        <v>ACTUAL</v>
      </c>
      <c r="L105" s="97" t="n">
        <f aca="false">IF($B105="","",IF($C105="",$E$6+13,$C105))</f>
        <v>46261</v>
      </c>
      <c r="M105" s="1" t="n">
        <f aca="false">IF($L105="","",COUNTIFS($L$70:$L$120,"&lt;"&amp;$L105)+COUNTIFS($L$70:$L105,$L105))</f>
        <v>30</v>
      </c>
    </row>
    <row r="106" customFormat="false" ht="15" hidden="false" customHeight="true" outlineLevel="0" collapsed="false">
      <c r="B106" s="13" t="s">
        <v>170</v>
      </c>
      <c r="C106" s="100" t="n">
        <v>46261</v>
      </c>
      <c r="D106" s="101" t="str">
        <f aca="false">IF($B106="","","Expense")</f>
        <v>Expense</v>
      </c>
      <c r="E106" s="15" t="n">
        <v>13.75</v>
      </c>
      <c r="F106" s="102"/>
      <c r="G106" s="102"/>
      <c r="H106" s="103" t="n">
        <f aca="false">IF($B106="","",N($E106))</f>
        <v>13.75</v>
      </c>
      <c r="I106" s="104" t="n">
        <f aca="false">IF($B106="","",$I$68+SUMIFS($G$70:$G$120,$M$70:$M$120,"&lt;="&amp;$M106)-SUMIFS($H$70:$H$120,$M$70:$M$120,"&lt;="&amp;$M106))</f>
        <v>-227.08</v>
      </c>
      <c r="J106" s="102"/>
      <c r="K106" s="96" t="str">
        <f aca="false">IF($B106="","","ACTUAL")</f>
        <v>ACTUAL</v>
      </c>
      <c r="L106" s="97" t="n">
        <f aca="false">IF($B106="","",IF($C106="",$E$6+13,$C106))</f>
        <v>46261</v>
      </c>
      <c r="M106" s="1" t="n">
        <f aca="false">IF($L106="","",COUNTIFS($L$70:$L$120,"&lt;"&amp;$L106)+COUNTIFS($L$70:$L106,$L106))</f>
        <v>31</v>
      </c>
    </row>
    <row r="107" customFormat="false" ht="15" hidden="false" customHeight="true" outlineLevel="0" collapsed="false">
      <c r="B107" s="13" t="s">
        <v>191</v>
      </c>
      <c r="C107" s="100" t="n">
        <v>46261</v>
      </c>
      <c r="D107" s="101" t="str">
        <f aca="false">IF($B107="","","Expense")</f>
        <v>Expense</v>
      </c>
      <c r="E107" s="15" t="n">
        <v>8.19</v>
      </c>
      <c r="F107" s="102"/>
      <c r="G107" s="102"/>
      <c r="H107" s="103" t="n">
        <f aca="false">IF($B107="","",N($E107))</f>
        <v>8.19</v>
      </c>
      <c r="I107" s="104" t="n">
        <f aca="false">IF($B107="","",$I$68+SUMIFS($G$70:$G$120,$M$70:$M$120,"&lt;="&amp;$M107)-SUMIFS($H$70:$H$120,$M$70:$M$120,"&lt;="&amp;$M107))</f>
        <v>-235.27</v>
      </c>
      <c r="J107" s="102"/>
      <c r="K107" s="96" t="str">
        <f aca="false">IF($B107="","","ACTUAL")</f>
        <v>ACTUAL</v>
      </c>
      <c r="L107" s="97" t="n">
        <f aca="false">IF($B107="","",IF($C107="",$E$6+13,$C107))</f>
        <v>46261</v>
      </c>
      <c r="M107" s="1" t="n">
        <f aca="false">IF($L107="","",COUNTIFS($L$70:$L$120,"&lt;"&amp;$L107)+COUNTIFS($L$70:$L107,$L107))</f>
        <v>32</v>
      </c>
    </row>
    <row r="108" customFormat="false" ht="15" hidden="false" customHeight="true" outlineLevel="0" collapsed="false">
      <c r="B108" s="13" t="s">
        <v>192</v>
      </c>
      <c r="C108" s="100" t="n">
        <v>46262</v>
      </c>
      <c r="D108" s="101" t="str">
        <f aca="false">IF($B108="","","Expense")</f>
        <v>Expense</v>
      </c>
      <c r="E108" s="15" t="n">
        <v>18</v>
      </c>
      <c r="F108" s="102"/>
      <c r="G108" s="102"/>
      <c r="H108" s="103" t="n">
        <f aca="false">IF($B108="","",N($E108))</f>
        <v>18</v>
      </c>
      <c r="I108" s="104" t="n">
        <f aca="false">IF($B108="","",$I$68+SUMIFS($G$70:$G$120,$M$70:$M$120,"&lt;="&amp;$M108)-SUMIFS($H$70:$H$120,$M$70:$M$120,"&lt;="&amp;$M108))</f>
        <v>549.38</v>
      </c>
      <c r="J108" s="102"/>
      <c r="K108" s="96" t="str">
        <f aca="false">IF($B108="","","ACTUAL")</f>
        <v>ACTUAL</v>
      </c>
      <c r="L108" s="97" t="n">
        <f aca="false">IF($B108="","",IF($C108="",$E$6+13,$C108))</f>
        <v>46262</v>
      </c>
      <c r="M108" s="1" t="n">
        <f aca="false">IF($L108="","",COUNTIFS($L$70:$L$120,"&lt;"&amp;$L108)+COUNTIFS($L$70:$L108,$L108))</f>
        <v>34</v>
      </c>
    </row>
    <row r="109" customFormat="false" ht="15" hidden="false" customHeight="true" outlineLevel="0" collapsed="false">
      <c r="B109" s="13" t="s">
        <v>169</v>
      </c>
      <c r="C109" s="100" t="n">
        <v>46262</v>
      </c>
      <c r="D109" s="101" t="str">
        <f aca="false">IF($B109="","","Expense")</f>
        <v>Expense</v>
      </c>
      <c r="E109" s="15" t="n">
        <v>374.41</v>
      </c>
      <c r="F109" s="102"/>
      <c r="G109" s="102"/>
      <c r="H109" s="103" t="n">
        <f aca="false">IF($B109="","",N($E109))</f>
        <v>374.41</v>
      </c>
      <c r="I109" s="104" t="n">
        <f aca="false">IF($B109="","",$I$68+SUMIFS($G$70:$G$120,$M$70:$M$120,"&lt;="&amp;$M109)-SUMIFS($H$70:$H$120,$M$70:$M$120,"&lt;="&amp;$M109))</f>
        <v>174.97</v>
      </c>
      <c r="J109" s="102"/>
      <c r="K109" s="96" t="str">
        <f aca="false">IF($B109="","","ACTUAL")</f>
        <v>ACTUAL</v>
      </c>
      <c r="L109" s="97" t="n">
        <f aca="false">IF($B109="","",IF($C109="",$E$6+13,$C109))</f>
        <v>46262</v>
      </c>
      <c r="M109" s="1" t="n">
        <f aca="false">IF($L109="","",COUNTIFS($L$70:$L$120,"&lt;"&amp;$L109)+COUNTIFS($L$70:$L109,$L109))</f>
        <v>35</v>
      </c>
    </row>
    <row r="110" customFormat="false" ht="15" hidden="false" customHeight="true" outlineLevel="0" collapsed="false">
      <c r="B110" s="13" t="s">
        <v>167</v>
      </c>
      <c r="C110" s="100" t="n">
        <v>46262</v>
      </c>
      <c r="D110" s="101" t="str">
        <f aca="false">IF($B110="","","Expense")</f>
        <v>Expense</v>
      </c>
      <c r="E110" s="15" t="n">
        <v>10.43</v>
      </c>
      <c r="F110" s="102"/>
      <c r="G110" s="102"/>
      <c r="H110" s="103" t="n">
        <f aca="false">IF($B110="","",N($E110))</f>
        <v>10.43</v>
      </c>
      <c r="I110" s="104" t="n">
        <f aca="false">IF($B110="","",$I$68+SUMIFS($G$70:$G$120,$M$70:$M$120,"&lt;="&amp;$M110)-SUMIFS($H$70:$H$120,$M$70:$M$120,"&lt;="&amp;$M110))</f>
        <v>164.54</v>
      </c>
      <c r="J110" s="102"/>
      <c r="K110" s="96" t="str">
        <f aca="false">IF($B110="","","ACTUAL")</f>
        <v>ACTUAL</v>
      </c>
      <c r="L110" s="97" t="n">
        <f aca="false">IF($B110="","",IF($C110="",$E$6+13,$C110))</f>
        <v>46262</v>
      </c>
      <c r="M110" s="1" t="n">
        <f aca="false">IF($L110="","",COUNTIFS($L$70:$L$120,"&lt;"&amp;$L110)+COUNTIFS($L$70:$L110,$L110))</f>
        <v>36</v>
      </c>
    </row>
    <row r="111" customFormat="false" ht="15" hidden="false" customHeight="true" outlineLevel="0" collapsed="false">
      <c r="B111" s="13" t="s">
        <v>185</v>
      </c>
      <c r="C111" s="100" t="n">
        <v>46262</v>
      </c>
      <c r="D111" s="101" t="str">
        <f aca="false">IF($B111="","","Expense")</f>
        <v>Expense</v>
      </c>
      <c r="E111" s="15" t="n">
        <v>10</v>
      </c>
      <c r="F111" s="102"/>
      <c r="G111" s="102"/>
      <c r="H111" s="103" t="n">
        <f aca="false">IF($B111="","",N($E111))</f>
        <v>10</v>
      </c>
      <c r="I111" s="104" t="n">
        <f aca="false">IF($B111="","",$I$68+SUMIFS($G$70:$G$120,$M$70:$M$120,"&lt;="&amp;$M111)-SUMIFS($H$70:$H$120,$M$70:$M$120,"&lt;="&amp;$M111))</f>
        <v>154.54</v>
      </c>
      <c r="J111" s="102"/>
      <c r="K111" s="96" t="str">
        <f aca="false">IF($B111="","","ACTUAL")</f>
        <v>ACTUAL</v>
      </c>
      <c r="L111" s="97" t="n">
        <f aca="false">IF($B111="","",IF($C111="",$E$6+13,$C111))</f>
        <v>46262</v>
      </c>
      <c r="M111" s="1" t="n">
        <f aca="false">IF($L111="","",COUNTIFS($L$70:$L$120,"&lt;"&amp;$L111)+COUNTIFS($L$70:$L111,$L111))</f>
        <v>37</v>
      </c>
    </row>
    <row r="112" customFormat="false" ht="15" hidden="false" customHeight="true" outlineLevel="0" collapsed="false">
      <c r="B112" s="13"/>
      <c r="C112" s="100"/>
      <c r="D112" s="101" t="str">
        <f aca="false">IF($B112="","","Expense")</f>
        <v/>
      </c>
      <c r="E112" s="15"/>
      <c r="F112" s="102"/>
      <c r="G112" s="102"/>
      <c r="H112" s="103" t="str">
        <f aca="false">IF($B112="","",N($E112))</f>
        <v/>
      </c>
      <c r="I112" s="104" t="str">
        <f aca="false">IF($B112="","",$I$68+SUMIFS($G$70:$G$120,$M$70:$M$120,"&lt;="&amp;$M112)-SUMIFS($H$70:$H$120,$M$70:$M$120,"&lt;="&amp;$M112))</f>
        <v/>
      </c>
      <c r="J112" s="102"/>
      <c r="K112" s="96"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100"/>
      <c r="D113" s="101" t="str">
        <f aca="false">IF($B113="","","Expense")</f>
        <v/>
      </c>
      <c r="E113" s="15"/>
      <c r="F113" s="102"/>
      <c r="G113" s="102"/>
      <c r="H113" s="103" t="str">
        <f aca="false">IF($B113="","",N($E113))</f>
        <v/>
      </c>
      <c r="I113" s="104" t="str">
        <f aca="false">IF($B113="","",$I$68+SUMIFS($G$70:$G$120,$M$70:$M$120,"&lt;="&amp;$M113)-SUMIFS($H$70:$H$120,$M$70:$M$120,"&lt;="&amp;$M113))</f>
        <v/>
      </c>
      <c r="J113" s="102"/>
      <c r="K113" s="96"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100"/>
      <c r="D114" s="101" t="str">
        <f aca="false">IF($B114="","","Expense")</f>
        <v/>
      </c>
      <c r="E114" s="15"/>
      <c r="F114" s="102"/>
      <c r="G114" s="102"/>
      <c r="H114" s="103" t="str">
        <f aca="false">IF($B114="","",N($E114))</f>
        <v/>
      </c>
      <c r="I114" s="104" t="str">
        <f aca="false">IF($B114="","",$I$68+SUMIFS($G$70:$G$120,$M$70:$M$120,"&lt;="&amp;$M114)-SUMIFS($H$70:$H$120,$M$70:$M$120,"&lt;="&amp;$M114))</f>
        <v/>
      </c>
      <c r="J114" s="102"/>
      <c r="K114" s="96"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100"/>
      <c r="D115" s="101" t="str">
        <f aca="false">IF($B115="","","Expense")</f>
        <v/>
      </c>
      <c r="E115" s="15"/>
      <c r="F115" s="102"/>
      <c r="G115" s="102"/>
      <c r="H115" s="103" t="str">
        <f aca="false">IF($B115="","",N($E115))</f>
        <v/>
      </c>
      <c r="I115" s="104" t="str">
        <f aca="false">IF($B115="","",$I$68+SUMIFS($G$70:$G$120,$M$70:$M$120,"&lt;="&amp;$M115)-SUMIFS($H$70:$H$120,$M$70:$M$120,"&lt;="&amp;$M115))</f>
        <v/>
      </c>
      <c r="J115" s="102"/>
      <c r="K115" s="96"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100"/>
      <c r="D116" s="101" t="str">
        <f aca="false">IF($B116="","","Expense")</f>
        <v/>
      </c>
      <c r="E116" s="15"/>
      <c r="F116" s="102"/>
      <c r="G116" s="102"/>
      <c r="H116" s="103" t="str">
        <f aca="false">IF($B116="","",N($E116))</f>
        <v/>
      </c>
      <c r="I116" s="104" t="str">
        <f aca="false">IF($B116="","",$I$68+SUMIFS($G$70:$G$120,$M$70:$M$120,"&lt;="&amp;$M116)-SUMIFS($H$70:$H$120,$M$70:$M$120,"&lt;="&amp;$M116))</f>
        <v/>
      </c>
      <c r="J116" s="102"/>
      <c r="K116" s="96"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100"/>
      <c r="D117" s="101" t="str">
        <f aca="false">IF($B117="","","Expense")</f>
        <v/>
      </c>
      <c r="E117" s="15"/>
      <c r="F117" s="102"/>
      <c r="G117" s="102"/>
      <c r="H117" s="103" t="str">
        <f aca="false">IF($B117="","",N($E117))</f>
        <v/>
      </c>
      <c r="I117" s="104" t="str">
        <f aca="false">IF($B117="","",$I$68+SUMIFS($G$70:$G$120,$M$70:$M$120,"&lt;="&amp;$M117)-SUMIFS($H$70:$H$120,$M$70:$M$120,"&lt;="&amp;$M117))</f>
        <v/>
      </c>
      <c r="J117" s="102"/>
      <c r="K117" s="96"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100"/>
      <c r="D118" s="101" t="str">
        <f aca="false">IF($B118="","","Expense")</f>
        <v/>
      </c>
      <c r="E118" s="15"/>
      <c r="F118" s="102"/>
      <c r="G118" s="102"/>
      <c r="H118" s="103" t="str">
        <f aca="false">IF($B118="","",N($E118))</f>
        <v/>
      </c>
      <c r="I118" s="104" t="str">
        <f aca="false">IF($B118="","",$I$68+SUMIFS($G$70:$G$120,$M$70:$M$120,"&lt;="&amp;$M118)-SUMIFS($H$70:$H$120,$M$70:$M$120,"&lt;="&amp;$M118))</f>
        <v/>
      </c>
      <c r="J118" s="102"/>
      <c r="K118" s="96"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100"/>
      <c r="D119" s="101" t="str">
        <f aca="false">IF($B119="","","Expense")</f>
        <v/>
      </c>
      <c r="E119" s="15"/>
      <c r="F119" s="102"/>
      <c r="G119" s="102"/>
      <c r="H119" s="103" t="str">
        <f aca="false">IF($B119="","",N($E119))</f>
        <v/>
      </c>
      <c r="I119" s="104" t="str">
        <f aca="false">IF($B119="","",$I$68+SUMIFS($G$70:$G$120,$M$70:$M$120,"&lt;="&amp;$M119)-SUMIFS($H$70:$H$120,$M$70:$M$120,"&lt;="&amp;$M119))</f>
        <v/>
      </c>
      <c r="J119" s="102"/>
      <c r="K119" s="96" t="str">
        <f aca="false">IF($B119="","","ACTUAL")</f>
        <v/>
      </c>
      <c r="L119" s="1" t="str">
        <f aca="false">IF($B119="","",IF($C119="",$E$6+13,$C119))</f>
        <v/>
      </c>
      <c r="M119" s="1" t="str">
        <f aca="false">IF($L119="","",COUNTIFS($L$70:$L$120,"&lt;"&amp;$L119)+COUNTIFS($L$70:$L119,$L119))</f>
        <v/>
      </c>
    </row>
    <row r="120" customFormat="false" ht="15" hidden="false" customHeight="true" outlineLevel="0" collapsed="false">
      <c r="B120" s="105" t="str">
        <f aca="false">"Everyday spending still expected this week"</f>
        <v>Everyday spending still expected this week</v>
      </c>
      <c r="C120" s="106" t="n">
        <f aca="false">$E$6+13</f>
        <v>46262</v>
      </c>
      <c r="D120" s="101" t="str">
        <f aca="false">IF($B120="","","Expense")</f>
        <v>Expense</v>
      </c>
      <c r="E120" s="107" t="n">
        <f aca="false">MAX(0,$E$8-SUM($E$81:$E$119))</f>
        <v>0</v>
      </c>
      <c r="F120" s="102"/>
      <c r="G120" s="102"/>
      <c r="H120" s="103" t="n">
        <f aca="false">IF($B120="","",N($E120))</f>
        <v>0</v>
      </c>
      <c r="I120" s="104" t="n">
        <f aca="false">IF($B120="","",$I$68+SUMIFS($G$70:$G$120,$M$70:$M$120,"&lt;="&amp;$M120)-SUMIFS($H$70:$H$120,$M$70:$M$120,"&lt;="&amp;$M120))</f>
        <v>154.54</v>
      </c>
      <c r="J120" s="102"/>
      <c r="K120" s="96" t="str">
        <f aca="false">"FORECAST"</f>
        <v>FORECAST</v>
      </c>
      <c r="L120" s="97" t="n">
        <f aca="false">IF($B120="","",IF($C120="",$E$6+13,$C120))</f>
        <v>46262</v>
      </c>
      <c r="M120" s="1" t="n">
        <f aca="false">IF($L120="","",COUNTIFS($L$70:$L$120,"&lt;"&amp;$L120)+COUNTIFS($L$70:$L120,$L120))</f>
        <v>38</v>
      </c>
    </row>
    <row r="121" customFormat="false" ht="15" hidden="false" customHeight="true" outlineLevel="0" collapsed="false">
      <c r="B121" s="108" t="s">
        <v>193</v>
      </c>
      <c r="C121" s="58"/>
      <c r="D121" s="58"/>
      <c r="E121" s="58"/>
      <c r="F121" s="58"/>
      <c r="G121" s="57" t="n">
        <f aca="false">SUM($G$70:$G$120)</f>
        <v>1052.38</v>
      </c>
      <c r="H121" s="57" t="n">
        <f aca="false">SUM($H$70:$H$120)</f>
        <v>1410.5</v>
      </c>
      <c r="I121" s="109" t="n">
        <f aca="false">$I$68+$G$121-$H$121</f>
        <v>154.54</v>
      </c>
      <c r="J121" s="110" t="str">
        <f aca="false">IF($I$121&lt;0,"SHORTFALL",IF($I$121&lt;$E$7,"TIGHT","OK"))</f>
        <v>TIGHT</v>
      </c>
      <c r="K121" s="111"/>
      <c r="N121" s="111" t="str">
        <f aca="false">IF(COUNT($I$70:$I$120)=0,"","Lowest point this week: "&amp;TEXT(MIN($I$70:$I$120),"$#,##0.00;-$#,##0.00")&amp;" on "&amp;TEXT(INDEX($C$70:$C$120,MATCH(MIN($I$70:$I$120),$I$70:$I$120,0)),"ddd mmm d")&amp;"     (in "&amp;TEXT($G$121,"$#,##0.00")&amp;", out "&amp;TEXT($H$121,"$#,##0.00")&amp;")")</f>
        <v>Lowest point this week: -$235.27 on Thu Aug 27     (in $1,052.38, out $1,410.50)</v>
      </c>
    </row>
    <row r="123" customFormat="false" ht="21.75" hidden="false" customHeight="true" outlineLevel="0" collapsed="false">
      <c r="B123" s="82" t="str">
        <f aca="false">"WEEK 3     "&amp;TEXT($E$6+14,"ddd, mmm d")&amp;"   through   "&amp;TEXT($E$6+14+6,"ddd, mmm d, yyyy")</f>
        <v>WEEK 3     Sat, Aug 29   through   Fri, Sep 4, 2026</v>
      </c>
      <c r="C123" s="83"/>
      <c r="D123" s="83"/>
      <c r="E123" s="83"/>
      <c r="F123" s="83"/>
      <c r="G123" s="84" t="s">
        <v>147</v>
      </c>
      <c r="H123" s="83"/>
      <c r="I123" s="85" t="n">
        <f aca="false">$I$121</f>
        <v>154.54</v>
      </c>
      <c r="J123" s="83"/>
      <c r="K123" s="86"/>
      <c r="N123" s="86" t="str">
        <f aca="false">IF(COUNTIF(Schedule!$I$4:$I$483,3)&gt;10,"! "&amp;COUNTIF(Schedule!$I$4:$I$483,3)-10&amp;" more transaction(s) fall in this week than there are rows to show them.","")</f>
        <v/>
      </c>
    </row>
    <row r="124" customFormat="false" ht="25.5" hidden="false" customHeight="true" outlineLevel="0" collapsed="false">
      <c r="B124" s="87" t="s">
        <v>148</v>
      </c>
      <c r="C124" s="87" t="s">
        <v>149</v>
      </c>
      <c r="D124" s="87" t="s">
        <v>42</v>
      </c>
      <c r="E124" s="87" t="s">
        <v>150</v>
      </c>
      <c r="F124" s="87" t="s">
        <v>151</v>
      </c>
      <c r="G124" s="37" t="s">
        <v>152</v>
      </c>
      <c r="H124" s="38" t="s">
        <v>153</v>
      </c>
      <c r="I124" s="87" t="s">
        <v>154</v>
      </c>
      <c r="J124" s="87" t="s">
        <v>14</v>
      </c>
      <c r="K124" s="87" t="s">
        <v>155</v>
      </c>
    </row>
    <row r="125" customFormat="false" ht="15" hidden="false" customHeight="true" outlineLevel="0" collapsed="false">
      <c r="B125" s="8" t="str">
        <f aca="false">IFERROR(INDEX(Schedule!$C$4:$C$483,MATCH(3001,Schedule!$K$4:$K$483,0)),"")</f>
        <v>Earnin' advance</v>
      </c>
      <c r="C125" s="88" t="n">
        <f aca="false">IF($B125="","",INDEX(Schedule!$G$4:$G$483,MATCH(3001,Schedule!$K$4:$K$483,0)))</f>
        <v>46263</v>
      </c>
      <c r="D125" s="89" t="str">
        <f aca="false">IF($B125="","",INDEX(Schedule!$D$4:$D$483,MATCH(3001,Schedule!$K$4:$K$483,0)))</f>
        <v>Income</v>
      </c>
      <c r="E125" s="90" t="n">
        <f aca="false">IF($B125="","",INDEX(Schedule!$E$4:$E$483,MATCH(3001,Schedule!$K$4:$K$483,0)))</f>
        <v>100</v>
      </c>
      <c r="F125" s="91"/>
      <c r="G125" s="92" t="n">
        <f aca="false">IF($B125="","",IF($D125="Income",IF($F125&lt;&gt;"",$F125,IF(COUNTIFS('Paid Log'!$B$9:$B$308,$C125,'Paid Log'!$C$9:$C$308,$B125)&gt;0,SUMIFS('Paid Log'!$D$9:$D$308,'Paid Log'!$B$9:$B$308,$C125,'Paid Log'!$C$9:$C$308,$B125),$E125)),""))</f>
        <v>100</v>
      </c>
      <c r="H125" s="93" t="str">
        <f aca="false">IF($B125="","",IF($D125="Income","",IF($F125&lt;&gt;"",$F125,IF(COUNTIFS('Paid Log'!$B$9:$B$308,$C125,'Paid Log'!$C$9:$C$308,$B125)&gt;0,SUMIFS('Paid Log'!$D$9:$D$308,'Paid Log'!$B$9:$B$308,$C125,'Paid Log'!$C$9:$C$308,$B125),$E125))))</f>
        <v/>
      </c>
      <c r="I125" s="94" t="n">
        <f aca="false">IF($B125="","",$I$123+SUMIFS($G$125:$G$175,$M$125:$M$175,"&lt;="&amp;$M125)-SUMIFS($H$125:$H$175,$M$125:$M$175,"&lt;="&amp;$M125))</f>
        <v>254.54</v>
      </c>
      <c r="J125" s="95" t="str">
        <f aca="true">IF($B125="","",IF(OR($F125&lt;&gt;"",COUNTIFS('Paid Log'!$B$9:$B$308,$C125,'Paid Log'!$C$9:$C$308,$B125)&gt;0),IF($C125&gt;TODAY(),"ADJUSTED","PAID"),IF($C125&lt;TODAY(),"PAST DUE",IF($C125&lt;=TODAY()+7,"DUE","Upcoming"))))</f>
        <v>PAID</v>
      </c>
      <c r="K125" s="96" t="str">
        <f aca="false">IF($B125="","",IF(OR($F125&lt;&gt;"",COUNTIFS('Paid Log'!$B$9:$B$308,$C125,'Paid Log'!$C$9:$C$308,$B125)&gt;0),"ACTUAL","FORECAST"))</f>
        <v>ACTUAL</v>
      </c>
      <c r="L125" s="97" t="n">
        <f aca="false">IF($B125="","",$C125)</f>
        <v>46263</v>
      </c>
      <c r="M125" s="1" t="n">
        <f aca="false">IF($L125="","",COUNTIFS($L$125:$L$175,"&lt;"&amp;$L125)+COUNTIFS($L$125:$L125,$L125))</f>
        <v>1</v>
      </c>
    </row>
    <row r="126" customFormat="false" ht="15" hidden="false" customHeight="true" outlineLevel="0" collapsed="false">
      <c r="B126" s="8" t="str">
        <f aca="false">IFERROR(INDEX(Schedule!$C$4:$C$483,MATCH(3002,Schedule!$K$4:$K$483,0)),"")</f>
        <v>Maine Revenue Services (2)</v>
      </c>
      <c r="C126" s="88" t="n">
        <f aca="false">IF($B126="","",INDEX(Schedule!$G$4:$G$483,MATCH(3002,Schedule!$K$4:$K$483,0)))</f>
        <v>46264</v>
      </c>
      <c r="D126" s="89" t="str">
        <f aca="false">IF($B126="","",INDEX(Schedule!$D$4:$D$483,MATCH(3002,Schedule!$K$4:$K$483,0)))</f>
        <v>Expense</v>
      </c>
      <c r="E126" s="90" t="n">
        <f aca="false">IF($B126="","",INDEX(Schedule!$E$4:$E$483,MATCH(3002,Schedule!$K$4:$K$483,0)))</f>
        <v>150</v>
      </c>
      <c r="F126" s="91"/>
      <c r="G126" s="92" t="str">
        <f aca="false">IF($B126="","",IF($D126="Income",IF($F126&lt;&gt;"",$F126,IF(COUNTIFS('Paid Log'!$B$9:$B$308,$C126,'Paid Log'!$C$9:$C$308,$B126)&gt;0,SUMIFS('Paid Log'!$D$9:$D$308,'Paid Log'!$B$9:$B$308,$C126,'Paid Log'!$C$9:$C$308,$B126),$E126)),""))</f>
        <v/>
      </c>
      <c r="H126" s="93" t="n">
        <f aca="false">IF($B126="","",IF($D126="Income","",IF($F126&lt;&gt;"",$F126,IF(COUNTIFS('Paid Log'!$B$9:$B$308,$C126,'Paid Log'!$C$9:$C$308,$B126)&gt;0,SUMIFS('Paid Log'!$D$9:$D$308,'Paid Log'!$B$9:$B$308,$C126,'Paid Log'!$C$9:$C$308,$B126),$E126))))</f>
        <v>150</v>
      </c>
      <c r="I126" s="94" t="n">
        <f aca="false">IF($B126="","",$I$123+SUMIFS($G$125:$G$175,$M$125:$M$175,"&lt;="&amp;$M126)-SUMIFS($H$125:$H$175,$M$125:$M$175,"&lt;="&amp;$M126))</f>
        <v>104.54</v>
      </c>
      <c r="J126" s="95" t="str">
        <f aca="true">IF($B126="","",IF(OR($F126&lt;&gt;"",COUNTIFS('Paid Log'!$B$9:$B$308,$C126,'Paid Log'!$C$9:$C$308,$B126)&gt;0),IF($C126&gt;TODAY(),"ADJUSTED","PAID"),IF($C126&lt;TODAY(),"PAST DUE",IF($C126&lt;=TODAY()+7,"DUE","Upcoming"))))</f>
        <v>DUE</v>
      </c>
      <c r="K126" s="96" t="str">
        <f aca="false">IF($B126="","",IF(OR($F126&lt;&gt;"",COUNTIFS('Paid Log'!$B$9:$B$308,$C126,'Paid Log'!$C$9:$C$308,$B126)&gt;0),"ACTUAL","FORECAST"))</f>
        <v>FORECAST</v>
      </c>
      <c r="L126" s="97" t="n">
        <f aca="false">IF($B126="","",$C126)</f>
        <v>46264</v>
      </c>
      <c r="M126" s="1" t="n">
        <f aca="false">IF($L126="","",COUNTIFS($L$125:$L$175,"&lt;"&amp;$L126)+COUNTIFS($L$125:$L126,$L126))</f>
        <v>2</v>
      </c>
    </row>
    <row r="127" customFormat="false" ht="15" hidden="false" customHeight="true" outlineLevel="0" collapsed="false">
      <c r="B127" s="8" t="str">
        <f aca="false">IFERROR(INDEX(Schedule!$C$4:$C$483,MATCH(3003,Schedule!$K$4:$K$483,0)),"")</f>
        <v>Patrick Rombalski (rent)</v>
      </c>
      <c r="C127" s="88" t="n">
        <f aca="false">IF($B127="","",INDEX(Schedule!$G$4:$G$483,MATCH(3003,Schedule!$K$4:$K$483,0)))</f>
        <v>46265</v>
      </c>
      <c r="D127" s="89" t="str">
        <f aca="false">IF($B127="","",INDEX(Schedule!$D$4:$D$483,MATCH(3003,Schedule!$K$4:$K$483,0)))</f>
        <v>Expense</v>
      </c>
      <c r="E127" s="90" t="n">
        <f aca="false">IF($B127="","",INDEX(Schedule!$E$4:$E$483,MATCH(3003,Schedule!$K$4:$K$483,0)))</f>
        <v>350</v>
      </c>
      <c r="F127" s="91"/>
      <c r="G127" s="92" t="str">
        <f aca="false">IF($B127="","",IF($D127="Income",IF($F127&lt;&gt;"",$F127,IF(COUNTIFS('Paid Log'!$B$9:$B$308,$C127,'Paid Log'!$C$9:$C$308,$B127)&gt;0,SUMIFS('Paid Log'!$D$9:$D$308,'Paid Log'!$B$9:$B$308,$C127,'Paid Log'!$C$9:$C$308,$B127),$E127)),""))</f>
        <v/>
      </c>
      <c r="H127" s="93" t="n">
        <f aca="false">IF($B127="","",IF($D127="Income","",IF($F127&lt;&gt;"",$F127,IF(COUNTIFS('Paid Log'!$B$9:$B$308,$C127,'Paid Log'!$C$9:$C$308,$B127)&gt;0,SUMIFS('Paid Log'!$D$9:$D$308,'Paid Log'!$B$9:$B$308,$C127,'Paid Log'!$C$9:$C$308,$B127),$E127))))</f>
        <v>350</v>
      </c>
      <c r="I127" s="94" t="n">
        <f aca="false">IF($B127="","",$I$123+SUMIFS($G$125:$G$175,$M$125:$M$175,"&lt;="&amp;$M127)-SUMIFS($H$125:$H$175,$M$125:$M$175,"&lt;="&amp;$M127))</f>
        <v>-245.46</v>
      </c>
      <c r="J127" s="95" t="str">
        <f aca="true">IF($B127="","",IF(OR($F127&lt;&gt;"",COUNTIFS('Paid Log'!$B$9:$B$308,$C127,'Paid Log'!$C$9:$C$308,$B127)&gt;0),IF($C127&gt;TODAY(),"ADJUSTED","PAID"),IF($C127&lt;TODAY(),"PAST DUE",IF($C127&lt;=TODAY()+7,"DUE","Upcoming"))))</f>
        <v>DUE</v>
      </c>
      <c r="K127" s="96" t="str">
        <f aca="false">IF($B127="","",IF(OR($F127&lt;&gt;"",COUNTIFS('Paid Log'!$B$9:$B$308,$C127,'Paid Log'!$C$9:$C$308,$B127)&gt;0),"ACTUAL","FORECAST"))</f>
        <v>FORECAST</v>
      </c>
      <c r="L127" s="97"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Progressive Insurance</v>
      </c>
      <c r="C128" s="88" t="n">
        <f aca="false">IF($B128="","",INDEX(Schedule!$G$4:$G$483,MATCH(3004,Schedule!$K$4:$K$483,0)))</f>
        <v>46265</v>
      </c>
      <c r="D128" s="89" t="str">
        <f aca="false">IF($B128="","",INDEX(Schedule!$D$4:$D$483,MATCH(3004,Schedule!$K$4:$K$483,0)))</f>
        <v>Expense</v>
      </c>
      <c r="E128" s="90" t="n">
        <f aca="false">IF($B128="","",INDEX(Schedule!$E$4:$E$483,MATCH(3004,Schedule!$K$4:$K$483,0)))</f>
        <v>143.37</v>
      </c>
      <c r="F128" s="91"/>
      <c r="G128" s="92" t="str">
        <f aca="false">IF($B128="","",IF($D128="Income",IF($F128&lt;&gt;"",$F128,IF(COUNTIFS('Paid Log'!$B$9:$B$308,$C128,'Paid Log'!$C$9:$C$308,$B128)&gt;0,SUMIFS('Paid Log'!$D$9:$D$308,'Paid Log'!$B$9:$B$308,$C128,'Paid Log'!$C$9:$C$308,$B128),$E128)),""))</f>
        <v/>
      </c>
      <c r="H128" s="93" t="n">
        <f aca="false">IF($B128="","",IF($D128="Income","",IF($F128&lt;&gt;"",$F128,IF(COUNTIFS('Paid Log'!$B$9:$B$308,$C128,'Paid Log'!$C$9:$C$308,$B128)&gt;0,SUMIFS('Paid Log'!$D$9:$D$308,'Paid Log'!$B$9:$B$308,$C128,'Paid Log'!$C$9:$C$308,$B128),$E128))))</f>
        <v>143.37</v>
      </c>
      <c r="I128" s="94" t="n">
        <f aca="false">IF($B128="","",$I$123+SUMIFS($G$125:$G$175,$M$125:$M$175,"&lt;="&amp;$M128)-SUMIFS($H$125:$H$175,$M$125:$M$175,"&lt;="&amp;$M128))</f>
        <v>-388.83</v>
      </c>
      <c r="J128" s="95" t="str">
        <f aca="true">IF($B128="","",IF(OR($F128&lt;&gt;"",COUNTIFS('Paid Log'!$B$9:$B$308,$C128,'Paid Log'!$C$9:$C$308,$B128)&gt;0),IF($C128&gt;TODAY(),"ADJUSTED","PAID"),IF($C128&lt;TODAY(),"PAST DUE",IF($C128&lt;=TODAY()+7,"DUE","Upcoming"))))</f>
        <v>DUE</v>
      </c>
      <c r="K128" s="96" t="str">
        <f aca="false">IF($B128="","",IF(OR($F128&lt;&gt;"",COUNTIFS('Paid Log'!$B$9:$B$308,$C128,'Paid Log'!$C$9:$C$308,$B128)&gt;0),"ACTUAL","FORECAST"))</f>
        <v>FORECAST</v>
      </c>
      <c r="L128" s="97" t="n">
        <f aca="false">IF($B128="","",$C128)</f>
        <v>46265</v>
      </c>
      <c r="M128" s="1" t="n">
        <f aca="false">IF($L128="","",COUNTIFS($L$125:$L$175,"&lt;"&amp;$L128)+COUNTIFS($L$125:$L128,$L128))</f>
        <v>4</v>
      </c>
    </row>
    <row r="129" customFormat="false" ht="15" hidden="false" customHeight="true" outlineLevel="0" collapsed="false">
      <c r="B129" s="8" t="str">
        <f aca="false">IFERROR(INDEX(Schedule!$C$4:$C$483,MATCH(3005,Schedule!$K$4:$K$483,0)),"")</f>
        <v>Bruno's Restaurant (paycheck)</v>
      </c>
      <c r="C129" s="88" t="n">
        <f aca="false">IF($B129="","",INDEX(Schedule!$G$4:$G$483,MATCH(3005,Schedule!$K$4:$K$483,0)))</f>
        <v>46267</v>
      </c>
      <c r="D129" s="89" t="str">
        <f aca="false">IF($B129="","",INDEX(Schedule!$D$4:$D$483,MATCH(3005,Schedule!$K$4:$K$483,0)))</f>
        <v>Income</v>
      </c>
      <c r="E129" s="90" t="n">
        <f aca="false">IF($B129="","",INDEX(Schedule!$E$4:$E$483,MATCH(3005,Schedule!$K$4:$K$483,0)))</f>
        <v>90</v>
      </c>
      <c r="F129" s="91"/>
      <c r="G129" s="92" t="n">
        <f aca="false">IF($B129="","",IF($D129="Income",IF($F129&lt;&gt;"",$F129,IF(COUNTIFS('Paid Log'!$B$9:$B$308,$C129,'Paid Log'!$C$9:$C$308,$B129)&gt;0,SUMIFS('Paid Log'!$D$9:$D$308,'Paid Log'!$B$9:$B$308,$C129,'Paid Log'!$C$9:$C$308,$B129),$E129)),""))</f>
        <v>90</v>
      </c>
      <c r="H129" s="93" t="str">
        <f aca="false">IF($B129="","",IF($D129="Income","",IF($F129&lt;&gt;"",$F129,IF(COUNTIFS('Paid Log'!$B$9:$B$308,$C129,'Paid Log'!$C$9:$C$308,$B129)&gt;0,SUMIFS('Paid Log'!$D$9:$D$308,'Paid Log'!$B$9:$B$308,$C129,'Paid Log'!$C$9:$C$308,$B129),$E129))))</f>
        <v/>
      </c>
      <c r="I129" s="94" t="n">
        <f aca="false">IF($B129="","",$I$123+SUMIFS($G$125:$G$175,$M$125:$M$175,"&lt;="&amp;$M129)-SUMIFS($H$125:$H$175,$M$125:$M$175,"&lt;="&amp;$M129))</f>
        <v>-298.83</v>
      </c>
      <c r="J129" s="95" t="str">
        <f aca="true">IF($B129="","",IF(OR($F129&lt;&gt;"",COUNTIFS('Paid Log'!$B$9:$B$308,$C129,'Paid Log'!$C$9:$C$308,$B129)&gt;0),IF($C129&gt;TODAY(),"ADJUSTED","PAID"),IF($C129&lt;TODAY(),"PAST DUE",IF($C129&lt;=TODAY()+7,"DUE","Upcoming"))))</f>
        <v>DUE</v>
      </c>
      <c r="K129" s="96" t="str">
        <f aca="false">IF($B129="","",IF(OR($F129&lt;&gt;"",COUNTIFS('Paid Log'!$B$9:$B$308,$C129,'Paid Log'!$C$9:$C$308,$B129)&gt;0),"ACTUAL","FORECAST"))</f>
        <v>FORECAST</v>
      </c>
      <c r="L129" s="97" t="n">
        <f aca="false">IF($B129="","",$C129)</f>
        <v>46267</v>
      </c>
      <c r="M129" s="1" t="n">
        <f aca="false">IF($L129="","",COUNTIFS($L$125:$L$175,"&lt;"&amp;$L129)+COUNTIFS($L$125:$L129,$L129))</f>
        <v>5</v>
      </c>
    </row>
    <row r="130" customFormat="false" ht="15" hidden="false" customHeight="true" outlineLevel="0" collapsed="false">
      <c r="B130" s="8" t="str">
        <f aca="false">IFERROR(INDEX(Schedule!$C$4:$C$483,MATCH(3006,Schedule!$K$4:$K$483,0)),"")</f>
        <v>Compunnel Software (paycheck)</v>
      </c>
      <c r="C130" s="88" t="n">
        <f aca="false">IF($B130="","",INDEX(Schedule!$G$4:$G$483,MATCH(3006,Schedule!$K$4:$K$483,0)))</f>
        <v>46269</v>
      </c>
      <c r="D130" s="89" t="str">
        <f aca="false">IF($B130="","",INDEX(Schedule!$D$4:$D$483,MATCH(3006,Schedule!$K$4:$K$483,0)))</f>
        <v>Income</v>
      </c>
      <c r="E130" s="90" t="n">
        <f aca="false">IF($B130="","",INDEX(Schedule!$E$4:$E$483,MATCH(3006,Schedule!$K$4:$K$483,0)))</f>
        <v>802.65</v>
      </c>
      <c r="F130" s="91"/>
      <c r="G130" s="92" t="n">
        <f aca="false">IF($B130="","",IF($D130="Income",IF($F130&lt;&gt;"",$F130,IF(COUNTIFS('Paid Log'!$B$9:$B$308,$C130,'Paid Log'!$C$9:$C$308,$B130)&gt;0,SUMIFS('Paid Log'!$D$9:$D$308,'Paid Log'!$B$9:$B$308,$C130,'Paid Log'!$C$9:$C$308,$B130),$E130)),""))</f>
        <v>802.65</v>
      </c>
      <c r="H130" s="93" t="str">
        <f aca="false">IF($B130="","",IF($D130="Income","",IF($F130&lt;&gt;"",$F130,IF(COUNTIFS('Paid Log'!$B$9:$B$308,$C130,'Paid Log'!$C$9:$C$308,$B130)&gt;0,SUMIFS('Paid Log'!$D$9:$D$308,'Paid Log'!$B$9:$B$308,$C130,'Paid Log'!$C$9:$C$308,$B130),$E130))))</f>
        <v/>
      </c>
      <c r="I130" s="94" t="n">
        <f aca="false">IF($B130="","",$I$123+SUMIFS($G$125:$G$175,$M$125:$M$175,"&lt;="&amp;$M130)-SUMIFS($H$125:$H$175,$M$125:$M$175,"&lt;="&amp;$M130))</f>
        <v>503.82</v>
      </c>
      <c r="J130" s="95" t="str">
        <f aca="true">IF($B130="","",IF(OR($F130&lt;&gt;"",COUNTIFS('Paid Log'!$B$9:$B$308,$C130,'Paid Log'!$C$9:$C$308,$B130)&gt;0),IF($C130&gt;TODAY(),"ADJUSTED","PAID"),IF($C130&lt;TODAY(),"PAST DUE",IF($C130&lt;=TODAY()+7,"DUE","Upcoming"))))</f>
        <v>DUE</v>
      </c>
      <c r="K130" s="96" t="str">
        <f aca="false">IF($B130="","",IF(OR($F130&lt;&gt;"",COUNTIFS('Paid Log'!$B$9:$B$308,$C130,'Paid Log'!$C$9:$C$308,$B130)&gt;0),"ACTUAL","FORECAST"))</f>
        <v>FORECAST</v>
      </c>
      <c r="L130" s="97"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Apple: Claude</v>
      </c>
      <c r="C131" s="88" t="n">
        <f aca="false">IF($B131="","",INDEX(Schedule!$G$4:$G$483,MATCH(3007,Schedule!$K$4:$K$483,0)))</f>
        <v>46269</v>
      </c>
      <c r="D131" s="89" t="str">
        <f aca="false">IF($B131="","",INDEX(Schedule!$D$4:$D$483,MATCH(3007,Schedule!$K$4:$K$483,0)))</f>
        <v>Expense</v>
      </c>
      <c r="E131" s="90" t="n">
        <f aca="false">IF($B131="","",INDEX(Schedule!$E$4:$E$483,MATCH(3007,Schedule!$K$4:$K$483,0)))</f>
        <v>21.1</v>
      </c>
      <c r="F131" s="91"/>
      <c r="G131" s="92" t="str">
        <f aca="false">IF($B131="","",IF($D131="Income",IF($F131&lt;&gt;"",$F131,IF(COUNTIFS('Paid Log'!$B$9:$B$308,$C131,'Paid Log'!$C$9:$C$308,$B131)&gt;0,SUMIFS('Paid Log'!$D$9:$D$308,'Paid Log'!$B$9:$B$308,$C131,'Paid Log'!$C$9:$C$308,$B131),$E131)),""))</f>
        <v/>
      </c>
      <c r="H131" s="93" t="n">
        <f aca="false">IF($B131="","",IF($D131="Income","",IF($F131&lt;&gt;"",$F131,IF(COUNTIFS('Paid Log'!$B$9:$B$308,$C131,'Paid Log'!$C$9:$C$308,$B131)&gt;0,SUMIFS('Paid Log'!$D$9:$D$308,'Paid Log'!$B$9:$B$308,$C131,'Paid Log'!$C$9:$C$308,$B131),$E131))))</f>
        <v>21.1</v>
      </c>
      <c r="I131" s="94" t="n">
        <f aca="false">IF($B131="","",$I$123+SUMIFS($G$125:$G$175,$M$125:$M$175,"&lt;="&amp;$M131)-SUMIFS($H$125:$H$175,$M$125:$M$175,"&lt;="&amp;$M131))</f>
        <v>482.72</v>
      </c>
      <c r="J131" s="95" t="str">
        <f aca="true">IF($B131="","",IF(OR($F131&lt;&gt;"",COUNTIFS('Paid Log'!$B$9:$B$308,$C131,'Paid Log'!$C$9:$C$308,$B131)&gt;0),IF($C131&gt;TODAY(),"ADJUSTED","PAID"),IF($C131&lt;TODAY(),"PAST DUE",IF($C131&lt;=TODAY()+7,"DUE","Upcoming"))))</f>
        <v>DUE</v>
      </c>
      <c r="K131" s="96" t="str">
        <f aca="false">IF($B131="","",IF(OR($F131&lt;&gt;"",COUNTIFS('Paid Log'!$B$9:$B$308,$C131,'Paid Log'!$C$9:$C$308,$B131)&gt;0),"ACTUAL","FORECAST"))</f>
        <v>FORECAST</v>
      </c>
      <c r="L131" s="97" t="n">
        <f aca="false">IF($B131="","",$C131)</f>
        <v>46269</v>
      </c>
      <c r="M131" s="1" t="n">
        <f aca="false">IF($L131="","",COUNTIFS($L$125:$L$175,"&lt;"&amp;$L131)+COUNTIFS($L$125:$L131,$L131))</f>
        <v>7</v>
      </c>
    </row>
    <row r="132" customFormat="false" ht="15" hidden="false" customHeight="true" outlineLevel="0" collapsed="false">
      <c r="B132" s="8" t="str">
        <f aca="false">IFERROR(INDEX(Schedule!$C$4:$C$483,MATCH(3008,Schedule!$K$4:$K$483,0)),"")</f>
        <v>Earnin' repayment</v>
      </c>
      <c r="C132" s="88" t="n">
        <f aca="false">IF($B132="","",INDEX(Schedule!$G$4:$G$483,MATCH(3008,Schedule!$K$4:$K$483,0)))</f>
        <v>46269</v>
      </c>
      <c r="D132" s="89" t="str">
        <f aca="false">IF($B132="","",INDEX(Schedule!$D$4:$D$483,MATCH(3008,Schedule!$K$4:$K$483,0)))</f>
        <v>Expense</v>
      </c>
      <c r="E132" s="90" t="n">
        <f aca="false">IF($B132="","",INDEX(Schedule!$E$4:$E$483,MATCH(3008,Schedule!$K$4:$K$483,0)))</f>
        <v>107.99</v>
      </c>
      <c r="F132" s="91"/>
      <c r="G132" s="92" t="str">
        <f aca="false">IF($B132="","",IF($D132="Income",IF($F132&lt;&gt;"",$F132,IF(COUNTIFS('Paid Log'!$B$9:$B$308,$C132,'Paid Log'!$C$9:$C$308,$B132)&gt;0,SUMIFS('Paid Log'!$D$9:$D$308,'Paid Log'!$B$9:$B$308,$C132,'Paid Log'!$C$9:$C$308,$B132),$E132)),""))</f>
        <v/>
      </c>
      <c r="H132" s="93" t="n">
        <f aca="false">IF($B132="","",IF($D132="Income","",IF($F132&lt;&gt;"",$F132,IF(COUNTIFS('Paid Log'!$B$9:$B$308,$C132,'Paid Log'!$C$9:$C$308,$B132)&gt;0,SUMIFS('Paid Log'!$D$9:$D$308,'Paid Log'!$B$9:$B$308,$C132,'Paid Log'!$C$9:$C$308,$B132),$E132))))</f>
        <v>107.99</v>
      </c>
      <c r="I132" s="94" t="n">
        <f aca="false">IF($B132="","",$I$123+SUMIFS($G$125:$G$175,$M$125:$M$175,"&lt;="&amp;$M132)-SUMIFS($H$125:$H$175,$M$125:$M$175,"&lt;="&amp;$M132))</f>
        <v>374.73</v>
      </c>
      <c r="J132" s="95" t="str">
        <f aca="true">IF($B132="","",IF(OR($F132&lt;&gt;"",COUNTIFS('Paid Log'!$B$9:$B$308,$C132,'Paid Log'!$C$9:$C$308,$B132)&gt;0),IF($C132&gt;TODAY(),"ADJUSTED","PAID"),IF($C132&lt;TODAY(),"PAST DUE",IF($C132&lt;=TODAY()+7,"DUE","Upcoming"))))</f>
        <v>DUE</v>
      </c>
      <c r="K132" s="96" t="str">
        <f aca="false">IF($B132="","",IF(OR($F132&lt;&gt;"",COUNTIFS('Paid Log'!$B$9:$B$308,$C132,'Paid Log'!$C$9:$C$308,$B132)&gt;0),"ACTUAL","FORECAST"))</f>
        <v>FORECAST</v>
      </c>
      <c r="L132" s="97" t="n">
        <f aca="false">IF($B132="","",$C132)</f>
        <v>46269</v>
      </c>
      <c r="M132" s="1" t="n">
        <f aca="false">IF($L132="","",COUNTIFS($L$125:$L$175,"&lt;"&amp;$L132)+COUNTIFS($L$125:$L132,$L132))</f>
        <v>8</v>
      </c>
    </row>
    <row r="133" customFormat="false" ht="15" hidden="false" customHeight="true" outlineLevel="0" collapsed="false">
      <c r="B133" s="8" t="str">
        <f aca="false">IFERROR(INDEX(Schedule!$C$4:$C$483,MATCH(3009,Schedule!$K$4:$K$483,0)),"")</f>
        <v/>
      </c>
      <c r="C133" s="88" t="str">
        <f aca="false">IF($B133="","",INDEX(Schedule!$G$4:$G$483,MATCH(3009,Schedule!$K$4:$K$483,0)))</f>
        <v/>
      </c>
      <c r="D133" s="89" t="str">
        <f aca="false">IF($B133="","",INDEX(Schedule!$D$4:$D$483,MATCH(3009,Schedule!$K$4:$K$483,0)))</f>
        <v/>
      </c>
      <c r="E133" s="90" t="str">
        <f aca="false">IF($B133="","",INDEX(Schedule!$E$4:$E$483,MATCH(3009,Schedule!$K$4:$K$483,0)))</f>
        <v/>
      </c>
      <c r="F133" s="91"/>
      <c r="G133" s="92" t="str">
        <f aca="false">IF($B133="","",IF($D133="Income",IF($F133&lt;&gt;"",$F133,IF(COUNTIFS('Paid Log'!$B$9:$B$308,$C133,'Paid Log'!$C$9:$C$308,$B133)&gt;0,SUMIFS('Paid Log'!$D$9:$D$308,'Paid Log'!$B$9:$B$308,$C133,'Paid Log'!$C$9:$C$308,$B133),$E133)),""))</f>
        <v/>
      </c>
      <c r="H133" s="93" t="str">
        <f aca="false">IF($B133="","",IF($D133="Income","",IF($F133&lt;&gt;"",$F133,IF(COUNTIFS('Paid Log'!$B$9:$B$308,$C133,'Paid Log'!$C$9:$C$308,$B133)&gt;0,SUMIFS('Paid Log'!$D$9:$D$308,'Paid Log'!$B$9:$B$308,$C133,'Paid Log'!$C$9:$C$308,$B133),$E133))))</f>
        <v/>
      </c>
      <c r="I133" s="94" t="str">
        <f aca="false">IF($B133="","",$I$123+SUMIFS($G$125:$G$175,$M$125:$M$175,"&lt;="&amp;$M133)-SUMIFS($H$125:$H$175,$M$125:$M$175,"&lt;="&amp;$M133))</f>
        <v/>
      </c>
      <c r="J133" s="95" t="str">
        <f aca="true">IF($B133="","",IF(OR($F133&lt;&gt;"",COUNTIFS('Paid Log'!$B$9:$B$308,$C133,'Paid Log'!$C$9:$C$308,$B133)&gt;0),IF($C133&gt;TODAY(),"ADJUSTED","PAID"),IF($C133&lt;TODAY(),"PAST DUE",IF($C133&lt;=TODAY()+7,"DUE","Upcoming"))))</f>
        <v/>
      </c>
      <c r="K133" s="96"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88" t="str">
        <f aca="false">IF($B134="","",INDEX(Schedule!$G$4:$G$483,MATCH(3010,Schedule!$K$4:$K$483,0)))</f>
        <v/>
      </c>
      <c r="D134" s="89" t="str">
        <f aca="false">IF($B134="","",INDEX(Schedule!$D$4:$D$483,MATCH(3010,Schedule!$K$4:$K$483,0)))</f>
        <v/>
      </c>
      <c r="E134" s="90" t="str">
        <f aca="false">IF($B134="","",INDEX(Schedule!$E$4:$E$483,MATCH(3010,Schedule!$K$4:$K$483,0)))</f>
        <v/>
      </c>
      <c r="F134" s="91"/>
      <c r="G134" s="92" t="str">
        <f aca="false">IF($B134="","",IF($D134="Income",IF($F134&lt;&gt;"",$F134,IF(COUNTIFS('Paid Log'!$B$9:$B$308,$C134,'Paid Log'!$C$9:$C$308,$B134)&gt;0,SUMIFS('Paid Log'!$D$9:$D$308,'Paid Log'!$B$9:$B$308,$C134,'Paid Log'!$C$9:$C$308,$B134),$E134)),""))</f>
        <v/>
      </c>
      <c r="H134" s="93" t="str">
        <f aca="false">IF($B134="","",IF($D134="Income","",IF($F134&lt;&gt;"",$F134,IF(COUNTIFS('Paid Log'!$B$9:$B$308,$C134,'Paid Log'!$C$9:$C$308,$B134)&gt;0,SUMIFS('Paid Log'!$D$9:$D$308,'Paid Log'!$B$9:$B$308,$C134,'Paid Log'!$C$9:$C$308,$B134),$E134))))</f>
        <v/>
      </c>
      <c r="I134" s="94" t="str">
        <f aca="false">IF($B134="","",$I$123+SUMIFS($G$125:$G$175,$M$125:$M$175,"&lt;="&amp;$M134)-SUMIFS($H$125:$H$175,$M$125:$M$175,"&lt;="&amp;$M134))</f>
        <v/>
      </c>
      <c r="J134" s="95" t="str">
        <f aca="true">IF($B134="","",IF(OR($F134&lt;&gt;"",COUNTIFS('Paid Log'!$B$9:$B$308,$C134,'Paid Log'!$C$9:$C$308,$B134)&gt;0),IF($C134&gt;TODAY(),"ADJUSTED","PAID"),IF($C134&lt;TODAY(),"PAST DUE",IF($C134&lt;=TODAY()+7,"DUE","Upcoming"))))</f>
        <v/>
      </c>
      <c r="K134" s="96"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98" t="s">
        <v>156</v>
      </c>
      <c r="C135" s="99"/>
      <c r="D135" s="99"/>
      <c r="E135" s="99"/>
      <c r="F135" s="99"/>
      <c r="G135" s="99"/>
      <c r="H135" s="99"/>
      <c r="I135" s="99"/>
      <c r="J135" s="99"/>
    </row>
    <row r="136" customFormat="false" ht="15" hidden="false" customHeight="true" outlineLevel="0" collapsed="false">
      <c r="B136" s="13"/>
      <c r="C136" s="100"/>
      <c r="D136" s="101" t="str">
        <f aca="false">IF($B136="","","Expense")</f>
        <v/>
      </c>
      <c r="E136" s="15"/>
      <c r="F136" s="102"/>
      <c r="G136" s="102"/>
      <c r="H136" s="103" t="str">
        <f aca="false">IF($B136="","",N($E136))</f>
        <v/>
      </c>
      <c r="I136" s="104" t="str">
        <f aca="false">IF($B136="","",$I$123+SUMIFS($G$125:$G$175,$M$125:$M$175,"&lt;="&amp;$M136)-SUMIFS($H$125:$H$175,$M$125:$M$175,"&lt;="&amp;$M136))</f>
        <v/>
      </c>
      <c r="J136" s="102"/>
      <c r="K136" s="96"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100"/>
      <c r="D137" s="101" t="str">
        <f aca="false">IF($B137="","","Expense")</f>
        <v/>
      </c>
      <c r="E137" s="15"/>
      <c r="F137" s="102"/>
      <c r="G137" s="102"/>
      <c r="H137" s="103" t="str">
        <f aca="false">IF($B137="","",N($E137))</f>
        <v/>
      </c>
      <c r="I137" s="104" t="str">
        <f aca="false">IF($B137="","",$I$123+SUMIFS($G$125:$G$175,$M$125:$M$175,"&lt;="&amp;$M137)-SUMIFS($H$125:$H$175,$M$125:$M$175,"&lt;="&amp;$M137))</f>
        <v/>
      </c>
      <c r="J137" s="102"/>
      <c r="K137" s="96"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100"/>
      <c r="D138" s="101" t="str">
        <f aca="false">IF($B138="","","Expense")</f>
        <v/>
      </c>
      <c r="E138" s="15"/>
      <c r="F138" s="102"/>
      <c r="G138" s="102"/>
      <c r="H138" s="103" t="str">
        <f aca="false">IF($B138="","",N($E138))</f>
        <v/>
      </c>
      <c r="I138" s="104" t="str">
        <f aca="false">IF($B138="","",$I$123+SUMIFS($G$125:$G$175,$M$125:$M$175,"&lt;="&amp;$M138)-SUMIFS($H$125:$H$175,$M$125:$M$175,"&lt;="&amp;$M138))</f>
        <v/>
      </c>
      <c r="J138" s="102"/>
      <c r="K138" s="96"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100"/>
      <c r="D139" s="101" t="str">
        <f aca="false">IF($B139="","","Expense")</f>
        <v/>
      </c>
      <c r="E139" s="15"/>
      <c r="F139" s="102"/>
      <c r="G139" s="102"/>
      <c r="H139" s="103" t="str">
        <f aca="false">IF($B139="","",N($E139))</f>
        <v/>
      </c>
      <c r="I139" s="104" t="str">
        <f aca="false">IF($B139="","",$I$123+SUMIFS($G$125:$G$175,$M$125:$M$175,"&lt;="&amp;$M139)-SUMIFS($H$125:$H$175,$M$125:$M$175,"&lt;="&amp;$M139))</f>
        <v/>
      </c>
      <c r="J139" s="102"/>
      <c r="K139" s="96"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100"/>
      <c r="D140" s="101" t="str">
        <f aca="false">IF($B140="","","Expense")</f>
        <v/>
      </c>
      <c r="E140" s="15"/>
      <c r="F140" s="102"/>
      <c r="G140" s="102"/>
      <c r="H140" s="103" t="str">
        <f aca="false">IF($B140="","",N($E140))</f>
        <v/>
      </c>
      <c r="I140" s="104" t="str">
        <f aca="false">IF($B140="","",$I$123+SUMIFS($G$125:$G$175,$M$125:$M$175,"&lt;="&amp;$M140)-SUMIFS($H$125:$H$175,$M$125:$M$175,"&lt;="&amp;$M140))</f>
        <v/>
      </c>
      <c r="J140" s="102"/>
      <c r="K140" s="96"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100"/>
      <c r="D141" s="101" t="str">
        <f aca="false">IF($B141="","","Expense")</f>
        <v/>
      </c>
      <c r="E141" s="15"/>
      <c r="F141" s="102"/>
      <c r="G141" s="102"/>
      <c r="H141" s="103" t="str">
        <f aca="false">IF($B141="","",N($E141))</f>
        <v/>
      </c>
      <c r="I141" s="104" t="str">
        <f aca="false">IF($B141="","",$I$123+SUMIFS($G$125:$G$175,$M$125:$M$175,"&lt;="&amp;$M141)-SUMIFS($H$125:$H$175,$M$125:$M$175,"&lt;="&amp;$M141))</f>
        <v/>
      </c>
      <c r="J141" s="102"/>
      <c r="K141" s="96"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100"/>
      <c r="D142" s="101" t="str">
        <f aca="false">IF($B142="","","Expense")</f>
        <v/>
      </c>
      <c r="E142" s="15"/>
      <c r="F142" s="102"/>
      <c r="G142" s="102"/>
      <c r="H142" s="103" t="str">
        <f aca="false">IF($B142="","",N($E142))</f>
        <v/>
      </c>
      <c r="I142" s="104" t="str">
        <f aca="false">IF($B142="","",$I$123+SUMIFS($G$125:$G$175,$M$125:$M$175,"&lt;="&amp;$M142)-SUMIFS($H$125:$H$175,$M$125:$M$175,"&lt;="&amp;$M142))</f>
        <v/>
      </c>
      <c r="J142" s="102"/>
      <c r="K142" s="96"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100"/>
      <c r="D143" s="101" t="str">
        <f aca="false">IF($B143="","","Expense")</f>
        <v/>
      </c>
      <c r="E143" s="15"/>
      <c r="F143" s="102"/>
      <c r="G143" s="102"/>
      <c r="H143" s="103" t="str">
        <f aca="false">IF($B143="","",N($E143))</f>
        <v/>
      </c>
      <c r="I143" s="104" t="str">
        <f aca="false">IF($B143="","",$I$123+SUMIFS($G$125:$G$175,$M$125:$M$175,"&lt;="&amp;$M143)-SUMIFS($H$125:$H$175,$M$125:$M$175,"&lt;="&amp;$M143))</f>
        <v/>
      </c>
      <c r="J143" s="102"/>
      <c r="K143" s="96"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100"/>
      <c r="D144" s="101" t="str">
        <f aca="false">IF($B144="","","Expense")</f>
        <v/>
      </c>
      <c r="E144" s="15"/>
      <c r="F144" s="102"/>
      <c r="G144" s="102"/>
      <c r="H144" s="103" t="str">
        <f aca="false">IF($B144="","",N($E144))</f>
        <v/>
      </c>
      <c r="I144" s="104" t="str">
        <f aca="false">IF($B144="","",$I$123+SUMIFS($G$125:$G$175,$M$125:$M$175,"&lt;="&amp;$M144)-SUMIFS($H$125:$H$175,$M$125:$M$175,"&lt;="&amp;$M144))</f>
        <v/>
      </c>
      <c r="J144" s="102"/>
      <c r="K144" s="96"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100"/>
      <c r="D145" s="101" t="str">
        <f aca="false">IF($B145="","","Expense")</f>
        <v/>
      </c>
      <c r="E145" s="15"/>
      <c r="F145" s="102"/>
      <c r="G145" s="102"/>
      <c r="H145" s="103" t="str">
        <f aca="false">IF($B145="","",N($E145))</f>
        <v/>
      </c>
      <c r="I145" s="104" t="str">
        <f aca="false">IF($B145="","",$I$123+SUMIFS($G$125:$G$175,$M$125:$M$175,"&lt;="&amp;$M145)-SUMIFS($H$125:$H$175,$M$125:$M$175,"&lt;="&amp;$M145))</f>
        <v/>
      </c>
      <c r="J145" s="102"/>
      <c r="K145" s="96"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100"/>
      <c r="D146" s="101" t="str">
        <f aca="false">IF($B146="","","Expense")</f>
        <v/>
      </c>
      <c r="E146" s="15"/>
      <c r="F146" s="102"/>
      <c r="G146" s="102"/>
      <c r="H146" s="103" t="str">
        <f aca="false">IF($B146="","",N($E146))</f>
        <v/>
      </c>
      <c r="I146" s="104" t="str">
        <f aca="false">IF($B146="","",$I$123+SUMIFS($G$125:$G$175,$M$125:$M$175,"&lt;="&amp;$M146)-SUMIFS($H$125:$H$175,$M$125:$M$175,"&lt;="&amp;$M146))</f>
        <v/>
      </c>
      <c r="J146" s="102"/>
      <c r="K146" s="96"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100"/>
      <c r="D147" s="101" t="str">
        <f aca="false">IF($B147="","","Expense")</f>
        <v/>
      </c>
      <c r="E147" s="15"/>
      <c r="F147" s="102"/>
      <c r="G147" s="102"/>
      <c r="H147" s="103" t="str">
        <f aca="false">IF($B147="","",N($E147))</f>
        <v/>
      </c>
      <c r="I147" s="104" t="str">
        <f aca="false">IF($B147="","",$I$123+SUMIFS($G$125:$G$175,$M$125:$M$175,"&lt;="&amp;$M147)-SUMIFS($H$125:$H$175,$M$125:$M$175,"&lt;="&amp;$M147))</f>
        <v/>
      </c>
      <c r="J147" s="102"/>
      <c r="K147" s="96"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100"/>
      <c r="D148" s="101" t="str">
        <f aca="false">IF($B148="","","Expense")</f>
        <v/>
      </c>
      <c r="E148" s="15"/>
      <c r="F148" s="102"/>
      <c r="G148" s="102"/>
      <c r="H148" s="103" t="str">
        <f aca="false">IF($B148="","",N($E148))</f>
        <v/>
      </c>
      <c r="I148" s="104" t="str">
        <f aca="false">IF($B148="","",$I$123+SUMIFS($G$125:$G$175,$M$125:$M$175,"&lt;="&amp;$M148)-SUMIFS($H$125:$H$175,$M$125:$M$175,"&lt;="&amp;$M148))</f>
        <v/>
      </c>
      <c r="J148" s="102"/>
      <c r="K148" s="96"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100"/>
      <c r="D149" s="101" t="str">
        <f aca="false">IF($B149="","","Expense")</f>
        <v/>
      </c>
      <c r="E149" s="15"/>
      <c r="F149" s="102"/>
      <c r="G149" s="102"/>
      <c r="H149" s="103" t="str">
        <f aca="false">IF($B149="","",N($E149))</f>
        <v/>
      </c>
      <c r="I149" s="104" t="str">
        <f aca="false">IF($B149="","",$I$123+SUMIFS($G$125:$G$175,$M$125:$M$175,"&lt;="&amp;$M149)-SUMIFS($H$125:$H$175,$M$125:$M$175,"&lt;="&amp;$M149))</f>
        <v/>
      </c>
      <c r="J149" s="102"/>
      <c r="K149" s="96"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100"/>
      <c r="D150" s="101" t="str">
        <f aca="false">IF($B150="","","Expense")</f>
        <v/>
      </c>
      <c r="E150" s="15"/>
      <c r="F150" s="102"/>
      <c r="G150" s="102"/>
      <c r="H150" s="103" t="str">
        <f aca="false">IF($B150="","",N($E150))</f>
        <v/>
      </c>
      <c r="I150" s="104" t="str">
        <f aca="false">IF($B150="","",$I$123+SUMIFS($G$125:$G$175,$M$125:$M$175,"&lt;="&amp;$M150)-SUMIFS($H$125:$H$175,$M$125:$M$175,"&lt;="&amp;$M150))</f>
        <v/>
      </c>
      <c r="J150" s="102"/>
      <c r="K150" s="96"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100"/>
      <c r="D151" s="101" t="str">
        <f aca="false">IF($B151="","","Expense")</f>
        <v/>
      </c>
      <c r="E151" s="15"/>
      <c r="F151" s="102"/>
      <c r="G151" s="102"/>
      <c r="H151" s="103" t="str">
        <f aca="false">IF($B151="","",N($E151))</f>
        <v/>
      </c>
      <c r="I151" s="104" t="str">
        <f aca="false">IF($B151="","",$I$123+SUMIFS($G$125:$G$175,$M$125:$M$175,"&lt;="&amp;$M151)-SUMIFS($H$125:$H$175,$M$125:$M$175,"&lt;="&amp;$M151))</f>
        <v/>
      </c>
      <c r="J151" s="102"/>
      <c r="K151" s="96"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100"/>
      <c r="D152" s="101" t="str">
        <f aca="false">IF($B152="","","Expense")</f>
        <v/>
      </c>
      <c r="E152" s="15"/>
      <c r="F152" s="102"/>
      <c r="G152" s="102"/>
      <c r="H152" s="103" t="str">
        <f aca="false">IF($B152="","",N($E152))</f>
        <v/>
      </c>
      <c r="I152" s="104" t="str">
        <f aca="false">IF($B152="","",$I$123+SUMIFS($G$125:$G$175,$M$125:$M$175,"&lt;="&amp;$M152)-SUMIFS($H$125:$H$175,$M$125:$M$175,"&lt;="&amp;$M152))</f>
        <v/>
      </c>
      <c r="J152" s="102"/>
      <c r="K152" s="96"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100"/>
      <c r="D153" s="101" t="str">
        <f aca="false">IF($B153="","","Expense")</f>
        <v/>
      </c>
      <c r="E153" s="15"/>
      <c r="F153" s="102"/>
      <c r="G153" s="102"/>
      <c r="H153" s="103" t="str">
        <f aca="false">IF($B153="","",N($E153))</f>
        <v/>
      </c>
      <c r="I153" s="104" t="str">
        <f aca="false">IF($B153="","",$I$123+SUMIFS($G$125:$G$175,$M$125:$M$175,"&lt;="&amp;$M153)-SUMIFS($H$125:$H$175,$M$125:$M$175,"&lt;="&amp;$M153))</f>
        <v/>
      </c>
      <c r="J153" s="102"/>
      <c r="K153" s="96"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100"/>
      <c r="D154" s="101" t="str">
        <f aca="false">IF($B154="","","Expense")</f>
        <v/>
      </c>
      <c r="E154" s="15"/>
      <c r="F154" s="102"/>
      <c r="G154" s="102"/>
      <c r="H154" s="103" t="str">
        <f aca="false">IF($B154="","",N($E154))</f>
        <v/>
      </c>
      <c r="I154" s="104" t="str">
        <f aca="false">IF($B154="","",$I$123+SUMIFS($G$125:$G$175,$M$125:$M$175,"&lt;="&amp;$M154)-SUMIFS($H$125:$H$175,$M$125:$M$175,"&lt;="&amp;$M154))</f>
        <v/>
      </c>
      <c r="J154" s="102"/>
      <c r="K154" s="96"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100"/>
      <c r="D155" s="101" t="str">
        <f aca="false">IF($B155="","","Expense")</f>
        <v/>
      </c>
      <c r="E155" s="15"/>
      <c r="F155" s="102"/>
      <c r="G155" s="102"/>
      <c r="H155" s="103" t="str">
        <f aca="false">IF($B155="","",N($E155))</f>
        <v/>
      </c>
      <c r="I155" s="104" t="str">
        <f aca="false">IF($B155="","",$I$123+SUMIFS($G$125:$G$175,$M$125:$M$175,"&lt;="&amp;$M155)-SUMIFS($H$125:$H$175,$M$125:$M$175,"&lt;="&amp;$M155))</f>
        <v/>
      </c>
      <c r="J155" s="102"/>
      <c r="K155" s="96"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100"/>
      <c r="D156" s="101" t="str">
        <f aca="false">IF($B156="","","Expense")</f>
        <v/>
      </c>
      <c r="E156" s="15"/>
      <c r="F156" s="102"/>
      <c r="G156" s="102"/>
      <c r="H156" s="103" t="str">
        <f aca="false">IF($B156="","",N($E156))</f>
        <v/>
      </c>
      <c r="I156" s="104" t="str">
        <f aca="false">IF($B156="","",$I$123+SUMIFS($G$125:$G$175,$M$125:$M$175,"&lt;="&amp;$M156)-SUMIFS($H$125:$H$175,$M$125:$M$175,"&lt;="&amp;$M156))</f>
        <v/>
      </c>
      <c r="J156" s="102"/>
      <c r="K156" s="96"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100"/>
      <c r="D157" s="101" t="str">
        <f aca="false">IF($B157="","","Expense")</f>
        <v/>
      </c>
      <c r="E157" s="15"/>
      <c r="F157" s="102"/>
      <c r="G157" s="102"/>
      <c r="H157" s="103" t="str">
        <f aca="false">IF($B157="","",N($E157))</f>
        <v/>
      </c>
      <c r="I157" s="104" t="str">
        <f aca="false">IF($B157="","",$I$123+SUMIFS($G$125:$G$175,$M$125:$M$175,"&lt;="&amp;$M157)-SUMIFS($H$125:$H$175,$M$125:$M$175,"&lt;="&amp;$M157))</f>
        <v/>
      </c>
      <c r="J157" s="102"/>
      <c r="K157" s="96"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100"/>
      <c r="D158" s="101" t="str">
        <f aca="false">IF($B158="","","Expense")</f>
        <v/>
      </c>
      <c r="E158" s="15"/>
      <c r="F158" s="102"/>
      <c r="G158" s="102"/>
      <c r="H158" s="103" t="str">
        <f aca="false">IF($B158="","",N($E158))</f>
        <v/>
      </c>
      <c r="I158" s="104" t="str">
        <f aca="false">IF($B158="","",$I$123+SUMIFS($G$125:$G$175,$M$125:$M$175,"&lt;="&amp;$M158)-SUMIFS($H$125:$H$175,$M$125:$M$175,"&lt;="&amp;$M158))</f>
        <v/>
      </c>
      <c r="J158" s="102"/>
      <c r="K158" s="96"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100"/>
      <c r="D159" s="101" t="str">
        <f aca="false">IF($B159="","","Expense")</f>
        <v/>
      </c>
      <c r="E159" s="15"/>
      <c r="F159" s="102"/>
      <c r="G159" s="102"/>
      <c r="H159" s="103" t="str">
        <f aca="false">IF($B159="","",N($E159))</f>
        <v/>
      </c>
      <c r="I159" s="104" t="str">
        <f aca="false">IF($B159="","",$I$123+SUMIFS($G$125:$G$175,$M$125:$M$175,"&lt;="&amp;$M159)-SUMIFS($H$125:$H$175,$M$125:$M$175,"&lt;="&amp;$M159))</f>
        <v/>
      </c>
      <c r="J159" s="102"/>
      <c r="K159" s="96"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100"/>
      <c r="D160" s="101" t="str">
        <f aca="false">IF($B160="","","Expense")</f>
        <v/>
      </c>
      <c r="E160" s="15"/>
      <c r="F160" s="102"/>
      <c r="G160" s="102"/>
      <c r="H160" s="103" t="str">
        <f aca="false">IF($B160="","",N($E160))</f>
        <v/>
      </c>
      <c r="I160" s="104" t="str">
        <f aca="false">IF($B160="","",$I$123+SUMIFS($G$125:$G$175,$M$125:$M$175,"&lt;="&amp;$M160)-SUMIFS($H$125:$H$175,$M$125:$M$175,"&lt;="&amp;$M160))</f>
        <v/>
      </c>
      <c r="J160" s="102"/>
      <c r="K160" s="96"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100"/>
      <c r="D161" s="101" t="str">
        <f aca="false">IF($B161="","","Expense")</f>
        <v/>
      </c>
      <c r="E161" s="15"/>
      <c r="F161" s="102"/>
      <c r="G161" s="102"/>
      <c r="H161" s="103" t="str">
        <f aca="false">IF($B161="","",N($E161))</f>
        <v/>
      </c>
      <c r="I161" s="104" t="str">
        <f aca="false">IF($B161="","",$I$123+SUMIFS($G$125:$G$175,$M$125:$M$175,"&lt;="&amp;$M161)-SUMIFS($H$125:$H$175,$M$125:$M$175,"&lt;="&amp;$M161))</f>
        <v/>
      </c>
      <c r="J161" s="102"/>
      <c r="K161" s="96"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100"/>
      <c r="D162" s="101" t="str">
        <f aca="false">IF($B162="","","Expense")</f>
        <v/>
      </c>
      <c r="E162" s="15"/>
      <c r="F162" s="102"/>
      <c r="G162" s="102"/>
      <c r="H162" s="103" t="str">
        <f aca="false">IF($B162="","",N($E162))</f>
        <v/>
      </c>
      <c r="I162" s="104" t="str">
        <f aca="false">IF($B162="","",$I$123+SUMIFS($G$125:$G$175,$M$125:$M$175,"&lt;="&amp;$M162)-SUMIFS($H$125:$H$175,$M$125:$M$175,"&lt;="&amp;$M162))</f>
        <v/>
      </c>
      <c r="J162" s="102"/>
      <c r="K162" s="96"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100"/>
      <c r="D163" s="101" t="str">
        <f aca="false">IF($B163="","","Expense")</f>
        <v/>
      </c>
      <c r="E163" s="15"/>
      <c r="F163" s="102"/>
      <c r="G163" s="102"/>
      <c r="H163" s="103" t="str">
        <f aca="false">IF($B163="","",N($E163))</f>
        <v/>
      </c>
      <c r="I163" s="104" t="str">
        <f aca="false">IF($B163="","",$I$123+SUMIFS($G$125:$G$175,$M$125:$M$175,"&lt;="&amp;$M163)-SUMIFS($H$125:$H$175,$M$125:$M$175,"&lt;="&amp;$M163))</f>
        <v/>
      </c>
      <c r="J163" s="102"/>
      <c r="K163" s="96"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100"/>
      <c r="D164" s="101" t="str">
        <f aca="false">IF($B164="","","Expense")</f>
        <v/>
      </c>
      <c r="E164" s="15"/>
      <c r="F164" s="102"/>
      <c r="G164" s="102"/>
      <c r="H164" s="103" t="str">
        <f aca="false">IF($B164="","",N($E164))</f>
        <v/>
      </c>
      <c r="I164" s="104" t="str">
        <f aca="false">IF($B164="","",$I$123+SUMIFS($G$125:$G$175,$M$125:$M$175,"&lt;="&amp;$M164)-SUMIFS($H$125:$H$175,$M$125:$M$175,"&lt;="&amp;$M164))</f>
        <v/>
      </c>
      <c r="J164" s="102"/>
      <c r="K164" s="96"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100"/>
      <c r="D165" s="101" t="str">
        <f aca="false">IF($B165="","","Expense")</f>
        <v/>
      </c>
      <c r="E165" s="15"/>
      <c r="F165" s="102"/>
      <c r="G165" s="102"/>
      <c r="H165" s="103" t="str">
        <f aca="false">IF($B165="","",N($E165))</f>
        <v/>
      </c>
      <c r="I165" s="104" t="str">
        <f aca="false">IF($B165="","",$I$123+SUMIFS($G$125:$G$175,$M$125:$M$175,"&lt;="&amp;$M165)-SUMIFS($H$125:$H$175,$M$125:$M$175,"&lt;="&amp;$M165))</f>
        <v/>
      </c>
      <c r="J165" s="102"/>
      <c r="K165" s="96"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100"/>
      <c r="D166" s="101" t="str">
        <f aca="false">IF($B166="","","Expense")</f>
        <v/>
      </c>
      <c r="E166" s="15"/>
      <c r="F166" s="102"/>
      <c r="G166" s="102"/>
      <c r="H166" s="103" t="str">
        <f aca="false">IF($B166="","",N($E166))</f>
        <v/>
      </c>
      <c r="I166" s="104" t="str">
        <f aca="false">IF($B166="","",$I$123+SUMIFS($G$125:$G$175,$M$125:$M$175,"&lt;="&amp;$M166)-SUMIFS($H$125:$H$175,$M$125:$M$175,"&lt;="&amp;$M166))</f>
        <v/>
      </c>
      <c r="J166" s="102"/>
      <c r="K166" s="96"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100"/>
      <c r="D167" s="101" t="str">
        <f aca="false">IF($B167="","","Expense")</f>
        <v/>
      </c>
      <c r="E167" s="15"/>
      <c r="F167" s="102"/>
      <c r="G167" s="102"/>
      <c r="H167" s="103" t="str">
        <f aca="false">IF($B167="","",N($E167))</f>
        <v/>
      </c>
      <c r="I167" s="104" t="str">
        <f aca="false">IF($B167="","",$I$123+SUMIFS($G$125:$G$175,$M$125:$M$175,"&lt;="&amp;$M167)-SUMIFS($H$125:$H$175,$M$125:$M$175,"&lt;="&amp;$M167))</f>
        <v/>
      </c>
      <c r="J167" s="102"/>
      <c r="K167" s="96"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100"/>
      <c r="D168" s="101" t="str">
        <f aca="false">IF($B168="","","Expense")</f>
        <v/>
      </c>
      <c r="E168" s="15"/>
      <c r="F168" s="102"/>
      <c r="G168" s="102"/>
      <c r="H168" s="103" t="str">
        <f aca="false">IF($B168="","",N($E168))</f>
        <v/>
      </c>
      <c r="I168" s="104" t="str">
        <f aca="false">IF($B168="","",$I$123+SUMIFS($G$125:$G$175,$M$125:$M$175,"&lt;="&amp;$M168)-SUMIFS($H$125:$H$175,$M$125:$M$175,"&lt;="&amp;$M168))</f>
        <v/>
      </c>
      <c r="J168" s="102"/>
      <c r="K168" s="96"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100"/>
      <c r="D169" s="101" t="str">
        <f aca="false">IF($B169="","","Expense")</f>
        <v/>
      </c>
      <c r="E169" s="15"/>
      <c r="F169" s="102"/>
      <c r="G169" s="102"/>
      <c r="H169" s="103" t="str">
        <f aca="false">IF($B169="","",N($E169))</f>
        <v/>
      </c>
      <c r="I169" s="104" t="str">
        <f aca="false">IF($B169="","",$I$123+SUMIFS($G$125:$G$175,$M$125:$M$175,"&lt;="&amp;$M169)-SUMIFS($H$125:$H$175,$M$125:$M$175,"&lt;="&amp;$M169))</f>
        <v/>
      </c>
      <c r="J169" s="102"/>
      <c r="K169" s="96"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100"/>
      <c r="D170" s="101" t="str">
        <f aca="false">IF($B170="","","Expense")</f>
        <v/>
      </c>
      <c r="E170" s="15"/>
      <c r="F170" s="102"/>
      <c r="G170" s="102"/>
      <c r="H170" s="103" t="str">
        <f aca="false">IF($B170="","",N($E170))</f>
        <v/>
      </c>
      <c r="I170" s="104" t="str">
        <f aca="false">IF($B170="","",$I$123+SUMIFS($G$125:$G$175,$M$125:$M$175,"&lt;="&amp;$M170)-SUMIFS($H$125:$H$175,$M$125:$M$175,"&lt;="&amp;$M170))</f>
        <v/>
      </c>
      <c r="J170" s="102"/>
      <c r="K170" s="96"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100"/>
      <c r="D171" s="101" t="str">
        <f aca="false">IF($B171="","","Expense")</f>
        <v/>
      </c>
      <c r="E171" s="15"/>
      <c r="F171" s="102"/>
      <c r="G171" s="102"/>
      <c r="H171" s="103" t="str">
        <f aca="false">IF($B171="","",N($E171))</f>
        <v/>
      </c>
      <c r="I171" s="104" t="str">
        <f aca="false">IF($B171="","",$I$123+SUMIFS($G$125:$G$175,$M$125:$M$175,"&lt;="&amp;$M171)-SUMIFS($H$125:$H$175,$M$125:$M$175,"&lt;="&amp;$M171))</f>
        <v/>
      </c>
      <c r="J171" s="102"/>
      <c r="K171" s="96"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100"/>
      <c r="D172" s="101" t="str">
        <f aca="false">IF($B172="","","Expense")</f>
        <v/>
      </c>
      <c r="E172" s="15"/>
      <c r="F172" s="102"/>
      <c r="G172" s="102"/>
      <c r="H172" s="103" t="str">
        <f aca="false">IF($B172="","",N($E172))</f>
        <v/>
      </c>
      <c r="I172" s="104" t="str">
        <f aca="false">IF($B172="","",$I$123+SUMIFS($G$125:$G$175,$M$125:$M$175,"&lt;="&amp;$M172)-SUMIFS($H$125:$H$175,$M$125:$M$175,"&lt;="&amp;$M172))</f>
        <v/>
      </c>
      <c r="J172" s="102"/>
      <c r="K172" s="96"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100"/>
      <c r="D173" s="101" t="str">
        <f aca="false">IF($B173="","","Expense")</f>
        <v/>
      </c>
      <c r="E173" s="15"/>
      <c r="F173" s="102"/>
      <c r="G173" s="102"/>
      <c r="H173" s="103" t="str">
        <f aca="false">IF($B173="","",N($E173))</f>
        <v/>
      </c>
      <c r="I173" s="104" t="str">
        <f aca="false">IF($B173="","",$I$123+SUMIFS($G$125:$G$175,$M$125:$M$175,"&lt;="&amp;$M173)-SUMIFS($H$125:$H$175,$M$125:$M$175,"&lt;="&amp;$M173))</f>
        <v/>
      </c>
      <c r="J173" s="102"/>
      <c r="K173" s="96"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100"/>
      <c r="D174" s="101" t="str">
        <f aca="false">IF($B174="","","Expense")</f>
        <v/>
      </c>
      <c r="E174" s="15"/>
      <c r="F174" s="102"/>
      <c r="G174" s="102"/>
      <c r="H174" s="103" t="str">
        <f aca="false">IF($B174="","",N($E174))</f>
        <v/>
      </c>
      <c r="I174" s="104" t="str">
        <f aca="false">IF($B174="","",$I$123+SUMIFS($G$125:$G$175,$M$125:$M$175,"&lt;="&amp;$M174)-SUMIFS($H$125:$H$175,$M$125:$M$175,"&lt;="&amp;$M174))</f>
        <v/>
      </c>
      <c r="J174" s="102"/>
      <c r="K174" s="96" t="str">
        <f aca="false">IF($B174="","","ACTUAL")</f>
        <v/>
      </c>
      <c r="L174" s="1" t="str">
        <f aca="false">IF($B174="","",IF($C174="",$E$6+20,$C174))</f>
        <v/>
      </c>
      <c r="M174" s="1" t="str">
        <f aca="false">IF($L174="","",COUNTIFS($L$125:$L$175,"&lt;"&amp;$L174)+COUNTIFS($L$125:$L174,$L174))</f>
        <v/>
      </c>
    </row>
    <row r="175" customFormat="false" ht="15" hidden="false" customHeight="true" outlineLevel="0" collapsed="false">
      <c r="B175" s="105" t="str">
        <f aca="false">"Everyday spending still expected this week"</f>
        <v>Everyday spending still expected this week</v>
      </c>
      <c r="C175" s="106" t="n">
        <f aca="false">$E$6+20</f>
        <v>46269</v>
      </c>
      <c r="D175" s="101" t="str">
        <f aca="false">IF($B175="","","Expense")</f>
        <v>Expense</v>
      </c>
      <c r="E175" s="107" t="n">
        <f aca="false">MAX(0,$E$8-SUM($E$136:$E$174))</f>
        <v>400</v>
      </c>
      <c r="F175" s="102"/>
      <c r="G175" s="102"/>
      <c r="H175" s="103" t="n">
        <f aca="false">IF($B175="","",N($E175))</f>
        <v>400</v>
      </c>
      <c r="I175" s="104" t="n">
        <f aca="false">IF($B175="","",$I$123+SUMIFS($G$125:$G$175,$M$125:$M$175,"&lt;="&amp;$M175)-SUMIFS($H$125:$H$175,$M$125:$M$175,"&lt;="&amp;$M175))</f>
        <v>-25.27</v>
      </c>
      <c r="J175" s="102"/>
      <c r="K175" s="96" t="str">
        <f aca="false">"FORECAST"</f>
        <v>FORECAST</v>
      </c>
      <c r="L175" s="97" t="n">
        <f aca="false">IF($B175="","",IF($C175="",$E$6+20,$C175))</f>
        <v>46269</v>
      </c>
      <c r="M175" s="1" t="n">
        <f aca="false">IF($L175="","",COUNTIFS($L$125:$L$175,"&lt;"&amp;$L175)+COUNTIFS($L$125:$L175,$L175))</f>
        <v>9</v>
      </c>
    </row>
    <row r="176" customFormat="false" ht="15" hidden="false" customHeight="true" outlineLevel="0" collapsed="false">
      <c r="B176" s="108" t="s">
        <v>194</v>
      </c>
      <c r="C176" s="58"/>
      <c r="D176" s="58"/>
      <c r="E176" s="58"/>
      <c r="F176" s="58"/>
      <c r="G176" s="57" t="n">
        <f aca="false">SUM($G$125:$G$175)</f>
        <v>992.65</v>
      </c>
      <c r="H176" s="57" t="n">
        <f aca="false">SUM($H$125:$H$175)</f>
        <v>1172.46</v>
      </c>
      <c r="I176" s="109" t="n">
        <f aca="false">$I$123+$G$176-$H$176</f>
        <v>-25.27</v>
      </c>
      <c r="J176" s="110" t="str">
        <f aca="false">IF($I$176&lt;0,"SHORTFALL",IF($I$176&lt;$E$7,"TIGHT","OK"))</f>
        <v>SHORTFALL</v>
      </c>
      <c r="K176" s="111"/>
      <c r="N176" s="111" t="str">
        <f aca="false">IF(COUNT($I$125:$I$175)=0,"","Lowest point this week: "&amp;TEXT(MIN($I$125:$I$175),"$#,##0.00;-$#,##0.00")&amp;" on "&amp;TEXT(INDEX($C$125:$C$175,MATCH(MIN($I$125:$I$175),$I$125:$I$175,0)),"ddd mmm d")&amp;"     (in "&amp;TEXT($G$176,"$#,##0.00")&amp;", out "&amp;TEXT($H$176,"$#,##0.00")&amp;")")</f>
        <v>Lowest point this week: -$388.83 on Mon Aug 31     (in $992.65, out $1,172.46)</v>
      </c>
    </row>
    <row r="178" customFormat="false" ht="21.75" hidden="false" customHeight="true" outlineLevel="0" collapsed="false">
      <c r="B178" s="82" t="str">
        <f aca="false">"WEEK 4     "&amp;TEXT($E$6+21,"ddd, mmm d")&amp;"   through   "&amp;TEXT($E$6+21+6,"ddd, mmm d, yyyy")</f>
        <v>WEEK 4     Sat, Sep 5   through   Fri, Sep 11, 2026</v>
      </c>
      <c r="C178" s="83"/>
      <c r="D178" s="83"/>
      <c r="E178" s="83"/>
      <c r="F178" s="83"/>
      <c r="G178" s="84" t="s">
        <v>147</v>
      </c>
      <c r="H178" s="83"/>
      <c r="I178" s="85" t="n">
        <f aca="false">$I$176</f>
        <v>-25.27</v>
      </c>
      <c r="J178" s="83"/>
      <c r="K178" s="86"/>
      <c r="N178" s="86" t="str">
        <f aca="false">IF(COUNTIF(Schedule!$I$4:$I$483,4)&gt;10,"! "&amp;COUNTIF(Schedule!$I$4:$I$483,4)-10&amp;" more transaction(s) fall in this week than there are rows to show them.","")</f>
        <v/>
      </c>
    </row>
    <row r="179" customFormat="false" ht="25.5" hidden="false" customHeight="true" outlineLevel="0" collapsed="false">
      <c r="B179" s="87" t="s">
        <v>148</v>
      </c>
      <c r="C179" s="87" t="s">
        <v>149</v>
      </c>
      <c r="D179" s="87" t="s">
        <v>42</v>
      </c>
      <c r="E179" s="87" t="s">
        <v>150</v>
      </c>
      <c r="F179" s="87" t="s">
        <v>151</v>
      </c>
      <c r="G179" s="37" t="s">
        <v>152</v>
      </c>
      <c r="H179" s="38" t="s">
        <v>153</v>
      </c>
      <c r="I179" s="87" t="s">
        <v>154</v>
      </c>
      <c r="J179" s="87" t="s">
        <v>14</v>
      </c>
      <c r="K179" s="87" t="s">
        <v>155</v>
      </c>
    </row>
    <row r="180" customFormat="false" ht="15" hidden="false" customHeight="true" outlineLevel="0" collapsed="false">
      <c r="B180" s="8" t="str">
        <f aca="false">IFERROR(INDEX(Schedule!$C$4:$C$483,MATCH(4001,Schedule!$K$4:$K$483,0)),"")</f>
        <v>OpenAI</v>
      </c>
      <c r="C180" s="88" t="n">
        <f aca="false">IF($B180="","",INDEX(Schedule!$G$4:$G$483,MATCH(4001,Schedule!$K$4:$K$483,0)))</f>
        <v>46270</v>
      </c>
      <c r="D180" s="89" t="str">
        <f aca="false">IF($B180="","",INDEX(Schedule!$D$4:$D$483,MATCH(4001,Schedule!$K$4:$K$483,0)))</f>
        <v>Expense</v>
      </c>
      <c r="E180" s="90" t="n">
        <f aca="false">IF($B180="","",INDEX(Schedule!$E$4:$E$483,MATCH(4001,Schedule!$K$4:$K$483,0)))</f>
        <v>20</v>
      </c>
      <c r="F180" s="91"/>
      <c r="G180" s="92" t="str">
        <f aca="false">IF($B180="","",IF($D180="Income",IF($F180&lt;&gt;"",$F180,IF(COUNTIFS('Paid Log'!$B$9:$B$308,$C180,'Paid Log'!$C$9:$C$308,$B180)&gt;0,SUMIFS('Paid Log'!$D$9:$D$308,'Paid Log'!$B$9:$B$308,$C180,'Paid Log'!$C$9:$C$308,$B180),$E180)),""))</f>
        <v/>
      </c>
      <c r="H180" s="93" t="n">
        <f aca="false">IF($B180="","",IF($D180="Income","",IF($F180&lt;&gt;"",$F180,IF(COUNTIFS('Paid Log'!$B$9:$B$308,$C180,'Paid Log'!$C$9:$C$308,$B180)&gt;0,SUMIFS('Paid Log'!$D$9:$D$308,'Paid Log'!$B$9:$B$308,$C180,'Paid Log'!$C$9:$C$308,$B180),$E180))))</f>
        <v>20</v>
      </c>
      <c r="I180" s="94" t="n">
        <f aca="false">IF($B180="","",$I$178+SUMIFS($G$180:$G$230,$M$180:$M$230,"&lt;="&amp;$M180)-SUMIFS($H$180:$H$230,$M$180:$M$230,"&lt;="&amp;$M180))</f>
        <v>-45.27</v>
      </c>
      <c r="J180" s="95" t="str">
        <f aca="true">IF($B180="","",IF(OR($F180&lt;&gt;"",COUNTIFS('Paid Log'!$B$9:$B$308,$C180,'Paid Log'!$C$9:$C$308,$B180)&gt;0),IF($C180&gt;TODAY(),"ADJUSTED","PAID"),IF($C180&lt;TODAY(),"PAST DUE",IF($C180&lt;=TODAY()+7,"DUE","Upcoming"))))</f>
        <v>DUE</v>
      </c>
      <c r="K180" s="96" t="str">
        <f aca="false">IF($B180="","",IF(OR($F180&lt;&gt;"",COUNTIFS('Paid Log'!$B$9:$B$308,$C180,'Paid Log'!$C$9:$C$308,$B180)&gt;0),"ACTUAL","FORECAST"))</f>
        <v>FORECAST</v>
      </c>
      <c r="L180" s="97"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88" t="n">
        <f aca="false">IF($B181="","",INDEX(Schedule!$G$4:$G$483,MATCH(4002,Schedule!$K$4:$K$483,0)))</f>
        <v>46270</v>
      </c>
      <c r="D181" s="89" t="str">
        <f aca="false">IF($B181="","",INDEX(Schedule!$D$4:$D$483,MATCH(4002,Schedule!$K$4:$K$483,0)))</f>
        <v>Expense</v>
      </c>
      <c r="E181" s="90" t="n">
        <f aca="false">IF($B181="","",INDEX(Schedule!$E$4:$E$483,MATCH(4002,Schedule!$K$4:$K$483,0)))</f>
        <v>10</v>
      </c>
      <c r="F181" s="91"/>
      <c r="G181" s="92" t="str">
        <f aca="false">IF($B181="","",IF($D181="Income",IF($F181&lt;&gt;"",$F181,IF(COUNTIFS('Paid Log'!$B$9:$B$308,$C181,'Paid Log'!$C$9:$C$308,$B181)&gt;0,SUMIFS('Paid Log'!$D$9:$D$308,'Paid Log'!$B$9:$B$308,$C181,'Paid Log'!$C$9:$C$308,$B181),$E181)),""))</f>
        <v/>
      </c>
      <c r="H181" s="93" t="n">
        <f aca="false">IF($B181="","",IF($D181="Income","",IF($F181&lt;&gt;"",$F181,IF(COUNTIFS('Paid Log'!$B$9:$B$308,$C181,'Paid Log'!$C$9:$C$308,$B181)&gt;0,SUMIFS('Paid Log'!$D$9:$D$308,'Paid Log'!$B$9:$B$308,$C181,'Paid Log'!$C$9:$C$308,$B181),$E181))))</f>
        <v>10</v>
      </c>
      <c r="I181" s="94" t="n">
        <f aca="false">IF($B181="","",$I$178+SUMIFS($G$180:$G$230,$M$180:$M$230,"&lt;="&amp;$M181)-SUMIFS($H$180:$H$230,$M$180:$M$230,"&lt;="&amp;$M181))</f>
        <v>-55.27</v>
      </c>
      <c r="J181" s="95" t="str">
        <f aca="true">IF($B181="","",IF(OR($F181&lt;&gt;"",COUNTIFS('Paid Log'!$B$9:$B$308,$C181,'Paid Log'!$C$9:$C$308,$B181)&gt;0),IF($C181&gt;TODAY(),"ADJUSTED","PAID"),IF($C181&lt;TODAY(),"PAST DUE",IF($C181&lt;=TODAY()+7,"DUE","Upcoming"))))</f>
        <v>DUE</v>
      </c>
      <c r="K181" s="96" t="str">
        <f aca="false">IF($B181="","",IF(OR($F181&lt;&gt;"",COUNTIFS('Paid Log'!$B$9:$B$308,$C181,'Paid Log'!$C$9:$C$308,$B181)&gt;0),"ACTUAL","FORECAST"))</f>
        <v>FORECAST</v>
      </c>
      <c r="L181" s="97"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88" t="n">
        <f aca="false">IF($B182="","",INDEX(Schedule!$G$4:$G$483,MATCH(4003,Schedule!$K$4:$K$483,0)))</f>
        <v>46272</v>
      </c>
      <c r="D182" s="89" t="str">
        <f aca="false">IF($B182="","",INDEX(Schedule!$D$4:$D$483,MATCH(4003,Schedule!$K$4:$K$483,0)))</f>
        <v>Expense</v>
      </c>
      <c r="E182" s="90" t="n">
        <f aca="false">IF($B182="","",INDEX(Schedule!$E$4:$E$483,MATCH(4003,Schedule!$K$4:$K$483,0)))</f>
        <v>4.99</v>
      </c>
      <c r="F182" s="91"/>
      <c r="G182" s="92" t="str">
        <f aca="false">IF($B182="","",IF($D182="Income",IF($F182&lt;&gt;"",$F182,IF(COUNTIFS('Paid Log'!$B$9:$B$308,$C182,'Paid Log'!$C$9:$C$308,$B182)&gt;0,SUMIFS('Paid Log'!$D$9:$D$308,'Paid Log'!$B$9:$B$308,$C182,'Paid Log'!$C$9:$C$308,$B182),$E182)),""))</f>
        <v/>
      </c>
      <c r="H182" s="93" t="n">
        <f aca="false">IF($B182="","",IF($D182="Income","",IF($F182&lt;&gt;"",$F182,IF(COUNTIFS('Paid Log'!$B$9:$B$308,$C182,'Paid Log'!$C$9:$C$308,$B182)&gt;0,SUMIFS('Paid Log'!$D$9:$D$308,'Paid Log'!$B$9:$B$308,$C182,'Paid Log'!$C$9:$C$308,$B182),$E182))))</f>
        <v>4.99</v>
      </c>
      <c r="I182" s="94" t="n">
        <f aca="false">IF($B182="","",$I$178+SUMIFS($G$180:$G$230,$M$180:$M$230,"&lt;="&amp;$M182)-SUMIFS($H$180:$H$230,$M$180:$M$230,"&lt;="&amp;$M182))</f>
        <v>-60.26</v>
      </c>
      <c r="J182" s="95" t="str">
        <f aca="true">IF($B182="","",IF(OR($F182&lt;&gt;"",COUNTIFS('Paid Log'!$B$9:$B$308,$C182,'Paid Log'!$C$9:$C$308,$B182)&gt;0),IF($C182&gt;TODAY(),"ADJUSTED","PAID"),IF($C182&lt;TODAY(),"PAST DUE",IF($C182&lt;=TODAY()+7,"DUE","Upcoming"))))</f>
        <v>Upcoming</v>
      </c>
      <c r="K182" s="96" t="str">
        <f aca="false">IF($B182="","",IF(OR($F182&lt;&gt;"",COUNTIFS('Paid Log'!$B$9:$B$308,$C182,'Paid Log'!$C$9:$C$308,$B182)&gt;0),"ACTUAL","FORECAST"))</f>
        <v>FORECAST</v>
      </c>
      <c r="L182" s="97"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88" t="n">
        <f aca="false">IF($B183="","",INDEX(Schedule!$G$4:$G$483,MATCH(4004,Schedule!$K$4:$K$483,0)))</f>
        <v>46272</v>
      </c>
      <c r="D183" s="89" t="str">
        <f aca="false">IF($B183="","",INDEX(Schedule!$D$4:$D$483,MATCH(4004,Schedule!$K$4:$K$483,0)))</f>
        <v>Expense</v>
      </c>
      <c r="E183" s="90" t="n">
        <f aca="false">IF($B183="","",INDEX(Schedule!$E$4:$E$483,MATCH(4004,Schedule!$K$4:$K$483,0)))</f>
        <v>500</v>
      </c>
      <c r="F183" s="91"/>
      <c r="G183" s="92" t="str">
        <f aca="false">IF($B183="","",IF($D183="Income",IF($F183&lt;&gt;"",$F183,IF(COUNTIFS('Paid Log'!$B$9:$B$308,$C183,'Paid Log'!$C$9:$C$308,$B183)&gt;0,SUMIFS('Paid Log'!$D$9:$D$308,'Paid Log'!$B$9:$B$308,$C183,'Paid Log'!$C$9:$C$308,$B183),$E183)),""))</f>
        <v/>
      </c>
      <c r="H183" s="93" t="n">
        <f aca="false">IF($B183="","",IF($D183="Income","",IF($F183&lt;&gt;"",$F183,IF(COUNTIFS('Paid Log'!$B$9:$B$308,$C183,'Paid Log'!$C$9:$C$308,$B183)&gt;0,SUMIFS('Paid Log'!$D$9:$D$308,'Paid Log'!$B$9:$B$308,$C183,'Paid Log'!$C$9:$C$308,$B183),$E183))))</f>
        <v>500</v>
      </c>
      <c r="I183" s="94" t="n">
        <f aca="false">IF($B183="","",$I$178+SUMIFS($G$180:$G$230,$M$180:$M$230,"&lt;="&amp;$M183)-SUMIFS($H$180:$H$230,$M$180:$M$230,"&lt;="&amp;$M183))</f>
        <v>-560.26</v>
      </c>
      <c r="J183" s="95" t="str">
        <f aca="true">IF($B183="","",IF(OR($F183&lt;&gt;"",COUNTIFS('Paid Log'!$B$9:$B$308,$C183,'Paid Log'!$C$9:$C$308,$B183)&gt;0),IF($C183&gt;TODAY(),"ADJUSTED","PAID"),IF($C183&lt;TODAY(),"PAST DUE",IF($C183&lt;=TODAY()+7,"DUE","Upcoming"))))</f>
        <v>Upcoming</v>
      </c>
      <c r="K183" s="96" t="str">
        <f aca="false">IF($B183="","",IF(OR($F183&lt;&gt;"",COUNTIFS('Paid Log'!$B$9:$B$308,$C183,'Paid Log'!$C$9:$C$308,$B183)&gt;0),"ACTUAL","FORECAST"))</f>
        <v>FORECAST</v>
      </c>
      <c r="L183" s="97"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88" t="n">
        <f aca="false">IF($B184="","",INDEX(Schedule!$G$4:$G$483,MATCH(4005,Schedule!$K$4:$K$483,0)))</f>
        <v>46273</v>
      </c>
      <c r="D184" s="89" t="str">
        <f aca="false">IF($B184="","",INDEX(Schedule!$D$4:$D$483,MATCH(4005,Schedule!$K$4:$K$483,0)))</f>
        <v>Expense</v>
      </c>
      <c r="E184" s="90" t="n">
        <f aca="false">IF($B184="","",INDEX(Schedule!$E$4:$E$483,MATCH(4005,Schedule!$K$4:$K$483,0)))</f>
        <v>183.69</v>
      </c>
      <c r="F184" s="91"/>
      <c r="G184" s="92" t="str">
        <f aca="false">IF($B184="","",IF($D184="Income",IF($F184&lt;&gt;"",$F184,IF(COUNTIFS('Paid Log'!$B$9:$B$308,$C184,'Paid Log'!$C$9:$C$308,$B184)&gt;0,SUMIFS('Paid Log'!$D$9:$D$308,'Paid Log'!$B$9:$B$308,$C184,'Paid Log'!$C$9:$C$308,$B184),$E184)),""))</f>
        <v/>
      </c>
      <c r="H184" s="93" t="n">
        <f aca="false">IF($B184="","",IF($D184="Income","",IF($F184&lt;&gt;"",$F184,IF(COUNTIFS('Paid Log'!$B$9:$B$308,$C184,'Paid Log'!$C$9:$C$308,$B184)&gt;0,SUMIFS('Paid Log'!$D$9:$D$308,'Paid Log'!$B$9:$B$308,$C184,'Paid Log'!$C$9:$C$308,$B184),$E184))))</f>
        <v>183.69</v>
      </c>
      <c r="I184" s="94" t="n">
        <f aca="false">IF($B184="","",$I$178+SUMIFS($G$180:$G$230,$M$180:$M$230,"&lt;="&amp;$M184)-SUMIFS($H$180:$H$230,$M$180:$M$230,"&lt;="&amp;$M184))</f>
        <v>-743.95</v>
      </c>
      <c r="J184" s="95" t="str">
        <f aca="true">IF($B184="","",IF(OR($F184&lt;&gt;"",COUNTIFS('Paid Log'!$B$9:$B$308,$C184,'Paid Log'!$C$9:$C$308,$B184)&gt;0),IF($C184&gt;TODAY(),"ADJUSTED","PAID"),IF($C184&lt;TODAY(),"PAST DUE",IF($C184&lt;=TODAY()+7,"DUE","Upcoming"))))</f>
        <v>Upcoming</v>
      </c>
      <c r="K184" s="96" t="str">
        <f aca="false">IF($B184="","",IF(OR($F184&lt;&gt;"",COUNTIFS('Paid Log'!$B$9:$B$308,$C184,'Paid Log'!$C$9:$C$308,$B184)&gt;0),"ACTUAL","FORECAST"))</f>
        <v>FORECAST</v>
      </c>
      <c r="L184" s="97"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88" t="n">
        <f aca="false">IF($B185="","",INDEX(Schedule!$G$4:$G$483,MATCH(4006,Schedule!$K$4:$K$483,0)))</f>
        <v>46274</v>
      </c>
      <c r="D185" s="89" t="str">
        <f aca="false">IF($B185="","",INDEX(Schedule!$D$4:$D$483,MATCH(4006,Schedule!$K$4:$K$483,0)))</f>
        <v>Income</v>
      </c>
      <c r="E185" s="90" t="n">
        <f aca="false">IF($B185="","",INDEX(Schedule!$E$4:$E$483,MATCH(4006,Schedule!$K$4:$K$483,0)))</f>
        <v>90</v>
      </c>
      <c r="F185" s="91"/>
      <c r="G185" s="92" t="n">
        <f aca="false">IF($B185="","",IF($D185="Income",IF($F185&lt;&gt;"",$F185,IF(COUNTIFS('Paid Log'!$B$9:$B$308,$C185,'Paid Log'!$C$9:$C$308,$B185)&gt;0,SUMIFS('Paid Log'!$D$9:$D$308,'Paid Log'!$B$9:$B$308,$C185,'Paid Log'!$C$9:$C$308,$B185),$E185)),""))</f>
        <v>90</v>
      </c>
      <c r="H185" s="93" t="str">
        <f aca="false">IF($B185="","",IF($D185="Income","",IF($F185&lt;&gt;"",$F185,IF(COUNTIFS('Paid Log'!$B$9:$B$308,$C185,'Paid Log'!$C$9:$C$308,$B185)&gt;0,SUMIFS('Paid Log'!$D$9:$D$308,'Paid Log'!$B$9:$B$308,$C185,'Paid Log'!$C$9:$C$308,$B185),$E185))))</f>
        <v/>
      </c>
      <c r="I185" s="94" t="n">
        <f aca="false">IF($B185="","",$I$178+SUMIFS($G$180:$G$230,$M$180:$M$230,"&lt;="&amp;$M185)-SUMIFS($H$180:$H$230,$M$180:$M$230,"&lt;="&amp;$M185))</f>
        <v>-653.95</v>
      </c>
      <c r="J185" s="95" t="str">
        <f aca="true">IF($B185="","",IF(OR($F185&lt;&gt;"",COUNTIFS('Paid Log'!$B$9:$B$308,$C185,'Paid Log'!$C$9:$C$308,$B185)&gt;0),IF($C185&gt;TODAY(),"ADJUSTED","PAID"),IF($C185&lt;TODAY(),"PAST DUE",IF($C185&lt;=TODAY()+7,"DUE","Upcoming"))))</f>
        <v>Upcoming</v>
      </c>
      <c r="K185" s="96" t="str">
        <f aca="false">IF($B185="","",IF(OR($F185&lt;&gt;"",COUNTIFS('Paid Log'!$B$9:$B$308,$C185,'Paid Log'!$C$9:$C$308,$B185)&gt;0),"ACTUAL","FORECAST"))</f>
        <v>FORECAST</v>
      </c>
      <c r="L185" s="97"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88" t="n">
        <f aca="false">IF($B186="","",INDEX(Schedule!$G$4:$G$483,MATCH(4007,Schedule!$K$4:$K$483,0)))</f>
        <v>46276</v>
      </c>
      <c r="D186" s="89" t="str">
        <f aca="false">IF($B186="","",INDEX(Schedule!$D$4:$D$483,MATCH(4007,Schedule!$K$4:$K$483,0)))</f>
        <v>Income</v>
      </c>
      <c r="E186" s="90" t="n">
        <f aca="false">IF($B186="","",INDEX(Schedule!$E$4:$E$483,MATCH(4007,Schedule!$K$4:$K$483,0)))</f>
        <v>802.65</v>
      </c>
      <c r="F186" s="91"/>
      <c r="G186" s="92" t="n">
        <f aca="false">IF($B186="","",IF($D186="Income",IF($F186&lt;&gt;"",$F186,IF(COUNTIFS('Paid Log'!$B$9:$B$308,$C186,'Paid Log'!$C$9:$C$308,$B186)&gt;0,SUMIFS('Paid Log'!$D$9:$D$308,'Paid Log'!$B$9:$B$308,$C186,'Paid Log'!$C$9:$C$308,$B186),$E186)),""))</f>
        <v>802.65</v>
      </c>
      <c r="H186" s="93" t="str">
        <f aca="false">IF($B186="","",IF($D186="Income","",IF($F186&lt;&gt;"",$F186,IF(COUNTIFS('Paid Log'!$B$9:$B$308,$C186,'Paid Log'!$C$9:$C$308,$B186)&gt;0,SUMIFS('Paid Log'!$D$9:$D$308,'Paid Log'!$B$9:$B$308,$C186,'Paid Log'!$C$9:$C$308,$B186),$E186))))</f>
        <v/>
      </c>
      <c r="I186" s="94" t="n">
        <f aca="false">IF($B186="","",$I$178+SUMIFS($G$180:$G$230,$M$180:$M$230,"&lt;="&amp;$M186)-SUMIFS($H$180:$H$230,$M$180:$M$230,"&lt;="&amp;$M186))</f>
        <v>148.7</v>
      </c>
      <c r="J186" s="95" t="str">
        <f aca="true">IF($B186="","",IF(OR($F186&lt;&gt;"",COUNTIFS('Paid Log'!$B$9:$B$308,$C186,'Paid Log'!$C$9:$C$308,$B186)&gt;0),IF($C186&gt;TODAY(),"ADJUSTED","PAID"),IF($C186&lt;TODAY(),"PAST DUE",IF($C186&lt;=TODAY()+7,"DUE","Upcoming"))))</f>
        <v>Upcoming</v>
      </c>
      <c r="K186" s="96" t="str">
        <f aca="false">IF($B186="","",IF(OR($F186&lt;&gt;"",COUNTIFS('Paid Log'!$B$9:$B$308,$C186,'Paid Log'!$C$9:$C$308,$B186)&gt;0),"ACTUAL","FORECAST"))</f>
        <v>FORECAST</v>
      </c>
      <c r="L186" s="97"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88" t="str">
        <f aca="false">IF($B187="","",INDEX(Schedule!$G$4:$G$483,MATCH(4008,Schedule!$K$4:$K$483,0)))</f>
        <v/>
      </c>
      <c r="D187" s="89" t="str">
        <f aca="false">IF($B187="","",INDEX(Schedule!$D$4:$D$483,MATCH(4008,Schedule!$K$4:$K$483,0)))</f>
        <v/>
      </c>
      <c r="E187" s="90" t="str">
        <f aca="false">IF($B187="","",INDEX(Schedule!$E$4:$E$483,MATCH(4008,Schedule!$K$4:$K$483,0)))</f>
        <v/>
      </c>
      <c r="F187" s="91"/>
      <c r="G187" s="92" t="str">
        <f aca="false">IF($B187="","",IF($D187="Income",IF($F187&lt;&gt;"",$F187,IF(COUNTIFS('Paid Log'!$B$9:$B$308,$C187,'Paid Log'!$C$9:$C$308,$B187)&gt;0,SUMIFS('Paid Log'!$D$9:$D$308,'Paid Log'!$B$9:$B$308,$C187,'Paid Log'!$C$9:$C$308,$B187),$E187)),""))</f>
        <v/>
      </c>
      <c r="H187" s="93" t="str">
        <f aca="false">IF($B187="","",IF($D187="Income","",IF($F187&lt;&gt;"",$F187,IF(COUNTIFS('Paid Log'!$B$9:$B$308,$C187,'Paid Log'!$C$9:$C$308,$B187)&gt;0,SUMIFS('Paid Log'!$D$9:$D$308,'Paid Log'!$B$9:$B$308,$C187,'Paid Log'!$C$9:$C$308,$B187),$E187))))</f>
        <v/>
      </c>
      <c r="I187" s="94" t="str">
        <f aca="false">IF($B187="","",$I$178+SUMIFS($G$180:$G$230,$M$180:$M$230,"&lt;="&amp;$M187)-SUMIFS($H$180:$H$230,$M$180:$M$230,"&lt;="&amp;$M187))</f>
        <v/>
      </c>
      <c r="J187" s="95" t="str">
        <f aca="true">IF($B187="","",IF(OR($F187&lt;&gt;"",COUNTIFS('Paid Log'!$B$9:$B$308,$C187,'Paid Log'!$C$9:$C$308,$B187)&gt;0),IF($C187&gt;TODAY(),"ADJUSTED","PAID"),IF($C187&lt;TODAY(),"PAST DUE",IF($C187&lt;=TODAY()+7,"DUE","Upcoming"))))</f>
        <v/>
      </c>
      <c r="K187" s="96"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88" t="str">
        <f aca="false">IF($B188="","",INDEX(Schedule!$G$4:$G$483,MATCH(4009,Schedule!$K$4:$K$483,0)))</f>
        <v/>
      </c>
      <c r="D188" s="89" t="str">
        <f aca="false">IF($B188="","",INDEX(Schedule!$D$4:$D$483,MATCH(4009,Schedule!$K$4:$K$483,0)))</f>
        <v/>
      </c>
      <c r="E188" s="90" t="str">
        <f aca="false">IF($B188="","",INDEX(Schedule!$E$4:$E$483,MATCH(4009,Schedule!$K$4:$K$483,0)))</f>
        <v/>
      </c>
      <c r="F188" s="91"/>
      <c r="G188" s="92" t="str">
        <f aca="false">IF($B188="","",IF($D188="Income",IF($F188&lt;&gt;"",$F188,IF(COUNTIFS('Paid Log'!$B$9:$B$308,$C188,'Paid Log'!$C$9:$C$308,$B188)&gt;0,SUMIFS('Paid Log'!$D$9:$D$308,'Paid Log'!$B$9:$B$308,$C188,'Paid Log'!$C$9:$C$308,$B188),$E188)),""))</f>
        <v/>
      </c>
      <c r="H188" s="93" t="str">
        <f aca="false">IF($B188="","",IF($D188="Income","",IF($F188&lt;&gt;"",$F188,IF(COUNTIFS('Paid Log'!$B$9:$B$308,$C188,'Paid Log'!$C$9:$C$308,$B188)&gt;0,SUMIFS('Paid Log'!$D$9:$D$308,'Paid Log'!$B$9:$B$308,$C188,'Paid Log'!$C$9:$C$308,$B188),$E188))))</f>
        <v/>
      </c>
      <c r="I188" s="94" t="str">
        <f aca="false">IF($B188="","",$I$178+SUMIFS($G$180:$G$230,$M$180:$M$230,"&lt;="&amp;$M188)-SUMIFS($H$180:$H$230,$M$180:$M$230,"&lt;="&amp;$M188))</f>
        <v/>
      </c>
      <c r="J188" s="95" t="str">
        <f aca="true">IF($B188="","",IF(OR($F188&lt;&gt;"",COUNTIFS('Paid Log'!$B$9:$B$308,$C188,'Paid Log'!$C$9:$C$308,$B188)&gt;0),IF($C188&gt;TODAY(),"ADJUSTED","PAID"),IF($C188&lt;TODAY(),"PAST DUE",IF($C188&lt;=TODAY()+7,"DUE","Upcoming"))))</f>
        <v/>
      </c>
      <c r="K188" s="96"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88" t="str">
        <f aca="false">IF($B189="","",INDEX(Schedule!$G$4:$G$483,MATCH(4010,Schedule!$K$4:$K$483,0)))</f>
        <v/>
      </c>
      <c r="D189" s="89" t="str">
        <f aca="false">IF($B189="","",INDEX(Schedule!$D$4:$D$483,MATCH(4010,Schedule!$K$4:$K$483,0)))</f>
        <v/>
      </c>
      <c r="E189" s="90" t="str">
        <f aca="false">IF($B189="","",INDEX(Schedule!$E$4:$E$483,MATCH(4010,Schedule!$K$4:$K$483,0)))</f>
        <v/>
      </c>
      <c r="F189" s="91"/>
      <c r="G189" s="92" t="str">
        <f aca="false">IF($B189="","",IF($D189="Income",IF($F189&lt;&gt;"",$F189,IF(COUNTIFS('Paid Log'!$B$9:$B$308,$C189,'Paid Log'!$C$9:$C$308,$B189)&gt;0,SUMIFS('Paid Log'!$D$9:$D$308,'Paid Log'!$B$9:$B$308,$C189,'Paid Log'!$C$9:$C$308,$B189),$E189)),""))</f>
        <v/>
      </c>
      <c r="H189" s="93" t="str">
        <f aca="false">IF($B189="","",IF($D189="Income","",IF($F189&lt;&gt;"",$F189,IF(COUNTIFS('Paid Log'!$B$9:$B$308,$C189,'Paid Log'!$C$9:$C$308,$B189)&gt;0,SUMIFS('Paid Log'!$D$9:$D$308,'Paid Log'!$B$9:$B$308,$C189,'Paid Log'!$C$9:$C$308,$B189),$E189))))</f>
        <v/>
      </c>
      <c r="I189" s="94" t="str">
        <f aca="false">IF($B189="","",$I$178+SUMIFS($G$180:$G$230,$M$180:$M$230,"&lt;="&amp;$M189)-SUMIFS($H$180:$H$230,$M$180:$M$230,"&lt;="&amp;$M189))</f>
        <v/>
      </c>
      <c r="J189" s="95" t="str">
        <f aca="true">IF($B189="","",IF(OR($F189&lt;&gt;"",COUNTIFS('Paid Log'!$B$9:$B$308,$C189,'Paid Log'!$C$9:$C$308,$B189)&gt;0),IF($C189&gt;TODAY(),"ADJUSTED","PAID"),IF($C189&lt;TODAY(),"PAST DUE",IF($C189&lt;=TODAY()+7,"DUE","Upcoming"))))</f>
        <v/>
      </c>
      <c r="K189" s="96"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98" t="s">
        <v>156</v>
      </c>
      <c r="C190" s="99"/>
      <c r="D190" s="99"/>
      <c r="E190" s="99"/>
      <c r="F190" s="99"/>
      <c r="G190" s="99"/>
      <c r="H190" s="99"/>
      <c r="I190" s="99"/>
      <c r="J190" s="99"/>
    </row>
    <row r="191" customFormat="false" ht="15" hidden="false" customHeight="true" outlineLevel="0" collapsed="false">
      <c r="B191" s="13"/>
      <c r="C191" s="100"/>
      <c r="D191" s="101" t="str">
        <f aca="false">IF($B191="","","Expense")</f>
        <v/>
      </c>
      <c r="E191" s="15"/>
      <c r="F191" s="102"/>
      <c r="G191" s="102"/>
      <c r="H191" s="103" t="str">
        <f aca="false">IF($B191="","",N($E191))</f>
        <v/>
      </c>
      <c r="I191" s="104" t="str">
        <f aca="false">IF($B191="","",$I$178+SUMIFS($G$180:$G$230,$M$180:$M$230,"&lt;="&amp;$M191)-SUMIFS($H$180:$H$230,$M$180:$M$230,"&lt;="&amp;$M191))</f>
        <v/>
      </c>
      <c r="J191" s="102"/>
      <c r="K191" s="96"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100"/>
      <c r="D192" s="101" t="str">
        <f aca="false">IF($B192="","","Expense")</f>
        <v/>
      </c>
      <c r="E192" s="15"/>
      <c r="F192" s="102"/>
      <c r="G192" s="102"/>
      <c r="H192" s="103" t="str">
        <f aca="false">IF($B192="","",N($E192))</f>
        <v/>
      </c>
      <c r="I192" s="104" t="str">
        <f aca="false">IF($B192="","",$I$178+SUMIFS($G$180:$G$230,$M$180:$M$230,"&lt;="&amp;$M192)-SUMIFS($H$180:$H$230,$M$180:$M$230,"&lt;="&amp;$M192))</f>
        <v/>
      </c>
      <c r="J192" s="102"/>
      <c r="K192" s="96"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100"/>
      <c r="D193" s="101" t="str">
        <f aca="false">IF($B193="","","Expense")</f>
        <v/>
      </c>
      <c r="E193" s="15"/>
      <c r="F193" s="102"/>
      <c r="G193" s="102"/>
      <c r="H193" s="103" t="str">
        <f aca="false">IF($B193="","",N($E193))</f>
        <v/>
      </c>
      <c r="I193" s="104" t="str">
        <f aca="false">IF($B193="","",$I$178+SUMIFS($G$180:$G$230,$M$180:$M$230,"&lt;="&amp;$M193)-SUMIFS($H$180:$H$230,$M$180:$M$230,"&lt;="&amp;$M193))</f>
        <v/>
      </c>
      <c r="J193" s="102"/>
      <c r="K193" s="96"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100"/>
      <c r="D194" s="101" t="str">
        <f aca="false">IF($B194="","","Expense")</f>
        <v/>
      </c>
      <c r="E194" s="15"/>
      <c r="F194" s="102"/>
      <c r="G194" s="102"/>
      <c r="H194" s="103" t="str">
        <f aca="false">IF($B194="","",N($E194))</f>
        <v/>
      </c>
      <c r="I194" s="104" t="str">
        <f aca="false">IF($B194="","",$I$178+SUMIFS($G$180:$G$230,$M$180:$M$230,"&lt;="&amp;$M194)-SUMIFS($H$180:$H$230,$M$180:$M$230,"&lt;="&amp;$M194))</f>
        <v/>
      </c>
      <c r="J194" s="102"/>
      <c r="K194" s="96"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100"/>
      <c r="D195" s="101" t="str">
        <f aca="false">IF($B195="","","Expense")</f>
        <v/>
      </c>
      <c r="E195" s="15"/>
      <c r="F195" s="102"/>
      <c r="G195" s="102"/>
      <c r="H195" s="103" t="str">
        <f aca="false">IF($B195="","",N($E195))</f>
        <v/>
      </c>
      <c r="I195" s="104" t="str">
        <f aca="false">IF($B195="","",$I$178+SUMIFS($G$180:$G$230,$M$180:$M$230,"&lt;="&amp;$M195)-SUMIFS($H$180:$H$230,$M$180:$M$230,"&lt;="&amp;$M195))</f>
        <v/>
      </c>
      <c r="J195" s="102"/>
      <c r="K195" s="96"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100"/>
      <c r="D196" s="101" t="str">
        <f aca="false">IF($B196="","","Expense")</f>
        <v/>
      </c>
      <c r="E196" s="15"/>
      <c r="F196" s="102"/>
      <c r="G196" s="102"/>
      <c r="H196" s="103" t="str">
        <f aca="false">IF($B196="","",N($E196))</f>
        <v/>
      </c>
      <c r="I196" s="104" t="str">
        <f aca="false">IF($B196="","",$I$178+SUMIFS($G$180:$G$230,$M$180:$M$230,"&lt;="&amp;$M196)-SUMIFS($H$180:$H$230,$M$180:$M$230,"&lt;="&amp;$M196))</f>
        <v/>
      </c>
      <c r="J196" s="102"/>
      <c r="K196" s="96"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100"/>
      <c r="D197" s="101" t="str">
        <f aca="false">IF($B197="","","Expense")</f>
        <v/>
      </c>
      <c r="E197" s="15"/>
      <c r="F197" s="102"/>
      <c r="G197" s="102"/>
      <c r="H197" s="103" t="str">
        <f aca="false">IF($B197="","",N($E197))</f>
        <v/>
      </c>
      <c r="I197" s="104" t="str">
        <f aca="false">IF($B197="","",$I$178+SUMIFS($G$180:$G$230,$M$180:$M$230,"&lt;="&amp;$M197)-SUMIFS($H$180:$H$230,$M$180:$M$230,"&lt;="&amp;$M197))</f>
        <v/>
      </c>
      <c r="J197" s="102"/>
      <c r="K197" s="96"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100"/>
      <c r="D198" s="101" t="str">
        <f aca="false">IF($B198="","","Expense")</f>
        <v/>
      </c>
      <c r="E198" s="15"/>
      <c r="F198" s="102"/>
      <c r="G198" s="102"/>
      <c r="H198" s="103" t="str">
        <f aca="false">IF($B198="","",N($E198))</f>
        <v/>
      </c>
      <c r="I198" s="104" t="str">
        <f aca="false">IF($B198="","",$I$178+SUMIFS($G$180:$G$230,$M$180:$M$230,"&lt;="&amp;$M198)-SUMIFS($H$180:$H$230,$M$180:$M$230,"&lt;="&amp;$M198))</f>
        <v/>
      </c>
      <c r="J198" s="102"/>
      <c r="K198" s="96"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100"/>
      <c r="D199" s="101" t="str">
        <f aca="false">IF($B199="","","Expense")</f>
        <v/>
      </c>
      <c r="E199" s="15"/>
      <c r="F199" s="102"/>
      <c r="G199" s="102"/>
      <c r="H199" s="103" t="str">
        <f aca="false">IF($B199="","",N($E199))</f>
        <v/>
      </c>
      <c r="I199" s="104" t="str">
        <f aca="false">IF($B199="","",$I$178+SUMIFS($G$180:$G$230,$M$180:$M$230,"&lt;="&amp;$M199)-SUMIFS($H$180:$H$230,$M$180:$M$230,"&lt;="&amp;$M199))</f>
        <v/>
      </c>
      <c r="J199" s="102"/>
      <c r="K199" s="96"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100"/>
      <c r="D200" s="101" t="str">
        <f aca="false">IF($B200="","","Expense")</f>
        <v/>
      </c>
      <c r="E200" s="15"/>
      <c r="F200" s="102"/>
      <c r="G200" s="102"/>
      <c r="H200" s="103" t="str">
        <f aca="false">IF($B200="","",N($E200))</f>
        <v/>
      </c>
      <c r="I200" s="104" t="str">
        <f aca="false">IF($B200="","",$I$178+SUMIFS($G$180:$G$230,$M$180:$M$230,"&lt;="&amp;$M200)-SUMIFS($H$180:$H$230,$M$180:$M$230,"&lt;="&amp;$M200))</f>
        <v/>
      </c>
      <c r="J200" s="102"/>
      <c r="K200" s="96"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100"/>
      <c r="D201" s="101" t="str">
        <f aca="false">IF($B201="","","Expense")</f>
        <v/>
      </c>
      <c r="E201" s="15"/>
      <c r="F201" s="102"/>
      <c r="G201" s="102"/>
      <c r="H201" s="103" t="str">
        <f aca="false">IF($B201="","",N($E201))</f>
        <v/>
      </c>
      <c r="I201" s="104" t="str">
        <f aca="false">IF($B201="","",$I$178+SUMIFS($G$180:$G$230,$M$180:$M$230,"&lt;="&amp;$M201)-SUMIFS($H$180:$H$230,$M$180:$M$230,"&lt;="&amp;$M201))</f>
        <v/>
      </c>
      <c r="J201" s="102"/>
      <c r="K201" s="96"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100"/>
      <c r="D202" s="101" t="str">
        <f aca="false">IF($B202="","","Expense")</f>
        <v/>
      </c>
      <c r="E202" s="15"/>
      <c r="F202" s="102"/>
      <c r="G202" s="102"/>
      <c r="H202" s="103" t="str">
        <f aca="false">IF($B202="","",N($E202))</f>
        <v/>
      </c>
      <c r="I202" s="104" t="str">
        <f aca="false">IF($B202="","",$I$178+SUMIFS($G$180:$G$230,$M$180:$M$230,"&lt;="&amp;$M202)-SUMIFS($H$180:$H$230,$M$180:$M$230,"&lt;="&amp;$M202))</f>
        <v/>
      </c>
      <c r="J202" s="102"/>
      <c r="K202" s="96"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100"/>
      <c r="D203" s="101" t="str">
        <f aca="false">IF($B203="","","Expense")</f>
        <v/>
      </c>
      <c r="E203" s="15"/>
      <c r="F203" s="102"/>
      <c r="G203" s="102"/>
      <c r="H203" s="103" t="str">
        <f aca="false">IF($B203="","",N($E203))</f>
        <v/>
      </c>
      <c r="I203" s="104" t="str">
        <f aca="false">IF($B203="","",$I$178+SUMIFS($G$180:$G$230,$M$180:$M$230,"&lt;="&amp;$M203)-SUMIFS($H$180:$H$230,$M$180:$M$230,"&lt;="&amp;$M203))</f>
        <v/>
      </c>
      <c r="J203" s="102"/>
      <c r="K203" s="96"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100"/>
      <c r="D204" s="101" t="str">
        <f aca="false">IF($B204="","","Expense")</f>
        <v/>
      </c>
      <c r="E204" s="15"/>
      <c r="F204" s="102"/>
      <c r="G204" s="102"/>
      <c r="H204" s="103" t="str">
        <f aca="false">IF($B204="","",N($E204))</f>
        <v/>
      </c>
      <c r="I204" s="104" t="str">
        <f aca="false">IF($B204="","",$I$178+SUMIFS($G$180:$G$230,$M$180:$M$230,"&lt;="&amp;$M204)-SUMIFS($H$180:$H$230,$M$180:$M$230,"&lt;="&amp;$M204))</f>
        <v/>
      </c>
      <c r="J204" s="102"/>
      <c r="K204" s="96"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100"/>
      <c r="D205" s="101" t="str">
        <f aca="false">IF($B205="","","Expense")</f>
        <v/>
      </c>
      <c r="E205" s="15"/>
      <c r="F205" s="102"/>
      <c r="G205" s="102"/>
      <c r="H205" s="103" t="str">
        <f aca="false">IF($B205="","",N($E205))</f>
        <v/>
      </c>
      <c r="I205" s="104" t="str">
        <f aca="false">IF($B205="","",$I$178+SUMIFS($G$180:$G$230,$M$180:$M$230,"&lt;="&amp;$M205)-SUMIFS($H$180:$H$230,$M$180:$M$230,"&lt;="&amp;$M205))</f>
        <v/>
      </c>
      <c r="J205" s="102"/>
      <c r="K205" s="96"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100"/>
      <c r="D206" s="101" t="str">
        <f aca="false">IF($B206="","","Expense")</f>
        <v/>
      </c>
      <c r="E206" s="15"/>
      <c r="F206" s="102"/>
      <c r="G206" s="102"/>
      <c r="H206" s="103" t="str">
        <f aca="false">IF($B206="","",N($E206))</f>
        <v/>
      </c>
      <c r="I206" s="104" t="str">
        <f aca="false">IF($B206="","",$I$178+SUMIFS($G$180:$G$230,$M$180:$M$230,"&lt;="&amp;$M206)-SUMIFS($H$180:$H$230,$M$180:$M$230,"&lt;="&amp;$M206))</f>
        <v/>
      </c>
      <c r="J206" s="102"/>
      <c r="K206" s="96"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100"/>
      <c r="D207" s="101" t="str">
        <f aca="false">IF($B207="","","Expense")</f>
        <v/>
      </c>
      <c r="E207" s="15"/>
      <c r="F207" s="102"/>
      <c r="G207" s="102"/>
      <c r="H207" s="103" t="str">
        <f aca="false">IF($B207="","",N($E207))</f>
        <v/>
      </c>
      <c r="I207" s="104" t="str">
        <f aca="false">IF($B207="","",$I$178+SUMIFS($G$180:$G$230,$M$180:$M$230,"&lt;="&amp;$M207)-SUMIFS($H$180:$H$230,$M$180:$M$230,"&lt;="&amp;$M207))</f>
        <v/>
      </c>
      <c r="J207" s="102"/>
      <c r="K207" s="96"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100"/>
      <c r="D208" s="101" t="str">
        <f aca="false">IF($B208="","","Expense")</f>
        <v/>
      </c>
      <c r="E208" s="15"/>
      <c r="F208" s="102"/>
      <c r="G208" s="102"/>
      <c r="H208" s="103" t="str">
        <f aca="false">IF($B208="","",N($E208))</f>
        <v/>
      </c>
      <c r="I208" s="104" t="str">
        <f aca="false">IF($B208="","",$I$178+SUMIFS($G$180:$G$230,$M$180:$M$230,"&lt;="&amp;$M208)-SUMIFS($H$180:$H$230,$M$180:$M$230,"&lt;="&amp;$M208))</f>
        <v/>
      </c>
      <c r="J208" s="102"/>
      <c r="K208" s="96"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100"/>
      <c r="D209" s="101" t="str">
        <f aca="false">IF($B209="","","Expense")</f>
        <v/>
      </c>
      <c r="E209" s="15"/>
      <c r="F209" s="102"/>
      <c r="G209" s="102"/>
      <c r="H209" s="103" t="str">
        <f aca="false">IF($B209="","",N($E209))</f>
        <v/>
      </c>
      <c r="I209" s="104" t="str">
        <f aca="false">IF($B209="","",$I$178+SUMIFS($G$180:$G$230,$M$180:$M$230,"&lt;="&amp;$M209)-SUMIFS($H$180:$H$230,$M$180:$M$230,"&lt;="&amp;$M209))</f>
        <v/>
      </c>
      <c r="J209" s="102"/>
      <c r="K209" s="96"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100"/>
      <c r="D210" s="101" t="str">
        <f aca="false">IF($B210="","","Expense")</f>
        <v/>
      </c>
      <c r="E210" s="15"/>
      <c r="F210" s="102"/>
      <c r="G210" s="102"/>
      <c r="H210" s="103" t="str">
        <f aca="false">IF($B210="","",N($E210))</f>
        <v/>
      </c>
      <c r="I210" s="104" t="str">
        <f aca="false">IF($B210="","",$I$178+SUMIFS($G$180:$G$230,$M$180:$M$230,"&lt;="&amp;$M210)-SUMIFS($H$180:$H$230,$M$180:$M$230,"&lt;="&amp;$M210))</f>
        <v/>
      </c>
      <c r="J210" s="102"/>
      <c r="K210" s="96"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100"/>
      <c r="D211" s="101" t="str">
        <f aca="false">IF($B211="","","Expense")</f>
        <v/>
      </c>
      <c r="E211" s="15"/>
      <c r="F211" s="102"/>
      <c r="G211" s="102"/>
      <c r="H211" s="103" t="str">
        <f aca="false">IF($B211="","",N($E211))</f>
        <v/>
      </c>
      <c r="I211" s="104" t="str">
        <f aca="false">IF($B211="","",$I$178+SUMIFS($G$180:$G$230,$M$180:$M$230,"&lt;="&amp;$M211)-SUMIFS($H$180:$H$230,$M$180:$M$230,"&lt;="&amp;$M211))</f>
        <v/>
      </c>
      <c r="J211" s="102"/>
      <c r="K211" s="96"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100"/>
      <c r="D212" s="101" t="str">
        <f aca="false">IF($B212="","","Expense")</f>
        <v/>
      </c>
      <c r="E212" s="15"/>
      <c r="F212" s="102"/>
      <c r="G212" s="102"/>
      <c r="H212" s="103" t="str">
        <f aca="false">IF($B212="","",N($E212))</f>
        <v/>
      </c>
      <c r="I212" s="104" t="str">
        <f aca="false">IF($B212="","",$I$178+SUMIFS($G$180:$G$230,$M$180:$M$230,"&lt;="&amp;$M212)-SUMIFS($H$180:$H$230,$M$180:$M$230,"&lt;="&amp;$M212))</f>
        <v/>
      </c>
      <c r="J212" s="102"/>
      <c r="K212" s="96"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100"/>
      <c r="D213" s="101" t="str">
        <f aca="false">IF($B213="","","Expense")</f>
        <v/>
      </c>
      <c r="E213" s="15"/>
      <c r="F213" s="102"/>
      <c r="G213" s="102"/>
      <c r="H213" s="103" t="str">
        <f aca="false">IF($B213="","",N($E213))</f>
        <v/>
      </c>
      <c r="I213" s="104" t="str">
        <f aca="false">IF($B213="","",$I$178+SUMIFS($G$180:$G$230,$M$180:$M$230,"&lt;="&amp;$M213)-SUMIFS($H$180:$H$230,$M$180:$M$230,"&lt;="&amp;$M213))</f>
        <v/>
      </c>
      <c r="J213" s="102"/>
      <c r="K213" s="96"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100"/>
      <c r="D214" s="101" t="str">
        <f aca="false">IF($B214="","","Expense")</f>
        <v/>
      </c>
      <c r="E214" s="15"/>
      <c r="F214" s="102"/>
      <c r="G214" s="102"/>
      <c r="H214" s="103" t="str">
        <f aca="false">IF($B214="","",N($E214))</f>
        <v/>
      </c>
      <c r="I214" s="104" t="str">
        <f aca="false">IF($B214="","",$I$178+SUMIFS($G$180:$G$230,$M$180:$M$230,"&lt;="&amp;$M214)-SUMIFS($H$180:$H$230,$M$180:$M$230,"&lt;="&amp;$M214))</f>
        <v/>
      </c>
      <c r="J214" s="102"/>
      <c r="K214" s="96"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100"/>
      <c r="D215" s="101" t="str">
        <f aca="false">IF($B215="","","Expense")</f>
        <v/>
      </c>
      <c r="E215" s="15"/>
      <c r="F215" s="102"/>
      <c r="G215" s="102"/>
      <c r="H215" s="103" t="str">
        <f aca="false">IF($B215="","",N($E215))</f>
        <v/>
      </c>
      <c r="I215" s="104" t="str">
        <f aca="false">IF($B215="","",$I$178+SUMIFS($G$180:$G$230,$M$180:$M$230,"&lt;="&amp;$M215)-SUMIFS($H$180:$H$230,$M$180:$M$230,"&lt;="&amp;$M215))</f>
        <v/>
      </c>
      <c r="J215" s="102"/>
      <c r="K215" s="96"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100"/>
      <c r="D216" s="101" t="str">
        <f aca="false">IF($B216="","","Expense")</f>
        <v/>
      </c>
      <c r="E216" s="15"/>
      <c r="F216" s="102"/>
      <c r="G216" s="102"/>
      <c r="H216" s="103" t="str">
        <f aca="false">IF($B216="","",N($E216))</f>
        <v/>
      </c>
      <c r="I216" s="104" t="str">
        <f aca="false">IF($B216="","",$I$178+SUMIFS($G$180:$G$230,$M$180:$M$230,"&lt;="&amp;$M216)-SUMIFS($H$180:$H$230,$M$180:$M$230,"&lt;="&amp;$M216))</f>
        <v/>
      </c>
      <c r="J216" s="102"/>
      <c r="K216" s="96"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100"/>
      <c r="D217" s="101" t="str">
        <f aca="false">IF($B217="","","Expense")</f>
        <v/>
      </c>
      <c r="E217" s="15"/>
      <c r="F217" s="102"/>
      <c r="G217" s="102"/>
      <c r="H217" s="103" t="str">
        <f aca="false">IF($B217="","",N($E217))</f>
        <v/>
      </c>
      <c r="I217" s="104" t="str">
        <f aca="false">IF($B217="","",$I$178+SUMIFS($G$180:$G$230,$M$180:$M$230,"&lt;="&amp;$M217)-SUMIFS($H$180:$H$230,$M$180:$M$230,"&lt;="&amp;$M217))</f>
        <v/>
      </c>
      <c r="J217" s="102"/>
      <c r="K217" s="96"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100"/>
      <c r="D218" s="101" t="str">
        <f aca="false">IF($B218="","","Expense")</f>
        <v/>
      </c>
      <c r="E218" s="15"/>
      <c r="F218" s="102"/>
      <c r="G218" s="102"/>
      <c r="H218" s="103" t="str">
        <f aca="false">IF($B218="","",N($E218))</f>
        <v/>
      </c>
      <c r="I218" s="104" t="str">
        <f aca="false">IF($B218="","",$I$178+SUMIFS($G$180:$G$230,$M$180:$M$230,"&lt;="&amp;$M218)-SUMIFS($H$180:$H$230,$M$180:$M$230,"&lt;="&amp;$M218))</f>
        <v/>
      </c>
      <c r="J218" s="102"/>
      <c r="K218" s="96"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100"/>
      <c r="D219" s="101" t="str">
        <f aca="false">IF($B219="","","Expense")</f>
        <v/>
      </c>
      <c r="E219" s="15"/>
      <c r="F219" s="102"/>
      <c r="G219" s="102"/>
      <c r="H219" s="103" t="str">
        <f aca="false">IF($B219="","",N($E219))</f>
        <v/>
      </c>
      <c r="I219" s="104" t="str">
        <f aca="false">IF($B219="","",$I$178+SUMIFS($G$180:$G$230,$M$180:$M$230,"&lt;="&amp;$M219)-SUMIFS($H$180:$H$230,$M$180:$M$230,"&lt;="&amp;$M219))</f>
        <v/>
      </c>
      <c r="J219" s="102"/>
      <c r="K219" s="96"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100"/>
      <c r="D220" s="101" t="str">
        <f aca="false">IF($B220="","","Expense")</f>
        <v/>
      </c>
      <c r="E220" s="15"/>
      <c r="F220" s="102"/>
      <c r="G220" s="102"/>
      <c r="H220" s="103" t="str">
        <f aca="false">IF($B220="","",N($E220))</f>
        <v/>
      </c>
      <c r="I220" s="104" t="str">
        <f aca="false">IF($B220="","",$I$178+SUMIFS($G$180:$G$230,$M$180:$M$230,"&lt;="&amp;$M220)-SUMIFS($H$180:$H$230,$M$180:$M$230,"&lt;="&amp;$M220))</f>
        <v/>
      </c>
      <c r="J220" s="102"/>
      <c r="K220" s="96"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100"/>
      <c r="D221" s="101" t="str">
        <f aca="false">IF($B221="","","Expense")</f>
        <v/>
      </c>
      <c r="E221" s="15"/>
      <c r="F221" s="102"/>
      <c r="G221" s="102"/>
      <c r="H221" s="103" t="str">
        <f aca="false">IF($B221="","",N($E221))</f>
        <v/>
      </c>
      <c r="I221" s="104" t="str">
        <f aca="false">IF($B221="","",$I$178+SUMIFS($G$180:$G$230,$M$180:$M$230,"&lt;="&amp;$M221)-SUMIFS($H$180:$H$230,$M$180:$M$230,"&lt;="&amp;$M221))</f>
        <v/>
      </c>
      <c r="J221" s="102"/>
      <c r="K221" s="96"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100"/>
      <c r="D222" s="101" t="str">
        <f aca="false">IF($B222="","","Expense")</f>
        <v/>
      </c>
      <c r="E222" s="15"/>
      <c r="F222" s="102"/>
      <c r="G222" s="102"/>
      <c r="H222" s="103" t="str">
        <f aca="false">IF($B222="","",N($E222))</f>
        <v/>
      </c>
      <c r="I222" s="104" t="str">
        <f aca="false">IF($B222="","",$I$178+SUMIFS($G$180:$G$230,$M$180:$M$230,"&lt;="&amp;$M222)-SUMIFS($H$180:$H$230,$M$180:$M$230,"&lt;="&amp;$M222))</f>
        <v/>
      </c>
      <c r="J222" s="102"/>
      <c r="K222" s="96"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100"/>
      <c r="D223" s="101" t="str">
        <f aca="false">IF($B223="","","Expense")</f>
        <v/>
      </c>
      <c r="E223" s="15"/>
      <c r="F223" s="102"/>
      <c r="G223" s="102"/>
      <c r="H223" s="103" t="str">
        <f aca="false">IF($B223="","",N($E223))</f>
        <v/>
      </c>
      <c r="I223" s="104" t="str">
        <f aca="false">IF($B223="","",$I$178+SUMIFS($G$180:$G$230,$M$180:$M$230,"&lt;="&amp;$M223)-SUMIFS($H$180:$H$230,$M$180:$M$230,"&lt;="&amp;$M223))</f>
        <v/>
      </c>
      <c r="J223" s="102"/>
      <c r="K223" s="96"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100"/>
      <c r="D224" s="101" t="str">
        <f aca="false">IF($B224="","","Expense")</f>
        <v/>
      </c>
      <c r="E224" s="15"/>
      <c r="F224" s="102"/>
      <c r="G224" s="102"/>
      <c r="H224" s="103" t="str">
        <f aca="false">IF($B224="","",N($E224))</f>
        <v/>
      </c>
      <c r="I224" s="104" t="str">
        <f aca="false">IF($B224="","",$I$178+SUMIFS($G$180:$G$230,$M$180:$M$230,"&lt;="&amp;$M224)-SUMIFS($H$180:$H$230,$M$180:$M$230,"&lt;="&amp;$M224))</f>
        <v/>
      </c>
      <c r="J224" s="102"/>
      <c r="K224" s="96"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100"/>
      <c r="D225" s="101" t="str">
        <f aca="false">IF($B225="","","Expense")</f>
        <v/>
      </c>
      <c r="E225" s="15"/>
      <c r="F225" s="102"/>
      <c r="G225" s="102"/>
      <c r="H225" s="103" t="str">
        <f aca="false">IF($B225="","",N($E225))</f>
        <v/>
      </c>
      <c r="I225" s="104" t="str">
        <f aca="false">IF($B225="","",$I$178+SUMIFS($G$180:$G$230,$M$180:$M$230,"&lt;="&amp;$M225)-SUMIFS($H$180:$H$230,$M$180:$M$230,"&lt;="&amp;$M225))</f>
        <v/>
      </c>
      <c r="J225" s="102"/>
      <c r="K225" s="96"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100"/>
      <c r="D226" s="101" t="str">
        <f aca="false">IF($B226="","","Expense")</f>
        <v/>
      </c>
      <c r="E226" s="15"/>
      <c r="F226" s="102"/>
      <c r="G226" s="102"/>
      <c r="H226" s="103" t="str">
        <f aca="false">IF($B226="","",N($E226))</f>
        <v/>
      </c>
      <c r="I226" s="104" t="str">
        <f aca="false">IF($B226="","",$I$178+SUMIFS($G$180:$G$230,$M$180:$M$230,"&lt;="&amp;$M226)-SUMIFS($H$180:$H$230,$M$180:$M$230,"&lt;="&amp;$M226))</f>
        <v/>
      </c>
      <c r="J226" s="102"/>
      <c r="K226" s="96"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100"/>
      <c r="D227" s="101" t="str">
        <f aca="false">IF($B227="","","Expense")</f>
        <v/>
      </c>
      <c r="E227" s="15"/>
      <c r="F227" s="102"/>
      <c r="G227" s="102"/>
      <c r="H227" s="103" t="str">
        <f aca="false">IF($B227="","",N($E227))</f>
        <v/>
      </c>
      <c r="I227" s="104" t="str">
        <f aca="false">IF($B227="","",$I$178+SUMIFS($G$180:$G$230,$M$180:$M$230,"&lt;="&amp;$M227)-SUMIFS($H$180:$H$230,$M$180:$M$230,"&lt;="&amp;$M227))</f>
        <v/>
      </c>
      <c r="J227" s="102"/>
      <c r="K227" s="96"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100"/>
      <c r="D228" s="101" t="str">
        <f aca="false">IF($B228="","","Expense")</f>
        <v/>
      </c>
      <c r="E228" s="15"/>
      <c r="F228" s="102"/>
      <c r="G228" s="102"/>
      <c r="H228" s="103" t="str">
        <f aca="false">IF($B228="","",N($E228))</f>
        <v/>
      </c>
      <c r="I228" s="104" t="str">
        <f aca="false">IF($B228="","",$I$178+SUMIFS($G$180:$G$230,$M$180:$M$230,"&lt;="&amp;$M228)-SUMIFS($H$180:$H$230,$M$180:$M$230,"&lt;="&amp;$M228))</f>
        <v/>
      </c>
      <c r="J228" s="102"/>
      <c r="K228" s="96"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100"/>
      <c r="D229" s="101" t="str">
        <f aca="false">IF($B229="","","Expense")</f>
        <v/>
      </c>
      <c r="E229" s="15"/>
      <c r="F229" s="102"/>
      <c r="G229" s="102"/>
      <c r="H229" s="103" t="str">
        <f aca="false">IF($B229="","",N($E229))</f>
        <v/>
      </c>
      <c r="I229" s="104" t="str">
        <f aca="false">IF($B229="","",$I$178+SUMIFS($G$180:$G$230,$M$180:$M$230,"&lt;="&amp;$M229)-SUMIFS($H$180:$H$230,$M$180:$M$230,"&lt;="&amp;$M229))</f>
        <v/>
      </c>
      <c r="J229" s="102"/>
      <c r="K229" s="96" t="str">
        <f aca="false">IF($B229="","","ACTUAL")</f>
        <v/>
      </c>
      <c r="L229" s="1" t="str">
        <f aca="false">IF($B229="","",IF($C229="",$E$6+27,$C229))</f>
        <v/>
      </c>
      <c r="M229" s="1" t="str">
        <f aca="false">IF($L229="","",COUNTIFS($L$180:$L$230,"&lt;"&amp;$L229)+COUNTIFS($L$180:$L229,$L229))</f>
        <v/>
      </c>
    </row>
    <row r="230" customFormat="false" ht="15" hidden="false" customHeight="true" outlineLevel="0" collapsed="false">
      <c r="B230" s="105" t="str">
        <f aca="false">"Everyday spending still expected this week"</f>
        <v>Everyday spending still expected this week</v>
      </c>
      <c r="C230" s="106" t="n">
        <f aca="false">$E$6+27</f>
        <v>46276</v>
      </c>
      <c r="D230" s="101" t="str">
        <f aca="false">IF($B230="","","Expense")</f>
        <v>Expense</v>
      </c>
      <c r="E230" s="107" t="n">
        <f aca="false">MAX(0,$E$8-SUM($E$191:$E$229))</f>
        <v>400</v>
      </c>
      <c r="F230" s="102"/>
      <c r="G230" s="102"/>
      <c r="H230" s="103" t="n">
        <f aca="false">IF($B230="","",N($E230))</f>
        <v>400</v>
      </c>
      <c r="I230" s="104" t="n">
        <f aca="false">IF($B230="","",$I$178+SUMIFS($G$180:$G$230,$M$180:$M$230,"&lt;="&amp;$M230)-SUMIFS($H$180:$H$230,$M$180:$M$230,"&lt;="&amp;$M230))</f>
        <v>-251.3</v>
      </c>
      <c r="J230" s="102"/>
      <c r="K230" s="96" t="str">
        <f aca="false">"FORECAST"</f>
        <v>FORECAST</v>
      </c>
      <c r="L230" s="97" t="n">
        <f aca="false">IF($B230="","",IF($C230="",$E$6+27,$C230))</f>
        <v>46276</v>
      </c>
      <c r="M230" s="1" t="n">
        <f aca="false">IF($L230="","",COUNTIFS($L$180:$L$230,"&lt;"&amp;$L230)+COUNTIFS($L$180:$L230,$L230))</f>
        <v>8</v>
      </c>
    </row>
    <row r="231" customFormat="false" ht="15" hidden="false" customHeight="true" outlineLevel="0" collapsed="false">
      <c r="B231" s="108" t="s">
        <v>195</v>
      </c>
      <c r="C231" s="58"/>
      <c r="D231" s="58"/>
      <c r="E231" s="58"/>
      <c r="F231" s="58"/>
      <c r="G231" s="57" t="n">
        <f aca="false">SUM($G$180:$G$230)</f>
        <v>892.65</v>
      </c>
      <c r="H231" s="57" t="n">
        <f aca="false">SUM($H$180:$H$230)</f>
        <v>1118.68</v>
      </c>
      <c r="I231" s="109" t="n">
        <f aca="false">$I$178+$G$231-$H$231</f>
        <v>-251.3</v>
      </c>
      <c r="J231" s="110" t="str">
        <f aca="false">IF($I$231&lt;0,"SHORTFALL",IF($I$231&lt;$E$7,"TIGHT","OK"))</f>
        <v>SHORTFALL</v>
      </c>
      <c r="K231" s="111"/>
      <c r="N231" s="111" t="str">
        <f aca="false">IF(COUNT($I$180:$I$230)=0,"","Lowest point this week: "&amp;TEXT(MIN($I$180:$I$230),"$#,##0.00;-$#,##0.00")&amp;" on "&amp;TEXT(INDEX($C$180:$C$230,MATCH(MIN($I$180:$I$230),$I$180:$I$230,0)),"ddd mmm d")&amp;"     (in "&amp;TEXT($G$231,"$#,##0.00")&amp;", out "&amp;TEXT($H$231,"$#,##0.00")&amp;")")</f>
        <v>Lowest point this week: -$743.95 on Tue Sep 8     (in $892.65, out $1,118.68)</v>
      </c>
    </row>
    <row r="233" customFormat="false" ht="21.75" hidden="false" customHeight="true" outlineLevel="0" collapsed="false">
      <c r="B233" s="82" t="str">
        <f aca="false">"WEEK 5     "&amp;TEXT($E$6+28,"ddd, mmm d")&amp;"   through   "&amp;TEXT($E$6+28+6,"ddd, mmm d, yyyy")</f>
        <v>WEEK 5     Sat, Sep 12   through   Fri, Sep 18, 2026</v>
      </c>
      <c r="C233" s="83"/>
      <c r="D233" s="83"/>
      <c r="E233" s="83"/>
      <c r="F233" s="83"/>
      <c r="G233" s="84" t="s">
        <v>147</v>
      </c>
      <c r="H233" s="83"/>
      <c r="I233" s="85" t="n">
        <f aca="false">$I$231</f>
        <v>-251.3</v>
      </c>
      <c r="J233" s="83"/>
      <c r="K233" s="86"/>
      <c r="N233" s="86" t="str">
        <f aca="false">IF(COUNTIF(Schedule!$I$4:$I$483,5)&gt;10,"! "&amp;COUNTIF(Schedule!$I$4:$I$483,5)-10&amp;" more transaction(s) fall in this week than there are rows to show them.","")</f>
        <v/>
      </c>
    </row>
    <row r="234" customFormat="false" ht="25.5" hidden="false" customHeight="true" outlineLevel="0" collapsed="false">
      <c r="B234" s="87" t="s">
        <v>148</v>
      </c>
      <c r="C234" s="87" t="s">
        <v>149</v>
      </c>
      <c r="D234" s="87" t="s">
        <v>42</v>
      </c>
      <c r="E234" s="87" t="s">
        <v>150</v>
      </c>
      <c r="F234" s="87" t="s">
        <v>151</v>
      </c>
      <c r="G234" s="37" t="s">
        <v>152</v>
      </c>
      <c r="H234" s="38" t="s">
        <v>153</v>
      </c>
      <c r="I234" s="87" t="s">
        <v>154</v>
      </c>
      <c r="J234" s="87" t="s">
        <v>14</v>
      </c>
      <c r="K234" s="87" t="s">
        <v>155</v>
      </c>
    </row>
    <row r="235" customFormat="false" ht="15" hidden="false" customHeight="true" outlineLevel="0" collapsed="false">
      <c r="B235" s="8" t="str">
        <f aca="false">IFERROR(INDEX(Schedule!$C$4:$C$483,MATCH(5001,Schedule!$K$4:$K$483,0)),"")</f>
        <v>Apple: iCloud</v>
      </c>
      <c r="C235" s="88" t="n">
        <f aca="false">IF($B235="","",INDEX(Schedule!$G$4:$G$483,MATCH(5001,Schedule!$K$4:$K$483,0)))</f>
        <v>46278</v>
      </c>
      <c r="D235" s="89" t="str">
        <f aca="false">IF($B235="","",INDEX(Schedule!$D$4:$D$483,MATCH(5001,Schedule!$K$4:$K$483,0)))</f>
        <v>Expense</v>
      </c>
      <c r="E235" s="90" t="n">
        <f aca="false">IF($B235="","",INDEX(Schedule!$E$4:$E$483,MATCH(5001,Schedule!$K$4:$K$483,0)))</f>
        <v>2.99</v>
      </c>
      <c r="F235" s="91"/>
      <c r="G235" s="92" t="str">
        <f aca="false">IF($B235="","",IF($D235="Income",IF($F235&lt;&gt;"",$F235,IF(COUNTIFS('Paid Log'!$B$9:$B$308,$C235,'Paid Log'!$C$9:$C$308,$B235)&gt;0,SUMIFS('Paid Log'!$D$9:$D$308,'Paid Log'!$B$9:$B$308,$C235,'Paid Log'!$C$9:$C$308,$B235),$E235)),""))</f>
        <v/>
      </c>
      <c r="H235" s="93" t="n">
        <f aca="false">IF($B235="","",IF($D235="Income","",IF($F235&lt;&gt;"",$F235,IF(COUNTIFS('Paid Log'!$B$9:$B$308,$C235,'Paid Log'!$C$9:$C$308,$B235)&gt;0,SUMIFS('Paid Log'!$D$9:$D$308,'Paid Log'!$B$9:$B$308,$C235,'Paid Log'!$C$9:$C$308,$B235),$E235))))</f>
        <v>2.99</v>
      </c>
      <c r="I235" s="94" t="n">
        <f aca="false">IF($B235="","",$I$233+SUMIFS($G$235:$G$285,$M$235:$M$285,"&lt;="&amp;$M235)-SUMIFS($H$235:$H$285,$M$235:$M$285,"&lt;="&amp;$M235))</f>
        <v>-254.29</v>
      </c>
      <c r="J235" s="95" t="str">
        <f aca="true">IF($B235="","",IF(OR($F235&lt;&gt;"",COUNTIFS('Paid Log'!$B$9:$B$308,$C235,'Paid Log'!$C$9:$C$308,$B235)&gt;0),IF($C235&gt;TODAY(),"ADJUSTED","PAID"),IF($C235&lt;TODAY(),"PAST DUE",IF($C235&lt;=TODAY()+7,"DUE","Upcoming"))))</f>
        <v>Upcoming</v>
      </c>
      <c r="K235" s="96" t="str">
        <f aca="false">IF($B235="","",IF(OR($F235&lt;&gt;"",COUNTIFS('Paid Log'!$B$9:$B$308,$C235,'Paid Log'!$C$9:$C$308,$B235)&gt;0),"ACTUAL","FORECAST"))</f>
        <v>FORECAST</v>
      </c>
      <c r="L235" s="97"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88" t="n">
        <f aca="false">IF($B236="","",INDEX(Schedule!$G$4:$G$483,MATCH(5002,Schedule!$K$4:$K$483,0)))</f>
        <v>46280</v>
      </c>
      <c r="D236" s="89" t="str">
        <f aca="false">IF($B236="","",INDEX(Schedule!$D$4:$D$483,MATCH(5002,Schedule!$K$4:$K$483,0)))</f>
        <v>Expense</v>
      </c>
      <c r="E236" s="90" t="n">
        <f aca="false">IF($B236="","",INDEX(Schedule!$E$4:$E$483,MATCH(5002,Schedule!$K$4:$K$483,0)))</f>
        <v>350</v>
      </c>
      <c r="F236" s="91"/>
      <c r="G236" s="92" t="str">
        <f aca="false">IF($B236="","",IF($D236="Income",IF($F236&lt;&gt;"",$F236,IF(COUNTIFS('Paid Log'!$B$9:$B$308,$C236,'Paid Log'!$C$9:$C$308,$B236)&gt;0,SUMIFS('Paid Log'!$D$9:$D$308,'Paid Log'!$B$9:$B$308,$C236,'Paid Log'!$C$9:$C$308,$B236),$E236)),""))</f>
        <v/>
      </c>
      <c r="H236" s="93" t="n">
        <f aca="false">IF($B236="","",IF($D236="Income","",IF($F236&lt;&gt;"",$F236,IF(COUNTIFS('Paid Log'!$B$9:$B$308,$C236,'Paid Log'!$C$9:$C$308,$B236)&gt;0,SUMIFS('Paid Log'!$D$9:$D$308,'Paid Log'!$B$9:$B$308,$C236,'Paid Log'!$C$9:$C$308,$B236),$E236))))</f>
        <v>350</v>
      </c>
      <c r="I236" s="94" t="n">
        <f aca="false">IF($B236="","",$I$233+SUMIFS($G$235:$G$285,$M$235:$M$285,"&lt;="&amp;$M236)-SUMIFS($H$235:$H$285,$M$235:$M$285,"&lt;="&amp;$M236))</f>
        <v>-604.29</v>
      </c>
      <c r="J236" s="95" t="str">
        <f aca="true">IF($B236="","",IF(OR($F236&lt;&gt;"",COUNTIFS('Paid Log'!$B$9:$B$308,$C236,'Paid Log'!$C$9:$C$308,$B236)&gt;0),IF($C236&gt;TODAY(),"ADJUSTED","PAID"),IF($C236&lt;TODAY(),"PAST DUE",IF($C236&lt;=TODAY()+7,"DUE","Upcoming"))))</f>
        <v>Upcoming</v>
      </c>
      <c r="K236" s="96" t="str">
        <f aca="false">IF($B236="","",IF(OR($F236&lt;&gt;"",COUNTIFS('Paid Log'!$B$9:$B$308,$C236,'Paid Log'!$C$9:$C$308,$B236)&gt;0),"ACTUAL","FORECAST"))</f>
        <v>FORECAST</v>
      </c>
      <c r="L236" s="97"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88" t="n">
        <f aca="false">IF($B237="","",INDEX(Schedule!$G$4:$G$483,MATCH(5003,Schedule!$K$4:$K$483,0)))</f>
        <v>46281</v>
      </c>
      <c r="D237" s="89" t="str">
        <f aca="false">IF($B237="","",INDEX(Schedule!$D$4:$D$483,MATCH(5003,Schedule!$K$4:$K$483,0)))</f>
        <v>Income</v>
      </c>
      <c r="E237" s="90" t="n">
        <f aca="false">IF($B237="","",INDEX(Schedule!$E$4:$E$483,MATCH(5003,Schedule!$K$4:$K$483,0)))</f>
        <v>90</v>
      </c>
      <c r="F237" s="91"/>
      <c r="G237" s="92" t="n">
        <f aca="false">IF($B237="","",IF($D237="Income",IF($F237&lt;&gt;"",$F237,IF(COUNTIFS('Paid Log'!$B$9:$B$308,$C237,'Paid Log'!$C$9:$C$308,$B237)&gt;0,SUMIFS('Paid Log'!$D$9:$D$308,'Paid Log'!$B$9:$B$308,$C237,'Paid Log'!$C$9:$C$308,$B237),$E237)),""))</f>
        <v>90</v>
      </c>
      <c r="H237" s="93" t="str">
        <f aca="false">IF($B237="","",IF($D237="Income","",IF($F237&lt;&gt;"",$F237,IF(COUNTIFS('Paid Log'!$B$9:$B$308,$C237,'Paid Log'!$C$9:$C$308,$B237)&gt;0,SUMIFS('Paid Log'!$D$9:$D$308,'Paid Log'!$B$9:$B$308,$C237,'Paid Log'!$C$9:$C$308,$B237),$E237))))</f>
        <v/>
      </c>
      <c r="I237" s="94" t="n">
        <f aca="false">IF($B237="","",$I$233+SUMIFS($G$235:$G$285,$M$235:$M$285,"&lt;="&amp;$M237)-SUMIFS($H$235:$H$285,$M$235:$M$285,"&lt;="&amp;$M237))</f>
        <v>-514.29</v>
      </c>
      <c r="J237" s="95" t="str">
        <f aca="true">IF($B237="","",IF(OR($F237&lt;&gt;"",COUNTIFS('Paid Log'!$B$9:$B$308,$C237,'Paid Log'!$C$9:$C$308,$B237)&gt;0),IF($C237&gt;TODAY(),"ADJUSTED","PAID"),IF($C237&lt;TODAY(),"PAST DUE",IF($C237&lt;=TODAY()+7,"DUE","Upcoming"))))</f>
        <v>Upcoming</v>
      </c>
      <c r="K237" s="96" t="str">
        <f aca="false">IF($B237="","",IF(OR($F237&lt;&gt;"",COUNTIFS('Paid Log'!$B$9:$B$308,$C237,'Paid Log'!$C$9:$C$308,$B237)&gt;0),"ACTUAL","FORECAST"))</f>
        <v>FORECAST</v>
      </c>
      <c r="L237" s="97"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88" t="n">
        <f aca="false">IF($B238="","",INDEX(Schedule!$G$4:$G$483,MATCH(5004,Schedule!$K$4:$K$483,0)))</f>
        <v>46281</v>
      </c>
      <c r="D238" s="89" t="str">
        <f aca="false">IF($B238="","",INDEX(Schedule!$D$4:$D$483,MATCH(5004,Schedule!$K$4:$K$483,0)))</f>
        <v>Expense</v>
      </c>
      <c r="E238" s="90" t="n">
        <f aca="false">IF($B238="","",INDEX(Schedule!$E$4:$E$483,MATCH(5004,Schedule!$K$4:$K$483,0)))</f>
        <v>45</v>
      </c>
      <c r="F238" s="91"/>
      <c r="G238" s="92" t="str">
        <f aca="false">IF($B238="","",IF($D238="Income",IF($F238&lt;&gt;"",$F238,IF(COUNTIFS('Paid Log'!$B$9:$B$308,$C238,'Paid Log'!$C$9:$C$308,$B238)&gt;0,SUMIFS('Paid Log'!$D$9:$D$308,'Paid Log'!$B$9:$B$308,$C238,'Paid Log'!$C$9:$C$308,$B238),$E238)),""))</f>
        <v/>
      </c>
      <c r="H238" s="93" t="n">
        <f aca="false">IF($B238="","",IF($D238="Income","",IF($F238&lt;&gt;"",$F238,IF(COUNTIFS('Paid Log'!$B$9:$B$308,$C238,'Paid Log'!$C$9:$C$308,$B238)&gt;0,SUMIFS('Paid Log'!$D$9:$D$308,'Paid Log'!$B$9:$B$308,$C238,'Paid Log'!$C$9:$C$308,$B238),$E238))))</f>
        <v>45</v>
      </c>
      <c r="I238" s="94" t="n">
        <f aca="false">IF($B238="","",$I$233+SUMIFS($G$235:$G$285,$M$235:$M$285,"&lt;="&amp;$M238)-SUMIFS($H$235:$H$285,$M$235:$M$285,"&lt;="&amp;$M238))</f>
        <v>-559.29</v>
      </c>
      <c r="J238" s="95" t="str">
        <f aca="true">IF($B238="","",IF(OR($F238&lt;&gt;"",COUNTIFS('Paid Log'!$B$9:$B$308,$C238,'Paid Log'!$C$9:$C$308,$B238)&gt;0),IF($C238&gt;TODAY(),"ADJUSTED","PAID"),IF($C238&lt;TODAY(),"PAST DUE",IF($C238&lt;=TODAY()+7,"DUE","Upcoming"))))</f>
        <v>Upcoming</v>
      </c>
      <c r="K238" s="96" t="str">
        <f aca="false">IF($B238="","",IF(OR($F238&lt;&gt;"",COUNTIFS('Paid Log'!$B$9:$B$308,$C238,'Paid Log'!$C$9:$C$308,$B238)&gt;0),"ACTUAL","FORECAST"))</f>
        <v>FORECAST</v>
      </c>
      <c r="L238" s="97"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88" t="n">
        <f aca="false">IF($B239="","",INDEX(Schedule!$G$4:$G$483,MATCH(5005,Schedule!$K$4:$K$483,0)))</f>
        <v>46283</v>
      </c>
      <c r="D239" s="89" t="str">
        <f aca="false">IF($B239="","",INDEX(Schedule!$D$4:$D$483,MATCH(5005,Schedule!$K$4:$K$483,0)))</f>
        <v>Income</v>
      </c>
      <c r="E239" s="90" t="n">
        <f aca="false">IF($B239="","",INDEX(Schedule!$E$4:$E$483,MATCH(5005,Schedule!$K$4:$K$483,0)))</f>
        <v>642.12</v>
      </c>
      <c r="F239" s="91"/>
      <c r="G239" s="92" t="n">
        <f aca="false">IF($B239="","",IF($D239="Income",IF($F239&lt;&gt;"",$F239,IF(COUNTIFS('Paid Log'!$B$9:$B$308,$C239,'Paid Log'!$C$9:$C$308,$B239)&gt;0,SUMIFS('Paid Log'!$D$9:$D$308,'Paid Log'!$B$9:$B$308,$C239,'Paid Log'!$C$9:$C$308,$B239),$E239)),""))</f>
        <v>642.12</v>
      </c>
      <c r="H239" s="93" t="str">
        <f aca="false">IF($B239="","",IF($D239="Income","",IF($F239&lt;&gt;"",$F239,IF(COUNTIFS('Paid Log'!$B$9:$B$308,$C239,'Paid Log'!$C$9:$C$308,$B239)&gt;0,SUMIFS('Paid Log'!$D$9:$D$308,'Paid Log'!$B$9:$B$308,$C239,'Paid Log'!$C$9:$C$308,$B239),$E239))))</f>
        <v/>
      </c>
      <c r="I239" s="94" t="n">
        <f aca="false">IF($B239="","",$I$233+SUMIFS($G$235:$G$285,$M$235:$M$285,"&lt;="&amp;$M239)-SUMIFS($H$235:$H$285,$M$235:$M$285,"&lt;="&amp;$M239))</f>
        <v>82.8300000000002</v>
      </c>
      <c r="J239" s="95" t="str">
        <f aca="true">IF($B239="","",IF(OR($F239&lt;&gt;"",COUNTIFS('Paid Log'!$B$9:$B$308,$C239,'Paid Log'!$C$9:$C$308,$B239)&gt;0),IF($C239&gt;TODAY(),"ADJUSTED","PAID"),IF($C239&lt;TODAY(),"PAST DUE",IF($C239&lt;=TODAY()+7,"DUE","Upcoming"))))</f>
        <v>Upcoming</v>
      </c>
      <c r="K239" s="96" t="str">
        <f aca="false">IF($B239="","",IF(OR($F239&lt;&gt;"",COUNTIFS('Paid Log'!$B$9:$B$308,$C239,'Paid Log'!$C$9:$C$308,$B239)&gt;0),"ACTUAL","FORECAST"))</f>
        <v>FORECAST</v>
      </c>
      <c r="L239" s="97"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88" t="str">
        <f aca="false">IF($B240="","",INDEX(Schedule!$G$4:$G$483,MATCH(5006,Schedule!$K$4:$K$483,0)))</f>
        <v/>
      </c>
      <c r="D240" s="89" t="str">
        <f aca="false">IF($B240="","",INDEX(Schedule!$D$4:$D$483,MATCH(5006,Schedule!$K$4:$K$483,0)))</f>
        <v/>
      </c>
      <c r="E240" s="90" t="str">
        <f aca="false">IF($B240="","",INDEX(Schedule!$E$4:$E$483,MATCH(5006,Schedule!$K$4:$K$483,0)))</f>
        <v/>
      </c>
      <c r="F240" s="91"/>
      <c r="G240" s="92" t="str">
        <f aca="false">IF($B240="","",IF($D240="Income",IF($F240&lt;&gt;"",$F240,IF(COUNTIFS('Paid Log'!$B$9:$B$308,$C240,'Paid Log'!$C$9:$C$308,$B240)&gt;0,SUMIFS('Paid Log'!$D$9:$D$308,'Paid Log'!$B$9:$B$308,$C240,'Paid Log'!$C$9:$C$308,$B240),$E240)),""))</f>
        <v/>
      </c>
      <c r="H240" s="93" t="str">
        <f aca="false">IF($B240="","",IF($D240="Income","",IF($F240&lt;&gt;"",$F240,IF(COUNTIFS('Paid Log'!$B$9:$B$308,$C240,'Paid Log'!$C$9:$C$308,$B240)&gt;0,SUMIFS('Paid Log'!$D$9:$D$308,'Paid Log'!$B$9:$B$308,$C240,'Paid Log'!$C$9:$C$308,$B240),$E240))))</f>
        <v/>
      </c>
      <c r="I240" s="94" t="str">
        <f aca="false">IF($B240="","",$I$233+SUMIFS($G$235:$G$285,$M$235:$M$285,"&lt;="&amp;$M240)-SUMIFS($H$235:$H$285,$M$235:$M$285,"&lt;="&amp;$M240))</f>
        <v/>
      </c>
      <c r="J240" s="95" t="str">
        <f aca="true">IF($B240="","",IF(OR($F240&lt;&gt;"",COUNTIFS('Paid Log'!$B$9:$B$308,$C240,'Paid Log'!$C$9:$C$308,$B240)&gt;0),IF($C240&gt;TODAY(),"ADJUSTED","PAID"),IF($C240&lt;TODAY(),"PAST DUE",IF($C240&lt;=TODAY()+7,"DUE","Upcoming"))))</f>
        <v/>
      </c>
      <c r="K240" s="96"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88" t="str">
        <f aca="false">IF($B241="","",INDEX(Schedule!$G$4:$G$483,MATCH(5007,Schedule!$K$4:$K$483,0)))</f>
        <v/>
      </c>
      <c r="D241" s="89" t="str">
        <f aca="false">IF($B241="","",INDEX(Schedule!$D$4:$D$483,MATCH(5007,Schedule!$K$4:$K$483,0)))</f>
        <v/>
      </c>
      <c r="E241" s="90" t="str">
        <f aca="false">IF($B241="","",INDEX(Schedule!$E$4:$E$483,MATCH(5007,Schedule!$K$4:$K$483,0)))</f>
        <v/>
      </c>
      <c r="F241" s="91"/>
      <c r="G241" s="92" t="str">
        <f aca="false">IF($B241="","",IF($D241="Income",IF($F241&lt;&gt;"",$F241,IF(COUNTIFS('Paid Log'!$B$9:$B$308,$C241,'Paid Log'!$C$9:$C$308,$B241)&gt;0,SUMIFS('Paid Log'!$D$9:$D$308,'Paid Log'!$B$9:$B$308,$C241,'Paid Log'!$C$9:$C$308,$B241),$E241)),""))</f>
        <v/>
      </c>
      <c r="H241" s="93" t="str">
        <f aca="false">IF($B241="","",IF($D241="Income","",IF($F241&lt;&gt;"",$F241,IF(COUNTIFS('Paid Log'!$B$9:$B$308,$C241,'Paid Log'!$C$9:$C$308,$B241)&gt;0,SUMIFS('Paid Log'!$D$9:$D$308,'Paid Log'!$B$9:$B$308,$C241,'Paid Log'!$C$9:$C$308,$B241),$E241))))</f>
        <v/>
      </c>
      <c r="I241" s="94" t="str">
        <f aca="false">IF($B241="","",$I$233+SUMIFS($G$235:$G$285,$M$235:$M$285,"&lt;="&amp;$M241)-SUMIFS($H$235:$H$285,$M$235:$M$285,"&lt;="&amp;$M241))</f>
        <v/>
      </c>
      <c r="J241" s="95" t="str">
        <f aca="true">IF($B241="","",IF(OR($F241&lt;&gt;"",COUNTIFS('Paid Log'!$B$9:$B$308,$C241,'Paid Log'!$C$9:$C$308,$B241)&gt;0),IF($C241&gt;TODAY(),"ADJUSTED","PAID"),IF($C241&lt;TODAY(),"PAST DUE",IF($C241&lt;=TODAY()+7,"DUE","Upcoming"))))</f>
        <v/>
      </c>
      <c r="K241" s="96"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88" t="str">
        <f aca="false">IF($B242="","",INDEX(Schedule!$G$4:$G$483,MATCH(5008,Schedule!$K$4:$K$483,0)))</f>
        <v/>
      </c>
      <c r="D242" s="89" t="str">
        <f aca="false">IF($B242="","",INDEX(Schedule!$D$4:$D$483,MATCH(5008,Schedule!$K$4:$K$483,0)))</f>
        <v/>
      </c>
      <c r="E242" s="90" t="str">
        <f aca="false">IF($B242="","",INDEX(Schedule!$E$4:$E$483,MATCH(5008,Schedule!$K$4:$K$483,0)))</f>
        <v/>
      </c>
      <c r="F242" s="91"/>
      <c r="G242" s="92" t="str">
        <f aca="false">IF($B242="","",IF($D242="Income",IF($F242&lt;&gt;"",$F242,IF(COUNTIFS('Paid Log'!$B$9:$B$308,$C242,'Paid Log'!$C$9:$C$308,$B242)&gt;0,SUMIFS('Paid Log'!$D$9:$D$308,'Paid Log'!$B$9:$B$308,$C242,'Paid Log'!$C$9:$C$308,$B242),$E242)),""))</f>
        <v/>
      </c>
      <c r="H242" s="93" t="str">
        <f aca="false">IF($B242="","",IF($D242="Income","",IF($F242&lt;&gt;"",$F242,IF(COUNTIFS('Paid Log'!$B$9:$B$308,$C242,'Paid Log'!$C$9:$C$308,$B242)&gt;0,SUMIFS('Paid Log'!$D$9:$D$308,'Paid Log'!$B$9:$B$308,$C242,'Paid Log'!$C$9:$C$308,$B242),$E242))))</f>
        <v/>
      </c>
      <c r="I242" s="94" t="str">
        <f aca="false">IF($B242="","",$I$233+SUMIFS($G$235:$G$285,$M$235:$M$285,"&lt;="&amp;$M242)-SUMIFS($H$235:$H$285,$M$235:$M$285,"&lt;="&amp;$M242))</f>
        <v/>
      </c>
      <c r="J242" s="95" t="str">
        <f aca="true">IF($B242="","",IF(OR($F242&lt;&gt;"",COUNTIFS('Paid Log'!$B$9:$B$308,$C242,'Paid Log'!$C$9:$C$308,$B242)&gt;0),IF($C242&gt;TODAY(),"ADJUSTED","PAID"),IF($C242&lt;TODAY(),"PAST DUE",IF($C242&lt;=TODAY()+7,"DUE","Upcoming"))))</f>
        <v/>
      </c>
      <c r="K242" s="96"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88" t="str">
        <f aca="false">IF($B243="","",INDEX(Schedule!$G$4:$G$483,MATCH(5009,Schedule!$K$4:$K$483,0)))</f>
        <v/>
      </c>
      <c r="D243" s="89" t="str">
        <f aca="false">IF($B243="","",INDEX(Schedule!$D$4:$D$483,MATCH(5009,Schedule!$K$4:$K$483,0)))</f>
        <v/>
      </c>
      <c r="E243" s="90" t="str">
        <f aca="false">IF($B243="","",INDEX(Schedule!$E$4:$E$483,MATCH(5009,Schedule!$K$4:$K$483,0)))</f>
        <v/>
      </c>
      <c r="F243" s="91"/>
      <c r="G243" s="92" t="str">
        <f aca="false">IF($B243="","",IF($D243="Income",IF($F243&lt;&gt;"",$F243,IF(COUNTIFS('Paid Log'!$B$9:$B$308,$C243,'Paid Log'!$C$9:$C$308,$B243)&gt;0,SUMIFS('Paid Log'!$D$9:$D$308,'Paid Log'!$B$9:$B$308,$C243,'Paid Log'!$C$9:$C$308,$B243),$E243)),""))</f>
        <v/>
      </c>
      <c r="H243" s="93" t="str">
        <f aca="false">IF($B243="","",IF($D243="Income","",IF($F243&lt;&gt;"",$F243,IF(COUNTIFS('Paid Log'!$B$9:$B$308,$C243,'Paid Log'!$C$9:$C$308,$B243)&gt;0,SUMIFS('Paid Log'!$D$9:$D$308,'Paid Log'!$B$9:$B$308,$C243,'Paid Log'!$C$9:$C$308,$B243),$E243))))</f>
        <v/>
      </c>
      <c r="I243" s="94" t="str">
        <f aca="false">IF($B243="","",$I$233+SUMIFS($G$235:$G$285,$M$235:$M$285,"&lt;="&amp;$M243)-SUMIFS($H$235:$H$285,$M$235:$M$285,"&lt;="&amp;$M243))</f>
        <v/>
      </c>
      <c r="J243" s="95" t="str">
        <f aca="true">IF($B243="","",IF(OR($F243&lt;&gt;"",COUNTIFS('Paid Log'!$B$9:$B$308,$C243,'Paid Log'!$C$9:$C$308,$B243)&gt;0),IF($C243&gt;TODAY(),"ADJUSTED","PAID"),IF($C243&lt;TODAY(),"PAST DUE",IF($C243&lt;=TODAY()+7,"DUE","Upcoming"))))</f>
        <v/>
      </c>
      <c r="K243" s="96"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88" t="str">
        <f aca="false">IF($B244="","",INDEX(Schedule!$G$4:$G$483,MATCH(5010,Schedule!$K$4:$K$483,0)))</f>
        <v/>
      </c>
      <c r="D244" s="89" t="str">
        <f aca="false">IF($B244="","",INDEX(Schedule!$D$4:$D$483,MATCH(5010,Schedule!$K$4:$K$483,0)))</f>
        <v/>
      </c>
      <c r="E244" s="90" t="str">
        <f aca="false">IF($B244="","",INDEX(Schedule!$E$4:$E$483,MATCH(5010,Schedule!$K$4:$K$483,0)))</f>
        <v/>
      </c>
      <c r="F244" s="91"/>
      <c r="G244" s="92" t="str">
        <f aca="false">IF($B244="","",IF($D244="Income",IF($F244&lt;&gt;"",$F244,IF(COUNTIFS('Paid Log'!$B$9:$B$308,$C244,'Paid Log'!$C$9:$C$308,$B244)&gt;0,SUMIFS('Paid Log'!$D$9:$D$308,'Paid Log'!$B$9:$B$308,$C244,'Paid Log'!$C$9:$C$308,$B244),$E244)),""))</f>
        <v/>
      </c>
      <c r="H244" s="93" t="str">
        <f aca="false">IF($B244="","",IF($D244="Income","",IF($F244&lt;&gt;"",$F244,IF(COUNTIFS('Paid Log'!$B$9:$B$308,$C244,'Paid Log'!$C$9:$C$308,$B244)&gt;0,SUMIFS('Paid Log'!$D$9:$D$308,'Paid Log'!$B$9:$B$308,$C244,'Paid Log'!$C$9:$C$308,$B244),$E244))))</f>
        <v/>
      </c>
      <c r="I244" s="94" t="str">
        <f aca="false">IF($B244="","",$I$233+SUMIFS($G$235:$G$285,$M$235:$M$285,"&lt;="&amp;$M244)-SUMIFS($H$235:$H$285,$M$235:$M$285,"&lt;="&amp;$M244))</f>
        <v/>
      </c>
      <c r="J244" s="95" t="str">
        <f aca="true">IF($B244="","",IF(OR($F244&lt;&gt;"",COUNTIFS('Paid Log'!$B$9:$B$308,$C244,'Paid Log'!$C$9:$C$308,$B244)&gt;0),IF($C244&gt;TODAY(),"ADJUSTED","PAID"),IF($C244&lt;TODAY(),"PAST DUE",IF($C244&lt;=TODAY()+7,"DUE","Upcoming"))))</f>
        <v/>
      </c>
      <c r="K244" s="96"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98" t="s">
        <v>156</v>
      </c>
      <c r="C245" s="99"/>
      <c r="D245" s="99"/>
      <c r="E245" s="99"/>
      <c r="F245" s="99"/>
      <c r="G245" s="99"/>
      <c r="H245" s="99"/>
      <c r="I245" s="99"/>
      <c r="J245" s="99"/>
    </row>
    <row r="246" customFormat="false" ht="15" hidden="false" customHeight="true" outlineLevel="0" collapsed="false">
      <c r="B246" s="13"/>
      <c r="C246" s="100"/>
      <c r="D246" s="101" t="str">
        <f aca="false">IF($B246="","","Expense")</f>
        <v/>
      </c>
      <c r="E246" s="15"/>
      <c r="F246" s="102"/>
      <c r="G246" s="102"/>
      <c r="H246" s="103" t="str">
        <f aca="false">IF($B246="","",N($E246))</f>
        <v/>
      </c>
      <c r="I246" s="104" t="str">
        <f aca="false">IF($B246="","",$I$233+SUMIFS($G$235:$G$285,$M$235:$M$285,"&lt;="&amp;$M246)-SUMIFS($H$235:$H$285,$M$235:$M$285,"&lt;="&amp;$M246))</f>
        <v/>
      </c>
      <c r="J246" s="102"/>
      <c r="K246" s="96"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100"/>
      <c r="D247" s="101" t="str">
        <f aca="false">IF($B247="","","Expense")</f>
        <v/>
      </c>
      <c r="E247" s="15"/>
      <c r="F247" s="102"/>
      <c r="G247" s="102"/>
      <c r="H247" s="103" t="str">
        <f aca="false">IF($B247="","",N($E247))</f>
        <v/>
      </c>
      <c r="I247" s="104" t="str">
        <f aca="false">IF($B247="","",$I$233+SUMIFS($G$235:$G$285,$M$235:$M$285,"&lt;="&amp;$M247)-SUMIFS($H$235:$H$285,$M$235:$M$285,"&lt;="&amp;$M247))</f>
        <v/>
      </c>
      <c r="J247" s="102"/>
      <c r="K247" s="96"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100"/>
      <c r="D248" s="101" t="str">
        <f aca="false">IF($B248="","","Expense")</f>
        <v/>
      </c>
      <c r="E248" s="15"/>
      <c r="F248" s="102"/>
      <c r="G248" s="102"/>
      <c r="H248" s="103" t="str">
        <f aca="false">IF($B248="","",N($E248))</f>
        <v/>
      </c>
      <c r="I248" s="104" t="str">
        <f aca="false">IF($B248="","",$I$233+SUMIFS($G$235:$G$285,$M$235:$M$285,"&lt;="&amp;$M248)-SUMIFS($H$235:$H$285,$M$235:$M$285,"&lt;="&amp;$M248))</f>
        <v/>
      </c>
      <c r="J248" s="102"/>
      <c r="K248" s="96"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100"/>
      <c r="D249" s="101" t="str">
        <f aca="false">IF($B249="","","Expense")</f>
        <v/>
      </c>
      <c r="E249" s="15"/>
      <c r="F249" s="102"/>
      <c r="G249" s="102"/>
      <c r="H249" s="103" t="str">
        <f aca="false">IF($B249="","",N($E249))</f>
        <v/>
      </c>
      <c r="I249" s="104" t="str">
        <f aca="false">IF($B249="","",$I$233+SUMIFS($G$235:$G$285,$M$235:$M$285,"&lt;="&amp;$M249)-SUMIFS($H$235:$H$285,$M$235:$M$285,"&lt;="&amp;$M249))</f>
        <v/>
      </c>
      <c r="J249" s="102"/>
      <c r="K249" s="96"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100"/>
      <c r="D250" s="101" t="str">
        <f aca="false">IF($B250="","","Expense")</f>
        <v/>
      </c>
      <c r="E250" s="15"/>
      <c r="F250" s="102"/>
      <c r="G250" s="102"/>
      <c r="H250" s="103" t="str">
        <f aca="false">IF($B250="","",N($E250))</f>
        <v/>
      </c>
      <c r="I250" s="104" t="str">
        <f aca="false">IF($B250="","",$I$233+SUMIFS($G$235:$G$285,$M$235:$M$285,"&lt;="&amp;$M250)-SUMIFS($H$235:$H$285,$M$235:$M$285,"&lt;="&amp;$M250))</f>
        <v/>
      </c>
      <c r="J250" s="102"/>
      <c r="K250" s="96"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100"/>
      <c r="D251" s="101" t="str">
        <f aca="false">IF($B251="","","Expense")</f>
        <v/>
      </c>
      <c r="E251" s="15"/>
      <c r="F251" s="102"/>
      <c r="G251" s="102"/>
      <c r="H251" s="103" t="str">
        <f aca="false">IF($B251="","",N($E251))</f>
        <v/>
      </c>
      <c r="I251" s="104" t="str">
        <f aca="false">IF($B251="","",$I$233+SUMIFS($G$235:$G$285,$M$235:$M$285,"&lt;="&amp;$M251)-SUMIFS($H$235:$H$285,$M$235:$M$285,"&lt;="&amp;$M251))</f>
        <v/>
      </c>
      <c r="J251" s="102"/>
      <c r="K251" s="96"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100"/>
      <c r="D252" s="101" t="str">
        <f aca="false">IF($B252="","","Expense")</f>
        <v/>
      </c>
      <c r="E252" s="15"/>
      <c r="F252" s="102"/>
      <c r="G252" s="102"/>
      <c r="H252" s="103" t="str">
        <f aca="false">IF($B252="","",N($E252))</f>
        <v/>
      </c>
      <c r="I252" s="104" t="str">
        <f aca="false">IF($B252="","",$I$233+SUMIFS($G$235:$G$285,$M$235:$M$285,"&lt;="&amp;$M252)-SUMIFS($H$235:$H$285,$M$235:$M$285,"&lt;="&amp;$M252))</f>
        <v/>
      </c>
      <c r="J252" s="102"/>
      <c r="K252" s="96"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100"/>
      <c r="D253" s="101" t="str">
        <f aca="false">IF($B253="","","Expense")</f>
        <v/>
      </c>
      <c r="E253" s="15"/>
      <c r="F253" s="102"/>
      <c r="G253" s="102"/>
      <c r="H253" s="103" t="str">
        <f aca="false">IF($B253="","",N($E253))</f>
        <v/>
      </c>
      <c r="I253" s="104" t="str">
        <f aca="false">IF($B253="","",$I$233+SUMIFS($G$235:$G$285,$M$235:$M$285,"&lt;="&amp;$M253)-SUMIFS($H$235:$H$285,$M$235:$M$285,"&lt;="&amp;$M253))</f>
        <v/>
      </c>
      <c r="J253" s="102"/>
      <c r="K253" s="96"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100"/>
      <c r="D254" s="101" t="str">
        <f aca="false">IF($B254="","","Expense")</f>
        <v/>
      </c>
      <c r="E254" s="15"/>
      <c r="F254" s="102"/>
      <c r="G254" s="102"/>
      <c r="H254" s="103" t="str">
        <f aca="false">IF($B254="","",N($E254))</f>
        <v/>
      </c>
      <c r="I254" s="104" t="str">
        <f aca="false">IF($B254="","",$I$233+SUMIFS($G$235:$G$285,$M$235:$M$285,"&lt;="&amp;$M254)-SUMIFS($H$235:$H$285,$M$235:$M$285,"&lt;="&amp;$M254))</f>
        <v/>
      </c>
      <c r="J254" s="102"/>
      <c r="K254" s="96"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100"/>
      <c r="D255" s="101" t="str">
        <f aca="false">IF($B255="","","Expense")</f>
        <v/>
      </c>
      <c r="E255" s="15"/>
      <c r="F255" s="102"/>
      <c r="G255" s="102"/>
      <c r="H255" s="103" t="str">
        <f aca="false">IF($B255="","",N($E255))</f>
        <v/>
      </c>
      <c r="I255" s="104" t="str">
        <f aca="false">IF($B255="","",$I$233+SUMIFS($G$235:$G$285,$M$235:$M$285,"&lt;="&amp;$M255)-SUMIFS($H$235:$H$285,$M$235:$M$285,"&lt;="&amp;$M255))</f>
        <v/>
      </c>
      <c r="J255" s="102"/>
      <c r="K255" s="96"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100"/>
      <c r="D256" s="101" t="str">
        <f aca="false">IF($B256="","","Expense")</f>
        <v/>
      </c>
      <c r="E256" s="15"/>
      <c r="F256" s="102"/>
      <c r="G256" s="102"/>
      <c r="H256" s="103" t="str">
        <f aca="false">IF($B256="","",N($E256))</f>
        <v/>
      </c>
      <c r="I256" s="104" t="str">
        <f aca="false">IF($B256="","",$I$233+SUMIFS($G$235:$G$285,$M$235:$M$285,"&lt;="&amp;$M256)-SUMIFS($H$235:$H$285,$M$235:$M$285,"&lt;="&amp;$M256))</f>
        <v/>
      </c>
      <c r="J256" s="102"/>
      <c r="K256" s="96"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100"/>
      <c r="D257" s="101" t="str">
        <f aca="false">IF($B257="","","Expense")</f>
        <v/>
      </c>
      <c r="E257" s="15"/>
      <c r="F257" s="102"/>
      <c r="G257" s="102"/>
      <c r="H257" s="103" t="str">
        <f aca="false">IF($B257="","",N($E257))</f>
        <v/>
      </c>
      <c r="I257" s="104" t="str">
        <f aca="false">IF($B257="","",$I$233+SUMIFS($G$235:$G$285,$M$235:$M$285,"&lt;="&amp;$M257)-SUMIFS($H$235:$H$285,$M$235:$M$285,"&lt;="&amp;$M257))</f>
        <v/>
      </c>
      <c r="J257" s="102"/>
      <c r="K257" s="96"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100"/>
      <c r="D258" s="101" t="str">
        <f aca="false">IF($B258="","","Expense")</f>
        <v/>
      </c>
      <c r="E258" s="15"/>
      <c r="F258" s="102"/>
      <c r="G258" s="102"/>
      <c r="H258" s="103" t="str">
        <f aca="false">IF($B258="","",N($E258))</f>
        <v/>
      </c>
      <c r="I258" s="104" t="str">
        <f aca="false">IF($B258="","",$I$233+SUMIFS($G$235:$G$285,$M$235:$M$285,"&lt;="&amp;$M258)-SUMIFS($H$235:$H$285,$M$235:$M$285,"&lt;="&amp;$M258))</f>
        <v/>
      </c>
      <c r="J258" s="102"/>
      <c r="K258" s="96"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100"/>
      <c r="D259" s="101" t="str">
        <f aca="false">IF($B259="","","Expense")</f>
        <v/>
      </c>
      <c r="E259" s="15"/>
      <c r="F259" s="102"/>
      <c r="G259" s="102"/>
      <c r="H259" s="103" t="str">
        <f aca="false">IF($B259="","",N($E259))</f>
        <v/>
      </c>
      <c r="I259" s="104" t="str">
        <f aca="false">IF($B259="","",$I$233+SUMIFS($G$235:$G$285,$M$235:$M$285,"&lt;="&amp;$M259)-SUMIFS($H$235:$H$285,$M$235:$M$285,"&lt;="&amp;$M259))</f>
        <v/>
      </c>
      <c r="J259" s="102"/>
      <c r="K259" s="96"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100"/>
      <c r="D260" s="101" t="str">
        <f aca="false">IF($B260="","","Expense")</f>
        <v/>
      </c>
      <c r="E260" s="15"/>
      <c r="F260" s="102"/>
      <c r="G260" s="102"/>
      <c r="H260" s="103" t="str">
        <f aca="false">IF($B260="","",N($E260))</f>
        <v/>
      </c>
      <c r="I260" s="104" t="str">
        <f aca="false">IF($B260="","",$I$233+SUMIFS($G$235:$G$285,$M$235:$M$285,"&lt;="&amp;$M260)-SUMIFS($H$235:$H$285,$M$235:$M$285,"&lt;="&amp;$M260))</f>
        <v/>
      </c>
      <c r="J260" s="102"/>
      <c r="K260" s="96"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100"/>
      <c r="D261" s="101" t="str">
        <f aca="false">IF($B261="","","Expense")</f>
        <v/>
      </c>
      <c r="E261" s="15"/>
      <c r="F261" s="102"/>
      <c r="G261" s="102"/>
      <c r="H261" s="103" t="str">
        <f aca="false">IF($B261="","",N($E261))</f>
        <v/>
      </c>
      <c r="I261" s="104" t="str">
        <f aca="false">IF($B261="","",$I$233+SUMIFS($G$235:$G$285,$M$235:$M$285,"&lt;="&amp;$M261)-SUMIFS($H$235:$H$285,$M$235:$M$285,"&lt;="&amp;$M261))</f>
        <v/>
      </c>
      <c r="J261" s="102"/>
      <c r="K261" s="96"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100"/>
      <c r="D262" s="101" t="str">
        <f aca="false">IF($B262="","","Expense")</f>
        <v/>
      </c>
      <c r="E262" s="15"/>
      <c r="F262" s="102"/>
      <c r="G262" s="102"/>
      <c r="H262" s="103" t="str">
        <f aca="false">IF($B262="","",N($E262))</f>
        <v/>
      </c>
      <c r="I262" s="104" t="str">
        <f aca="false">IF($B262="","",$I$233+SUMIFS($G$235:$G$285,$M$235:$M$285,"&lt;="&amp;$M262)-SUMIFS($H$235:$H$285,$M$235:$M$285,"&lt;="&amp;$M262))</f>
        <v/>
      </c>
      <c r="J262" s="102"/>
      <c r="K262" s="96"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100"/>
      <c r="D263" s="101" t="str">
        <f aca="false">IF($B263="","","Expense")</f>
        <v/>
      </c>
      <c r="E263" s="15"/>
      <c r="F263" s="102"/>
      <c r="G263" s="102"/>
      <c r="H263" s="103" t="str">
        <f aca="false">IF($B263="","",N($E263))</f>
        <v/>
      </c>
      <c r="I263" s="104" t="str">
        <f aca="false">IF($B263="","",$I$233+SUMIFS($G$235:$G$285,$M$235:$M$285,"&lt;="&amp;$M263)-SUMIFS($H$235:$H$285,$M$235:$M$285,"&lt;="&amp;$M263))</f>
        <v/>
      </c>
      <c r="J263" s="102"/>
      <c r="K263" s="96"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100"/>
      <c r="D264" s="101" t="str">
        <f aca="false">IF($B264="","","Expense")</f>
        <v/>
      </c>
      <c r="E264" s="15"/>
      <c r="F264" s="102"/>
      <c r="G264" s="102"/>
      <c r="H264" s="103" t="str">
        <f aca="false">IF($B264="","",N($E264))</f>
        <v/>
      </c>
      <c r="I264" s="104" t="str">
        <f aca="false">IF($B264="","",$I$233+SUMIFS($G$235:$G$285,$M$235:$M$285,"&lt;="&amp;$M264)-SUMIFS($H$235:$H$285,$M$235:$M$285,"&lt;="&amp;$M264))</f>
        <v/>
      </c>
      <c r="J264" s="102"/>
      <c r="K264" s="96"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100"/>
      <c r="D265" s="101" t="str">
        <f aca="false">IF($B265="","","Expense")</f>
        <v/>
      </c>
      <c r="E265" s="15"/>
      <c r="F265" s="102"/>
      <c r="G265" s="102"/>
      <c r="H265" s="103" t="str">
        <f aca="false">IF($B265="","",N($E265))</f>
        <v/>
      </c>
      <c r="I265" s="104" t="str">
        <f aca="false">IF($B265="","",$I$233+SUMIFS($G$235:$G$285,$M$235:$M$285,"&lt;="&amp;$M265)-SUMIFS($H$235:$H$285,$M$235:$M$285,"&lt;="&amp;$M265))</f>
        <v/>
      </c>
      <c r="J265" s="102"/>
      <c r="K265" s="96"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100"/>
      <c r="D266" s="101" t="str">
        <f aca="false">IF($B266="","","Expense")</f>
        <v/>
      </c>
      <c r="E266" s="15"/>
      <c r="F266" s="102"/>
      <c r="G266" s="102"/>
      <c r="H266" s="103" t="str">
        <f aca="false">IF($B266="","",N($E266))</f>
        <v/>
      </c>
      <c r="I266" s="104" t="str">
        <f aca="false">IF($B266="","",$I$233+SUMIFS($G$235:$G$285,$M$235:$M$285,"&lt;="&amp;$M266)-SUMIFS($H$235:$H$285,$M$235:$M$285,"&lt;="&amp;$M266))</f>
        <v/>
      </c>
      <c r="J266" s="102"/>
      <c r="K266" s="96"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100"/>
      <c r="D267" s="101" t="str">
        <f aca="false">IF($B267="","","Expense")</f>
        <v/>
      </c>
      <c r="E267" s="15"/>
      <c r="F267" s="102"/>
      <c r="G267" s="102"/>
      <c r="H267" s="103" t="str">
        <f aca="false">IF($B267="","",N($E267))</f>
        <v/>
      </c>
      <c r="I267" s="104" t="str">
        <f aca="false">IF($B267="","",$I$233+SUMIFS($G$235:$G$285,$M$235:$M$285,"&lt;="&amp;$M267)-SUMIFS($H$235:$H$285,$M$235:$M$285,"&lt;="&amp;$M267))</f>
        <v/>
      </c>
      <c r="J267" s="102"/>
      <c r="K267" s="96"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100"/>
      <c r="D268" s="101" t="str">
        <f aca="false">IF($B268="","","Expense")</f>
        <v/>
      </c>
      <c r="E268" s="15"/>
      <c r="F268" s="102"/>
      <c r="G268" s="102"/>
      <c r="H268" s="103" t="str">
        <f aca="false">IF($B268="","",N($E268))</f>
        <v/>
      </c>
      <c r="I268" s="104" t="str">
        <f aca="false">IF($B268="","",$I$233+SUMIFS($G$235:$G$285,$M$235:$M$285,"&lt;="&amp;$M268)-SUMIFS($H$235:$H$285,$M$235:$M$285,"&lt;="&amp;$M268))</f>
        <v/>
      </c>
      <c r="J268" s="102"/>
      <c r="K268" s="96"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100"/>
      <c r="D269" s="101" t="str">
        <f aca="false">IF($B269="","","Expense")</f>
        <v/>
      </c>
      <c r="E269" s="15"/>
      <c r="F269" s="102"/>
      <c r="G269" s="102"/>
      <c r="H269" s="103" t="str">
        <f aca="false">IF($B269="","",N($E269))</f>
        <v/>
      </c>
      <c r="I269" s="104" t="str">
        <f aca="false">IF($B269="","",$I$233+SUMIFS($G$235:$G$285,$M$235:$M$285,"&lt;="&amp;$M269)-SUMIFS($H$235:$H$285,$M$235:$M$285,"&lt;="&amp;$M269))</f>
        <v/>
      </c>
      <c r="J269" s="102"/>
      <c r="K269" s="96"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100"/>
      <c r="D270" s="101" t="str">
        <f aca="false">IF($B270="","","Expense")</f>
        <v/>
      </c>
      <c r="E270" s="15"/>
      <c r="F270" s="102"/>
      <c r="G270" s="102"/>
      <c r="H270" s="103" t="str">
        <f aca="false">IF($B270="","",N($E270))</f>
        <v/>
      </c>
      <c r="I270" s="104" t="str">
        <f aca="false">IF($B270="","",$I$233+SUMIFS($G$235:$G$285,$M$235:$M$285,"&lt;="&amp;$M270)-SUMIFS($H$235:$H$285,$M$235:$M$285,"&lt;="&amp;$M270))</f>
        <v/>
      </c>
      <c r="J270" s="102"/>
      <c r="K270" s="96"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100"/>
      <c r="D271" s="101" t="str">
        <f aca="false">IF($B271="","","Expense")</f>
        <v/>
      </c>
      <c r="E271" s="15"/>
      <c r="F271" s="102"/>
      <c r="G271" s="102"/>
      <c r="H271" s="103" t="str">
        <f aca="false">IF($B271="","",N($E271))</f>
        <v/>
      </c>
      <c r="I271" s="104" t="str">
        <f aca="false">IF($B271="","",$I$233+SUMIFS($G$235:$G$285,$M$235:$M$285,"&lt;="&amp;$M271)-SUMIFS($H$235:$H$285,$M$235:$M$285,"&lt;="&amp;$M271))</f>
        <v/>
      </c>
      <c r="J271" s="102"/>
      <c r="K271" s="96"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100"/>
      <c r="D272" s="101" t="str">
        <f aca="false">IF($B272="","","Expense")</f>
        <v/>
      </c>
      <c r="E272" s="15"/>
      <c r="F272" s="102"/>
      <c r="G272" s="102"/>
      <c r="H272" s="103" t="str">
        <f aca="false">IF($B272="","",N($E272))</f>
        <v/>
      </c>
      <c r="I272" s="104" t="str">
        <f aca="false">IF($B272="","",$I$233+SUMIFS($G$235:$G$285,$M$235:$M$285,"&lt;="&amp;$M272)-SUMIFS($H$235:$H$285,$M$235:$M$285,"&lt;="&amp;$M272))</f>
        <v/>
      </c>
      <c r="J272" s="102"/>
      <c r="K272" s="96"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100"/>
      <c r="D273" s="101" t="str">
        <f aca="false">IF($B273="","","Expense")</f>
        <v/>
      </c>
      <c r="E273" s="15"/>
      <c r="F273" s="102"/>
      <c r="G273" s="102"/>
      <c r="H273" s="103" t="str">
        <f aca="false">IF($B273="","",N($E273))</f>
        <v/>
      </c>
      <c r="I273" s="104" t="str">
        <f aca="false">IF($B273="","",$I$233+SUMIFS($G$235:$G$285,$M$235:$M$285,"&lt;="&amp;$M273)-SUMIFS($H$235:$H$285,$M$235:$M$285,"&lt;="&amp;$M273))</f>
        <v/>
      </c>
      <c r="J273" s="102"/>
      <c r="K273" s="96"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100"/>
      <c r="D274" s="101" t="str">
        <f aca="false">IF($B274="","","Expense")</f>
        <v/>
      </c>
      <c r="E274" s="15"/>
      <c r="F274" s="102"/>
      <c r="G274" s="102"/>
      <c r="H274" s="103" t="str">
        <f aca="false">IF($B274="","",N($E274))</f>
        <v/>
      </c>
      <c r="I274" s="104" t="str">
        <f aca="false">IF($B274="","",$I$233+SUMIFS($G$235:$G$285,$M$235:$M$285,"&lt;="&amp;$M274)-SUMIFS($H$235:$H$285,$M$235:$M$285,"&lt;="&amp;$M274))</f>
        <v/>
      </c>
      <c r="J274" s="102"/>
      <c r="K274" s="96"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100"/>
      <c r="D275" s="101" t="str">
        <f aca="false">IF($B275="","","Expense")</f>
        <v/>
      </c>
      <c r="E275" s="15"/>
      <c r="F275" s="102"/>
      <c r="G275" s="102"/>
      <c r="H275" s="103" t="str">
        <f aca="false">IF($B275="","",N($E275))</f>
        <v/>
      </c>
      <c r="I275" s="104" t="str">
        <f aca="false">IF($B275="","",$I$233+SUMIFS($G$235:$G$285,$M$235:$M$285,"&lt;="&amp;$M275)-SUMIFS($H$235:$H$285,$M$235:$M$285,"&lt;="&amp;$M275))</f>
        <v/>
      </c>
      <c r="J275" s="102"/>
      <c r="K275" s="96"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100"/>
      <c r="D276" s="101" t="str">
        <f aca="false">IF($B276="","","Expense")</f>
        <v/>
      </c>
      <c r="E276" s="15"/>
      <c r="F276" s="102"/>
      <c r="G276" s="102"/>
      <c r="H276" s="103" t="str">
        <f aca="false">IF($B276="","",N($E276))</f>
        <v/>
      </c>
      <c r="I276" s="104" t="str">
        <f aca="false">IF($B276="","",$I$233+SUMIFS($G$235:$G$285,$M$235:$M$285,"&lt;="&amp;$M276)-SUMIFS($H$235:$H$285,$M$235:$M$285,"&lt;="&amp;$M276))</f>
        <v/>
      </c>
      <c r="J276" s="102"/>
      <c r="K276" s="96"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100"/>
      <c r="D277" s="101" t="str">
        <f aca="false">IF($B277="","","Expense")</f>
        <v/>
      </c>
      <c r="E277" s="15"/>
      <c r="F277" s="102"/>
      <c r="G277" s="102"/>
      <c r="H277" s="103" t="str">
        <f aca="false">IF($B277="","",N($E277))</f>
        <v/>
      </c>
      <c r="I277" s="104" t="str">
        <f aca="false">IF($B277="","",$I$233+SUMIFS($G$235:$G$285,$M$235:$M$285,"&lt;="&amp;$M277)-SUMIFS($H$235:$H$285,$M$235:$M$285,"&lt;="&amp;$M277))</f>
        <v/>
      </c>
      <c r="J277" s="102"/>
      <c r="K277" s="96"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100"/>
      <c r="D278" s="101" t="str">
        <f aca="false">IF($B278="","","Expense")</f>
        <v/>
      </c>
      <c r="E278" s="15"/>
      <c r="F278" s="102"/>
      <c r="G278" s="102"/>
      <c r="H278" s="103" t="str">
        <f aca="false">IF($B278="","",N($E278))</f>
        <v/>
      </c>
      <c r="I278" s="104" t="str">
        <f aca="false">IF($B278="","",$I$233+SUMIFS($G$235:$G$285,$M$235:$M$285,"&lt;="&amp;$M278)-SUMIFS($H$235:$H$285,$M$235:$M$285,"&lt;="&amp;$M278))</f>
        <v/>
      </c>
      <c r="J278" s="102"/>
      <c r="K278" s="96"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100"/>
      <c r="D279" s="101" t="str">
        <f aca="false">IF($B279="","","Expense")</f>
        <v/>
      </c>
      <c r="E279" s="15"/>
      <c r="F279" s="102"/>
      <c r="G279" s="102"/>
      <c r="H279" s="103" t="str">
        <f aca="false">IF($B279="","",N($E279))</f>
        <v/>
      </c>
      <c r="I279" s="104" t="str">
        <f aca="false">IF($B279="","",$I$233+SUMIFS($G$235:$G$285,$M$235:$M$285,"&lt;="&amp;$M279)-SUMIFS($H$235:$H$285,$M$235:$M$285,"&lt;="&amp;$M279))</f>
        <v/>
      </c>
      <c r="J279" s="102"/>
      <c r="K279" s="96"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100"/>
      <c r="D280" s="101" t="str">
        <f aca="false">IF($B280="","","Expense")</f>
        <v/>
      </c>
      <c r="E280" s="15"/>
      <c r="F280" s="102"/>
      <c r="G280" s="102"/>
      <c r="H280" s="103" t="str">
        <f aca="false">IF($B280="","",N($E280))</f>
        <v/>
      </c>
      <c r="I280" s="104" t="str">
        <f aca="false">IF($B280="","",$I$233+SUMIFS($G$235:$G$285,$M$235:$M$285,"&lt;="&amp;$M280)-SUMIFS($H$235:$H$285,$M$235:$M$285,"&lt;="&amp;$M280))</f>
        <v/>
      </c>
      <c r="J280" s="102"/>
      <c r="K280" s="96"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100"/>
      <c r="D281" s="101" t="str">
        <f aca="false">IF($B281="","","Expense")</f>
        <v/>
      </c>
      <c r="E281" s="15"/>
      <c r="F281" s="102"/>
      <c r="G281" s="102"/>
      <c r="H281" s="103" t="str">
        <f aca="false">IF($B281="","",N($E281))</f>
        <v/>
      </c>
      <c r="I281" s="104" t="str">
        <f aca="false">IF($B281="","",$I$233+SUMIFS($G$235:$G$285,$M$235:$M$285,"&lt;="&amp;$M281)-SUMIFS($H$235:$H$285,$M$235:$M$285,"&lt;="&amp;$M281))</f>
        <v/>
      </c>
      <c r="J281" s="102"/>
      <c r="K281" s="96"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100"/>
      <c r="D282" s="101" t="str">
        <f aca="false">IF($B282="","","Expense")</f>
        <v/>
      </c>
      <c r="E282" s="15"/>
      <c r="F282" s="102"/>
      <c r="G282" s="102"/>
      <c r="H282" s="103" t="str">
        <f aca="false">IF($B282="","",N($E282))</f>
        <v/>
      </c>
      <c r="I282" s="104" t="str">
        <f aca="false">IF($B282="","",$I$233+SUMIFS($G$235:$G$285,$M$235:$M$285,"&lt;="&amp;$M282)-SUMIFS($H$235:$H$285,$M$235:$M$285,"&lt;="&amp;$M282))</f>
        <v/>
      </c>
      <c r="J282" s="102"/>
      <c r="K282" s="96"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100"/>
      <c r="D283" s="101" t="str">
        <f aca="false">IF($B283="","","Expense")</f>
        <v/>
      </c>
      <c r="E283" s="15"/>
      <c r="F283" s="102"/>
      <c r="G283" s="102"/>
      <c r="H283" s="103" t="str">
        <f aca="false">IF($B283="","",N($E283))</f>
        <v/>
      </c>
      <c r="I283" s="104" t="str">
        <f aca="false">IF($B283="","",$I$233+SUMIFS($G$235:$G$285,$M$235:$M$285,"&lt;="&amp;$M283)-SUMIFS($H$235:$H$285,$M$235:$M$285,"&lt;="&amp;$M283))</f>
        <v/>
      </c>
      <c r="J283" s="102"/>
      <c r="K283" s="96"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100"/>
      <c r="D284" s="101" t="str">
        <f aca="false">IF($B284="","","Expense")</f>
        <v/>
      </c>
      <c r="E284" s="15"/>
      <c r="F284" s="102"/>
      <c r="G284" s="102"/>
      <c r="H284" s="103" t="str">
        <f aca="false">IF($B284="","",N($E284))</f>
        <v/>
      </c>
      <c r="I284" s="104" t="str">
        <f aca="false">IF($B284="","",$I$233+SUMIFS($G$235:$G$285,$M$235:$M$285,"&lt;="&amp;$M284)-SUMIFS($H$235:$H$285,$M$235:$M$285,"&lt;="&amp;$M284))</f>
        <v/>
      </c>
      <c r="J284" s="102"/>
      <c r="K284" s="96" t="str">
        <f aca="false">IF($B284="","","ACTUAL")</f>
        <v/>
      </c>
      <c r="L284" s="1" t="str">
        <f aca="false">IF($B284="","",IF($C284="",$E$6+34,$C284))</f>
        <v/>
      </c>
      <c r="M284" s="1" t="str">
        <f aca="false">IF($L284="","",COUNTIFS($L$235:$L$285,"&lt;"&amp;$L284)+COUNTIFS($L$235:$L284,$L284))</f>
        <v/>
      </c>
    </row>
    <row r="285" customFormat="false" ht="15" hidden="false" customHeight="true" outlineLevel="0" collapsed="false">
      <c r="B285" s="105" t="str">
        <f aca="false">"Everyday spending still expected this week"</f>
        <v>Everyday spending still expected this week</v>
      </c>
      <c r="C285" s="106" t="n">
        <f aca="false">$E$6+34</f>
        <v>46283</v>
      </c>
      <c r="D285" s="101" t="str">
        <f aca="false">IF($B285="","","Expense")</f>
        <v>Expense</v>
      </c>
      <c r="E285" s="107" t="n">
        <f aca="false">MAX(0,$E$8-SUM($E$246:$E$284))</f>
        <v>400</v>
      </c>
      <c r="F285" s="102"/>
      <c r="G285" s="102"/>
      <c r="H285" s="103" t="n">
        <f aca="false">IF($B285="","",N($E285))</f>
        <v>400</v>
      </c>
      <c r="I285" s="104" t="n">
        <f aca="false">IF($B285="","",$I$233+SUMIFS($G$235:$G$285,$M$235:$M$285,"&lt;="&amp;$M285)-SUMIFS($H$235:$H$285,$M$235:$M$285,"&lt;="&amp;$M285))</f>
        <v>-317.17</v>
      </c>
      <c r="J285" s="102"/>
      <c r="K285" s="96" t="str">
        <f aca="false">"FORECAST"</f>
        <v>FORECAST</v>
      </c>
      <c r="L285" s="97" t="n">
        <f aca="false">IF($B285="","",IF($C285="",$E$6+34,$C285))</f>
        <v>46283</v>
      </c>
      <c r="M285" s="1" t="n">
        <f aca="false">IF($L285="","",COUNTIFS($L$235:$L$285,"&lt;"&amp;$L285)+COUNTIFS($L$235:$L285,$L285))</f>
        <v>6</v>
      </c>
    </row>
    <row r="286" customFormat="false" ht="15" hidden="false" customHeight="true" outlineLevel="0" collapsed="false">
      <c r="B286" s="108" t="s">
        <v>196</v>
      </c>
      <c r="C286" s="58"/>
      <c r="D286" s="58"/>
      <c r="E286" s="58"/>
      <c r="F286" s="58"/>
      <c r="G286" s="57" t="n">
        <f aca="false">SUM($G$235:$G$285)</f>
        <v>732.12</v>
      </c>
      <c r="H286" s="57" t="n">
        <f aca="false">SUM($H$235:$H$285)</f>
        <v>797.99</v>
      </c>
      <c r="I286" s="109" t="n">
        <f aca="false">$I$233+$G$286-$H$286</f>
        <v>-317.17</v>
      </c>
      <c r="J286" s="110" t="str">
        <f aca="false">IF($I$286&lt;0,"SHORTFALL",IF($I$286&lt;$E$7,"TIGHT","OK"))</f>
        <v>SHORTFALL</v>
      </c>
      <c r="K286" s="111"/>
      <c r="N286" s="111" t="str">
        <f aca="false">IF(COUNT($I$235:$I$285)=0,"","Lowest point this week: "&amp;TEXT(MIN($I$235:$I$285),"$#,##0.00;-$#,##0.00")&amp;" on "&amp;TEXT(INDEX($C$235:$C$285,MATCH(MIN($I$235:$I$285),$I$235:$I$285,0)),"ddd mmm d")&amp;"     (in "&amp;TEXT($G$286,"$#,##0.00")&amp;", out "&amp;TEXT($H$286,"$#,##0.00")&amp;")")</f>
        <v>Lowest point this week: -$604.29 on Tue Sep 15     (in $732.12, out $797.99)</v>
      </c>
    </row>
    <row r="288" customFormat="false" ht="21.75" hidden="false" customHeight="true" outlineLevel="0" collapsed="false">
      <c r="B288" s="82" t="str">
        <f aca="false">"WEEK 6     "&amp;TEXT($E$6+35,"ddd, mmm d")&amp;"   through   "&amp;TEXT($E$6+35+6,"ddd, mmm d, yyyy")</f>
        <v>WEEK 6     Sat, Sep 19   through   Fri, Sep 25, 2026</v>
      </c>
      <c r="C288" s="83"/>
      <c r="D288" s="83"/>
      <c r="E288" s="83"/>
      <c r="F288" s="83"/>
      <c r="G288" s="84" t="s">
        <v>147</v>
      </c>
      <c r="H288" s="83"/>
      <c r="I288" s="85" t="n">
        <f aca="false">$I$286</f>
        <v>-317.17</v>
      </c>
      <c r="J288" s="83"/>
      <c r="K288" s="86"/>
      <c r="N288" s="86" t="str">
        <f aca="false">IF(COUNTIF(Schedule!$I$4:$I$483,6)&gt;10,"! "&amp;COUNTIF(Schedule!$I$4:$I$483,6)-10&amp;" more transaction(s) fall in this week than there are rows to show them.","")</f>
        <v/>
      </c>
    </row>
    <row r="289" customFormat="false" ht="25.5" hidden="false" customHeight="true" outlineLevel="0" collapsed="false">
      <c r="B289" s="87" t="s">
        <v>148</v>
      </c>
      <c r="C289" s="87" t="s">
        <v>149</v>
      </c>
      <c r="D289" s="87" t="s">
        <v>42</v>
      </c>
      <c r="E289" s="87" t="s">
        <v>150</v>
      </c>
      <c r="F289" s="87" t="s">
        <v>151</v>
      </c>
      <c r="G289" s="37" t="s">
        <v>152</v>
      </c>
      <c r="H289" s="38" t="s">
        <v>153</v>
      </c>
      <c r="I289" s="87" t="s">
        <v>154</v>
      </c>
      <c r="J289" s="87" t="s">
        <v>14</v>
      </c>
      <c r="K289" s="87" t="s">
        <v>155</v>
      </c>
    </row>
    <row r="290" customFormat="false" ht="15" hidden="false" customHeight="true" outlineLevel="0" collapsed="false">
      <c r="B290" s="8" t="str">
        <f aca="false">IFERROR(INDEX(Schedule!$C$4:$C$483,MATCH(6001,Schedule!$K$4:$K$483,0)),"")</f>
        <v>Spectrum</v>
      </c>
      <c r="C290" s="88" t="n">
        <f aca="false">IF($B290="","",INDEX(Schedule!$G$4:$G$483,MATCH(6001,Schedule!$K$4:$K$483,0)))</f>
        <v>46286</v>
      </c>
      <c r="D290" s="89" t="str">
        <f aca="false">IF($B290="","",INDEX(Schedule!$D$4:$D$483,MATCH(6001,Schedule!$K$4:$K$483,0)))</f>
        <v>Expense</v>
      </c>
      <c r="E290" s="90" t="n">
        <f aca="false">IF($B290="","",INDEX(Schedule!$E$4:$E$483,MATCH(6001,Schedule!$K$4:$K$483,0)))</f>
        <v>171.1</v>
      </c>
      <c r="F290" s="91"/>
      <c r="G290" s="92" t="str">
        <f aca="false">IF($B290="","",IF($D290="Income",IF($F290&lt;&gt;"",$F290,IF(COUNTIFS('Paid Log'!$B$9:$B$308,$C290,'Paid Log'!$C$9:$C$308,$B290)&gt;0,SUMIFS('Paid Log'!$D$9:$D$308,'Paid Log'!$B$9:$B$308,$C290,'Paid Log'!$C$9:$C$308,$B290),$E290)),""))</f>
        <v/>
      </c>
      <c r="H290" s="93" t="n">
        <f aca="false">IF($B290="","",IF($D290="Income","",IF($F290&lt;&gt;"",$F290,IF(COUNTIFS('Paid Log'!$B$9:$B$308,$C290,'Paid Log'!$C$9:$C$308,$B290)&gt;0,SUMIFS('Paid Log'!$D$9:$D$308,'Paid Log'!$B$9:$B$308,$C290,'Paid Log'!$C$9:$C$308,$B290),$E290))))</f>
        <v>171.1</v>
      </c>
      <c r="I290" s="94" t="n">
        <f aca="false">IF($B290="","",$I$288+SUMIFS($G$290:$G$340,$M$290:$M$340,"&lt;="&amp;$M290)-SUMIFS($H$290:$H$340,$M$290:$M$340,"&lt;="&amp;$M290))</f>
        <v>-488.27</v>
      </c>
      <c r="J290" s="95" t="str">
        <f aca="true">IF($B290="","",IF(OR($F290&lt;&gt;"",COUNTIFS('Paid Log'!$B$9:$B$308,$C290,'Paid Log'!$C$9:$C$308,$B290)&gt;0),IF($C290&gt;TODAY(),"ADJUSTED","PAID"),IF($C290&lt;TODAY(),"PAST DUE",IF($C290&lt;=TODAY()+7,"DUE","Upcoming"))))</f>
        <v>Upcoming</v>
      </c>
      <c r="K290" s="96" t="str">
        <f aca="false">IF($B290="","",IF(OR($F290&lt;&gt;"",COUNTIFS('Paid Log'!$B$9:$B$308,$C290,'Paid Log'!$C$9:$C$308,$B290)&gt;0),"ACTUAL","FORECAST"))</f>
        <v>FORECAST</v>
      </c>
      <c r="L290" s="97"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88" t="n">
        <f aca="false">IF($B291="","",INDEX(Schedule!$G$4:$G$483,MATCH(6002,Schedule!$K$4:$K$483,0)))</f>
        <v>46287</v>
      </c>
      <c r="D291" s="89" t="str">
        <f aca="false">IF($B291="","",INDEX(Schedule!$D$4:$D$483,MATCH(6002,Schedule!$K$4:$K$483,0)))</f>
        <v>Expense</v>
      </c>
      <c r="E291" s="90" t="n">
        <f aca="false">IF($B291="","",INDEX(Schedule!$E$4:$E$483,MATCH(6002,Schedule!$K$4:$K$483,0)))</f>
        <v>13.7</v>
      </c>
      <c r="F291" s="91"/>
      <c r="G291" s="92" t="str">
        <f aca="false">IF($B291="","",IF($D291="Income",IF($F291&lt;&gt;"",$F291,IF(COUNTIFS('Paid Log'!$B$9:$B$308,$C291,'Paid Log'!$C$9:$C$308,$B291)&gt;0,SUMIFS('Paid Log'!$D$9:$D$308,'Paid Log'!$B$9:$B$308,$C291,'Paid Log'!$C$9:$C$308,$B291),$E291)),""))</f>
        <v/>
      </c>
      <c r="H291" s="93" t="n">
        <f aca="false">IF($B291="","",IF($D291="Income","",IF($F291&lt;&gt;"",$F291,IF(COUNTIFS('Paid Log'!$B$9:$B$308,$C291,'Paid Log'!$C$9:$C$308,$B291)&gt;0,SUMIFS('Paid Log'!$D$9:$D$308,'Paid Log'!$B$9:$B$308,$C291,'Paid Log'!$C$9:$C$308,$B291),$E291))))</f>
        <v>13.7</v>
      </c>
      <c r="I291" s="94" t="n">
        <f aca="false">IF($B291="","",$I$288+SUMIFS($G$290:$G$340,$M$290:$M$340,"&lt;="&amp;$M291)-SUMIFS($H$290:$H$340,$M$290:$M$340,"&lt;="&amp;$M291))</f>
        <v>-501.97</v>
      </c>
      <c r="J291" s="95" t="str">
        <f aca="true">IF($B291="","",IF(OR($F291&lt;&gt;"",COUNTIFS('Paid Log'!$B$9:$B$308,$C291,'Paid Log'!$C$9:$C$308,$B291)&gt;0),IF($C291&gt;TODAY(),"ADJUSTED","PAID"),IF($C291&lt;TODAY(),"PAST DUE",IF($C291&lt;=TODAY()+7,"DUE","Upcoming"))))</f>
        <v>Upcoming</v>
      </c>
      <c r="K291" s="96" t="str">
        <f aca="false">IF($B291="","",IF(OR($F291&lt;&gt;"",COUNTIFS('Paid Log'!$B$9:$B$308,$C291,'Paid Log'!$C$9:$C$308,$B291)&gt;0),"ACTUAL","FORECAST"))</f>
        <v>FORECAST</v>
      </c>
      <c r="L291" s="97"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88" t="n">
        <f aca="false">IF($B292="","",INDEX(Schedule!$G$4:$G$483,MATCH(6003,Schedule!$K$4:$K$483,0)))</f>
        <v>46288</v>
      </c>
      <c r="D292" s="89" t="str">
        <f aca="false">IF($B292="","",INDEX(Schedule!$D$4:$D$483,MATCH(6003,Schedule!$K$4:$K$483,0)))</f>
        <v>Income</v>
      </c>
      <c r="E292" s="90" t="n">
        <f aca="false">IF($B292="","",INDEX(Schedule!$E$4:$E$483,MATCH(6003,Schedule!$K$4:$K$483,0)))</f>
        <v>90</v>
      </c>
      <c r="F292" s="91"/>
      <c r="G292" s="92" t="n">
        <f aca="false">IF($B292="","",IF($D292="Income",IF($F292&lt;&gt;"",$F292,IF(COUNTIFS('Paid Log'!$B$9:$B$308,$C292,'Paid Log'!$C$9:$C$308,$B292)&gt;0,SUMIFS('Paid Log'!$D$9:$D$308,'Paid Log'!$B$9:$B$308,$C292,'Paid Log'!$C$9:$C$308,$B292),$E292)),""))</f>
        <v>90</v>
      </c>
      <c r="H292" s="93" t="str">
        <f aca="false">IF($B292="","",IF($D292="Income","",IF($F292&lt;&gt;"",$F292,IF(COUNTIFS('Paid Log'!$B$9:$B$308,$C292,'Paid Log'!$C$9:$C$308,$B292)&gt;0,SUMIFS('Paid Log'!$D$9:$D$308,'Paid Log'!$B$9:$B$308,$C292,'Paid Log'!$C$9:$C$308,$B292),$E292))))</f>
        <v/>
      </c>
      <c r="I292" s="94" t="n">
        <f aca="false">IF($B292="","",$I$288+SUMIFS($G$290:$G$340,$M$290:$M$340,"&lt;="&amp;$M292)-SUMIFS($H$290:$H$340,$M$290:$M$340,"&lt;="&amp;$M292))</f>
        <v>-411.97</v>
      </c>
      <c r="J292" s="95" t="str">
        <f aca="true">IF($B292="","",IF(OR($F292&lt;&gt;"",COUNTIFS('Paid Log'!$B$9:$B$308,$C292,'Paid Log'!$C$9:$C$308,$B292)&gt;0),IF($C292&gt;TODAY(),"ADJUSTED","PAID"),IF($C292&lt;TODAY(),"PAST DUE",IF($C292&lt;=TODAY()+7,"DUE","Upcoming"))))</f>
        <v>Upcoming</v>
      </c>
      <c r="K292" s="96" t="str">
        <f aca="false">IF($B292="","",IF(OR($F292&lt;&gt;"",COUNTIFS('Paid Log'!$B$9:$B$308,$C292,'Paid Log'!$C$9:$C$308,$B292)&gt;0),"ACTUAL","FORECAST"))</f>
        <v>FORECAST</v>
      </c>
      <c r="L292" s="97"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Microsoft (2nd subscription)</v>
      </c>
      <c r="C293" s="88" t="n">
        <f aca="false">IF($B293="","",INDEX(Schedule!$G$4:$G$483,MATCH(6004,Schedule!$K$4:$K$483,0)))</f>
        <v>46288</v>
      </c>
      <c r="D293" s="89" t="str">
        <f aca="false">IF($B293="","",INDEX(Schedule!$D$4:$D$483,MATCH(6004,Schedule!$K$4:$K$483,0)))</f>
        <v>Expense</v>
      </c>
      <c r="E293" s="90" t="n">
        <f aca="false">IF($B293="","",INDEX(Schedule!$E$4:$E$483,MATCH(6004,Schedule!$K$4:$K$483,0)))</f>
        <v>2.39</v>
      </c>
      <c r="F293" s="91"/>
      <c r="G293" s="92" t="str">
        <f aca="false">IF($B293="","",IF($D293="Income",IF($F293&lt;&gt;"",$F293,IF(COUNTIFS('Paid Log'!$B$9:$B$308,$C293,'Paid Log'!$C$9:$C$308,$B293)&gt;0,SUMIFS('Paid Log'!$D$9:$D$308,'Paid Log'!$B$9:$B$308,$C293,'Paid Log'!$C$9:$C$308,$B293),$E293)),""))</f>
        <v/>
      </c>
      <c r="H293" s="93" t="n">
        <f aca="false">IF($B293="","",IF($D293="Income","",IF($F293&lt;&gt;"",$F293,IF(COUNTIFS('Paid Log'!$B$9:$B$308,$C293,'Paid Log'!$C$9:$C$308,$B293)&gt;0,SUMIFS('Paid Log'!$D$9:$D$308,'Paid Log'!$B$9:$B$308,$C293,'Paid Log'!$C$9:$C$308,$B293),$E293))))</f>
        <v>2.39</v>
      </c>
      <c r="I293" s="94" t="n">
        <f aca="false">IF($B293="","",$I$288+SUMIFS($G$290:$G$340,$M$290:$M$340,"&lt;="&amp;$M293)-SUMIFS($H$290:$H$340,$M$290:$M$340,"&lt;="&amp;$M293))</f>
        <v>-414.36</v>
      </c>
      <c r="J293" s="95" t="str">
        <f aca="true">IF($B293="","",IF(OR($F293&lt;&gt;"",COUNTIFS('Paid Log'!$B$9:$B$308,$C293,'Paid Log'!$C$9:$C$308,$B293)&gt;0),IF($C293&gt;TODAY(),"ADJUSTED","PAID"),IF($C293&lt;TODAY(),"PAST DUE",IF($C293&lt;=TODAY()+7,"DUE","Upcoming"))))</f>
        <v>Upcoming</v>
      </c>
      <c r="K293" s="96" t="str">
        <f aca="false">IF($B293="","",IF(OR($F293&lt;&gt;"",COUNTIFS('Paid Log'!$B$9:$B$308,$C293,'Paid Log'!$C$9:$C$308,$B293)&gt;0),"ACTUAL","FORECAST"))</f>
        <v>FORECAST</v>
      </c>
      <c r="L293" s="97" t="n">
        <f aca="false">IF($B293="","",$C293)</f>
        <v>46288</v>
      </c>
      <c r="M293" s="1" t="n">
        <f aca="false">IF($L293="","",COUNTIFS($L$290:$L$340,"&lt;"&amp;$L293)+COUNTIFS($L$290:$L293,$L293))</f>
        <v>4</v>
      </c>
    </row>
    <row r="294" customFormat="false" ht="15" hidden="false" customHeight="true" outlineLevel="0" collapsed="false">
      <c r="B294" s="8" t="str">
        <f aca="false">IFERROR(INDEX(Schedule!$C$4:$C$483,MATCH(6005,Schedule!$K$4:$K$483,0)),"")</f>
        <v>Compunnel Software (paycheck)</v>
      </c>
      <c r="C294" s="88" t="n">
        <f aca="false">IF($B294="","",INDEX(Schedule!$G$4:$G$483,MATCH(6005,Schedule!$K$4:$K$483,0)))</f>
        <v>46290</v>
      </c>
      <c r="D294" s="89" t="str">
        <f aca="false">IF($B294="","",INDEX(Schedule!$D$4:$D$483,MATCH(6005,Schedule!$K$4:$K$483,0)))</f>
        <v>Income</v>
      </c>
      <c r="E294" s="90" t="n">
        <f aca="false">IF($B294="","",INDEX(Schedule!$E$4:$E$483,MATCH(6005,Schedule!$K$4:$K$483,0)))</f>
        <v>802.65</v>
      </c>
      <c r="F294" s="91"/>
      <c r="G294" s="92" t="n">
        <f aca="false">IF($B294="","",IF($D294="Income",IF($F294&lt;&gt;"",$F294,IF(COUNTIFS('Paid Log'!$B$9:$B$308,$C294,'Paid Log'!$C$9:$C$308,$B294)&gt;0,SUMIFS('Paid Log'!$D$9:$D$308,'Paid Log'!$B$9:$B$308,$C294,'Paid Log'!$C$9:$C$308,$B294),$E294)),""))</f>
        <v>802.65</v>
      </c>
      <c r="H294" s="93" t="str">
        <f aca="false">IF($B294="","",IF($D294="Income","",IF($F294&lt;&gt;"",$F294,IF(COUNTIFS('Paid Log'!$B$9:$B$308,$C294,'Paid Log'!$C$9:$C$308,$B294)&gt;0,SUMIFS('Paid Log'!$D$9:$D$308,'Paid Log'!$B$9:$B$308,$C294,'Paid Log'!$C$9:$C$308,$B294),$E294))))</f>
        <v/>
      </c>
      <c r="I294" s="94" t="n">
        <f aca="false">IF($B294="","",$I$288+SUMIFS($G$290:$G$340,$M$290:$M$340,"&lt;="&amp;$M294)-SUMIFS($H$290:$H$340,$M$290:$M$340,"&lt;="&amp;$M294))</f>
        <v>388.29</v>
      </c>
      <c r="J294" s="95" t="str">
        <f aca="true">IF($B294="","",IF(OR($F294&lt;&gt;"",COUNTIFS('Paid Log'!$B$9:$B$308,$C294,'Paid Log'!$C$9:$C$308,$B294)&gt;0),IF($C294&gt;TODAY(),"ADJUSTED","PAID"),IF($C294&lt;TODAY(),"PAST DUE",IF($C294&lt;=TODAY()+7,"DUE","Upcoming"))))</f>
        <v>Upcoming</v>
      </c>
      <c r="K294" s="96" t="str">
        <f aca="false">IF($B294="","",IF(OR($F294&lt;&gt;"",COUNTIFS('Paid Log'!$B$9:$B$308,$C294,'Paid Log'!$C$9:$C$308,$B294)&gt;0),"ACTUAL","FORECAST"))</f>
        <v>FORECAST</v>
      </c>
      <c r="L294" s="97" t="n">
        <f aca="false">IF($B294="","",$C294)</f>
        <v>46290</v>
      </c>
      <c r="M294" s="1" t="n">
        <f aca="false">IF($L294="","",COUNTIFS($L$290:$L$340,"&lt;"&amp;$L294)+COUNTIFS($L$290:$L294,$L294))</f>
        <v>5</v>
      </c>
    </row>
    <row r="295" customFormat="false" ht="15" hidden="false" customHeight="true" outlineLevel="0" collapsed="false">
      <c r="B295" s="8" t="str">
        <f aca="false">IFERROR(INDEX(Schedule!$C$4:$C$483,MATCH(6006,Schedule!$K$4:$K$483,0)),"")</f>
        <v/>
      </c>
      <c r="C295" s="88" t="str">
        <f aca="false">IF($B295="","",INDEX(Schedule!$G$4:$G$483,MATCH(6006,Schedule!$K$4:$K$483,0)))</f>
        <v/>
      </c>
      <c r="D295" s="89" t="str">
        <f aca="false">IF($B295="","",INDEX(Schedule!$D$4:$D$483,MATCH(6006,Schedule!$K$4:$K$483,0)))</f>
        <v/>
      </c>
      <c r="E295" s="90" t="str">
        <f aca="false">IF($B295="","",INDEX(Schedule!$E$4:$E$483,MATCH(6006,Schedule!$K$4:$K$483,0)))</f>
        <v/>
      </c>
      <c r="F295" s="91"/>
      <c r="G295" s="92" t="str">
        <f aca="false">IF($B295="","",IF($D295="Income",IF($F295&lt;&gt;"",$F295,IF(COUNTIFS('Paid Log'!$B$9:$B$308,$C295,'Paid Log'!$C$9:$C$308,$B295)&gt;0,SUMIFS('Paid Log'!$D$9:$D$308,'Paid Log'!$B$9:$B$308,$C295,'Paid Log'!$C$9:$C$308,$B295),$E295)),""))</f>
        <v/>
      </c>
      <c r="H295" s="93" t="str">
        <f aca="false">IF($B295="","",IF($D295="Income","",IF($F295&lt;&gt;"",$F295,IF(COUNTIFS('Paid Log'!$B$9:$B$308,$C295,'Paid Log'!$C$9:$C$308,$B295)&gt;0,SUMIFS('Paid Log'!$D$9:$D$308,'Paid Log'!$B$9:$B$308,$C295,'Paid Log'!$C$9:$C$308,$B295),$E295))))</f>
        <v/>
      </c>
      <c r="I295" s="94" t="str">
        <f aca="false">IF($B295="","",$I$288+SUMIFS($G$290:$G$340,$M$290:$M$340,"&lt;="&amp;$M295)-SUMIFS($H$290:$H$340,$M$290:$M$340,"&lt;="&amp;$M295))</f>
        <v/>
      </c>
      <c r="J295" s="95" t="str">
        <f aca="true">IF($B295="","",IF(OR($F295&lt;&gt;"",COUNTIFS('Paid Log'!$B$9:$B$308,$C295,'Paid Log'!$C$9:$C$308,$B295)&gt;0),IF($C295&gt;TODAY(),"ADJUSTED","PAID"),IF($C295&lt;TODAY(),"PAST DUE",IF($C295&lt;=TODAY()+7,"DUE","Upcoming"))))</f>
        <v/>
      </c>
      <c r="K295" s="96"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88" t="str">
        <f aca="false">IF($B296="","",INDEX(Schedule!$G$4:$G$483,MATCH(6007,Schedule!$K$4:$K$483,0)))</f>
        <v/>
      </c>
      <c r="D296" s="89" t="str">
        <f aca="false">IF($B296="","",INDEX(Schedule!$D$4:$D$483,MATCH(6007,Schedule!$K$4:$K$483,0)))</f>
        <v/>
      </c>
      <c r="E296" s="90" t="str">
        <f aca="false">IF($B296="","",INDEX(Schedule!$E$4:$E$483,MATCH(6007,Schedule!$K$4:$K$483,0)))</f>
        <v/>
      </c>
      <c r="F296" s="91"/>
      <c r="G296" s="92" t="str">
        <f aca="false">IF($B296="","",IF($D296="Income",IF($F296&lt;&gt;"",$F296,IF(COUNTIFS('Paid Log'!$B$9:$B$308,$C296,'Paid Log'!$C$9:$C$308,$B296)&gt;0,SUMIFS('Paid Log'!$D$9:$D$308,'Paid Log'!$B$9:$B$308,$C296,'Paid Log'!$C$9:$C$308,$B296),$E296)),""))</f>
        <v/>
      </c>
      <c r="H296" s="93" t="str">
        <f aca="false">IF($B296="","",IF($D296="Income","",IF($F296&lt;&gt;"",$F296,IF(COUNTIFS('Paid Log'!$B$9:$B$308,$C296,'Paid Log'!$C$9:$C$308,$B296)&gt;0,SUMIFS('Paid Log'!$D$9:$D$308,'Paid Log'!$B$9:$B$308,$C296,'Paid Log'!$C$9:$C$308,$B296),$E296))))</f>
        <v/>
      </c>
      <c r="I296" s="94" t="str">
        <f aca="false">IF($B296="","",$I$288+SUMIFS($G$290:$G$340,$M$290:$M$340,"&lt;="&amp;$M296)-SUMIFS($H$290:$H$340,$M$290:$M$340,"&lt;="&amp;$M296))</f>
        <v/>
      </c>
      <c r="J296" s="95" t="str">
        <f aca="true">IF($B296="","",IF(OR($F296&lt;&gt;"",COUNTIFS('Paid Log'!$B$9:$B$308,$C296,'Paid Log'!$C$9:$C$308,$B296)&gt;0),IF($C296&gt;TODAY(),"ADJUSTED","PAID"),IF($C296&lt;TODAY(),"PAST DUE",IF($C296&lt;=TODAY()+7,"DUE","Upcoming"))))</f>
        <v/>
      </c>
      <c r="K296" s="96"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88" t="str">
        <f aca="false">IF($B297="","",INDEX(Schedule!$G$4:$G$483,MATCH(6008,Schedule!$K$4:$K$483,0)))</f>
        <v/>
      </c>
      <c r="D297" s="89" t="str">
        <f aca="false">IF($B297="","",INDEX(Schedule!$D$4:$D$483,MATCH(6008,Schedule!$K$4:$K$483,0)))</f>
        <v/>
      </c>
      <c r="E297" s="90" t="str">
        <f aca="false">IF($B297="","",INDEX(Schedule!$E$4:$E$483,MATCH(6008,Schedule!$K$4:$K$483,0)))</f>
        <v/>
      </c>
      <c r="F297" s="91"/>
      <c r="G297" s="92" t="str">
        <f aca="false">IF($B297="","",IF($D297="Income",IF($F297&lt;&gt;"",$F297,IF(COUNTIFS('Paid Log'!$B$9:$B$308,$C297,'Paid Log'!$C$9:$C$308,$B297)&gt;0,SUMIFS('Paid Log'!$D$9:$D$308,'Paid Log'!$B$9:$B$308,$C297,'Paid Log'!$C$9:$C$308,$B297),$E297)),""))</f>
        <v/>
      </c>
      <c r="H297" s="93" t="str">
        <f aca="false">IF($B297="","",IF($D297="Income","",IF($F297&lt;&gt;"",$F297,IF(COUNTIFS('Paid Log'!$B$9:$B$308,$C297,'Paid Log'!$C$9:$C$308,$B297)&gt;0,SUMIFS('Paid Log'!$D$9:$D$308,'Paid Log'!$B$9:$B$308,$C297,'Paid Log'!$C$9:$C$308,$B297),$E297))))</f>
        <v/>
      </c>
      <c r="I297" s="94" t="str">
        <f aca="false">IF($B297="","",$I$288+SUMIFS($G$290:$G$340,$M$290:$M$340,"&lt;="&amp;$M297)-SUMIFS($H$290:$H$340,$M$290:$M$340,"&lt;="&amp;$M297))</f>
        <v/>
      </c>
      <c r="J297" s="95" t="str">
        <f aca="true">IF($B297="","",IF(OR($F297&lt;&gt;"",COUNTIFS('Paid Log'!$B$9:$B$308,$C297,'Paid Log'!$C$9:$C$308,$B297)&gt;0),IF($C297&gt;TODAY(),"ADJUSTED","PAID"),IF($C297&lt;TODAY(),"PAST DUE",IF($C297&lt;=TODAY()+7,"DUE","Upcoming"))))</f>
        <v/>
      </c>
      <c r="K297" s="96"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88" t="str">
        <f aca="false">IF($B298="","",INDEX(Schedule!$G$4:$G$483,MATCH(6009,Schedule!$K$4:$K$483,0)))</f>
        <v/>
      </c>
      <c r="D298" s="89" t="str">
        <f aca="false">IF($B298="","",INDEX(Schedule!$D$4:$D$483,MATCH(6009,Schedule!$K$4:$K$483,0)))</f>
        <v/>
      </c>
      <c r="E298" s="90" t="str">
        <f aca="false">IF($B298="","",INDEX(Schedule!$E$4:$E$483,MATCH(6009,Schedule!$K$4:$K$483,0)))</f>
        <v/>
      </c>
      <c r="F298" s="91"/>
      <c r="G298" s="92" t="str">
        <f aca="false">IF($B298="","",IF($D298="Income",IF($F298&lt;&gt;"",$F298,IF(COUNTIFS('Paid Log'!$B$9:$B$308,$C298,'Paid Log'!$C$9:$C$308,$B298)&gt;0,SUMIFS('Paid Log'!$D$9:$D$308,'Paid Log'!$B$9:$B$308,$C298,'Paid Log'!$C$9:$C$308,$B298),$E298)),""))</f>
        <v/>
      </c>
      <c r="H298" s="93" t="str">
        <f aca="false">IF($B298="","",IF($D298="Income","",IF($F298&lt;&gt;"",$F298,IF(COUNTIFS('Paid Log'!$B$9:$B$308,$C298,'Paid Log'!$C$9:$C$308,$B298)&gt;0,SUMIFS('Paid Log'!$D$9:$D$308,'Paid Log'!$B$9:$B$308,$C298,'Paid Log'!$C$9:$C$308,$B298),$E298))))</f>
        <v/>
      </c>
      <c r="I298" s="94" t="str">
        <f aca="false">IF($B298="","",$I$288+SUMIFS($G$290:$G$340,$M$290:$M$340,"&lt;="&amp;$M298)-SUMIFS($H$290:$H$340,$M$290:$M$340,"&lt;="&amp;$M298))</f>
        <v/>
      </c>
      <c r="J298" s="95" t="str">
        <f aca="true">IF($B298="","",IF(OR($F298&lt;&gt;"",COUNTIFS('Paid Log'!$B$9:$B$308,$C298,'Paid Log'!$C$9:$C$308,$B298)&gt;0),IF($C298&gt;TODAY(),"ADJUSTED","PAID"),IF($C298&lt;TODAY(),"PAST DUE",IF($C298&lt;=TODAY()+7,"DUE","Upcoming"))))</f>
        <v/>
      </c>
      <c r="K298" s="96"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88" t="str">
        <f aca="false">IF($B299="","",INDEX(Schedule!$G$4:$G$483,MATCH(6010,Schedule!$K$4:$K$483,0)))</f>
        <v/>
      </c>
      <c r="D299" s="89" t="str">
        <f aca="false">IF($B299="","",INDEX(Schedule!$D$4:$D$483,MATCH(6010,Schedule!$K$4:$K$483,0)))</f>
        <v/>
      </c>
      <c r="E299" s="90" t="str">
        <f aca="false">IF($B299="","",INDEX(Schedule!$E$4:$E$483,MATCH(6010,Schedule!$K$4:$K$483,0)))</f>
        <v/>
      </c>
      <c r="F299" s="91"/>
      <c r="G299" s="92" t="str">
        <f aca="false">IF($B299="","",IF($D299="Income",IF($F299&lt;&gt;"",$F299,IF(COUNTIFS('Paid Log'!$B$9:$B$308,$C299,'Paid Log'!$C$9:$C$308,$B299)&gt;0,SUMIFS('Paid Log'!$D$9:$D$308,'Paid Log'!$B$9:$B$308,$C299,'Paid Log'!$C$9:$C$308,$B299),$E299)),""))</f>
        <v/>
      </c>
      <c r="H299" s="93" t="str">
        <f aca="false">IF($B299="","",IF($D299="Income","",IF($F299&lt;&gt;"",$F299,IF(COUNTIFS('Paid Log'!$B$9:$B$308,$C299,'Paid Log'!$C$9:$C$308,$B299)&gt;0,SUMIFS('Paid Log'!$D$9:$D$308,'Paid Log'!$B$9:$B$308,$C299,'Paid Log'!$C$9:$C$308,$B299),$E299))))</f>
        <v/>
      </c>
      <c r="I299" s="94" t="str">
        <f aca="false">IF($B299="","",$I$288+SUMIFS($G$290:$G$340,$M$290:$M$340,"&lt;="&amp;$M299)-SUMIFS($H$290:$H$340,$M$290:$M$340,"&lt;="&amp;$M299))</f>
        <v/>
      </c>
      <c r="J299" s="95" t="str">
        <f aca="true">IF($B299="","",IF(OR($F299&lt;&gt;"",COUNTIFS('Paid Log'!$B$9:$B$308,$C299,'Paid Log'!$C$9:$C$308,$B299)&gt;0),IF($C299&gt;TODAY(),"ADJUSTED","PAID"),IF($C299&lt;TODAY(),"PAST DUE",IF($C299&lt;=TODAY()+7,"DUE","Upcoming"))))</f>
        <v/>
      </c>
      <c r="K299" s="96"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98" t="s">
        <v>156</v>
      </c>
      <c r="C300" s="99"/>
      <c r="D300" s="99"/>
      <c r="E300" s="99"/>
      <c r="F300" s="99"/>
      <c r="G300" s="99"/>
      <c r="H300" s="99"/>
      <c r="I300" s="99"/>
      <c r="J300" s="99"/>
    </row>
    <row r="301" customFormat="false" ht="15" hidden="false" customHeight="true" outlineLevel="0" collapsed="false">
      <c r="B301" s="13"/>
      <c r="C301" s="100"/>
      <c r="D301" s="101" t="str">
        <f aca="false">IF($B301="","","Expense")</f>
        <v/>
      </c>
      <c r="E301" s="15"/>
      <c r="F301" s="102"/>
      <c r="G301" s="102"/>
      <c r="H301" s="103" t="str">
        <f aca="false">IF($B301="","",N($E301))</f>
        <v/>
      </c>
      <c r="I301" s="104" t="str">
        <f aca="false">IF($B301="","",$I$288+SUMIFS($G$290:$G$340,$M$290:$M$340,"&lt;="&amp;$M301)-SUMIFS($H$290:$H$340,$M$290:$M$340,"&lt;="&amp;$M301))</f>
        <v/>
      </c>
      <c r="J301" s="102"/>
      <c r="K301" s="96"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100"/>
      <c r="D302" s="101" t="str">
        <f aca="false">IF($B302="","","Expense")</f>
        <v/>
      </c>
      <c r="E302" s="15"/>
      <c r="F302" s="102"/>
      <c r="G302" s="102"/>
      <c r="H302" s="103" t="str">
        <f aca="false">IF($B302="","",N($E302))</f>
        <v/>
      </c>
      <c r="I302" s="104" t="str">
        <f aca="false">IF($B302="","",$I$288+SUMIFS($G$290:$G$340,$M$290:$M$340,"&lt;="&amp;$M302)-SUMIFS($H$290:$H$340,$M$290:$M$340,"&lt;="&amp;$M302))</f>
        <v/>
      </c>
      <c r="J302" s="102"/>
      <c r="K302" s="96"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100"/>
      <c r="D303" s="101" t="str">
        <f aca="false">IF($B303="","","Expense")</f>
        <v/>
      </c>
      <c r="E303" s="15"/>
      <c r="F303" s="102"/>
      <c r="G303" s="102"/>
      <c r="H303" s="103" t="str">
        <f aca="false">IF($B303="","",N($E303))</f>
        <v/>
      </c>
      <c r="I303" s="104" t="str">
        <f aca="false">IF($B303="","",$I$288+SUMIFS($G$290:$G$340,$M$290:$M$340,"&lt;="&amp;$M303)-SUMIFS($H$290:$H$340,$M$290:$M$340,"&lt;="&amp;$M303))</f>
        <v/>
      </c>
      <c r="J303" s="102"/>
      <c r="K303" s="96"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100"/>
      <c r="D304" s="101" t="str">
        <f aca="false">IF($B304="","","Expense")</f>
        <v/>
      </c>
      <c r="E304" s="15"/>
      <c r="F304" s="102"/>
      <c r="G304" s="102"/>
      <c r="H304" s="103" t="str">
        <f aca="false">IF($B304="","",N($E304))</f>
        <v/>
      </c>
      <c r="I304" s="104" t="str">
        <f aca="false">IF($B304="","",$I$288+SUMIFS($G$290:$G$340,$M$290:$M$340,"&lt;="&amp;$M304)-SUMIFS($H$290:$H$340,$M$290:$M$340,"&lt;="&amp;$M304))</f>
        <v/>
      </c>
      <c r="J304" s="102"/>
      <c r="K304" s="96"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100"/>
      <c r="D305" s="101" t="str">
        <f aca="false">IF($B305="","","Expense")</f>
        <v/>
      </c>
      <c r="E305" s="15"/>
      <c r="F305" s="102"/>
      <c r="G305" s="102"/>
      <c r="H305" s="103" t="str">
        <f aca="false">IF($B305="","",N($E305))</f>
        <v/>
      </c>
      <c r="I305" s="104" t="str">
        <f aca="false">IF($B305="","",$I$288+SUMIFS($G$290:$G$340,$M$290:$M$340,"&lt;="&amp;$M305)-SUMIFS($H$290:$H$340,$M$290:$M$340,"&lt;="&amp;$M305))</f>
        <v/>
      </c>
      <c r="J305" s="102"/>
      <c r="K305" s="96"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100"/>
      <c r="D306" s="101" t="str">
        <f aca="false">IF($B306="","","Expense")</f>
        <v/>
      </c>
      <c r="E306" s="15"/>
      <c r="F306" s="102"/>
      <c r="G306" s="102"/>
      <c r="H306" s="103" t="str">
        <f aca="false">IF($B306="","",N($E306))</f>
        <v/>
      </c>
      <c r="I306" s="104" t="str">
        <f aca="false">IF($B306="","",$I$288+SUMIFS($G$290:$G$340,$M$290:$M$340,"&lt;="&amp;$M306)-SUMIFS($H$290:$H$340,$M$290:$M$340,"&lt;="&amp;$M306))</f>
        <v/>
      </c>
      <c r="J306" s="102"/>
      <c r="K306" s="96"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100"/>
      <c r="D307" s="101" t="str">
        <f aca="false">IF($B307="","","Expense")</f>
        <v/>
      </c>
      <c r="E307" s="15"/>
      <c r="F307" s="102"/>
      <c r="G307" s="102"/>
      <c r="H307" s="103" t="str">
        <f aca="false">IF($B307="","",N($E307))</f>
        <v/>
      </c>
      <c r="I307" s="104" t="str">
        <f aca="false">IF($B307="","",$I$288+SUMIFS($G$290:$G$340,$M$290:$M$340,"&lt;="&amp;$M307)-SUMIFS($H$290:$H$340,$M$290:$M$340,"&lt;="&amp;$M307))</f>
        <v/>
      </c>
      <c r="J307" s="102"/>
      <c r="K307" s="96"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100"/>
      <c r="D308" s="101" t="str">
        <f aca="false">IF($B308="","","Expense")</f>
        <v/>
      </c>
      <c r="E308" s="15"/>
      <c r="F308" s="102"/>
      <c r="G308" s="102"/>
      <c r="H308" s="103" t="str">
        <f aca="false">IF($B308="","",N($E308))</f>
        <v/>
      </c>
      <c r="I308" s="104" t="str">
        <f aca="false">IF($B308="","",$I$288+SUMIFS($G$290:$G$340,$M$290:$M$340,"&lt;="&amp;$M308)-SUMIFS($H$290:$H$340,$M$290:$M$340,"&lt;="&amp;$M308))</f>
        <v/>
      </c>
      <c r="J308" s="102"/>
      <c r="K308" s="96"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100"/>
      <c r="D309" s="101" t="str">
        <f aca="false">IF($B309="","","Expense")</f>
        <v/>
      </c>
      <c r="E309" s="15"/>
      <c r="F309" s="102"/>
      <c r="G309" s="102"/>
      <c r="H309" s="103" t="str">
        <f aca="false">IF($B309="","",N($E309))</f>
        <v/>
      </c>
      <c r="I309" s="104" t="str">
        <f aca="false">IF($B309="","",$I$288+SUMIFS($G$290:$G$340,$M$290:$M$340,"&lt;="&amp;$M309)-SUMIFS($H$290:$H$340,$M$290:$M$340,"&lt;="&amp;$M309))</f>
        <v/>
      </c>
      <c r="J309" s="102"/>
      <c r="K309" s="96"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100"/>
      <c r="D310" s="101" t="str">
        <f aca="false">IF($B310="","","Expense")</f>
        <v/>
      </c>
      <c r="E310" s="15"/>
      <c r="F310" s="102"/>
      <c r="G310" s="102"/>
      <c r="H310" s="103" t="str">
        <f aca="false">IF($B310="","",N($E310))</f>
        <v/>
      </c>
      <c r="I310" s="104" t="str">
        <f aca="false">IF($B310="","",$I$288+SUMIFS($G$290:$G$340,$M$290:$M$340,"&lt;="&amp;$M310)-SUMIFS($H$290:$H$340,$M$290:$M$340,"&lt;="&amp;$M310))</f>
        <v/>
      </c>
      <c r="J310" s="102"/>
      <c r="K310" s="96"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100"/>
      <c r="D311" s="101" t="str">
        <f aca="false">IF($B311="","","Expense")</f>
        <v/>
      </c>
      <c r="E311" s="15"/>
      <c r="F311" s="102"/>
      <c r="G311" s="102"/>
      <c r="H311" s="103" t="str">
        <f aca="false">IF($B311="","",N($E311))</f>
        <v/>
      </c>
      <c r="I311" s="104" t="str">
        <f aca="false">IF($B311="","",$I$288+SUMIFS($G$290:$G$340,$M$290:$M$340,"&lt;="&amp;$M311)-SUMIFS($H$290:$H$340,$M$290:$M$340,"&lt;="&amp;$M311))</f>
        <v/>
      </c>
      <c r="J311" s="102"/>
      <c r="K311" s="96"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100"/>
      <c r="D312" s="101" t="str">
        <f aca="false">IF($B312="","","Expense")</f>
        <v/>
      </c>
      <c r="E312" s="15"/>
      <c r="F312" s="102"/>
      <c r="G312" s="102"/>
      <c r="H312" s="103" t="str">
        <f aca="false">IF($B312="","",N($E312))</f>
        <v/>
      </c>
      <c r="I312" s="104" t="str">
        <f aca="false">IF($B312="","",$I$288+SUMIFS($G$290:$G$340,$M$290:$M$340,"&lt;="&amp;$M312)-SUMIFS($H$290:$H$340,$M$290:$M$340,"&lt;="&amp;$M312))</f>
        <v/>
      </c>
      <c r="J312" s="102"/>
      <c r="K312" s="96"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100"/>
      <c r="D313" s="101" t="str">
        <f aca="false">IF($B313="","","Expense")</f>
        <v/>
      </c>
      <c r="E313" s="15"/>
      <c r="F313" s="102"/>
      <c r="G313" s="102"/>
      <c r="H313" s="103" t="str">
        <f aca="false">IF($B313="","",N($E313))</f>
        <v/>
      </c>
      <c r="I313" s="104" t="str">
        <f aca="false">IF($B313="","",$I$288+SUMIFS($G$290:$G$340,$M$290:$M$340,"&lt;="&amp;$M313)-SUMIFS($H$290:$H$340,$M$290:$M$340,"&lt;="&amp;$M313))</f>
        <v/>
      </c>
      <c r="J313" s="102"/>
      <c r="K313" s="96"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100"/>
      <c r="D314" s="101" t="str">
        <f aca="false">IF($B314="","","Expense")</f>
        <v/>
      </c>
      <c r="E314" s="15"/>
      <c r="F314" s="102"/>
      <c r="G314" s="102"/>
      <c r="H314" s="103" t="str">
        <f aca="false">IF($B314="","",N($E314))</f>
        <v/>
      </c>
      <c r="I314" s="104" t="str">
        <f aca="false">IF($B314="","",$I$288+SUMIFS($G$290:$G$340,$M$290:$M$340,"&lt;="&amp;$M314)-SUMIFS($H$290:$H$340,$M$290:$M$340,"&lt;="&amp;$M314))</f>
        <v/>
      </c>
      <c r="J314" s="102"/>
      <c r="K314" s="96"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100"/>
      <c r="D315" s="101" t="str">
        <f aca="false">IF($B315="","","Expense")</f>
        <v/>
      </c>
      <c r="E315" s="15"/>
      <c r="F315" s="102"/>
      <c r="G315" s="102"/>
      <c r="H315" s="103" t="str">
        <f aca="false">IF($B315="","",N($E315))</f>
        <v/>
      </c>
      <c r="I315" s="104" t="str">
        <f aca="false">IF($B315="","",$I$288+SUMIFS($G$290:$G$340,$M$290:$M$340,"&lt;="&amp;$M315)-SUMIFS($H$290:$H$340,$M$290:$M$340,"&lt;="&amp;$M315))</f>
        <v/>
      </c>
      <c r="J315" s="102"/>
      <c r="K315" s="96"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100"/>
      <c r="D316" s="101" t="str">
        <f aca="false">IF($B316="","","Expense")</f>
        <v/>
      </c>
      <c r="E316" s="15"/>
      <c r="F316" s="102"/>
      <c r="G316" s="102"/>
      <c r="H316" s="103" t="str">
        <f aca="false">IF($B316="","",N($E316))</f>
        <v/>
      </c>
      <c r="I316" s="104" t="str">
        <f aca="false">IF($B316="","",$I$288+SUMIFS($G$290:$G$340,$M$290:$M$340,"&lt;="&amp;$M316)-SUMIFS($H$290:$H$340,$M$290:$M$340,"&lt;="&amp;$M316))</f>
        <v/>
      </c>
      <c r="J316" s="102"/>
      <c r="K316" s="96"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100"/>
      <c r="D317" s="101" t="str">
        <f aca="false">IF($B317="","","Expense")</f>
        <v/>
      </c>
      <c r="E317" s="15"/>
      <c r="F317" s="102"/>
      <c r="G317" s="102"/>
      <c r="H317" s="103" t="str">
        <f aca="false">IF($B317="","",N($E317))</f>
        <v/>
      </c>
      <c r="I317" s="104" t="str">
        <f aca="false">IF($B317="","",$I$288+SUMIFS($G$290:$G$340,$M$290:$M$340,"&lt;="&amp;$M317)-SUMIFS($H$290:$H$340,$M$290:$M$340,"&lt;="&amp;$M317))</f>
        <v/>
      </c>
      <c r="J317" s="102"/>
      <c r="K317" s="96"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100"/>
      <c r="D318" s="101" t="str">
        <f aca="false">IF($B318="","","Expense")</f>
        <v/>
      </c>
      <c r="E318" s="15"/>
      <c r="F318" s="102"/>
      <c r="G318" s="102"/>
      <c r="H318" s="103" t="str">
        <f aca="false">IF($B318="","",N($E318))</f>
        <v/>
      </c>
      <c r="I318" s="104" t="str">
        <f aca="false">IF($B318="","",$I$288+SUMIFS($G$290:$G$340,$M$290:$M$340,"&lt;="&amp;$M318)-SUMIFS($H$290:$H$340,$M$290:$M$340,"&lt;="&amp;$M318))</f>
        <v/>
      </c>
      <c r="J318" s="102"/>
      <c r="K318" s="96"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100"/>
      <c r="D319" s="101" t="str">
        <f aca="false">IF($B319="","","Expense")</f>
        <v/>
      </c>
      <c r="E319" s="15"/>
      <c r="F319" s="102"/>
      <c r="G319" s="102"/>
      <c r="H319" s="103" t="str">
        <f aca="false">IF($B319="","",N($E319))</f>
        <v/>
      </c>
      <c r="I319" s="104" t="str">
        <f aca="false">IF($B319="","",$I$288+SUMIFS($G$290:$G$340,$M$290:$M$340,"&lt;="&amp;$M319)-SUMIFS($H$290:$H$340,$M$290:$M$340,"&lt;="&amp;$M319))</f>
        <v/>
      </c>
      <c r="J319" s="102"/>
      <c r="K319" s="96"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100"/>
      <c r="D320" s="101" t="str">
        <f aca="false">IF($B320="","","Expense")</f>
        <v/>
      </c>
      <c r="E320" s="15"/>
      <c r="F320" s="102"/>
      <c r="G320" s="102"/>
      <c r="H320" s="103" t="str">
        <f aca="false">IF($B320="","",N($E320))</f>
        <v/>
      </c>
      <c r="I320" s="104" t="str">
        <f aca="false">IF($B320="","",$I$288+SUMIFS($G$290:$G$340,$M$290:$M$340,"&lt;="&amp;$M320)-SUMIFS($H$290:$H$340,$M$290:$M$340,"&lt;="&amp;$M320))</f>
        <v/>
      </c>
      <c r="J320" s="102"/>
      <c r="K320" s="96"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100"/>
      <c r="D321" s="101" t="str">
        <f aca="false">IF($B321="","","Expense")</f>
        <v/>
      </c>
      <c r="E321" s="15"/>
      <c r="F321" s="102"/>
      <c r="G321" s="102"/>
      <c r="H321" s="103" t="str">
        <f aca="false">IF($B321="","",N($E321))</f>
        <v/>
      </c>
      <c r="I321" s="104" t="str">
        <f aca="false">IF($B321="","",$I$288+SUMIFS($G$290:$G$340,$M$290:$M$340,"&lt;="&amp;$M321)-SUMIFS($H$290:$H$340,$M$290:$M$340,"&lt;="&amp;$M321))</f>
        <v/>
      </c>
      <c r="J321" s="102"/>
      <c r="K321" s="96"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100"/>
      <c r="D322" s="101" t="str">
        <f aca="false">IF($B322="","","Expense")</f>
        <v/>
      </c>
      <c r="E322" s="15"/>
      <c r="F322" s="102"/>
      <c r="G322" s="102"/>
      <c r="H322" s="103" t="str">
        <f aca="false">IF($B322="","",N($E322))</f>
        <v/>
      </c>
      <c r="I322" s="104" t="str">
        <f aca="false">IF($B322="","",$I$288+SUMIFS($G$290:$G$340,$M$290:$M$340,"&lt;="&amp;$M322)-SUMIFS($H$290:$H$340,$M$290:$M$340,"&lt;="&amp;$M322))</f>
        <v/>
      </c>
      <c r="J322" s="102"/>
      <c r="K322" s="96"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100"/>
      <c r="D323" s="101" t="str">
        <f aca="false">IF($B323="","","Expense")</f>
        <v/>
      </c>
      <c r="E323" s="15"/>
      <c r="F323" s="102"/>
      <c r="G323" s="102"/>
      <c r="H323" s="103" t="str">
        <f aca="false">IF($B323="","",N($E323))</f>
        <v/>
      </c>
      <c r="I323" s="104" t="str">
        <f aca="false">IF($B323="","",$I$288+SUMIFS($G$290:$G$340,$M$290:$M$340,"&lt;="&amp;$M323)-SUMIFS($H$290:$H$340,$M$290:$M$340,"&lt;="&amp;$M323))</f>
        <v/>
      </c>
      <c r="J323" s="102"/>
      <c r="K323" s="96"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100"/>
      <c r="D324" s="101" t="str">
        <f aca="false">IF($B324="","","Expense")</f>
        <v/>
      </c>
      <c r="E324" s="15"/>
      <c r="F324" s="102"/>
      <c r="G324" s="102"/>
      <c r="H324" s="103" t="str">
        <f aca="false">IF($B324="","",N($E324))</f>
        <v/>
      </c>
      <c r="I324" s="104" t="str">
        <f aca="false">IF($B324="","",$I$288+SUMIFS($G$290:$G$340,$M$290:$M$340,"&lt;="&amp;$M324)-SUMIFS($H$290:$H$340,$M$290:$M$340,"&lt;="&amp;$M324))</f>
        <v/>
      </c>
      <c r="J324" s="102"/>
      <c r="K324" s="96"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100"/>
      <c r="D325" s="101" t="str">
        <f aca="false">IF($B325="","","Expense")</f>
        <v/>
      </c>
      <c r="E325" s="15"/>
      <c r="F325" s="102"/>
      <c r="G325" s="102"/>
      <c r="H325" s="103" t="str">
        <f aca="false">IF($B325="","",N($E325))</f>
        <v/>
      </c>
      <c r="I325" s="104" t="str">
        <f aca="false">IF($B325="","",$I$288+SUMIFS($G$290:$G$340,$M$290:$M$340,"&lt;="&amp;$M325)-SUMIFS($H$290:$H$340,$M$290:$M$340,"&lt;="&amp;$M325))</f>
        <v/>
      </c>
      <c r="J325" s="102"/>
      <c r="K325" s="96"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100"/>
      <c r="D326" s="101" t="str">
        <f aca="false">IF($B326="","","Expense")</f>
        <v/>
      </c>
      <c r="E326" s="15"/>
      <c r="F326" s="102"/>
      <c r="G326" s="102"/>
      <c r="H326" s="103" t="str">
        <f aca="false">IF($B326="","",N($E326))</f>
        <v/>
      </c>
      <c r="I326" s="104" t="str">
        <f aca="false">IF($B326="","",$I$288+SUMIFS($G$290:$G$340,$M$290:$M$340,"&lt;="&amp;$M326)-SUMIFS($H$290:$H$340,$M$290:$M$340,"&lt;="&amp;$M326))</f>
        <v/>
      </c>
      <c r="J326" s="102"/>
      <c r="K326" s="96"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100"/>
      <c r="D327" s="101" t="str">
        <f aca="false">IF($B327="","","Expense")</f>
        <v/>
      </c>
      <c r="E327" s="15"/>
      <c r="F327" s="102"/>
      <c r="G327" s="102"/>
      <c r="H327" s="103" t="str">
        <f aca="false">IF($B327="","",N($E327))</f>
        <v/>
      </c>
      <c r="I327" s="104" t="str">
        <f aca="false">IF($B327="","",$I$288+SUMIFS($G$290:$G$340,$M$290:$M$340,"&lt;="&amp;$M327)-SUMIFS($H$290:$H$340,$M$290:$M$340,"&lt;="&amp;$M327))</f>
        <v/>
      </c>
      <c r="J327" s="102"/>
      <c r="K327" s="96"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100"/>
      <c r="D328" s="101" t="str">
        <f aca="false">IF($B328="","","Expense")</f>
        <v/>
      </c>
      <c r="E328" s="15"/>
      <c r="F328" s="102"/>
      <c r="G328" s="102"/>
      <c r="H328" s="103" t="str">
        <f aca="false">IF($B328="","",N($E328))</f>
        <v/>
      </c>
      <c r="I328" s="104" t="str">
        <f aca="false">IF($B328="","",$I$288+SUMIFS($G$290:$G$340,$M$290:$M$340,"&lt;="&amp;$M328)-SUMIFS($H$290:$H$340,$M$290:$M$340,"&lt;="&amp;$M328))</f>
        <v/>
      </c>
      <c r="J328" s="102"/>
      <c r="K328" s="96"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100"/>
      <c r="D329" s="101" t="str">
        <f aca="false">IF($B329="","","Expense")</f>
        <v/>
      </c>
      <c r="E329" s="15"/>
      <c r="F329" s="102"/>
      <c r="G329" s="102"/>
      <c r="H329" s="103" t="str">
        <f aca="false">IF($B329="","",N($E329))</f>
        <v/>
      </c>
      <c r="I329" s="104" t="str">
        <f aca="false">IF($B329="","",$I$288+SUMIFS($G$290:$G$340,$M$290:$M$340,"&lt;="&amp;$M329)-SUMIFS($H$290:$H$340,$M$290:$M$340,"&lt;="&amp;$M329))</f>
        <v/>
      </c>
      <c r="J329" s="102"/>
      <c r="K329" s="96"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100"/>
      <c r="D330" s="101" t="str">
        <f aca="false">IF($B330="","","Expense")</f>
        <v/>
      </c>
      <c r="E330" s="15"/>
      <c r="F330" s="102"/>
      <c r="G330" s="102"/>
      <c r="H330" s="103" t="str">
        <f aca="false">IF($B330="","",N($E330))</f>
        <v/>
      </c>
      <c r="I330" s="104" t="str">
        <f aca="false">IF($B330="","",$I$288+SUMIFS($G$290:$G$340,$M$290:$M$340,"&lt;="&amp;$M330)-SUMIFS($H$290:$H$340,$M$290:$M$340,"&lt;="&amp;$M330))</f>
        <v/>
      </c>
      <c r="J330" s="102"/>
      <c r="K330" s="96"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100"/>
      <c r="D331" s="101" t="str">
        <f aca="false">IF($B331="","","Expense")</f>
        <v/>
      </c>
      <c r="E331" s="15"/>
      <c r="F331" s="102"/>
      <c r="G331" s="102"/>
      <c r="H331" s="103" t="str">
        <f aca="false">IF($B331="","",N($E331))</f>
        <v/>
      </c>
      <c r="I331" s="104" t="str">
        <f aca="false">IF($B331="","",$I$288+SUMIFS($G$290:$G$340,$M$290:$M$340,"&lt;="&amp;$M331)-SUMIFS($H$290:$H$340,$M$290:$M$340,"&lt;="&amp;$M331))</f>
        <v/>
      </c>
      <c r="J331" s="102"/>
      <c r="K331" s="96"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100"/>
      <c r="D332" s="101" t="str">
        <f aca="false">IF($B332="","","Expense")</f>
        <v/>
      </c>
      <c r="E332" s="15"/>
      <c r="F332" s="102"/>
      <c r="G332" s="102"/>
      <c r="H332" s="103" t="str">
        <f aca="false">IF($B332="","",N($E332))</f>
        <v/>
      </c>
      <c r="I332" s="104" t="str">
        <f aca="false">IF($B332="","",$I$288+SUMIFS($G$290:$G$340,$M$290:$M$340,"&lt;="&amp;$M332)-SUMIFS($H$290:$H$340,$M$290:$M$340,"&lt;="&amp;$M332))</f>
        <v/>
      </c>
      <c r="J332" s="102"/>
      <c r="K332" s="96"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100"/>
      <c r="D333" s="101" t="str">
        <f aca="false">IF($B333="","","Expense")</f>
        <v/>
      </c>
      <c r="E333" s="15"/>
      <c r="F333" s="102"/>
      <c r="G333" s="102"/>
      <c r="H333" s="103" t="str">
        <f aca="false">IF($B333="","",N($E333))</f>
        <v/>
      </c>
      <c r="I333" s="104" t="str">
        <f aca="false">IF($B333="","",$I$288+SUMIFS($G$290:$G$340,$M$290:$M$340,"&lt;="&amp;$M333)-SUMIFS($H$290:$H$340,$M$290:$M$340,"&lt;="&amp;$M333))</f>
        <v/>
      </c>
      <c r="J333" s="102"/>
      <c r="K333" s="96"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100"/>
      <c r="D334" s="101" t="str">
        <f aca="false">IF($B334="","","Expense")</f>
        <v/>
      </c>
      <c r="E334" s="15"/>
      <c r="F334" s="102"/>
      <c r="G334" s="102"/>
      <c r="H334" s="103" t="str">
        <f aca="false">IF($B334="","",N($E334))</f>
        <v/>
      </c>
      <c r="I334" s="104" t="str">
        <f aca="false">IF($B334="","",$I$288+SUMIFS($G$290:$G$340,$M$290:$M$340,"&lt;="&amp;$M334)-SUMIFS($H$290:$H$340,$M$290:$M$340,"&lt;="&amp;$M334))</f>
        <v/>
      </c>
      <c r="J334" s="102"/>
      <c r="K334" s="96"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100"/>
      <c r="D335" s="101" t="str">
        <f aca="false">IF($B335="","","Expense")</f>
        <v/>
      </c>
      <c r="E335" s="15"/>
      <c r="F335" s="102"/>
      <c r="G335" s="102"/>
      <c r="H335" s="103" t="str">
        <f aca="false">IF($B335="","",N($E335))</f>
        <v/>
      </c>
      <c r="I335" s="104" t="str">
        <f aca="false">IF($B335="","",$I$288+SUMIFS($G$290:$G$340,$M$290:$M$340,"&lt;="&amp;$M335)-SUMIFS($H$290:$H$340,$M$290:$M$340,"&lt;="&amp;$M335))</f>
        <v/>
      </c>
      <c r="J335" s="102"/>
      <c r="K335" s="96"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100"/>
      <c r="D336" s="101" t="str">
        <f aca="false">IF($B336="","","Expense")</f>
        <v/>
      </c>
      <c r="E336" s="15"/>
      <c r="F336" s="102"/>
      <c r="G336" s="102"/>
      <c r="H336" s="103" t="str">
        <f aca="false">IF($B336="","",N($E336))</f>
        <v/>
      </c>
      <c r="I336" s="104" t="str">
        <f aca="false">IF($B336="","",$I$288+SUMIFS($G$290:$G$340,$M$290:$M$340,"&lt;="&amp;$M336)-SUMIFS($H$290:$H$340,$M$290:$M$340,"&lt;="&amp;$M336))</f>
        <v/>
      </c>
      <c r="J336" s="102"/>
      <c r="K336" s="96"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100"/>
      <c r="D337" s="101" t="str">
        <f aca="false">IF($B337="","","Expense")</f>
        <v/>
      </c>
      <c r="E337" s="15"/>
      <c r="F337" s="102"/>
      <c r="G337" s="102"/>
      <c r="H337" s="103" t="str">
        <f aca="false">IF($B337="","",N($E337))</f>
        <v/>
      </c>
      <c r="I337" s="104" t="str">
        <f aca="false">IF($B337="","",$I$288+SUMIFS($G$290:$G$340,$M$290:$M$340,"&lt;="&amp;$M337)-SUMIFS($H$290:$H$340,$M$290:$M$340,"&lt;="&amp;$M337))</f>
        <v/>
      </c>
      <c r="J337" s="102"/>
      <c r="K337" s="96"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100"/>
      <c r="D338" s="101" t="str">
        <f aca="false">IF($B338="","","Expense")</f>
        <v/>
      </c>
      <c r="E338" s="15"/>
      <c r="F338" s="102"/>
      <c r="G338" s="102"/>
      <c r="H338" s="103" t="str">
        <f aca="false">IF($B338="","",N($E338))</f>
        <v/>
      </c>
      <c r="I338" s="104" t="str">
        <f aca="false">IF($B338="","",$I$288+SUMIFS($G$290:$G$340,$M$290:$M$340,"&lt;="&amp;$M338)-SUMIFS($H$290:$H$340,$M$290:$M$340,"&lt;="&amp;$M338))</f>
        <v/>
      </c>
      <c r="J338" s="102"/>
      <c r="K338" s="96"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100"/>
      <c r="D339" s="101" t="str">
        <f aca="false">IF($B339="","","Expense")</f>
        <v/>
      </c>
      <c r="E339" s="15"/>
      <c r="F339" s="102"/>
      <c r="G339" s="102"/>
      <c r="H339" s="103" t="str">
        <f aca="false">IF($B339="","",N($E339))</f>
        <v/>
      </c>
      <c r="I339" s="104" t="str">
        <f aca="false">IF($B339="","",$I$288+SUMIFS($G$290:$G$340,$M$290:$M$340,"&lt;="&amp;$M339)-SUMIFS($H$290:$H$340,$M$290:$M$340,"&lt;="&amp;$M339))</f>
        <v/>
      </c>
      <c r="J339" s="102"/>
      <c r="K339" s="96" t="str">
        <f aca="false">IF($B339="","","ACTUAL")</f>
        <v/>
      </c>
      <c r="L339" s="1" t="str">
        <f aca="false">IF($B339="","",IF($C339="",$E$6+41,$C339))</f>
        <v/>
      </c>
      <c r="M339" s="1" t="str">
        <f aca="false">IF($L339="","",COUNTIFS($L$290:$L$340,"&lt;"&amp;$L339)+COUNTIFS($L$290:$L339,$L339))</f>
        <v/>
      </c>
    </row>
    <row r="340" customFormat="false" ht="15" hidden="false" customHeight="true" outlineLevel="0" collapsed="false">
      <c r="B340" s="105" t="str">
        <f aca="false">"Everyday spending still expected this week"</f>
        <v>Everyday spending still expected this week</v>
      </c>
      <c r="C340" s="106" t="n">
        <f aca="false">$E$6+41</f>
        <v>46290</v>
      </c>
      <c r="D340" s="101" t="str">
        <f aca="false">IF($B340="","","Expense")</f>
        <v>Expense</v>
      </c>
      <c r="E340" s="107" t="n">
        <f aca="false">MAX(0,$E$8-SUM($E$301:$E$339))</f>
        <v>400</v>
      </c>
      <c r="F340" s="102"/>
      <c r="G340" s="102"/>
      <c r="H340" s="103" t="n">
        <f aca="false">IF($B340="","",N($E340))</f>
        <v>400</v>
      </c>
      <c r="I340" s="104" t="n">
        <f aca="false">IF($B340="","",$I$288+SUMIFS($G$290:$G$340,$M$290:$M$340,"&lt;="&amp;$M340)-SUMIFS($H$290:$H$340,$M$290:$M$340,"&lt;="&amp;$M340))</f>
        <v>-11.7099999999998</v>
      </c>
      <c r="J340" s="102"/>
      <c r="K340" s="96" t="str">
        <f aca="false">"FORECAST"</f>
        <v>FORECAST</v>
      </c>
      <c r="L340" s="97" t="n">
        <f aca="false">IF($B340="","",IF($C340="",$E$6+41,$C340))</f>
        <v>46290</v>
      </c>
      <c r="M340" s="1" t="n">
        <f aca="false">IF($L340="","",COUNTIFS($L$290:$L$340,"&lt;"&amp;$L340)+COUNTIFS($L$290:$L340,$L340))</f>
        <v>6</v>
      </c>
    </row>
    <row r="341" customFormat="false" ht="15" hidden="false" customHeight="true" outlineLevel="0" collapsed="false">
      <c r="B341" s="108" t="s">
        <v>197</v>
      </c>
      <c r="C341" s="58"/>
      <c r="D341" s="58"/>
      <c r="E341" s="58"/>
      <c r="F341" s="58"/>
      <c r="G341" s="57" t="n">
        <f aca="false">SUM($G$290:$G$340)</f>
        <v>892.65</v>
      </c>
      <c r="H341" s="57" t="n">
        <f aca="false">SUM($H$290:$H$340)</f>
        <v>587.19</v>
      </c>
      <c r="I341" s="109" t="n">
        <f aca="false">$I$288+$G$341-$H$341</f>
        <v>-11.7099999999999</v>
      </c>
      <c r="J341" s="110" t="str">
        <f aca="false">IF($I$341&lt;0,"SHORTFALL",IF($I$341&lt;$E$7,"TIGHT","OK"))</f>
        <v>SHORTFALL</v>
      </c>
      <c r="K341" s="111"/>
      <c r="N341" s="111" t="str">
        <f aca="false">IF(COUNT($I$290:$I$340)=0,"","Lowest point this week: "&amp;TEXT(MIN($I$290:$I$340),"$#,##0.00;-$#,##0.00")&amp;" on "&amp;TEXT(INDEX($C$290:$C$340,MATCH(MIN($I$290:$I$340),$I$290:$I$340,0)),"ddd mmm d")&amp;"     (in "&amp;TEXT($G$341,"$#,##0.00")&amp;", out "&amp;TEXT($H$341,"$#,##0.00")&amp;")")</f>
        <v>Lowest point this week: -$501.97 on Tue Sep 22     (in $892.65, out $587.19)</v>
      </c>
    </row>
    <row r="343" customFormat="false" ht="21.75" hidden="false" customHeight="true" outlineLevel="0" collapsed="false">
      <c r="B343" s="82" t="str">
        <f aca="false">"WEEK 7     "&amp;TEXT($E$6+42,"ddd, mmm d")&amp;"   through   "&amp;TEXT($E$6+42+6,"ddd, mmm d, yyyy")</f>
        <v>WEEK 7     Sat, Sep 26   through   Fri, Oct 2, 2026</v>
      </c>
      <c r="C343" s="83"/>
      <c r="D343" s="83"/>
      <c r="E343" s="83"/>
      <c r="F343" s="83"/>
      <c r="G343" s="84" t="s">
        <v>147</v>
      </c>
      <c r="H343" s="83"/>
      <c r="I343" s="85" t="n">
        <f aca="false">$I$341</f>
        <v>-11.7099999999999</v>
      </c>
      <c r="J343" s="83"/>
      <c r="K343" s="86"/>
      <c r="N343" s="86" t="str">
        <f aca="false">IF(COUNTIF(Schedule!$I$4:$I$483,7)&gt;10,"! "&amp;COUNTIF(Schedule!$I$4:$I$483,7)-10&amp;" more transaction(s) fall in this week than there are rows to show them.","")</f>
        <v/>
      </c>
    </row>
    <row r="344" customFormat="false" ht="25.5" hidden="false" customHeight="true" outlineLevel="0" collapsed="false">
      <c r="B344" s="87" t="s">
        <v>148</v>
      </c>
      <c r="C344" s="87" t="s">
        <v>149</v>
      </c>
      <c r="D344" s="87" t="s">
        <v>42</v>
      </c>
      <c r="E344" s="87" t="s">
        <v>150</v>
      </c>
      <c r="F344" s="87" t="s">
        <v>151</v>
      </c>
      <c r="G344" s="37" t="s">
        <v>152</v>
      </c>
      <c r="H344" s="38" t="s">
        <v>153</v>
      </c>
      <c r="I344" s="87" t="s">
        <v>154</v>
      </c>
      <c r="J344" s="87" t="s">
        <v>14</v>
      </c>
      <c r="K344" s="87" t="s">
        <v>155</v>
      </c>
    </row>
    <row r="345" customFormat="false" ht="15" hidden="false" customHeight="true" outlineLevel="0" collapsed="false">
      <c r="B345" s="8" t="str">
        <f aca="false">IFERROR(INDEX(Schedule!$C$4:$C$483,MATCH(7001,Schedule!$K$4:$K$483,0)),"")</f>
        <v>Bruno's Restaurant (paycheck)</v>
      </c>
      <c r="C345" s="88" t="n">
        <f aca="false">IF($B345="","",INDEX(Schedule!$G$4:$G$483,MATCH(7001,Schedule!$K$4:$K$483,0)))</f>
        <v>46295</v>
      </c>
      <c r="D345" s="89" t="str">
        <f aca="false">IF($B345="","",INDEX(Schedule!$D$4:$D$483,MATCH(7001,Schedule!$K$4:$K$483,0)))</f>
        <v>Income</v>
      </c>
      <c r="E345" s="90" t="n">
        <f aca="false">IF($B345="","",INDEX(Schedule!$E$4:$E$483,MATCH(7001,Schedule!$K$4:$K$483,0)))</f>
        <v>90</v>
      </c>
      <c r="F345" s="91"/>
      <c r="G345" s="92" t="n">
        <f aca="false">IF($B345="","",IF($D345="Income",IF($F345&lt;&gt;"",$F345,IF(COUNTIFS('Paid Log'!$B$9:$B$308,$C345,'Paid Log'!$C$9:$C$308,$B345)&gt;0,SUMIFS('Paid Log'!$D$9:$D$308,'Paid Log'!$B$9:$B$308,$C345,'Paid Log'!$C$9:$C$308,$B345),$E345)),""))</f>
        <v>90</v>
      </c>
      <c r="H345" s="93" t="str">
        <f aca="false">IF($B345="","",IF($D345="Income","",IF($F345&lt;&gt;"",$F345,IF(COUNTIFS('Paid Log'!$B$9:$B$308,$C345,'Paid Log'!$C$9:$C$308,$B345)&gt;0,SUMIFS('Paid Log'!$D$9:$D$308,'Paid Log'!$B$9:$B$308,$C345,'Paid Log'!$C$9:$C$308,$B345),$E345))))</f>
        <v/>
      </c>
      <c r="I345" s="94" t="n">
        <f aca="false">IF($B345="","",$I$343+SUMIFS($G$345:$G$395,$M$345:$M$395,"&lt;="&amp;$M345)-SUMIFS($H$345:$H$395,$M$345:$M$395,"&lt;="&amp;$M345))</f>
        <v>78.2900000000001</v>
      </c>
      <c r="J345" s="95" t="str">
        <f aca="true">IF($B345="","",IF(OR($F345&lt;&gt;"",COUNTIFS('Paid Log'!$B$9:$B$308,$C345,'Paid Log'!$C$9:$C$308,$B345)&gt;0),IF($C345&gt;TODAY(),"ADJUSTED","PAID"),IF($C345&lt;TODAY(),"PAST DUE",IF($C345&lt;=TODAY()+7,"DUE","Upcoming"))))</f>
        <v>Upcoming</v>
      </c>
      <c r="K345" s="96" t="str">
        <f aca="false">IF($B345="","",IF(OR($F345&lt;&gt;"",COUNTIFS('Paid Log'!$B$9:$B$308,$C345,'Paid Log'!$C$9:$C$308,$B345)&gt;0),"ACTUAL","FORECAST"))</f>
        <v>FORECAST</v>
      </c>
      <c r="L345" s="97"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88" t="n">
        <f aca="false">IF($B346="","",INDEX(Schedule!$G$4:$G$483,MATCH(7002,Schedule!$K$4:$K$483,0)))</f>
        <v>46295</v>
      </c>
      <c r="D346" s="89" t="str">
        <f aca="false">IF($B346="","",INDEX(Schedule!$D$4:$D$483,MATCH(7002,Schedule!$K$4:$K$483,0)))</f>
        <v>Expense</v>
      </c>
      <c r="E346" s="90" t="n">
        <f aca="false">IF($B346="","",INDEX(Schedule!$E$4:$E$483,MATCH(7002,Schedule!$K$4:$K$483,0)))</f>
        <v>350</v>
      </c>
      <c r="F346" s="91"/>
      <c r="G346" s="92" t="str">
        <f aca="false">IF($B346="","",IF($D346="Income",IF($F346&lt;&gt;"",$F346,IF(COUNTIFS('Paid Log'!$B$9:$B$308,$C346,'Paid Log'!$C$9:$C$308,$B346)&gt;0,SUMIFS('Paid Log'!$D$9:$D$308,'Paid Log'!$B$9:$B$308,$C346,'Paid Log'!$C$9:$C$308,$B346),$E346)),""))</f>
        <v/>
      </c>
      <c r="H346" s="93" t="n">
        <f aca="false">IF($B346="","",IF($D346="Income","",IF($F346&lt;&gt;"",$F346,IF(COUNTIFS('Paid Log'!$B$9:$B$308,$C346,'Paid Log'!$C$9:$C$308,$B346)&gt;0,SUMIFS('Paid Log'!$D$9:$D$308,'Paid Log'!$B$9:$B$308,$C346,'Paid Log'!$C$9:$C$308,$B346),$E346))))</f>
        <v>350</v>
      </c>
      <c r="I346" s="94" t="n">
        <f aca="false">IF($B346="","",$I$343+SUMIFS($G$345:$G$395,$M$345:$M$395,"&lt;="&amp;$M346)-SUMIFS($H$345:$H$395,$M$345:$M$395,"&lt;="&amp;$M346))</f>
        <v>-271.71</v>
      </c>
      <c r="J346" s="95" t="str">
        <f aca="true">IF($B346="","",IF(OR($F346&lt;&gt;"",COUNTIFS('Paid Log'!$B$9:$B$308,$C346,'Paid Log'!$C$9:$C$308,$B346)&gt;0),IF($C346&gt;TODAY(),"ADJUSTED","PAID"),IF($C346&lt;TODAY(),"PAST DUE",IF($C346&lt;=TODAY()+7,"DUE","Upcoming"))))</f>
        <v>Upcoming</v>
      </c>
      <c r="K346" s="96" t="str">
        <f aca="false">IF($B346="","",IF(OR($F346&lt;&gt;"",COUNTIFS('Paid Log'!$B$9:$B$308,$C346,'Paid Log'!$C$9:$C$308,$B346)&gt;0),"ACTUAL","FORECAST"))</f>
        <v>FORECAST</v>
      </c>
      <c r="L346" s="97"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88" t="n">
        <f aca="false">IF($B347="","",INDEX(Schedule!$G$4:$G$483,MATCH(7003,Schedule!$K$4:$K$483,0)))</f>
        <v>46295</v>
      </c>
      <c r="D347" s="89" t="str">
        <f aca="false">IF($B347="","",INDEX(Schedule!$D$4:$D$483,MATCH(7003,Schedule!$K$4:$K$483,0)))</f>
        <v>Expense</v>
      </c>
      <c r="E347" s="90" t="n">
        <f aca="false">IF($B347="","",INDEX(Schedule!$E$4:$E$483,MATCH(7003,Schedule!$K$4:$K$483,0)))</f>
        <v>150</v>
      </c>
      <c r="F347" s="91"/>
      <c r="G347" s="92" t="str">
        <f aca="false">IF($B347="","",IF($D347="Income",IF($F347&lt;&gt;"",$F347,IF(COUNTIFS('Paid Log'!$B$9:$B$308,$C347,'Paid Log'!$C$9:$C$308,$B347)&gt;0,SUMIFS('Paid Log'!$D$9:$D$308,'Paid Log'!$B$9:$B$308,$C347,'Paid Log'!$C$9:$C$308,$B347),$E347)),""))</f>
        <v/>
      </c>
      <c r="H347" s="93" t="n">
        <f aca="false">IF($B347="","",IF($D347="Income","",IF($F347&lt;&gt;"",$F347,IF(COUNTIFS('Paid Log'!$B$9:$B$308,$C347,'Paid Log'!$C$9:$C$308,$B347)&gt;0,SUMIFS('Paid Log'!$D$9:$D$308,'Paid Log'!$B$9:$B$308,$C347,'Paid Log'!$C$9:$C$308,$B347),$E347))))</f>
        <v>150</v>
      </c>
      <c r="I347" s="94" t="n">
        <f aca="false">IF($B347="","",$I$343+SUMIFS($G$345:$G$395,$M$345:$M$395,"&lt;="&amp;$M347)-SUMIFS($H$345:$H$395,$M$345:$M$395,"&lt;="&amp;$M347))</f>
        <v>-421.71</v>
      </c>
      <c r="J347" s="95" t="str">
        <f aca="true">IF($B347="","",IF(OR($F347&lt;&gt;"",COUNTIFS('Paid Log'!$B$9:$B$308,$C347,'Paid Log'!$C$9:$C$308,$B347)&gt;0),IF($C347&gt;TODAY(),"ADJUSTED","PAID"),IF($C347&lt;TODAY(),"PAST DUE",IF($C347&lt;=TODAY()+7,"DUE","Upcoming"))))</f>
        <v>Upcoming</v>
      </c>
      <c r="K347" s="96" t="str">
        <f aca="false">IF($B347="","",IF(OR($F347&lt;&gt;"",COUNTIFS('Paid Log'!$B$9:$B$308,$C347,'Paid Log'!$C$9:$C$308,$B347)&gt;0),"ACTUAL","FORECAST"))</f>
        <v>FORECAST</v>
      </c>
      <c r="L347" s="97"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88" t="n">
        <f aca="false">IF($B348="","",INDEX(Schedule!$G$4:$G$483,MATCH(7004,Schedule!$K$4:$K$483,0)))</f>
        <v>46295</v>
      </c>
      <c r="D348" s="89" t="str">
        <f aca="false">IF($B348="","",INDEX(Schedule!$D$4:$D$483,MATCH(7004,Schedule!$K$4:$K$483,0)))</f>
        <v>Expense</v>
      </c>
      <c r="E348" s="90" t="n">
        <f aca="false">IF($B348="","",INDEX(Schedule!$E$4:$E$483,MATCH(7004,Schedule!$K$4:$K$483,0)))</f>
        <v>143.37</v>
      </c>
      <c r="F348" s="91"/>
      <c r="G348" s="92" t="str">
        <f aca="false">IF($B348="","",IF($D348="Income",IF($F348&lt;&gt;"",$F348,IF(COUNTIFS('Paid Log'!$B$9:$B$308,$C348,'Paid Log'!$C$9:$C$308,$B348)&gt;0,SUMIFS('Paid Log'!$D$9:$D$308,'Paid Log'!$B$9:$B$308,$C348,'Paid Log'!$C$9:$C$308,$B348),$E348)),""))</f>
        <v/>
      </c>
      <c r="H348" s="93" t="n">
        <f aca="false">IF($B348="","",IF($D348="Income","",IF($F348&lt;&gt;"",$F348,IF(COUNTIFS('Paid Log'!$B$9:$B$308,$C348,'Paid Log'!$C$9:$C$308,$B348)&gt;0,SUMIFS('Paid Log'!$D$9:$D$308,'Paid Log'!$B$9:$B$308,$C348,'Paid Log'!$C$9:$C$308,$B348),$E348))))</f>
        <v>143.37</v>
      </c>
      <c r="I348" s="94" t="n">
        <f aca="false">IF($B348="","",$I$343+SUMIFS($G$345:$G$395,$M$345:$M$395,"&lt;="&amp;$M348)-SUMIFS($H$345:$H$395,$M$345:$M$395,"&lt;="&amp;$M348))</f>
        <v>-565.08</v>
      </c>
      <c r="J348" s="95" t="str">
        <f aca="true">IF($B348="","",IF(OR($F348&lt;&gt;"",COUNTIFS('Paid Log'!$B$9:$B$308,$C348,'Paid Log'!$C$9:$C$308,$B348)&gt;0),IF($C348&gt;TODAY(),"ADJUSTED","PAID"),IF($C348&lt;TODAY(),"PAST DUE",IF($C348&lt;=TODAY()+7,"DUE","Upcoming"))))</f>
        <v>Upcoming</v>
      </c>
      <c r="K348" s="96" t="str">
        <f aca="false">IF($B348="","",IF(OR($F348&lt;&gt;"",COUNTIFS('Paid Log'!$B$9:$B$308,$C348,'Paid Log'!$C$9:$C$308,$B348)&gt;0),"ACTUAL","FORECAST"))</f>
        <v>FORECAST</v>
      </c>
      <c r="L348" s="97"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88" t="n">
        <f aca="false">IF($B349="","",INDEX(Schedule!$G$4:$G$483,MATCH(7005,Schedule!$K$4:$K$483,0)))</f>
        <v>46297</v>
      </c>
      <c r="D349" s="89" t="str">
        <f aca="false">IF($B349="","",INDEX(Schedule!$D$4:$D$483,MATCH(7005,Schedule!$K$4:$K$483,0)))</f>
        <v>Income</v>
      </c>
      <c r="E349" s="90" t="n">
        <f aca="false">IF($B349="","",INDEX(Schedule!$E$4:$E$483,MATCH(7005,Schedule!$K$4:$K$483,0)))</f>
        <v>802.65</v>
      </c>
      <c r="F349" s="91"/>
      <c r="G349" s="92" t="n">
        <f aca="false">IF($B349="","",IF($D349="Income",IF($F349&lt;&gt;"",$F349,IF(COUNTIFS('Paid Log'!$B$9:$B$308,$C349,'Paid Log'!$C$9:$C$308,$B349)&gt;0,SUMIFS('Paid Log'!$D$9:$D$308,'Paid Log'!$B$9:$B$308,$C349,'Paid Log'!$C$9:$C$308,$B349),$E349)),""))</f>
        <v>802.65</v>
      </c>
      <c r="H349" s="93" t="str">
        <f aca="false">IF($B349="","",IF($D349="Income","",IF($F349&lt;&gt;"",$F349,IF(COUNTIFS('Paid Log'!$B$9:$B$308,$C349,'Paid Log'!$C$9:$C$308,$B349)&gt;0,SUMIFS('Paid Log'!$D$9:$D$308,'Paid Log'!$B$9:$B$308,$C349,'Paid Log'!$C$9:$C$308,$B349),$E349))))</f>
        <v/>
      </c>
      <c r="I349" s="94" t="n">
        <f aca="false">IF($B349="","",$I$343+SUMIFS($G$345:$G$395,$M$345:$M$395,"&lt;="&amp;$M349)-SUMIFS($H$345:$H$395,$M$345:$M$395,"&lt;="&amp;$M349))</f>
        <v>237.57</v>
      </c>
      <c r="J349" s="95" t="str">
        <f aca="true">IF($B349="","",IF(OR($F349&lt;&gt;"",COUNTIFS('Paid Log'!$B$9:$B$308,$C349,'Paid Log'!$C$9:$C$308,$B349)&gt;0),IF($C349&gt;TODAY(),"ADJUSTED","PAID"),IF($C349&lt;TODAY(),"PAST DUE",IF($C349&lt;=TODAY()+7,"DUE","Upcoming"))))</f>
        <v>Upcoming</v>
      </c>
      <c r="K349" s="96" t="str">
        <f aca="false">IF($B349="","",IF(OR($F349&lt;&gt;"",COUNTIFS('Paid Log'!$B$9:$B$308,$C349,'Paid Log'!$C$9:$C$308,$B349)&gt;0),"ACTUAL","FORECAST"))</f>
        <v>FORECAST</v>
      </c>
      <c r="L349" s="97"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88" t="str">
        <f aca="false">IF($B350="","",INDEX(Schedule!$G$4:$G$483,MATCH(7006,Schedule!$K$4:$K$483,0)))</f>
        <v/>
      </c>
      <c r="D350" s="89" t="str">
        <f aca="false">IF($B350="","",INDEX(Schedule!$D$4:$D$483,MATCH(7006,Schedule!$K$4:$K$483,0)))</f>
        <v/>
      </c>
      <c r="E350" s="90" t="str">
        <f aca="false">IF($B350="","",INDEX(Schedule!$E$4:$E$483,MATCH(7006,Schedule!$K$4:$K$483,0)))</f>
        <v/>
      </c>
      <c r="F350" s="91"/>
      <c r="G350" s="92" t="str">
        <f aca="false">IF($B350="","",IF($D350="Income",IF($F350&lt;&gt;"",$F350,IF(COUNTIFS('Paid Log'!$B$9:$B$308,$C350,'Paid Log'!$C$9:$C$308,$B350)&gt;0,SUMIFS('Paid Log'!$D$9:$D$308,'Paid Log'!$B$9:$B$308,$C350,'Paid Log'!$C$9:$C$308,$B350),$E350)),""))</f>
        <v/>
      </c>
      <c r="H350" s="93" t="str">
        <f aca="false">IF($B350="","",IF($D350="Income","",IF($F350&lt;&gt;"",$F350,IF(COUNTIFS('Paid Log'!$B$9:$B$308,$C350,'Paid Log'!$C$9:$C$308,$B350)&gt;0,SUMIFS('Paid Log'!$D$9:$D$308,'Paid Log'!$B$9:$B$308,$C350,'Paid Log'!$C$9:$C$308,$B350),$E350))))</f>
        <v/>
      </c>
      <c r="I350" s="94" t="str">
        <f aca="false">IF($B350="","",$I$343+SUMIFS($G$345:$G$395,$M$345:$M$395,"&lt;="&amp;$M350)-SUMIFS($H$345:$H$395,$M$345:$M$395,"&lt;="&amp;$M350))</f>
        <v/>
      </c>
      <c r="J350" s="95" t="str">
        <f aca="true">IF($B350="","",IF(OR($F350&lt;&gt;"",COUNTIFS('Paid Log'!$B$9:$B$308,$C350,'Paid Log'!$C$9:$C$308,$B350)&gt;0),IF($C350&gt;TODAY(),"ADJUSTED","PAID"),IF($C350&lt;TODAY(),"PAST DUE",IF($C350&lt;=TODAY()+7,"DUE","Upcoming"))))</f>
        <v/>
      </c>
      <c r="K350" s="96"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88" t="str">
        <f aca="false">IF($B351="","",INDEX(Schedule!$G$4:$G$483,MATCH(7007,Schedule!$K$4:$K$483,0)))</f>
        <v/>
      </c>
      <c r="D351" s="89" t="str">
        <f aca="false">IF($B351="","",INDEX(Schedule!$D$4:$D$483,MATCH(7007,Schedule!$K$4:$K$483,0)))</f>
        <v/>
      </c>
      <c r="E351" s="90" t="str">
        <f aca="false">IF($B351="","",INDEX(Schedule!$E$4:$E$483,MATCH(7007,Schedule!$K$4:$K$483,0)))</f>
        <v/>
      </c>
      <c r="F351" s="91"/>
      <c r="G351" s="92" t="str">
        <f aca="false">IF($B351="","",IF($D351="Income",IF($F351&lt;&gt;"",$F351,IF(COUNTIFS('Paid Log'!$B$9:$B$308,$C351,'Paid Log'!$C$9:$C$308,$B351)&gt;0,SUMIFS('Paid Log'!$D$9:$D$308,'Paid Log'!$B$9:$B$308,$C351,'Paid Log'!$C$9:$C$308,$B351),$E351)),""))</f>
        <v/>
      </c>
      <c r="H351" s="93" t="str">
        <f aca="false">IF($B351="","",IF($D351="Income","",IF($F351&lt;&gt;"",$F351,IF(COUNTIFS('Paid Log'!$B$9:$B$308,$C351,'Paid Log'!$C$9:$C$308,$B351)&gt;0,SUMIFS('Paid Log'!$D$9:$D$308,'Paid Log'!$B$9:$B$308,$C351,'Paid Log'!$C$9:$C$308,$B351),$E351))))</f>
        <v/>
      </c>
      <c r="I351" s="94" t="str">
        <f aca="false">IF($B351="","",$I$343+SUMIFS($G$345:$G$395,$M$345:$M$395,"&lt;="&amp;$M351)-SUMIFS($H$345:$H$395,$M$345:$M$395,"&lt;="&amp;$M351))</f>
        <v/>
      </c>
      <c r="J351" s="95" t="str">
        <f aca="true">IF($B351="","",IF(OR($F351&lt;&gt;"",COUNTIFS('Paid Log'!$B$9:$B$308,$C351,'Paid Log'!$C$9:$C$308,$B351)&gt;0),IF($C351&gt;TODAY(),"ADJUSTED","PAID"),IF($C351&lt;TODAY(),"PAST DUE",IF($C351&lt;=TODAY()+7,"DUE","Upcoming"))))</f>
        <v/>
      </c>
      <c r="K351" s="96"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88" t="str">
        <f aca="false">IF($B352="","",INDEX(Schedule!$G$4:$G$483,MATCH(7008,Schedule!$K$4:$K$483,0)))</f>
        <v/>
      </c>
      <c r="D352" s="89" t="str">
        <f aca="false">IF($B352="","",INDEX(Schedule!$D$4:$D$483,MATCH(7008,Schedule!$K$4:$K$483,0)))</f>
        <v/>
      </c>
      <c r="E352" s="90" t="str">
        <f aca="false">IF($B352="","",INDEX(Schedule!$E$4:$E$483,MATCH(7008,Schedule!$K$4:$K$483,0)))</f>
        <v/>
      </c>
      <c r="F352" s="91"/>
      <c r="G352" s="92" t="str">
        <f aca="false">IF($B352="","",IF($D352="Income",IF($F352&lt;&gt;"",$F352,IF(COUNTIFS('Paid Log'!$B$9:$B$308,$C352,'Paid Log'!$C$9:$C$308,$B352)&gt;0,SUMIFS('Paid Log'!$D$9:$D$308,'Paid Log'!$B$9:$B$308,$C352,'Paid Log'!$C$9:$C$308,$B352),$E352)),""))</f>
        <v/>
      </c>
      <c r="H352" s="93" t="str">
        <f aca="false">IF($B352="","",IF($D352="Income","",IF($F352&lt;&gt;"",$F352,IF(COUNTIFS('Paid Log'!$B$9:$B$308,$C352,'Paid Log'!$C$9:$C$308,$B352)&gt;0,SUMIFS('Paid Log'!$D$9:$D$308,'Paid Log'!$B$9:$B$308,$C352,'Paid Log'!$C$9:$C$308,$B352),$E352))))</f>
        <v/>
      </c>
      <c r="I352" s="94" t="str">
        <f aca="false">IF($B352="","",$I$343+SUMIFS($G$345:$G$395,$M$345:$M$395,"&lt;="&amp;$M352)-SUMIFS($H$345:$H$395,$M$345:$M$395,"&lt;="&amp;$M352))</f>
        <v/>
      </c>
      <c r="J352" s="95" t="str">
        <f aca="true">IF($B352="","",IF(OR($F352&lt;&gt;"",COUNTIFS('Paid Log'!$B$9:$B$308,$C352,'Paid Log'!$C$9:$C$308,$B352)&gt;0),IF($C352&gt;TODAY(),"ADJUSTED","PAID"),IF($C352&lt;TODAY(),"PAST DUE",IF($C352&lt;=TODAY()+7,"DUE","Upcoming"))))</f>
        <v/>
      </c>
      <c r="K352" s="96"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88" t="str">
        <f aca="false">IF($B353="","",INDEX(Schedule!$G$4:$G$483,MATCH(7009,Schedule!$K$4:$K$483,0)))</f>
        <v/>
      </c>
      <c r="D353" s="89" t="str">
        <f aca="false">IF($B353="","",INDEX(Schedule!$D$4:$D$483,MATCH(7009,Schedule!$K$4:$K$483,0)))</f>
        <v/>
      </c>
      <c r="E353" s="90" t="str">
        <f aca="false">IF($B353="","",INDEX(Schedule!$E$4:$E$483,MATCH(7009,Schedule!$K$4:$K$483,0)))</f>
        <v/>
      </c>
      <c r="F353" s="91"/>
      <c r="G353" s="92" t="str">
        <f aca="false">IF($B353="","",IF($D353="Income",IF($F353&lt;&gt;"",$F353,IF(COUNTIFS('Paid Log'!$B$9:$B$308,$C353,'Paid Log'!$C$9:$C$308,$B353)&gt;0,SUMIFS('Paid Log'!$D$9:$D$308,'Paid Log'!$B$9:$B$308,$C353,'Paid Log'!$C$9:$C$308,$B353),$E353)),""))</f>
        <v/>
      </c>
      <c r="H353" s="93" t="str">
        <f aca="false">IF($B353="","",IF($D353="Income","",IF($F353&lt;&gt;"",$F353,IF(COUNTIFS('Paid Log'!$B$9:$B$308,$C353,'Paid Log'!$C$9:$C$308,$B353)&gt;0,SUMIFS('Paid Log'!$D$9:$D$308,'Paid Log'!$B$9:$B$308,$C353,'Paid Log'!$C$9:$C$308,$B353),$E353))))</f>
        <v/>
      </c>
      <c r="I353" s="94" t="str">
        <f aca="false">IF($B353="","",$I$343+SUMIFS($G$345:$G$395,$M$345:$M$395,"&lt;="&amp;$M353)-SUMIFS($H$345:$H$395,$M$345:$M$395,"&lt;="&amp;$M353))</f>
        <v/>
      </c>
      <c r="J353" s="95" t="str">
        <f aca="true">IF($B353="","",IF(OR($F353&lt;&gt;"",COUNTIFS('Paid Log'!$B$9:$B$308,$C353,'Paid Log'!$C$9:$C$308,$B353)&gt;0),IF($C353&gt;TODAY(),"ADJUSTED","PAID"),IF($C353&lt;TODAY(),"PAST DUE",IF($C353&lt;=TODAY()+7,"DUE","Upcoming"))))</f>
        <v/>
      </c>
      <c r="K353" s="96"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88" t="str">
        <f aca="false">IF($B354="","",INDEX(Schedule!$G$4:$G$483,MATCH(7010,Schedule!$K$4:$K$483,0)))</f>
        <v/>
      </c>
      <c r="D354" s="89" t="str">
        <f aca="false">IF($B354="","",INDEX(Schedule!$D$4:$D$483,MATCH(7010,Schedule!$K$4:$K$483,0)))</f>
        <v/>
      </c>
      <c r="E354" s="90" t="str">
        <f aca="false">IF($B354="","",INDEX(Schedule!$E$4:$E$483,MATCH(7010,Schedule!$K$4:$K$483,0)))</f>
        <v/>
      </c>
      <c r="F354" s="91"/>
      <c r="G354" s="92" t="str">
        <f aca="false">IF($B354="","",IF($D354="Income",IF($F354&lt;&gt;"",$F354,IF(COUNTIFS('Paid Log'!$B$9:$B$308,$C354,'Paid Log'!$C$9:$C$308,$B354)&gt;0,SUMIFS('Paid Log'!$D$9:$D$308,'Paid Log'!$B$9:$B$308,$C354,'Paid Log'!$C$9:$C$308,$B354),$E354)),""))</f>
        <v/>
      </c>
      <c r="H354" s="93" t="str">
        <f aca="false">IF($B354="","",IF($D354="Income","",IF($F354&lt;&gt;"",$F354,IF(COUNTIFS('Paid Log'!$B$9:$B$308,$C354,'Paid Log'!$C$9:$C$308,$B354)&gt;0,SUMIFS('Paid Log'!$D$9:$D$308,'Paid Log'!$B$9:$B$308,$C354,'Paid Log'!$C$9:$C$308,$B354),$E354))))</f>
        <v/>
      </c>
      <c r="I354" s="94" t="str">
        <f aca="false">IF($B354="","",$I$343+SUMIFS($G$345:$G$395,$M$345:$M$395,"&lt;="&amp;$M354)-SUMIFS($H$345:$H$395,$M$345:$M$395,"&lt;="&amp;$M354))</f>
        <v/>
      </c>
      <c r="J354" s="95" t="str">
        <f aca="true">IF($B354="","",IF(OR($F354&lt;&gt;"",COUNTIFS('Paid Log'!$B$9:$B$308,$C354,'Paid Log'!$C$9:$C$308,$B354)&gt;0),IF($C354&gt;TODAY(),"ADJUSTED","PAID"),IF($C354&lt;TODAY(),"PAST DUE",IF($C354&lt;=TODAY()+7,"DUE","Upcoming"))))</f>
        <v/>
      </c>
      <c r="K354" s="96"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98" t="s">
        <v>156</v>
      </c>
      <c r="C355" s="99"/>
      <c r="D355" s="99"/>
      <c r="E355" s="99"/>
      <c r="F355" s="99"/>
      <c r="G355" s="99"/>
      <c r="H355" s="99"/>
      <c r="I355" s="99"/>
      <c r="J355" s="99"/>
    </row>
    <row r="356" customFormat="false" ht="15" hidden="false" customHeight="true" outlineLevel="0" collapsed="false">
      <c r="B356" s="13"/>
      <c r="C356" s="100"/>
      <c r="D356" s="101" t="str">
        <f aca="false">IF($B356="","","Expense")</f>
        <v/>
      </c>
      <c r="E356" s="15"/>
      <c r="F356" s="102"/>
      <c r="G356" s="102"/>
      <c r="H356" s="103" t="str">
        <f aca="false">IF($B356="","",N($E356))</f>
        <v/>
      </c>
      <c r="I356" s="104" t="str">
        <f aca="false">IF($B356="","",$I$343+SUMIFS($G$345:$G$395,$M$345:$M$395,"&lt;="&amp;$M356)-SUMIFS($H$345:$H$395,$M$345:$M$395,"&lt;="&amp;$M356))</f>
        <v/>
      </c>
      <c r="J356" s="102"/>
      <c r="K356" s="96"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100"/>
      <c r="D357" s="101" t="str">
        <f aca="false">IF($B357="","","Expense")</f>
        <v/>
      </c>
      <c r="E357" s="15"/>
      <c r="F357" s="102"/>
      <c r="G357" s="102"/>
      <c r="H357" s="103" t="str">
        <f aca="false">IF($B357="","",N($E357))</f>
        <v/>
      </c>
      <c r="I357" s="104" t="str">
        <f aca="false">IF($B357="","",$I$343+SUMIFS($G$345:$G$395,$M$345:$M$395,"&lt;="&amp;$M357)-SUMIFS($H$345:$H$395,$M$345:$M$395,"&lt;="&amp;$M357))</f>
        <v/>
      </c>
      <c r="J357" s="102"/>
      <c r="K357" s="96"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100"/>
      <c r="D358" s="101" t="str">
        <f aca="false">IF($B358="","","Expense")</f>
        <v/>
      </c>
      <c r="E358" s="15"/>
      <c r="F358" s="102"/>
      <c r="G358" s="102"/>
      <c r="H358" s="103" t="str">
        <f aca="false">IF($B358="","",N($E358))</f>
        <v/>
      </c>
      <c r="I358" s="104" t="str">
        <f aca="false">IF($B358="","",$I$343+SUMIFS($G$345:$G$395,$M$345:$M$395,"&lt;="&amp;$M358)-SUMIFS($H$345:$H$395,$M$345:$M$395,"&lt;="&amp;$M358))</f>
        <v/>
      </c>
      <c r="J358" s="102"/>
      <c r="K358" s="96"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100"/>
      <c r="D359" s="101" t="str">
        <f aca="false">IF($B359="","","Expense")</f>
        <v/>
      </c>
      <c r="E359" s="15"/>
      <c r="F359" s="102"/>
      <c r="G359" s="102"/>
      <c r="H359" s="103" t="str">
        <f aca="false">IF($B359="","",N($E359))</f>
        <v/>
      </c>
      <c r="I359" s="104" t="str">
        <f aca="false">IF($B359="","",$I$343+SUMIFS($G$345:$G$395,$M$345:$M$395,"&lt;="&amp;$M359)-SUMIFS($H$345:$H$395,$M$345:$M$395,"&lt;="&amp;$M359))</f>
        <v/>
      </c>
      <c r="J359" s="102"/>
      <c r="K359" s="96"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100"/>
      <c r="D360" s="101" t="str">
        <f aca="false">IF($B360="","","Expense")</f>
        <v/>
      </c>
      <c r="E360" s="15"/>
      <c r="F360" s="102"/>
      <c r="G360" s="102"/>
      <c r="H360" s="103" t="str">
        <f aca="false">IF($B360="","",N($E360))</f>
        <v/>
      </c>
      <c r="I360" s="104" t="str">
        <f aca="false">IF($B360="","",$I$343+SUMIFS($G$345:$G$395,$M$345:$M$395,"&lt;="&amp;$M360)-SUMIFS($H$345:$H$395,$M$345:$M$395,"&lt;="&amp;$M360))</f>
        <v/>
      </c>
      <c r="J360" s="102"/>
      <c r="K360" s="96"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100"/>
      <c r="D361" s="101" t="str">
        <f aca="false">IF($B361="","","Expense")</f>
        <v/>
      </c>
      <c r="E361" s="15"/>
      <c r="F361" s="102"/>
      <c r="G361" s="102"/>
      <c r="H361" s="103" t="str">
        <f aca="false">IF($B361="","",N($E361))</f>
        <v/>
      </c>
      <c r="I361" s="104" t="str">
        <f aca="false">IF($B361="","",$I$343+SUMIFS($G$345:$G$395,$M$345:$M$395,"&lt;="&amp;$M361)-SUMIFS($H$345:$H$395,$M$345:$M$395,"&lt;="&amp;$M361))</f>
        <v/>
      </c>
      <c r="J361" s="102"/>
      <c r="K361" s="96"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100"/>
      <c r="D362" s="101" t="str">
        <f aca="false">IF($B362="","","Expense")</f>
        <v/>
      </c>
      <c r="E362" s="15"/>
      <c r="F362" s="102"/>
      <c r="G362" s="102"/>
      <c r="H362" s="103" t="str">
        <f aca="false">IF($B362="","",N($E362))</f>
        <v/>
      </c>
      <c r="I362" s="104" t="str">
        <f aca="false">IF($B362="","",$I$343+SUMIFS($G$345:$G$395,$M$345:$M$395,"&lt;="&amp;$M362)-SUMIFS($H$345:$H$395,$M$345:$M$395,"&lt;="&amp;$M362))</f>
        <v/>
      </c>
      <c r="J362" s="102"/>
      <c r="K362" s="96"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100"/>
      <c r="D363" s="101" t="str">
        <f aca="false">IF($B363="","","Expense")</f>
        <v/>
      </c>
      <c r="E363" s="15"/>
      <c r="F363" s="102"/>
      <c r="G363" s="102"/>
      <c r="H363" s="103" t="str">
        <f aca="false">IF($B363="","",N($E363))</f>
        <v/>
      </c>
      <c r="I363" s="104" t="str">
        <f aca="false">IF($B363="","",$I$343+SUMIFS($G$345:$G$395,$M$345:$M$395,"&lt;="&amp;$M363)-SUMIFS($H$345:$H$395,$M$345:$M$395,"&lt;="&amp;$M363))</f>
        <v/>
      </c>
      <c r="J363" s="102"/>
      <c r="K363" s="96"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100"/>
      <c r="D364" s="101" t="str">
        <f aca="false">IF($B364="","","Expense")</f>
        <v/>
      </c>
      <c r="E364" s="15"/>
      <c r="F364" s="102"/>
      <c r="G364" s="102"/>
      <c r="H364" s="103" t="str">
        <f aca="false">IF($B364="","",N($E364))</f>
        <v/>
      </c>
      <c r="I364" s="104" t="str">
        <f aca="false">IF($B364="","",$I$343+SUMIFS($G$345:$G$395,$M$345:$M$395,"&lt;="&amp;$M364)-SUMIFS($H$345:$H$395,$M$345:$M$395,"&lt;="&amp;$M364))</f>
        <v/>
      </c>
      <c r="J364" s="102"/>
      <c r="K364" s="96"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100"/>
      <c r="D365" s="101" t="str">
        <f aca="false">IF($B365="","","Expense")</f>
        <v/>
      </c>
      <c r="E365" s="15"/>
      <c r="F365" s="102"/>
      <c r="G365" s="102"/>
      <c r="H365" s="103" t="str">
        <f aca="false">IF($B365="","",N($E365))</f>
        <v/>
      </c>
      <c r="I365" s="104" t="str">
        <f aca="false">IF($B365="","",$I$343+SUMIFS($G$345:$G$395,$M$345:$M$395,"&lt;="&amp;$M365)-SUMIFS($H$345:$H$395,$M$345:$M$395,"&lt;="&amp;$M365))</f>
        <v/>
      </c>
      <c r="J365" s="102"/>
      <c r="K365" s="96"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100"/>
      <c r="D366" s="101" t="str">
        <f aca="false">IF($B366="","","Expense")</f>
        <v/>
      </c>
      <c r="E366" s="15"/>
      <c r="F366" s="102"/>
      <c r="G366" s="102"/>
      <c r="H366" s="103" t="str">
        <f aca="false">IF($B366="","",N($E366))</f>
        <v/>
      </c>
      <c r="I366" s="104" t="str">
        <f aca="false">IF($B366="","",$I$343+SUMIFS($G$345:$G$395,$M$345:$M$395,"&lt;="&amp;$M366)-SUMIFS($H$345:$H$395,$M$345:$M$395,"&lt;="&amp;$M366))</f>
        <v/>
      </c>
      <c r="J366" s="102"/>
      <c r="K366" s="96"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100"/>
      <c r="D367" s="101" t="str">
        <f aca="false">IF($B367="","","Expense")</f>
        <v/>
      </c>
      <c r="E367" s="15"/>
      <c r="F367" s="102"/>
      <c r="G367" s="102"/>
      <c r="H367" s="103" t="str">
        <f aca="false">IF($B367="","",N($E367))</f>
        <v/>
      </c>
      <c r="I367" s="104" t="str">
        <f aca="false">IF($B367="","",$I$343+SUMIFS($G$345:$G$395,$M$345:$M$395,"&lt;="&amp;$M367)-SUMIFS($H$345:$H$395,$M$345:$M$395,"&lt;="&amp;$M367))</f>
        <v/>
      </c>
      <c r="J367" s="102"/>
      <c r="K367" s="96"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100"/>
      <c r="D368" s="101" t="str">
        <f aca="false">IF($B368="","","Expense")</f>
        <v/>
      </c>
      <c r="E368" s="15"/>
      <c r="F368" s="102"/>
      <c r="G368" s="102"/>
      <c r="H368" s="103" t="str">
        <f aca="false">IF($B368="","",N($E368))</f>
        <v/>
      </c>
      <c r="I368" s="104" t="str">
        <f aca="false">IF($B368="","",$I$343+SUMIFS($G$345:$G$395,$M$345:$M$395,"&lt;="&amp;$M368)-SUMIFS($H$345:$H$395,$M$345:$M$395,"&lt;="&amp;$M368))</f>
        <v/>
      </c>
      <c r="J368" s="102"/>
      <c r="K368" s="96"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100"/>
      <c r="D369" s="101" t="str">
        <f aca="false">IF($B369="","","Expense")</f>
        <v/>
      </c>
      <c r="E369" s="15"/>
      <c r="F369" s="102"/>
      <c r="G369" s="102"/>
      <c r="H369" s="103" t="str">
        <f aca="false">IF($B369="","",N($E369))</f>
        <v/>
      </c>
      <c r="I369" s="104" t="str">
        <f aca="false">IF($B369="","",$I$343+SUMIFS($G$345:$G$395,$M$345:$M$395,"&lt;="&amp;$M369)-SUMIFS($H$345:$H$395,$M$345:$M$395,"&lt;="&amp;$M369))</f>
        <v/>
      </c>
      <c r="J369" s="102"/>
      <c r="K369" s="96"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100"/>
      <c r="D370" s="101" t="str">
        <f aca="false">IF($B370="","","Expense")</f>
        <v/>
      </c>
      <c r="E370" s="15"/>
      <c r="F370" s="102"/>
      <c r="G370" s="102"/>
      <c r="H370" s="103" t="str">
        <f aca="false">IF($B370="","",N($E370))</f>
        <v/>
      </c>
      <c r="I370" s="104" t="str">
        <f aca="false">IF($B370="","",$I$343+SUMIFS($G$345:$G$395,$M$345:$M$395,"&lt;="&amp;$M370)-SUMIFS($H$345:$H$395,$M$345:$M$395,"&lt;="&amp;$M370))</f>
        <v/>
      </c>
      <c r="J370" s="102"/>
      <c r="K370" s="96"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100"/>
      <c r="D371" s="101" t="str">
        <f aca="false">IF($B371="","","Expense")</f>
        <v/>
      </c>
      <c r="E371" s="15"/>
      <c r="F371" s="102"/>
      <c r="G371" s="102"/>
      <c r="H371" s="103" t="str">
        <f aca="false">IF($B371="","",N($E371))</f>
        <v/>
      </c>
      <c r="I371" s="104" t="str">
        <f aca="false">IF($B371="","",$I$343+SUMIFS($G$345:$G$395,$M$345:$M$395,"&lt;="&amp;$M371)-SUMIFS($H$345:$H$395,$M$345:$M$395,"&lt;="&amp;$M371))</f>
        <v/>
      </c>
      <c r="J371" s="102"/>
      <c r="K371" s="96"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100"/>
      <c r="D372" s="101" t="str">
        <f aca="false">IF($B372="","","Expense")</f>
        <v/>
      </c>
      <c r="E372" s="15"/>
      <c r="F372" s="102"/>
      <c r="G372" s="102"/>
      <c r="H372" s="103" t="str">
        <f aca="false">IF($B372="","",N($E372))</f>
        <v/>
      </c>
      <c r="I372" s="104" t="str">
        <f aca="false">IF($B372="","",$I$343+SUMIFS($G$345:$G$395,$M$345:$M$395,"&lt;="&amp;$M372)-SUMIFS($H$345:$H$395,$M$345:$M$395,"&lt;="&amp;$M372))</f>
        <v/>
      </c>
      <c r="J372" s="102"/>
      <c r="K372" s="96"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100"/>
      <c r="D373" s="101" t="str">
        <f aca="false">IF($B373="","","Expense")</f>
        <v/>
      </c>
      <c r="E373" s="15"/>
      <c r="F373" s="102"/>
      <c r="G373" s="102"/>
      <c r="H373" s="103" t="str">
        <f aca="false">IF($B373="","",N($E373))</f>
        <v/>
      </c>
      <c r="I373" s="104" t="str">
        <f aca="false">IF($B373="","",$I$343+SUMIFS($G$345:$G$395,$M$345:$M$395,"&lt;="&amp;$M373)-SUMIFS($H$345:$H$395,$M$345:$M$395,"&lt;="&amp;$M373))</f>
        <v/>
      </c>
      <c r="J373" s="102"/>
      <c r="K373" s="96"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100"/>
      <c r="D374" s="101" t="str">
        <f aca="false">IF($B374="","","Expense")</f>
        <v/>
      </c>
      <c r="E374" s="15"/>
      <c r="F374" s="102"/>
      <c r="G374" s="102"/>
      <c r="H374" s="103" t="str">
        <f aca="false">IF($B374="","",N($E374))</f>
        <v/>
      </c>
      <c r="I374" s="104" t="str">
        <f aca="false">IF($B374="","",$I$343+SUMIFS($G$345:$G$395,$M$345:$M$395,"&lt;="&amp;$M374)-SUMIFS($H$345:$H$395,$M$345:$M$395,"&lt;="&amp;$M374))</f>
        <v/>
      </c>
      <c r="J374" s="102"/>
      <c r="K374" s="96"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100"/>
      <c r="D375" s="101" t="str">
        <f aca="false">IF($B375="","","Expense")</f>
        <v/>
      </c>
      <c r="E375" s="15"/>
      <c r="F375" s="102"/>
      <c r="G375" s="102"/>
      <c r="H375" s="103" t="str">
        <f aca="false">IF($B375="","",N($E375))</f>
        <v/>
      </c>
      <c r="I375" s="104" t="str">
        <f aca="false">IF($B375="","",$I$343+SUMIFS($G$345:$G$395,$M$345:$M$395,"&lt;="&amp;$M375)-SUMIFS($H$345:$H$395,$M$345:$M$395,"&lt;="&amp;$M375))</f>
        <v/>
      </c>
      <c r="J375" s="102"/>
      <c r="K375" s="96"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100"/>
      <c r="D376" s="101" t="str">
        <f aca="false">IF($B376="","","Expense")</f>
        <v/>
      </c>
      <c r="E376" s="15"/>
      <c r="F376" s="102"/>
      <c r="G376" s="102"/>
      <c r="H376" s="103" t="str">
        <f aca="false">IF($B376="","",N($E376))</f>
        <v/>
      </c>
      <c r="I376" s="104" t="str">
        <f aca="false">IF($B376="","",$I$343+SUMIFS($G$345:$G$395,$M$345:$M$395,"&lt;="&amp;$M376)-SUMIFS($H$345:$H$395,$M$345:$M$395,"&lt;="&amp;$M376))</f>
        <v/>
      </c>
      <c r="J376" s="102"/>
      <c r="K376" s="96"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100"/>
      <c r="D377" s="101" t="str">
        <f aca="false">IF($B377="","","Expense")</f>
        <v/>
      </c>
      <c r="E377" s="15"/>
      <c r="F377" s="102"/>
      <c r="G377" s="102"/>
      <c r="H377" s="103" t="str">
        <f aca="false">IF($B377="","",N($E377))</f>
        <v/>
      </c>
      <c r="I377" s="104" t="str">
        <f aca="false">IF($B377="","",$I$343+SUMIFS($G$345:$G$395,$M$345:$M$395,"&lt;="&amp;$M377)-SUMIFS($H$345:$H$395,$M$345:$M$395,"&lt;="&amp;$M377))</f>
        <v/>
      </c>
      <c r="J377" s="102"/>
      <c r="K377" s="96"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100"/>
      <c r="D378" s="101" t="str">
        <f aca="false">IF($B378="","","Expense")</f>
        <v/>
      </c>
      <c r="E378" s="15"/>
      <c r="F378" s="102"/>
      <c r="G378" s="102"/>
      <c r="H378" s="103" t="str">
        <f aca="false">IF($B378="","",N($E378))</f>
        <v/>
      </c>
      <c r="I378" s="104" t="str">
        <f aca="false">IF($B378="","",$I$343+SUMIFS($G$345:$G$395,$M$345:$M$395,"&lt;="&amp;$M378)-SUMIFS($H$345:$H$395,$M$345:$M$395,"&lt;="&amp;$M378))</f>
        <v/>
      </c>
      <c r="J378" s="102"/>
      <c r="K378" s="96"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100"/>
      <c r="D379" s="101" t="str">
        <f aca="false">IF($B379="","","Expense")</f>
        <v/>
      </c>
      <c r="E379" s="15"/>
      <c r="F379" s="102"/>
      <c r="G379" s="102"/>
      <c r="H379" s="103" t="str">
        <f aca="false">IF($B379="","",N($E379))</f>
        <v/>
      </c>
      <c r="I379" s="104" t="str">
        <f aca="false">IF($B379="","",$I$343+SUMIFS($G$345:$G$395,$M$345:$M$395,"&lt;="&amp;$M379)-SUMIFS($H$345:$H$395,$M$345:$M$395,"&lt;="&amp;$M379))</f>
        <v/>
      </c>
      <c r="J379" s="102"/>
      <c r="K379" s="96"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100"/>
      <c r="D380" s="101" t="str">
        <f aca="false">IF($B380="","","Expense")</f>
        <v/>
      </c>
      <c r="E380" s="15"/>
      <c r="F380" s="102"/>
      <c r="G380" s="102"/>
      <c r="H380" s="103" t="str">
        <f aca="false">IF($B380="","",N($E380))</f>
        <v/>
      </c>
      <c r="I380" s="104" t="str">
        <f aca="false">IF($B380="","",$I$343+SUMIFS($G$345:$G$395,$M$345:$M$395,"&lt;="&amp;$M380)-SUMIFS($H$345:$H$395,$M$345:$M$395,"&lt;="&amp;$M380))</f>
        <v/>
      </c>
      <c r="J380" s="102"/>
      <c r="K380" s="96"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100"/>
      <c r="D381" s="101" t="str">
        <f aca="false">IF($B381="","","Expense")</f>
        <v/>
      </c>
      <c r="E381" s="15"/>
      <c r="F381" s="102"/>
      <c r="G381" s="102"/>
      <c r="H381" s="103" t="str">
        <f aca="false">IF($B381="","",N($E381))</f>
        <v/>
      </c>
      <c r="I381" s="104" t="str">
        <f aca="false">IF($B381="","",$I$343+SUMIFS($G$345:$G$395,$M$345:$M$395,"&lt;="&amp;$M381)-SUMIFS($H$345:$H$395,$M$345:$M$395,"&lt;="&amp;$M381))</f>
        <v/>
      </c>
      <c r="J381" s="102"/>
      <c r="K381" s="96"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100"/>
      <c r="D382" s="101" t="str">
        <f aca="false">IF($B382="","","Expense")</f>
        <v/>
      </c>
      <c r="E382" s="15"/>
      <c r="F382" s="102"/>
      <c r="G382" s="102"/>
      <c r="H382" s="103" t="str">
        <f aca="false">IF($B382="","",N($E382))</f>
        <v/>
      </c>
      <c r="I382" s="104" t="str">
        <f aca="false">IF($B382="","",$I$343+SUMIFS($G$345:$G$395,$M$345:$M$395,"&lt;="&amp;$M382)-SUMIFS($H$345:$H$395,$M$345:$M$395,"&lt;="&amp;$M382))</f>
        <v/>
      </c>
      <c r="J382" s="102"/>
      <c r="K382" s="96"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100"/>
      <c r="D383" s="101" t="str">
        <f aca="false">IF($B383="","","Expense")</f>
        <v/>
      </c>
      <c r="E383" s="15"/>
      <c r="F383" s="102"/>
      <c r="G383" s="102"/>
      <c r="H383" s="103" t="str">
        <f aca="false">IF($B383="","",N($E383))</f>
        <v/>
      </c>
      <c r="I383" s="104" t="str">
        <f aca="false">IF($B383="","",$I$343+SUMIFS($G$345:$G$395,$M$345:$M$395,"&lt;="&amp;$M383)-SUMIFS($H$345:$H$395,$M$345:$M$395,"&lt;="&amp;$M383))</f>
        <v/>
      </c>
      <c r="J383" s="102"/>
      <c r="K383" s="96"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100"/>
      <c r="D384" s="101" t="str">
        <f aca="false">IF($B384="","","Expense")</f>
        <v/>
      </c>
      <c r="E384" s="15"/>
      <c r="F384" s="102"/>
      <c r="G384" s="102"/>
      <c r="H384" s="103" t="str">
        <f aca="false">IF($B384="","",N($E384))</f>
        <v/>
      </c>
      <c r="I384" s="104" t="str">
        <f aca="false">IF($B384="","",$I$343+SUMIFS($G$345:$G$395,$M$345:$M$395,"&lt;="&amp;$M384)-SUMIFS($H$345:$H$395,$M$345:$M$395,"&lt;="&amp;$M384))</f>
        <v/>
      </c>
      <c r="J384" s="102"/>
      <c r="K384" s="96"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100"/>
      <c r="D385" s="101" t="str">
        <f aca="false">IF($B385="","","Expense")</f>
        <v/>
      </c>
      <c r="E385" s="15"/>
      <c r="F385" s="102"/>
      <c r="G385" s="102"/>
      <c r="H385" s="103" t="str">
        <f aca="false">IF($B385="","",N($E385))</f>
        <v/>
      </c>
      <c r="I385" s="104" t="str">
        <f aca="false">IF($B385="","",$I$343+SUMIFS($G$345:$G$395,$M$345:$M$395,"&lt;="&amp;$M385)-SUMIFS($H$345:$H$395,$M$345:$M$395,"&lt;="&amp;$M385))</f>
        <v/>
      </c>
      <c r="J385" s="102"/>
      <c r="K385" s="96"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100"/>
      <c r="D386" s="101" t="str">
        <f aca="false">IF($B386="","","Expense")</f>
        <v/>
      </c>
      <c r="E386" s="15"/>
      <c r="F386" s="102"/>
      <c r="G386" s="102"/>
      <c r="H386" s="103" t="str">
        <f aca="false">IF($B386="","",N($E386))</f>
        <v/>
      </c>
      <c r="I386" s="104" t="str">
        <f aca="false">IF($B386="","",$I$343+SUMIFS($G$345:$G$395,$M$345:$M$395,"&lt;="&amp;$M386)-SUMIFS($H$345:$H$395,$M$345:$M$395,"&lt;="&amp;$M386))</f>
        <v/>
      </c>
      <c r="J386" s="102"/>
      <c r="K386" s="96"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100"/>
      <c r="D387" s="101" t="str">
        <f aca="false">IF($B387="","","Expense")</f>
        <v/>
      </c>
      <c r="E387" s="15"/>
      <c r="F387" s="102"/>
      <c r="G387" s="102"/>
      <c r="H387" s="103" t="str">
        <f aca="false">IF($B387="","",N($E387))</f>
        <v/>
      </c>
      <c r="I387" s="104" t="str">
        <f aca="false">IF($B387="","",$I$343+SUMIFS($G$345:$G$395,$M$345:$M$395,"&lt;="&amp;$M387)-SUMIFS($H$345:$H$395,$M$345:$M$395,"&lt;="&amp;$M387))</f>
        <v/>
      </c>
      <c r="J387" s="102"/>
      <c r="K387" s="96"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100"/>
      <c r="D388" s="101" t="str">
        <f aca="false">IF($B388="","","Expense")</f>
        <v/>
      </c>
      <c r="E388" s="15"/>
      <c r="F388" s="102"/>
      <c r="G388" s="102"/>
      <c r="H388" s="103" t="str">
        <f aca="false">IF($B388="","",N($E388))</f>
        <v/>
      </c>
      <c r="I388" s="104" t="str">
        <f aca="false">IF($B388="","",$I$343+SUMIFS($G$345:$G$395,$M$345:$M$395,"&lt;="&amp;$M388)-SUMIFS($H$345:$H$395,$M$345:$M$395,"&lt;="&amp;$M388))</f>
        <v/>
      </c>
      <c r="J388" s="102"/>
      <c r="K388" s="96"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100"/>
      <c r="D389" s="101" t="str">
        <f aca="false">IF($B389="","","Expense")</f>
        <v/>
      </c>
      <c r="E389" s="15"/>
      <c r="F389" s="102"/>
      <c r="G389" s="102"/>
      <c r="H389" s="103" t="str">
        <f aca="false">IF($B389="","",N($E389))</f>
        <v/>
      </c>
      <c r="I389" s="104" t="str">
        <f aca="false">IF($B389="","",$I$343+SUMIFS($G$345:$G$395,$M$345:$M$395,"&lt;="&amp;$M389)-SUMIFS($H$345:$H$395,$M$345:$M$395,"&lt;="&amp;$M389))</f>
        <v/>
      </c>
      <c r="J389" s="102"/>
      <c r="K389" s="96"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100"/>
      <c r="D390" s="101" t="str">
        <f aca="false">IF($B390="","","Expense")</f>
        <v/>
      </c>
      <c r="E390" s="15"/>
      <c r="F390" s="102"/>
      <c r="G390" s="102"/>
      <c r="H390" s="103" t="str">
        <f aca="false">IF($B390="","",N($E390))</f>
        <v/>
      </c>
      <c r="I390" s="104" t="str">
        <f aca="false">IF($B390="","",$I$343+SUMIFS($G$345:$G$395,$M$345:$M$395,"&lt;="&amp;$M390)-SUMIFS($H$345:$H$395,$M$345:$M$395,"&lt;="&amp;$M390))</f>
        <v/>
      </c>
      <c r="J390" s="102"/>
      <c r="K390" s="96"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100"/>
      <c r="D391" s="101" t="str">
        <f aca="false">IF($B391="","","Expense")</f>
        <v/>
      </c>
      <c r="E391" s="15"/>
      <c r="F391" s="102"/>
      <c r="G391" s="102"/>
      <c r="H391" s="103" t="str">
        <f aca="false">IF($B391="","",N($E391))</f>
        <v/>
      </c>
      <c r="I391" s="104" t="str">
        <f aca="false">IF($B391="","",$I$343+SUMIFS($G$345:$G$395,$M$345:$M$395,"&lt;="&amp;$M391)-SUMIFS($H$345:$H$395,$M$345:$M$395,"&lt;="&amp;$M391))</f>
        <v/>
      </c>
      <c r="J391" s="102"/>
      <c r="K391" s="96"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100"/>
      <c r="D392" s="101" t="str">
        <f aca="false">IF($B392="","","Expense")</f>
        <v/>
      </c>
      <c r="E392" s="15"/>
      <c r="F392" s="102"/>
      <c r="G392" s="102"/>
      <c r="H392" s="103" t="str">
        <f aca="false">IF($B392="","",N($E392))</f>
        <v/>
      </c>
      <c r="I392" s="104" t="str">
        <f aca="false">IF($B392="","",$I$343+SUMIFS($G$345:$G$395,$M$345:$M$395,"&lt;="&amp;$M392)-SUMIFS($H$345:$H$395,$M$345:$M$395,"&lt;="&amp;$M392))</f>
        <v/>
      </c>
      <c r="J392" s="102"/>
      <c r="K392" s="96"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100"/>
      <c r="D393" s="101" t="str">
        <f aca="false">IF($B393="","","Expense")</f>
        <v/>
      </c>
      <c r="E393" s="15"/>
      <c r="F393" s="102"/>
      <c r="G393" s="102"/>
      <c r="H393" s="103" t="str">
        <f aca="false">IF($B393="","",N($E393))</f>
        <v/>
      </c>
      <c r="I393" s="104" t="str">
        <f aca="false">IF($B393="","",$I$343+SUMIFS($G$345:$G$395,$M$345:$M$395,"&lt;="&amp;$M393)-SUMIFS($H$345:$H$395,$M$345:$M$395,"&lt;="&amp;$M393))</f>
        <v/>
      </c>
      <c r="J393" s="102"/>
      <c r="K393" s="96"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100"/>
      <c r="D394" s="101" t="str">
        <f aca="false">IF($B394="","","Expense")</f>
        <v/>
      </c>
      <c r="E394" s="15"/>
      <c r="F394" s="102"/>
      <c r="G394" s="102"/>
      <c r="H394" s="103" t="str">
        <f aca="false">IF($B394="","",N($E394))</f>
        <v/>
      </c>
      <c r="I394" s="104" t="str">
        <f aca="false">IF($B394="","",$I$343+SUMIFS($G$345:$G$395,$M$345:$M$395,"&lt;="&amp;$M394)-SUMIFS($H$345:$H$395,$M$345:$M$395,"&lt;="&amp;$M394))</f>
        <v/>
      </c>
      <c r="J394" s="102"/>
      <c r="K394" s="96" t="str">
        <f aca="false">IF($B394="","","ACTUAL")</f>
        <v/>
      </c>
      <c r="L394" s="1" t="str">
        <f aca="false">IF($B394="","",IF($C394="",$E$6+48,$C394))</f>
        <v/>
      </c>
      <c r="M394" s="1" t="str">
        <f aca="false">IF($L394="","",COUNTIFS($L$345:$L$395,"&lt;"&amp;$L394)+COUNTIFS($L$345:$L394,$L394))</f>
        <v/>
      </c>
    </row>
    <row r="395" customFormat="false" ht="15" hidden="false" customHeight="true" outlineLevel="0" collapsed="false">
      <c r="B395" s="105" t="str">
        <f aca="false">"Everyday spending still expected this week"</f>
        <v>Everyday spending still expected this week</v>
      </c>
      <c r="C395" s="106" t="n">
        <f aca="false">$E$6+48</f>
        <v>46297</v>
      </c>
      <c r="D395" s="101" t="str">
        <f aca="false">IF($B395="","","Expense")</f>
        <v>Expense</v>
      </c>
      <c r="E395" s="107" t="n">
        <f aca="false">MAX(0,$E$8-SUM($E$356:$E$394))</f>
        <v>400</v>
      </c>
      <c r="F395" s="102"/>
      <c r="G395" s="102"/>
      <c r="H395" s="103" t="n">
        <f aca="false">IF($B395="","",N($E395))</f>
        <v>400</v>
      </c>
      <c r="I395" s="104" t="n">
        <f aca="false">IF($B395="","",$I$343+SUMIFS($G$345:$G$395,$M$345:$M$395,"&lt;="&amp;$M395)-SUMIFS($H$345:$H$395,$M$345:$M$395,"&lt;="&amp;$M395))</f>
        <v>-162.43</v>
      </c>
      <c r="J395" s="102"/>
      <c r="K395" s="96" t="str">
        <f aca="false">"FORECAST"</f>
        <v>FORECAST</v>
      </c>
      <c r="L395" s="97" t="n">
        <f aca="false">IF($B395="","",IF($C395="",$E$6+48,$C395))</f>
        <v>46297</v>
      </c>
      <c r="M395" s="1" t="n">
        <f aca="false">IF($L395="","",COUNTIFS($L$345:$L$395,"&lt;"&amp;$L395)+COUNTIFS($L$345:$L395,$L395))</f>
        <v>6</v>
      </c>
    </row>
    <row r="396" customFormat="false" ht="15" hidden="false" customHeight="true" outlineLevel="0" collapsed="false">
      <c r="B396" s="108" t="s">
        <v>198</v>
      </c>
      <c r="C396" s="58"/>
      <c r="D396" s="58"/>
      <c r="E396" s="58"/>
      <c r="F396" s="58"/>
      <c r="G396" s="57" t="n">
        <f aca="false">SUM($G$345:$G$395)</f>
        <v>892.65</v>
      </c>
      <c r="H396" s="57" t="n">
        <f aca="false">SUM($H$345:$H$395)</f>
        <v>1043.37</v>
      </c>
      <c r="I396" s="109" t="n">
        <f aca="false">$I$343+$G$396-$H$396</f>
        <v>-162.43</v>
      </c>
      <c r="J396" s="110" t="str">
        <f aca="false">IF($I$396&lt;0,"SHORTFALL",IF($I$396&lt;$E$7,"TIGHT","OK"))</f>
        <v>SHORTFALL</v>
      </c>
      <c r="K396" s="111"/>
      <c r="N396" s="111" t="str">
        <f aca="false">IF(COUNT($I$345:$I$395)=0,"","Lowest point this week: "&amp;TEXT(MIN($I$345:$I$395),"$#,##0.00;-$#,##0.00")&amp;" on "&amp;TEXT(INDEX($C$345:$C$395,MATCH(MIN($I$345:$I$395),$I$345:$I$395,0)),"ddd mmm d")&amp;"     (in "&amp;TEXT($G$396,"$#,##0.00")&amp;", out "&amp;TEXT($H$396,"$#,##0.00")&amp;")")</f>
        <v>Lowest point this week: -$565.08 on Wed Sep 30     (in $892.65, out $1,043.37)</v>
      </c>
    </row>
    <row r="398" customFormat="false" ht="21.75" hidden="false" customHeight="true" outlineLevel="0" collapsed="false">
      <c r="B398" s="82" t="str">
        <f aca="false">"WEEK 8     "&amp;TEXT($E$6+49,"ddd, mmm d")&amp;"   through   "&amp;TEXT($E$6+49+6,"ddd, mmm d, yyyy")</f>
        <v>WEEK 8     Sat, Oct 3   through   Fri, Oct 9, 2026</v>
      </c>
      <c r="C398" s="83"/>
      <c r="D398" s="83"/>
      <c r="E398" s="83"/>
      <c r="F398" s="83"/>
      <c r="G398" s="84" t="s">
        <v>147</v>
      </c>
      <c r="H398" s="83"/>
      <c r="I398" s="85" t="n">
        <f aca="false">$I$396</f>
        <v>-162.43</v>
      </c>
      <c r="J398" s="83"/>
      <c r="K398" s="86"/>
      <c r="N398" s="86" t="str">
        <f aca="false">IF(COUNTIF(Schedule!$I$4:$I$483,8)&gt;10,"! "&amp;COUNTIF(Schedule!$I$4:$I$483,8)-10&amp;" more transaction(s) fall in this week than there are rows to show them.","")</f>
        <v/>
      </c>
    </row>
    <row r="399" customFormat="false" ht="25.5" hidden="false" customHeight="true" outlineLevel="0" collapsed="false">
      <c r="B399" s="87" t="s">
        <v>148</v>
      </c>
      <c r="C399" s="87" t="s">
        <v>149</v>
      </c>
      <c r="D399" s="87" t="s">
        <v>42</v>
      </c>
      <c r="E399" s="87" t="s">
        <v>150</v>
      </c>
      <c r="F399" s="87" t="s">
        <v>151</v>
      </c>
      <c r="G399" s="37" t="s">
        <v>152</v>
      </c>
      <c r="H399" s="38" t="s">
        <v>153</v>
      </c>
      <c r="I399" s="87" t="s">
        <v>154</v>
      </c>
      <c r="J399" s="87" t="s">
        <v>14</v>
      </c>
      <c r="K399" s="87" t="s">
        <v>155</v>
      </c>
    </row>
    <row r="400" customFormat="false" ht="15" hidden="false" customHeight="true" outlineLevel="0" collapsed="false">
      <c r="B400" s="8" t="str">
        <f aca="false">IFERROR(INDEX(Schedule!$C$4:$C$483,MATCH(8001,Schedule!$K$4:$K$483,0)),"")</f>
        <v>Apple: Claude</v>
      </c>
      <c r="C400" s="88" t="n">
        <f aca="false">IF($B400="","",INDEX(Schedule!$G$4:$G$483,MATCH(8001,Schedule!$K$4:$K$483,0)))</f>
        <v>46299</v>
      </c>
      <c r="D400" s="89" t="str">
        <f aca="false">IF($B400="","",INDEX(Schedule!$D$4:$D$483,MATCH(8001,Schedule!$K$4:$K$483,0)))</f>
        <v>Expense</v>
      </c>
      <c r="E400" s="90" t="n">
        <f aca="false">IF($B400="","",INDEX(Schedule!$E$4:$E$483,MATCH(8001,Schedule!$K$4:$K$483,0)))</f>
        <v>21.1</v>
      </c>
      <c r="F400" s="91"/>
      <c r="G400" s="92" t="str">
        <f aca="false">IF($B400="","",IF($D400="Income",IF($F400&lt;&gt;"",$F400,IF(COUNTIFS('Paid Log'!$B$9:$B$308,$C400,'Paid Log'!$C$9:$C$308,$B400)&gt;0,SUMIFS('Paid Log'!$D$9:$D$308,'Paid Log'!$B$9:$B$308,$C400,'Paid Log'!$C$9:$C$308,$B400),$E400)),""))</f>
        <v/>
      </c>
      <c r="H400" s="93" t="n">
        <f aca="false">IF($B400="","",IF($D400="Income","",IF($F400&lt;&gt;"",$F400,IF(COUNTIFS('Paid Log'!$B$9:$B$308,$C400,'Paid Log'!$C$9:$C$308,$B400)&gt;0,SUMIFS('Paid Log'!$D$9:$D$308,'Paid Log'!$B$9:$B$308,$C400,'Paid Log'!$C$9:$C$308,$B400),$E400))))</f>
        <v>21.1</v>
      </c>
      <c r="I400" s="94" t="n">
        <f aca="false">IF($B400="","",$I$398+SUMIFS($G$400:$G$450,$M$400:$M$450,"&lt;="&amp;$M400)-SUMIFS($H$400:$H$450,$M$400:$M$450,"&lt;="&amp;$M400))</f>
        <v>-183.53</v>
      </c>
      <c r="J400" s="95" t="str">
        <f aca="true">IF($B400="","",IF(OR($F400&lt;&gt;"",COUNTIFS('Paid Log'!$B$9:$B$308,$C400,'Paid Log'!$C$9:$C$308,$B400)&gt;0),IF($C400&gt;TODAY(),"ADJUSTED","PAID"),IF($C400&lt;TODAY(),"PAST DUE",IF($C400&lt;=TODAY()+7,"DUE","Upcoming"))))</f>
        <v>Upcoming</v>
      </c>
      <c r="K400" s="96" t="str">
        <f aca="false">IF($B400="","",IF(OR($F400&lt;&gt;"",COUNTIFS('Paid Log'!$B$9:$B$308,$C400,'Paid Log'!$C$9:$C$308,$B400)&gt;0),"ACTUAL","FORECAST"))</f>
        <v>FORECAST</v>
      </c>
      <c r="L400" s="97"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88" t="n">
        <f aca="false">IF($B401="","",INDEX(Schedule!$G$4:$G$483,MATCH(8002,Schedule!$K$4:$K$483,0)))</f>
        <v>46300</v>
      </c>
      <c r="D401" s="89" t="str">
        <f aca="false">IF($B401="","",INDEX(Schedule!$D$4:$D$483,MATCH(8002,Schedule!$K$4:$K$483,0)))</f>
        <v>Expense</v>
      </c>
      <c r="E401" s="90" t="n">
        <f aca="false">IF($B401="","",INDEX(Schedule!$E$4:$E$483,MATCH(8002,Schedule!$K$4:$K$483,0)))</f>
        <v>20</v>
      </c>
      <c r="F401" s="91"/>
      <c r="G401" s="92" t="str">
        <f aca="false">IF($B401="","",IF($D401="Income",IF($F401&lt;&gt;"",$F401,IF(COUNTIFS('Paid Log'!$B$9:$B$308,$C401,'Paid Log'!$C$9:$C$308,$B401)&gt;0,SUMIFS('Paid Log'!$D$9:$D$308,'Paid Log'!$B$9:$B$308,$C401,'Paid Log'!$C$9:$C$308,$B401),$E401)),""))</f>
        <v/>
      </c>
      <c r="H401" s="93" t="n">
        <f aca="false">IF($B401="","",IF($D401="Income","",IF($F401&lt;&gt;"",$F401,IF(COUNTIFS('Paid Log'!$B$9:$B$308,$C401,'Paid Log'!$C$9:$C$308,$B401)&gt;0,SUMIFS('Paid Log'!$D$9:$D$308,'Paid Log'!$B$9:$B$308,$C401,'Paid Log'!$C$9:$C$308,$B401),$E401))))</f>
        <v>20</v>
      </c>
      <c r="I401" s="94" t="n">
        <f aca="false">IF($B401="","",$I$398+SUMIFS($G$400:$G$450,$M$400:$M$450,"&lt;="&amp;$M401)-SUMIFS($H$400:$H$450,$M$400:$M$450,"&lt;="&amp;$M401))</f>
        <v>-203.53</v>
      </c>
      <c r="J401" s="95" t="str">
        <f aca="true">IF($B401="","",IF(OR($F401&lt;&gt;"",COUNTIFS('Paid Log'!$B$9:$B$308,$C401,'Paid Log'!$C$9:$C$308,$B401)&gt;0),IF($C401&gt;TODAY(),"ADJUSTED","PAID"),IF($C401&lt;TODAY(),"PAST DUE",IF($C401&lt;=TODAY()+7,"DUE","Upcoming"))))</f>
        <v>Upcoming</v>
      </c>
      <c r="K401" s="96" t="str">
        <f aca="false">IF($B401="","",IF(OR($F401&lt;&gt;"",COUNTIFS('Paid Log'!$B$9:$B$308,$C401,'Paid Log'!$C$9:$C$308,$B401)&gt;0),"ACTUAL","FORECAST"))</f>
        <v>FORECAST</v>
      </c>
      <c r="L401" s="97"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88" t="n">
        <f aca="false">IF($B402="","",INDEX(Schedule!$G$4:$G$483,MATCH(8003,Schedule!$K$4:$K$483,0)))</f>
        <v>46300</v>
      </c>
      <c r="D402" s="89" t="str">
        <f aca="false">IF($B402="","",INDEX(Schedule!$D$4:$D$483,MATCH(8003,Schedule!$K$4:$K$483,0)))</f>
        <v>Expense</v>
      </c>
      <c r="E402" s="90" t="n">
        <f aca="false">IF($B402="","",INDEX(Schedule!$E$4:$E$483,MATCH(8003,Schedule!$K$4:$K$483,0)))</f>
        <v>10</v>
      </c>
      <c r="F402" s="91"/>
      <c r="G402" s="92" t="str">
        <f aca="false">IF($B402="","",IF($D402="Income",IF($F402&lt;&gt;"",$F402,IF(COUNTIFS('Paid Log'!$B$9:$B$308,$C402,'Paid Log'!$C$9:$C$308,$B402)&gt;0,SUMIFS('Paid Log'!$D$9:$D$308,'Paid Log'!$B$9:$B$308,$C402,'Paid Log'!$C$9:$C$308,$B402),$E402)),""))</f>
        <v/>
      </c>
      <c r="H402" s="93" t="n">
        <f aca="false">IF($B402="","",IF($D402="Income","",IF($F402&lt;&gt;"",$F402,IF(COUNTIFS('Paid Log'!$B$9:$B$308,$C402,'Paid Log'!$C$9:$C$308,$B402)&gt;0,SUMIFS('Paid Log'!$D$9:$D$308,'Paid Log'!$B$9:$B$308,$C402,'Paid Log'!$C$9:$C$308,$B402),$E402))))</f>
        <v>10</v>
      </c>
      <c r="I402" s="94" t="n">
        <f aca="false">IF($B402="","",$I$398+SUMIFS($G$400:$G$450,$M$400:$M$450,"&lt;="&amp;$M402)-SUMIFS($H$400:$H$450,$M$400:$M$450,"&lt;="&amp;$M402))</f>
        <v>-213.53</v>
      </c>
      <c r="J402" s="95" t="str">
        <f aca="true">IF($B402="","",IF(OR($F402&lt;&gt;"",COUNTIFS('Paid Log'!$B$9:$B$308,$C402,'Paid Log'!$C$9:$C$308,$B402)&gt;0),IF($C402&gt;TODAY(),"ADJUSTED","PAID"),IF($C402&lt;TODAY(),"PAST DUE",IF($C402&lt;=TODAY()+7,"DUE","Upcoming"))))</f>
        <v>Upcoming</v>
      </c>
      <c r="K402" s="96" t="str">
        <f aca="false">IF($B402="","",IF(OR($F402&lt;&gt;"",COUNTIFS('Paid Log'!$B$9:$B$308,$C402,'Paid Log'!$C$9:$C$308,$B402)&gt;0),"ACTUAL","FORECAST"))</f>
        <v>FORECAST</v>
      </c>
      <c r="L402" s="97"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88" t="n">
        <f aca="false">IF($B403="","",INDEX(Schedule!$G$4:$G$483,MATCH(8004,Schedule!$K$4:$K$483,0)))</f>
        <v>46302</v>
      </c>
      <c r="D403" s="89" t="str">
        <f aca="false">IF($B403="","",INDEX(Schedule!$D$4:$D$483,MATCH(8004,Schedule!$K$4:$K$483,0)))</f>
        <v>Income</v>
      </c>
      <c r="E403" s="90" t="n">
        <f aca="false">IF($B403="","",INDEX(Schedule!$E$4:$E$483,MATCH(8004,Schedule!$K$4:$K$483,0)))</f>
        <v>90</v>
      </c>
      <c r="F403" s="91"/>
      <c r="G403" s="92" t="n">
        <f aca="false">IF($B403="","",IF($D403="Income",IF($F403&lt;&gt;"",$F403,IF(COUNTIFS('Paid Log'!$B$9:$B$308,$C403,'Paid Log'!$C$9:$C$308,$B403)&gt;0,SUMIFS('Paid Log'!$D$9:$D$308,'Paid Log'!$B$9:$B$308,$C403,'Paid Log'!$C$9:$C$308,$B403),$E403)),""))</f>
        <v>90</v>
      </c>
      <c r="H403" s="93" t="str">
        <f aca="false">IF($B403="","",IF($D403="Income","",IF($F403&lt;&gt;"",$F403,IF(COUNTIFS('Paid Log'!$B$9:$B$308,$C403,'Paid Log'!$C$9:$C$308,$B403)&gt;0,SUMIFS('Paid Log'!$D$9:$D$308,'Paid Log'!$B$9:$B$308,$C403,'Paid Log'!$C$9:$C$308,$B403),$E403))))</f>
        <v/>
      </c>
      <c r="I403" s="94" t="n">
        <f aca="false">IF($B403="","",$I$398+SUMIFS($G$400:$G$450,$M$400:$M$450,"&lt;="&amp;$M403)-SUMIFS($H$400:$H$450,$M$400:$M$450,"&lt;="&amp;$M403))</f>
        <v>-123.53</v>
      </c>
      <c r="J403" s="95" t="str">
        <f aca="true">IF($B403="","",IF(OR($F403&lt;&gt;"",COUNTIFS('Paid Log'!$B$9:$B$308,$C403,'Paid Log'!$C$9:$C$308,$B403)&gt;0),IF($C403&gt;TODAY(),"ADJUSTED","PAID"),IF($C403&lt;TODAY(),"PAST DUE",IF($C403&lt;=TODAY()+7,"DUE","Upcoming"))))</f>
        <v>Upcoming</v>
      </c>
      <c r="K403" s="96" t="str">
        <f aca="false">IF($B403="","",IF(OR($F403&lt;&gt;"",COUNTIFS('Paid Log'!$B$9:$B$308,$C403,'Paid Log'!$C$9:$C$308,$B403)&gt;0),"ACTUAL","FORECAST"))</f>
        <v>FORECAST</v>
      </c>
      <c r="L403" s="97"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88" t="n">
        <f aca="false">IF($B404="","",INDEX(Schedule!$G$4:$G$483,MATCH(8005,Schedule!$K$4:$K$483,0)))</f>
        <v>46302</v>
      </c>
      <c r="D404" s="89" t="str">
        <f aca="false">IF($B404="","",INDEX(Schedule!$D$4:$D$483,MATCH(8005,Schedule!$K$4:$K$483,0)))</f>
        <v>Expense</v>
      </c>
      <c r="E404" s="90" t="n">
        <f aca="false">IF($B404="","",INDEX(Schedule!$E$4:$E$483,MATCH(8005,Schedule!$K$4:$K$483,0)))</f>
        <v>4.99</v>
      </c>
      <c r="F404" s="91"/>
      <c r="G404" s="92" t="str">
        <f aca="false">IF($B404="","",IF($D404="Income",IF($F404&lt;&gt;"",$F404,IF(COUNTIFS('Paid Log'!$B$9:$B$308,$C404,'Paid Log'!$C$9:$C$308,$B404)&gt;0,SUMIFS('Paid Log'!$D$9:$D$308,'Paid Log'!$B$9:$B$308,$C404,'Paid Log'!$C$9:$C$308,$B404),$E404)),""))</f>
        <v/>
      </c>
      <c r="H404" s="93" t="n">
        <f aca="false">IF($B404="","",IF($D404="Income","",IF($F404&lt;&gt;"",$F404,IF(COUNTIFS('Paid Log'!$B$9:$B$308,$C404,'Paid Log'!$C$9:$C$308,$B404)&gt;0,SUMIFS('Paid Log'!$D$9:$D$308,'Paid Log'!$B$9:$B$308,$C404,'Paid Log'!$C$9:$C$308,$B404),$E404))))</f>
        <v>4.99</v>
      </c>
      <c r="I404" s="94" t="n">
        <f aca="false">IF($B404="","",$I$398+SUMIFS($G$400:$G$450,$M$400:$M$450,"&lt;="&amp;$M404)-SUMIFS($H$400:$H$450,$M$400:$M$450,"&lt;="&amp;$M404))</f>
        <v>-128.52</v>
      </c>
      <c r="J404" s="95" t="str">
        <f aca="true">IF($B404="","",IF(OR($F404&lt;&gt;"",COUNTIFS('Paid Log'!$B$9:$B$308,$C404,'Paid Log'!$C$9:$C$308,$B404)&gt;0),IF($C404&gt;TODAY(),"ADJUSTED","PAID"),IF($C404&lt;TODAY(),"PAST DUE",IF($C404&lt;=TODAY()+7,"DUE","Upcoming"))))</f>
        <v>Upcoming</v>
      </c>
      <c r="K404" s="96" t="str">
        <f aca="false">IF($B404="","",IF(OR($F404&lt;&gt;"",COUNTIFS('Paid Log'!$B$9:$B$308,$C404,'Paid Log'!$C$9:$C$308,$B404)&gt;0),"ACTUAL","FORECAST"))</f>
        <v>FORECAST</v>
      </c>
      <c r="L404" s="97"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88" t="n">
        <f aca="false">IF($B405="","",INDEX(Schedule!$G$4:$G$483,MATCH(8006,Schedule!$K$4:$K$483,0)))</f>
        <v>46302</v>
      </c>
      <c r="D405" s="89" t="str">
        <f aca="false">IF($B405="","",INDEX(Schedule!$D$4:$D$483,MATCH(8006,Schedule!$K$4:$K$483,0)))</f>
        <v>Expense</v>
      </c>
      <c r="E405" s="90" t="n">
        <f aca="false">IF($B405="","",INDEX(Schedule!$E$4:$E$483,MATCH(8006,Schedule!$K$4:$K$483,0)))</f>
        <v>500</v>
      </c>
      <c r="F405" s="91"/>
      <c r="G405" s="92" t="str">
        <f aca="false">IF($B405="","",IF($D405="Income",IF($F405&lt;&gt;"",$F405,IF(COUNTIFS('Paid Log'!$B$9:$B$308,$C405,'Paid Log'!$C$9:$C$308,$B405)&gt;0,SUMIFS('Paid Log'!$D$9:$D$308,'Paid Log'!$B$9:$B$308,$C405,'Paid Log'!$C$9:$C$308,$B405),$E405)),""))</f>
        <v/>
      </c>
      <c r="H405" s="93" t="n">
        <f aca="false">IF($B405="","",IF($D405="Income","",IF($F405&lt;&gt;"",$F405,IF(COUNTIFS('Paid Log'!$B$9:$B$308,$C405,'Paid Log'!$C$9:$C$308,$B405)&gt;0,SUMIFS('Paid Log'!$D$9:$D$308,'Paid Log'!$B$9:$B$308,$C405,'Paid Log'!$C$9:$C$308,$B405),$E405))))</f>
        <v>500</v>
      </c>
      <c r="I405" s="94" t="n">
        <f aca="false">IF($B405="","",$I$398+SUMIFS($G$400:$G$450,$M$400:$M$450,"&lt;="&amp;$M405)-SUMIFS($H$400:$H$450,$M$400:$M$450,"&lt;="&amp;$M405))</f>
        <v>-628.52</v>
      </c>
      <c r="J405" s="95" t="str">
        <f aca="true">IF($B405="","",IF(OR($F405&lt;&gt;"",COUNTIFS('Paid Log'!$B$9:$B$308,$C405,'Paid Log'!$C$9:$C$308,$B405)&gt;0),IF($C405&gt;TODAY(),"ADJUSTED","PAID"),IF($C405&lt;TODAY(),"PAST DUE",IF($C405&lt;=TODAY()+7,"DUE","Upcoming"))))</f>
        <v>Upcoming</v>
      </c>
      <c r="K405" s="96" t="str">
        <f aca="false">IF($B405="","",IF(OR($F405&lt;&gt;"",COUNTIFS('Paid Log'!$B$9:$B$308,$C405,'Paid Log'!$C$9:$C$308,$B405)&gt;0),"ACTUAL","FORECAST"))</f>
        <v>FORECAST</v>
      </c>
      <c r="L405" s="97"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88" t="n">
        <f aca="false">IF($B406="","",INDEX(Schedule!$G$4:$G$483,MATCH(8007,Schedule!$K$4:$K$483,0)))</f>
        <v>46303</v>
      </c>
      <c r="D406" s="89" t="str">
        <f aca="false">IF($B406="","",INDEX(Schedule!$D$4:$D$483,MATCH(8007,Schedule!$K$4:$K$483,0)))</f>
        <v>Expense</v>
      </c>
      <c r="E406" s="90" t="n">
        <f aca="false">IF($B406="","",INDEX(Schedule!$E$4:$E$483,MATCH(8007,Schedule!$K$4:$K$483,0)))</f>
        <v>163.5</v>
      </c>
      <c r="F406" s="91"/>
      <c r="G406" s="92" t="str">
        <f aca="false">IF($B406="","",IF($D406="Income",IF($F406&lt;&gt;"",$F406,IF(COUNTIFS('Paid Log'!$B$9:$B$308,$C406,'Paid Log'!$C$9:$C$308,$B406)&gt;0,SUMIFS('Paid Log'!$D$9:$D$308,'Paid Log'!$B$9:$B$308,$C406,'Paid Log'!$C$9:$C$308,$B406),$E406)),""))</f>
        <v/>
      </c>
      <c r="H406" s="93" t="n">
        <f aca="false">IF($B406="","",IF($D406="Income","",IF($F406&lt;&gt;"",$F406,IF(COUNTIFS('Paid Log'!$B$9:$B$308,$C406,'Paid Log'!$C$9:$C$308,$B406)&gt;0,SUMIFS('Paid Log'!$D$9:$D$308,'Paid Log'!$B$9:$B$308,$C406,'Paid Log'!$C$9:$C$308,$B406),$E406))))</f>
        <v>163.5</v>
      </c>
      <c r="I406" s="94" t="n">
        <f aca="false">IF($B406="","",$I$398+SUMIFS($G$400:$G$450,$M$400:$M$450,"&lt;="&amp;$M406)-SUMIFS($H$400:$H$450,$M$400:$M$450,"&lt;="&amp;$M406))</f>
        <v>-792.02</v>
      </c>
      <c r="J406" s="95" t="str">
        <f aca="true">IF($B406="","",IF(OR($F406&lt;&gt;"",COUNTIFS('Paid Log'!$B$9:$B$308,$C406,'Paid Log'!$C$9:$C$308,$B406)&gt;0),IF($C406&gt;TODAY(),"ADJUSTED","PAID"),IF($C406&lt;TODAY(),"PAST DUE",IF($C406&lt;=TODAY()+7,"DUE","Upcoming"))))</f>
        <v>Upcoming</v>
      </c>
      <c r="K406" s="96" t="str">
        <f aca="false">IF($B406="","",IF(OR($F406&lt;&gt;"",COUNTIFS('Paid Log'!$B$9:$B$308,$C406,'Paid Log'!$C$9:$C$308,$B406)&gt;0),"ACTUAL","FORECAST"))</f>
        <v>FORECAST</v>
      </c>
      <c r="L406" s="97"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88" t="n">
        <f aca="false">IF($B407="","",INDEX(Schedule!$G$4:$G$483,MATCH(8008,Schedule!$K$4:$K$483,0)))</f>
        <v>46304</v>
      </c>
      <c r="D407" s="89" t="str">
        <f aca="false">IF($B407="","",INDEX(Schedule!$D$4:$D$483,MATCH(8008,Schedule!$K$4:$K$483,0)))</f>
        <v>Income</v>
      </c>
      <c r="E407" s="90" t="n">
        <f aca="false">IF($B407="","",INDEX(Schedule!$E$4:$E$483,MATCH(8008,Schedule!$K$4:$K$483,0)))</f>
        <v>802.65</v>
      </c>
      <c r="F407" s="91"/>
      <c r="G407" s="92" t="n">
        <f aca="false">IF($B407="","",IF($D407="Income",IF($F407&lt;&gt;"",$F407,IF(COUNTIFS('Paid Log'!$B$9:$B$308,$C407,'Paid Log'!$C$9:$C$308,$B407)&gt;0,SUMIFS('Paid Log'!$D$9:$D$308,'Paid Log'!$B$9:$B$308,$C407,'Paid Log'!$C$9:$C$308,$B407),$E407)),""))</f>
        <v>802.65</v>
      </c>
      <c r="H407" s="93" t="str">
        <f aca="false">IF($B407="","",IF($D407="Income","",IF($F407&lt;&gt;"",$F407,IF(COUNTIFS('Paid Log'!$B$9:$B$308,$C407,'Paid Log'!$C$9:$C$308,$B407)&gt;0,SUMIFS('Paid Log'!$D$9:$D$308,'Paid Log'!$B$9:$B$308,$C407,'Paid Log'!$C$9:$C$308,$B407),$E407))))</f>
        <v/>
      </c>
      <c r="I407" s="94" t="n">
        <f aca="false">IF($B407="","",$I$398+SUMIFS($G$400:$G$450,$M$400:$M$450,"&lt;="&amp;$M407)-SUMIFS($H$400:$H$450,$M$400:$M$450,"&lt;="&amp;$M407))</f>
        <v>10.6300000000001</v>
      </c>
      <c r="J407" s="95" t="str">
        <f aca="true">IF($B407="","",IF(OR($F407&lt;&gt;"",COUNTIFS('Paid Log'!$B$9:$B$308,$C407,'Paid Log'!$C$9:$C$308,$B407)&gt;0),IF($C407&gt;TODAY(),"ADJUSTED","PAID"),IF($C407&lt;TODAY(),"PAST DUE",IF($C407&lt;=TODAY()+7,"DUE","Upcoming"))))</f>
        <v>Upcoming</v>
      </c>
      <c r="K407" s="96" t="str">
        <f aca="false">IF($B407="","",IF(OR($F407&lt;&gt;"",COUNTIFS('Paid Log'!$B$9:$B$308,$C407,'Paid Log'!$C$9:$C$308,$B407)&gt;0),"ACTUAL","FORECAST"))</f>
        <v>FORECAST</v>
      </c>
      <c r="L407" s="97"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88" t="str">
        <f aca="false">IF($B408="","",INDEX(Schedule!$G$4:$G$483,MATCH(8009,Schedule!$K$4:$K$483,0)))</f>
        <v/>
      </c>
      <c r="D408" s="89" t="str">
        <f aca="false">IF($B408="","",INDEX(Schedule!$D$4:$D$483,MATCH(8009,Schedule!$K$4:$K$483,0)))</f>
        <v/>
      </c>
      <c r="E408" s="90" t="str">
        <f aca="false">IF($B408="","",INDEX(Schedule!$E$4:$E$483,MATCH(8009,Schedule!$K$4:$K$483,0)))</f>
        <v/>
      </c>
      <c r="F408" s="91"/>
      <c r="G408" s="92" t="str">
        <f aca="false">IF($B408="","",IF($D408="Income",IF($F408&lt;&gt;"",$F408,IF(COUNTIFS('Paid Log'!$B$9:$B$308,$C408,'Paid Log'!$C$9:$C$308,$B408)&gt;0,SUMIFS('Paid Log'!$D$9:$D$308,'Paid Log'!$B$9:$B$308,$C408,'Paid Log'!$C$9:$C$308,$B408),$E408)),""))</f>
        <v/>
      </c>
      <c r="H408" s="93" t="str">
        <f aca="false">IF($B408="","",IF($D408="Income","",IF($F408&lt;&gt;"",$F408,IF(COUNTIFS('Paid Log'!$B$9:$B$308,$C408,'Paid Log'!$C$9:$C$308,$B408)&gt;0,SUMIFS('Paid Log'!$D$9:$D$308,'Paid Log'!$B$9:$B$308,$C408,'Paid Log'!$C$9:$C$308,$B408),$E408))))</f>
        <v/>
      </c>
      <c r="I408" s="94" t="str">
        <f aca="false">IF($B408="","",$I$398+SUMIFS($G$400:$G$450,$M$400:$M$450,"&lt;="&amp;$M408)-SUMIFS($H$400:$H$450,$M$400:$M$450,"&lt;="&amp;$M408))</f>
        <v/>
      </c>
      <c r="J408" s="95" t="str">
        <f aca="true">IF($B408="","",IF(OR($F408&lt;&gt;"",COUNTIFS('Paid Log'!$B$9:$B$308,$C408,'Paid Log'!$C$9:$C$308,$B408)&gt;0),IF($C408&gt;TODAY(),"ADJUSTED","PAID"),IF($C408&lt;TODAY(),"PAST DUE",IF($C408&lt;=TODAY()+7,"DUE","Upcoming"))))</f>
        <v/>
      </c>
      <c r="K408" s="96"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88" t="str">
        <f aca="false">IF($B409="","",INDEX(Schedule!$G$4:$G$483,MATCH(8010,Schedule!$K$4:$K$483,0)))</f>
        <v/>
      </c>
      <c r="D409" s="89" t="str">
        <f aca="false">IF($B409="","",INDEX(Schedule!$D$4:$D$483,MATCH(8010,Schedule!$K$4:$K$483,0)))</f>
        <v/>
      </c>
      <c r="E409" s="90" t="str">
        <f aca="false">IF($B409="","",INDEX(Schedule!$E$4:$E$483,MATCH(8010,Schedule!$K$4:$K$483,0)))</f>
        <v/>
      </c>
      <c r="F409" s="91"/>
      <c r="G409" s="92" t="str">
        <f aca="false">IF($B409="","",IF($D409="Income",IF($F409&lt;&gt;"",$F409,IF(COUNTIFS('Paid Log'!$B$9:$B$308,$C409,'Paid Log'!$C$9:$C$308,$B409)&gt;0,SUMIFS('Paid Log'!$D$9:$D$308,'Paid Log'!$B$9:$B$308,$C409,'Paid Log'!$C$9:$C$308,$B409),$E409)),""))</f>
        <v/>
      </c>
      <c r="H409" s="93" t="str">
        <f aca="false">IF($B409="","",IF($D409="Income","",IF($F409&lt;&gt;"",$F409,IF(COUNTIFS('Paid Log'!$B$9:$B$308,$C409,'Paid Log'!$C$9:$C$308,$B409)&gt;0,SUMIFS('Paid Log'!$D$9:$D$308,'Paid Log'!$B$9:$B$308,$C409,'Paid Log'!$C$9:$C$308,$B409),$E409))))</f>
        <v/>
      </c>
      <c r="I409" s="94" t="str">
        <f aca="false">IF($B409="","",$I$398+SUMIFS($G$400:$G$450,$M$400:$M$450,"&lt;="&amp;$M409)-SUMIFS($H$400:$H$450,$M$400:$M$450,"&lt;="&amp;$M409))</f>
        <v/>
      </c>
      <c r="J409" s="95" t="str">
        <f aca="true">IF($B409="","",IF(OR($F409&lt;&gt;"",COUNTIFS('Paid Log'!$B$9:$B$308,$C409,'Paid Log'!$C$9:$C$308,$B409)&gt;0),IF($C409&gt;TODAY(),"ADJUSTED","PAID"),IF($C409&lt;TODAY(),"PAST DUE",IF($C409&lt;=TODAY()+7,"DUE","Upcoming"))))</f>
        <v/>
      </c>
      <c r="K409" s="96"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98" t="s">
        <v>156</v>
      </c>
      <c r="C410" s="99"/>
      <c r="D410" s="99"/>
      <c r="E410" s="99"/>
      <c r="F410" s="99"/>
      <c r="G410" s="99"/>
      <c r="H410" s="99"/>
      <c r="I410" s="99"/>
      <c r="J410" s="99"/>
    </row>
    <row r="411" customFormat="false" ht="15" hidden="false" customHeight="true" outlineLevel="0" collapsed="false">
      <c r="B411" s="13"/>
      <c r="C411" s="100"/>
      <c r="D411" s="101" t="str">
        <f aca="false">IF($B411="","","Expense")</f>
        <v/>
      </c>
      <c r="E411" s="15"/>
      <c r="F411" s="102"/>
      <c r="G411" s="102"/>
      <c r="H411" s="103" t="str">
        <f aca="false">IF($B411="","",N($E411))</f>
        <v/>
      </c>
      <c r="I411" s="104" t="str">
        <f aca="false">IF($B411="","",$I$398+SUMIFS($G$400:$G$450,$M$400:$M$450,"&lt;="&amp;$M411)-SUMIFS($H$400:$H$450,$M$400:$M$450,"&lt;="&amp;$M411))</f>
        <v/>
      </c>
      <c r="J411" s="102"/>
      <c r="K411" s="96"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100"/>
      <c r="D412" s="101" t="str">
        <f aca="false">IF($B412="","","Expense")</f>
        <v/>
      </c>
      <c r="E412" s="15"/>
      <c r="F412" s="102"/>
      <c r="G412" s="102"/>
      <c r="H412" s="103" t="str">
        <f aca="false">IF($B412="","",N($E412))</f>
        <v/>
      </c>
      <c r="I412" s="104" t="str">
        <f aca="false">IF($B412="","",$I$398+SUMIFS($G$400:$G$450,$M$400:$M$450,"&lt;="&amp;$M412)-SUMIFS($H$400:$H$450,$M$400:$M$450,"&lt;="&amp;$M412))</f>
        <v/>
      </c>
      <c r="J412" s="102"/>
      <c r="K412" s="96"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100"/>
      <c r="D413" s="101" t="str">
        <f aca="false">IF($B413="","","Expense")</f>
        <v/>
      </c>
      <c r="E413" s="15"/>
      <c r="F413" s="102"/>
      <c r="G413" s="102"/>
      <c r="H413" s="103" t="str">
        <f aca="false">IF($B413="","",N($E413))</f>
        <v/>
      </c>
      <c r="I413" s="104" t="str">
        <f aca="false">IF($B413="","",$I$398+SUMIFS($G$400:$G$450,$M$400:$M$450,"&lt;="&amp;$M413)-SUMIFS($H$400:$H$450,$M$400:$M$450,"&lt;="&amp;$M413))</f>
        <v/>
      </c>
      <c r="J413" s="102"/>
      <c r="K413" s="96"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100"/>
      <c r="D414" s="101" t="str">
        <f aca="false">IF($B414="","","Expense")</f>
        <v/>
      </c>
      <c r="E414" s="15"/>
      <c r="F414" s="102"/>
      <c r="G414" s="102"/>
      <c r="H414" s="103" t="str">
        <f aca="false">IF($B414="","",N($E414))</f>
        <v/>
      </c>
      <c r="I414" s="104" t="str">
        <f aca="false">IF($B414="","",$I$398+SUMIFS($G$400:$G$450,$M$400:$M$450,"&lt;="&amp;$M414)-SUMIFS($H$400:$H$450,$M$400:$M$450,"&lt;="&amp;$M414))</f>
        <v/>
      </c>
      <c r="J414" s="102"/>
      <c r="K414" s="96"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100"/>
      <c r="D415" s="101" t="str">
        <f aca="false">IF($B415="","","Expense")</f>
        <v/>
      </c>
      <c r="E415" s="15"/>
      <c r="F415" s="102"/>
      <c r="G415" s="102"/>
      <c r="H415" s="103" t="str">
        <f aca="false">IF($B415="","",N($E415))</f>
        <v/>
      </c>
      <c r="I415" s="104" t="str">
        <f aca="false">IF($B415="","",$I$398+SUMIFS($G$400:$G$450,$M$400:$M$450,"&lt;="&amp;$M415)-SUMIFS($H$400:$H$450,$M$400:$M$450,"&lt;="&amp;$M415))</f>
        <v/>
      </c>
      <c r="J415" s="102"/>
      <c r="K415" s="96"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100"/>
      <c r="D416" s="101" t="str">
        <f aca="false">IF($B416="","","Expense")</f>
        <v/>
      </c>
      <c r="E416" s="15"/>
      <c r="F416" s="102"/>
      <c r="G416" s="102"/>
      <c r="H416" s="103" t="str">
        <f aca="false">IF($B416="","",N($E416))</f>
        <v/>
      </c>
      <c r="I416" s="104" t="str">
        <f aca="false">IF($B416="","",$I$398+SUMIFS($G$400:$G$450,$M$400:$M$450,"&lt;="&amp;$M416)-SUMIFS($H$400:$H$450,$M$400:$M$450,"&lt;="&amp;$M416))</f>
        <v/>
      </c>
      <c r="J416" s="102"/>
      <c r="K416" s="96"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100"/>
      <c r="D417" s="101" t="str">
        <f aca="false">IF($B417="","","Expense")</f>
        <v/>
      </c>
      <c r="E417" s="15"/>
      <c r="F417" s="102"/>
      <c r="G417" s="102"/>
      <c r="H417" s="103" t="str">
        <f aca="false">IF($B417="","",N($E417))</f>
        <v/>
      </c>
      <c r="I417" s="104" t="str">
        <f aca="false">IF($B417="","",$I$398+SUMIFS($G$400:$G$450,$M$400:$M$450,"&lt;="&amp;$M417)-SUMIFS($H$400:$H$450,$M$400:$M$450,"&lt;="&amp;$M417))</f>
        <v/>
      </c>
      <c r="J417" s="102"/>
      <c r="K417" s="96"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100"/>
      <c r="D418" s="101" t="str">
        <f aca="false">IF($B418="","","Expense")</f>
        <v/>
      </c>
      <c r="E418" s="15"/>
      <c r="F418" s="102"/>
      <c r="G418" s="102"/>
      <c r="H418" s="103" t="str">
        <f aca="false">IF($B418="","",N($E418))</f>
        <v/>
      </c>
      <c r="I418" s="104" t="str">
        <f aca="false">IF($B418="","",$I$398+SUMIFS($G$400:$G$450,$M$400:$M$450,"&lt;="&amp;$M418)-SUMIFS($H$400:$H$450,$M$400:$M$450,"&lt;="&amp;$M418))</f>
        <v/>
      </c>
      <c r="J418" s="102"/>
      <c r="K418" s="96"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100"/>
      <c r="D419" s="101" t="str">
        <f aca="false">IF($B419="","","Expense")</f>
        <v/>
      </c>
      <c r="E419" s="15"/>
      <c r="F419" s="102"/>
      <c r="G419" s="102"/>
      <c r="H419" s="103" t="str">
        <f aca="false">IF($B419="","",N($E419))</f>
        <v/>
      </c>
      <c r="I419" s="104" t="str">
        <f aca="false">IF($B419="","",$I$398+SUMIFS($G$400:$G$450,$M$400:$M$450,"&lt;="&amp;$M419)-SUMIFS($H$400:$H$450,$M$400:$M$450,"&lt;="&amp;$M419))</f>
        <v/>
      </c>
      <c r="J419" s="102"/>
      <c r="K419" s="96"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100"/>
      <c r="D420" s="101" t="str">
        <f aca="false">IF($B420="","","Expense")</f>
        <v/>
      </c>
      <c r="E420" s="15"/>
      <c r="F420" s="102"/>
      <c r="G420" s="102"/>
      <c r="H420" s="103" t="str">
        <f aca="false">IF($B420="","",N($E420))</f>
        <v/>
      </c>
      <c r="I420" s="104" t="str">
        <f aca="false">IF($B420="","",$I$398+SUMIFS($G$400:$G$450,$M$400:$M$450,"&lt;="&amp;$M420)-SUMIFS($H$400:$H$450,$M$400:$M$450,"&lt;="&amp;$M420))</f>
        <v/>
      </c>
      <c r="J420" s="102"/>
      <c r="K420" s="96"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100"/>
      <c r="D421" s="101" t="str">
        <f aca="false">IF($B421="","","Expense")</f>
        <v/>
      </c>
      <c r="E421" s="15"/>
      <c r="F421" s="102"/>
      <c r="G421" s="102"/>
      <c r="H421" s="103" t="str">
        <f aca="false">IF($B421="","",N($E421))</f>
        <v/>
      </c>
      <c r="I421" s="104" t="str">
        <f aca="false">IF($B421="","",$I$398+SUMIFS($G$400:$G$450,$M$400:$M$450,"&lt;="&amp;$M421)-SUMIFS($H$400:$H$450,$M$400:$M$450,"&lt;="&amp;$M421))</f>
        <v/>
      </c>
      <c r="J421" s="102"/>
      <c r="K421" s="96"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100"/>
      <c r="D422" s="101" t="str">
        <f aca="false">IF($B422="","","Expense")</f>
        <v/>
      </c>
      <c r="E422" s="15"/>
      <c r="F422" s="102"/>
      <c r="G422" s="102"/>
      <c r="H422" s="103" t="str">
        <f aca="false">IF($B422="","",N($E422))</f>
        <v/>
      </c>
      <c r="I422" s="104" t="str">
        <f aca="false">IF($B422="","",$I$398+SUMIFS($G$400:$G$450,$M$400:$M$450,"&lt;="&amp;$M422)-SUMIFS($H$400:$H$450,$M$400:$M$450,"&lt;="&amp;$M422))</f>
        <v/>
      </c>
      <c r="J422" s="102"/>
      <c r="K422" s="96"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100"/>
      <c r="D423" s="101" t="str">
        <f aca="false">IF($B423="","","Expense")</f>
        <v/>
      </c>
      <c r="E423" s="15"/>
      <c r="F423" s="102"/>
      <c r="G423" s="102"/>
      <c r="H423" s="103" t="str">
        <f aca="false">IF($B423="","",N($E423))</f>
        <v/>
      </c>
      <c r="I423" s="104" t="str">
        <f aca="false">IF($B423="","",$I$398+SUMIFS($G$400:$G$450,$M$400:$M$450,"&lt;="&amp;$M423)-SUMIFS($H$400:$H$450,$M$400:$M$450,"&lt;="&amp;$M423))</f>
        <v/>
      </c>
      <c r="J423" s="102"/>
      <c r="K423" s="96"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100"/>
      <c r="D424" s="101" t="str">
        <f aca="false">IF($B424="","","Expense")</f>
        <v/>
      </c>
      <c r="E424" s="15"/>
      <c r="F424" s="102"/>
      <c r="G424" s="102"/>
      <c r="H424" s="103" t="str">
        <f aca="false">IF($B424="","",N($E424))</f>
        <v/>
      </c>
      <c r="I424" s="104" t="str">
        <f aca="false">IF($B424="","",$I$398+SUMIFS($G$400:$G$450,$M$400:$M$450,"&lt;="&amp;$M424)-SUMIFS($H$400:$H$450,$M$400:$M$450,"&lt;="&amp;$M424))</f>
        <v/>
      </c>
      <c r="J424" s="102"/>
      <c r="K424" s="96"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100"/>
      <c r="D425" s="101" t="str">
        <f aca="false">IF($B425="","","Expense")</f>
        <v/>
      </c>
      <c r="E425" s="15"/>
      <c r="F425" s="102"/>
      <c r="G425" s="102"/>
      <c r="H425" s="103" t="str">
        <f aca="false">IF($B425="","",N($E425))</f>
        <v/>
      </c>
      <c r="I425" s="104" t="str">
        <f aca="false">IF($B425="","",$I$398+SUMIFS($G$400:$G$450,$M$400:$M$450,"&lt;="&amp;$M425)-SUMIFS($H$400:$H$450,$M$400:$M$450,"&lt;="&amp;$M425))</f>
        <v/>
      </c>
      <c r="J425" s="102"/>
      <c r="K425" s="96"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100"/>
      <c r="D426" s="101" t="str">
        <f aca="false">IF($B426="","","Expense")</f>
        <v/>
      </c>
      <c r="E426" s="15"/>
      <c r="F426" s="102"/>
      <c r="G426" s="102"/>
      <c r="H426" s="103" t="str">
        <f aca="false">IF($B426="","",N($E426))</f>
        <v/>
      </c>
      <c r="I426" s="104" t="str">
        <f aca="false">IF($B426="","",$I$398+SUMIFS($G$400:$G$450,$M$400:$M$450,"&lt;="&amp;$M426)-SUMIFS($H$400:$H$450,$M$400:$M$450,"&lt;="&amp;$M426))</f>
        <v/>
      </c>
      <c r="J426" s="102"/>
      <c r="K426" s="96"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100"/>
      <c r="D427" s="101" t="str">
        <f aca="false">IF($B427="","","Expense")</f>
        <v/>
      </c>
      <c r="E427" s="15"/>
      <c r="F427" s="102"/>
      <c r="G427" s="102"/>
      <c r="H427" s="103" t="str">
        <f aca="false">IF($B427="","",N($E427))</f>
        <v/>
      </c>
      <c r="I427" s="104" t="str">
        <f aca="false">IF($B427="","",$I$398+SUMIFS($G$400:$G$450,$M$400:$M$450,"&lt;="&amp;$M427)-SUMIFS($H$400:$H$450,$M$400:$M$450,"&lt;="&amp;$M427))</f>
        <v/>
      </c>
      <c r="J427" s="102"/>
      <c r="K427" s="96"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100"/>
      <c r="D428" s="101" t="str">
        <f aca="false">IF($B428="","","Expense")</f>
        <v/>
      </c>
      <c r="E428" s="15"/>
      <c r="F428" s="102"/>
      <c r="G428" s="102"/>
      <c r="H428" s="103" t="str">
        <f aca="false">IF($B428="","",N($E428))</f>
        <v/>
      </c>
      <c r="I428" s="104" t="str">
        <f aca="false">IF($B428="","",$I$398+SUMIFS($G$400:$G$450,$M$400:$M$450,"&lt;="&amp;$M428)-SUMIFS($H$400:$H$450,$M$400:$M$450,"&lt;="&amp;$M428))</f>
        <v/>
      </c>
      <c r="J428" s="102"/>
      <c r="K428" s="96"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100"/>
      <c r="D429" s="101" t="str">
        <f aca="false">IF($B429="","","Expense")</f>
        <v/>
      </c>
      <c r="E429" s="15"/>
      <c r="F429" s="102"/>
      <c r="G429" s="102"/>
      <c r="H429" s="103" t="str">
        <f aca="false">IF($B429="","",N($E429))</f>
        <v/>
      </c>
      <c r="I429" s="104" t="str">
        <f aca="false">IF($B429="","",$I$398+SUMIFS($G$400:$G$450,$M$400:$M$450,"&lt;="&amp;$M429)-SUMIFS($H$400:$H$450,$M$400:$M$450,"&lt;="&amp;$M429))</f>
        <v/>
      </c>
      <c r="J429" s="102"/>
      <c r="K429" s="96"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100"/>
      <c r="D430" s="101" t="str">
        <f aca="false">IF($B430="","","Expense")</f>
        <v/>
      </c>
      <c r="E430" s="15"/>
      <c r="F430" s="102"/>
      <c r="G430" s="102"/>
      <c r="H430" s="103" t="str">
        <f aca="false">IF($B430="","",N($E430))</f>
        <v/>
      </c>
      <c r="I430" s="104" t="str">
        <f aca="false">IF($B430="","",$I$398+SUMIFS($G$400:$G$450,$M$400:$M$450,"&lt;="&amp;$M430)-SUMIFS($H$400:$H$450,$M$400:$M$450,"&lt;="&amp;$M430))</f>
        <v/>
      </c>
      <c r="J430" s="102"/>
      <c r="K430" s="96"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100"/>
      <c r="D431" s="101" t="str">
        <f aca="false">IF($B431="","","Expense")</f>
        <v/>
      </c>
      <c r="E431" s="15"/>
      <c r="F431" s="102"/>
      <c r="G431" s="102"/>
      <c r="H431" s="103" t="str">
        <f aca="false">IF($B431="","",N($E431))</f>
        <v/>
      </c>
      <c r="I431" s="104" t="str">
        <f aca="false">IF($B431="","",$I$398+SUMIFS($G$400:$G$450,$M$400:$M$450,"&lt;="&amp;$M431)-SUMIFS($H$400:$H$450,$M$400:$M$450,"&lt;="&amp;$M431))</f>
        <v/>
      </c>
      <c r="J431" s="102"/>
      <c r="K431" s="96"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100"/>
      <c r="D432" s="101" t="str">
        <f aca="false">IF($B432="","","Expense")</f>
        <v/>
      </c>
      <c r="E432" s="15"/>
      <c r="F432" s="102"/>
      <c r="G432" s="102"/>
      <c r="H432" s="103" t="str">
        <f aca="false">IF($B432="","",N($E432))</f>
        <v/>
      </c>
      <c r="I432" s="104" t="str">
        <f aca="false">IF($B432="","",$I$398+SUMIFS($G$400:$G$450,$M$400:$M$450,"&lt;="&amp;$M432)-SUMIFS($H$400:$H$450,$M$400:$M$450,"&lt;="&amp;$M432))</f>
        <v/>
      </c>
      <c r="J432" s="102"/>
      <c r="K432" s="96"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100"/>
      <c r="D433" s="101" t="str">
        <f aca="false">IF($B433="","","Expense")</f>
        <v/>
      </c>
      <c r="E433" s="15"/>
      <c r="F433" s="102"/>
      <c r="G433" s="102"/>
      <c r="H433" s="103" t="str">
        <f aca="false">IF($B433="","",N($E433))</f>
        <v/>
      </c>
      <c r="I433" s="104" t="str">
        <f aca="false">IF($B433="","",$I$398+SUMIFS($G$400:$G$450,$M$400:$M$450,"&lt;="&amp;$M433)-SUMIFS($H$400:$H$450,$M$400:$M$450,"&lt;="&amp;$M433))</f>
        <v/>
      </c>
      <c r="J433" s="102"/>
      <c r="K433" s="96"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100"/>
      <c r="D434" s="101" t="str">
        <f aca="false">IF($B434="","","Expense")</f>
        <v/>
      </c>
      <c r="E434" s="15"/>
      <c r="F434" s="102"/>
      <c r="G434" s="102"/>
      <c r="H434" s="103" t="str">
        <f aca="false">IF($B434="","",N($E434))</f>
        <v/>
      </c>
      <c r="I434" s="104" t="str">
        <f aca="false">IF($B434="","",$I$398+SUMIFS($G$400:$G$450,$M$400:$M$450,"&lt;="&amp;$M434)-SUMIFS($H$400:$H$450,$M$400:$M$450,"&lt;="&amp;$M434))</f>
        <v/>
      </c>
      <c r="J434" s="102"/>
      <c r="K434" s="96"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100"/>
      <c r="D435" s="101" t="str">
        <f aca="false">IF($B435="","","Expense")</f>
        <v/>
      </c>
      <c r="E435" s="15"/>
      <c r="F435" s="102"/>
      <c r="G435" s="102"/>
      <c r="H435" s="103" t="str">
        <f aca="false">IF($B435="","",N($E435))</f>
        <v/>
      </c>
      <c r="I435" s="104" t="str">
        <f aca="false">IF($B435="","",$I$398+SUMIFS($G$400:$G$450,$M$400:$M$450,"&lt;="&amp;$M435)-SUMIFS($H$400:$H$450,$M$400:$M$450,"&lt;="&amp;$M435))</f>
        <v/>
      </c>
      <c r="J435" s="102"/>
      <c r="K435" s="96"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100"/>
      <c r="D436" s="101" t="str">
        <f aca="false">IF($B436="","","Expense")</f>
        <v/>
      </c>
      <c r="E436" s="15"/>
      <c r="F436" s="102"/>
      <c r="G436" s="102"/>
      <c r="H436" s="103" t="str">
        <f aca="false">IF($B436="","",N($E436))</f>
        <v/>
      </c>
      <c r="I436" s="104" t="str">
        <f aca="false">IF($B436="","",$I$398+SUMIFS($G$400:$G$450,$M$400:$M$450,"&lt;="&amp;$M436)-SUMIFS($H$400:$H$450,$M$400:$M$450,"&lt;="&amp;$M436))</f>
        <v/>
      </c>
      <c r="J436" s="102"/>
      <c r="K436" s="96"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100"/>
      <c r="D437" s="101" t="str">
        <f aca="false">IF($B437="","","Expense")</f>
        <v/>
      </c>
      <c r="E437" s="15"/>
      <c r="F437" s="102"/>
      <c r="G437" s="102"/>
      <c r="H437" s="103" t="str">
        <f aca="false">IF($B437="","",N($E437))</f>
        <v/>
      </c>
      <c r="I437" s="104" t="str">
        <f aca="false">IF($B437="","",$I$398+SUMIFS($G$400:$G$450,$M$400:$M$450,"&lt;="&amp;$M437)-SUMIFS($H$400:$H$450,$M$400:$M$450,"&lt;="&amp;$M437))</f>
        <v/>
      </c>
      <c r="J437" s="102"/>
      <c r="K437" s="96"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100"/>
      <c r="D438" s="101" t="str">
        <f aca="false">IF($B438="","","Expense")</f>
        <v/>
      </c>
      <c r="E438" s="15"/>
      <c r="F438" s="102"/>
      <c r="G438" s="102"/>
      <c r="H438" s="103" t="str">
        <f aca="false">IF($B438="","",N($E438))</f>
        <v/>
      </c>
      <c r="I438" s="104" t="str">
        <f aca="false">IF($B438="","",$I$398+SUMIFS($G$400:$G$450,$M$400:$M$450,"&lt;="&amp;$M438)-SUMIFS($H$400:$H$450,$M$400:$M$450,"&lt;="&amp;$M438))</f>
        <v/>
      </c>
      <c r="J438" s="102"/>
      <c r="K438" s="96"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100"/>
      <c r="D439" s="101" t="str">
        <f aca="false">IF($B439="","","Expense")</f>
        <v/>
      </c>
      <c r="E439" s="15"/>
      <c r="F439" s="102"/>
      <c r="G439" s="102"/>
      <c r="H439" s="103" t="str">
        <f aca="false">IF($B439="","",N($E439))</f>
        <v/>
      </c>
      <c r="I439" s="104" t="str">
        <f aca="false">IF($B439="","",$I$398+SUMIFS($G$400:$G$450,$M$400:$M$450,"&lt;="&amp;$M439)-SUMIFS($H$400:$H$450,$M$400:$M$450,"&lt;="&amp;$M439))</f>
        <v/>
      </c>
      <c r="J439" s="102"/>
      <c r="K439" s="96"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100"/>
      <c r="D440" s="101" t="str">
        <f aca="false">IF($B440="","","Expense")</f>
        <v/>
      </c>
      <c r="E440" s="15"/>
      <c r="F440" s="102"/>
      <c r="G440" s="102"/>
      <c r="H440" s="103" t="str">
        <f aca="false">IF($B440="","",N($E440))</f>
        <v/>
      </c>
      <c r="I440" s="104" t="str">
        <f aca="false">IF($B440="","",$I$398+SUMIFS($G$400:$G$450,$M$400:$M$450,"&lt;="&amp;$M440)-SUMIFS($H$400:$H$450,$M$400:$M$450,"&lt;="&amp;$M440))</f>
        <v/>
      </c>
      <c r="J440" s="102"/>
      <c r="K440" s="96"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100"/>
      <c r="D441" s="101" t="str">
        <f aca="false">IF($B441="","","Expense")</f>
        <v/>
      </c>
      <c r="E441" s="15"/>
      <c r="F441" s="102"/>
      <c r="G441" s="102"/>
      <c r="H441" s="103" t="str">
        <f aca="false">IF($B441="","",N($E441))</f>
        <v/>
      </c>
      <c r="I441" s="104" t="str">
        <f aca="false">IF($B441="","",$I$398+SUMIFS($G$400:$G$450,$M$400:$M$450,"&lt;="&amp;$M441)-SUMIFS($H$400:$H$450,$M$400:$M$450,"&lt;="&amp;$M441))</f>
        <v/>
      </c>
      <c r="J441" s="102"/>
      <c r="K441" s="96"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100"/>
      <c r="D442" s="101" t="str">
        <f aca="false">IF($B442="","","Expense")</f>
        <v/>
      </c>
      <c r="E442" s="15"/>
      <c r="F442" s="102"/>
      <c r="G442" s="102"/>
      <c r="H442" s="103" t="str">
        <f aca="false">IF($B442="","",N($E442))</f>
        <v/>
      </c>
      <c r="I442" s="104" t="str">
        <f aca="false">IF($B442="","",$I$398+SUMIFS($G$400:$G$450,$M$400:$M$450,"&lt;="&amp;$M442)-SUMIFS($H$400:$H$450,$M$400:$M$450,"&lt;="&amp;$M442))</f>
        <v/>
      </c>
      <c r="J442" s="102"/>
      <c r="K442" s="96"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100"/>
      <c r="D443" s="101" t="str">
        <f aca="false">IF($B443="","","Expense")</f>
        <v/>
      </c>
      <c r="E443" s="15"/>
      <c r="F443" s="102"/>
      <c r="G443" s="102"/>
      <c r="H443" s="103" t="str">
        <f aca="false">IF($B443="","",N($E443))</f>
        <v/>
      </c>
      <c r="I443" s="104" t="str">
        <f aca="false">IF($B443="","",$I$398+SUMIFS($G$400:$G$450,$M$400:$M$450,"&lt;="&amp;$M443)-SUMIFS($H$400:$H$450,$M$400:$M$450,"&lt;="&amp;$M443))</f>
        <v/>
      </c>
      <c r="J443" s="102"/>
      <c r="K443" s="96"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100"/>
      <c r="D444" s="101" t="str">
        <f aca="false">IF($B444="","","Expense")</f>
        <v/>
      </c>
      <c r="E444" s="15"/>
      <c r="F444" s="102"/>
      <c r="G444" s="102"/>
      <c r="H444" s="103" t="str">
        <f aca="false">IF($B444="","",N($E444))</f>
        <v/>
      </c>
      <c r="I444" s="104" t="str">
        <f aca="false">IF($B444="","",$I$398+SUMIFS($G$400:$G$450,$M$400:$M$450,"&lt;="&amp;$M444)-SUMIFS($H$400:$H$450,$M$400:$M$450,"&lt;="&amp;$M444))</f>
        <v/>
      </c>
      <c r="J444" s="102"/>
      <c r="K444" s="96"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100"/>
      <c r="D445" s="101" t="str">
        <f aca="false">IF($B445="","","Expense")</f>
        <v/>
      </c>
      <c r="E445" s="15"/>
      <c r="F445" s="102"/>
      <c r="G445" s="102"/>
      <c r="H445" s="103" t="str">
        <f aca="false">IF($B445="","",N($E445))</f>
        <v/>
      </c>
      <c r="I445" s="104" t="str">
        <f aca="false">IF($B445="","",$I$398+SUMIFS($G$400:$G$450,$M$400:$M$450,"&lt;="&amp;$M445)-SUMIFS($H$400:$H$450,$M$400:$M$450,"&lt;="&amp;$M445))</f>
        <v/>
      </c>
      <c r="J445" s="102"/>
      <c r="K445" s="96"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100"/>
      <c r="D446" s="101" t="str">
        <f aca="false">IF($B446="","","Expense")</f>
        <v/>
      </c>
      <c r="E446" s="15"/>
      <c r="F446" s="102"/>
      <c r="G446" s="102"/>
      <c r="H446" s="103" t="str">
        <f aca="false">IF($B446="","",N($E446))</f>
        <v/>
      </c>
      <c r="I446" s="104" t="str">
        <f aca="false">IF($B446="","",$I$398+SUMIFS($G$400:$G$450,$M$400:$M$450,"&lt;="&amp;$M446)-SUMIFS($H$400:$H$450,$M$400:$M$450,"&lt;="&amp;$M446))</f>
        <v/>
      </c>
      <c r="J446" s="102"/>
      <c r="K446" s="96"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100"/>
      <c r="D447" s="101" t="str">
        <f aca="false">IF($B447="","","Expense")</f>
        <v/>
      </c>
      <c r="E447" s="15"/>
      <c r="F447" s="102"/>
      <c r="G447" s="102"/>
      <c r="H447" s="103" t="str">
        <f aca="false">IF($B447="","",N($E447))</f>
        <v/>
      </c>
      <c r="I447" s="104" t="str">
        <f aca="false">IF($B447="","",$I$398+SUMIFS($G$400:$G$450,$M$400:$M$450,"&lt;="&amp;$M447)-SUMIFS($H$400:$H$450,$M$400:$M$450,"&lt;="&amp;$M447))</f>
        <v/>
      </c>
      <c r="J447" s="102"/>
      <c r="K447" s="96"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100"/>
      <c r="D448" s="101" t="str">
        <f aca="false">IF($B448="","","Expense")</f>
        <v/>
      </c>
      <c r="E448" s="15"/>
      <c r="F448" s="102"/>
      <c r="G448" s="102"/>
      <c r="H448" s="103" t="str">
        <f aca="false">IF($B448="","",N($E448))</f>
        <v/>
      </c>
      <c r="I448" s="104" t="str">
        <f aca="false">IF($B448="","",$I$398+SUMIFS($G$400:$G$450,$M$400:$M$450,"&lt;="&amp;$M448)-SUMIFS($H$400:$H$450,$M$400:$M$450,"&lt;="&amp;$M448))</f>
        <v/>
      </c>
      <c r="J448" s="102"/>
      <c r="K448" s="96"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100"/>
      <c r="D449" s="101" t="str">
        <f aca="false">IF($B449="","","Expense")</f>
        <v/>
      </c>
      <c r="E449" s="15"/>
      <c r="F449" s="102"/>
      <c r="G449" s="102"/>
      <c r="H449" s="103" t="str">
        <f aca="false">IF($B449="","",N($E449))</f>
        <v/>
      </c>
      <c r="I449" s="104" t="str">
        <f aca="false">IF($B449="","",$I$398+SUMIFS($G$400:$G$450,$M$400:$M$450,"&lt;="&amp;$M449)-SUMIFS($H$400:$H$450,$M$400:$M$450,"&lt;="&amp;$M449))</f>
        <v/>
      </c>
      <c r="J449" s="102"/>
      <c r="K449" s="96" t="str">
        <f aca="false">IF($B449="","","ACTUAL")</f>
        <v/>
      </c>
      <c r="L449" s="1" t="str">
        <f aca="false">IF($B449="","",IF($C449="",$E$6+55,$C449))</f>
        <v/>
      </c>
      <c r="M449" s="1" t="str">
        <f aca="false">IF($L449="","",COUNTIFS($L$400:$L$450,"&lt;"&amp;$L449)+COUNTIFS($L$400:$L449,$L449))</f>
        <v/>
      </c>
    </row>
    <row r="450" customFormat="false" ht="15" hidden="false" customHeight="true" outlineLevel="0" collapsed="false">
      <c r="B450" s="105" t="str">
        <f aca="false">"Everyday spending still expected this week"</f>
        <v>Everyday spending still expected this week</v>
      </c>
      <c r="C450" s="106" t="n">
        <f aca="false">$E$6+55</f>
        <v>46304</v>
      </c>
      <c r="D450" s="101" t="str">
        <f aca="false">IF($B450="","","Expense")</f>
        <v>Expense</v>
      </c>
      <c r="E450" s="107" t="n">
        <f aca="false">MAX(0,$E$8-SUM($E$411:$E$449))</f>
        <v>400</v>
      </c>
      <c r="F450" s="102"/>
      <c r="G450" s="102"/>
      <c r="H450" s="103" t="n">
        <f aca="false">IF($B450="","",N($E450))</f>
        <v>400</v>
      </c>
      <c r="I450" s="104" t="n">
        <f aca="false">IF($B450="","",$I$398+SUMIFS($G$400:$G$450,$M$400:$M$450,"&lt;="&amp;$M450)-SUMIFS($H$400:$H$450,$M$400:$M$450,"&lt;="&amp;$M450))</f>
        <v>-389.37</v>
      </c>
      <c r="J450" s="102"/>
      <c r="K450" s="96" t="str">
        <f aca="false">"FORECAST"</f>
        <v>FORECAST</v>
      </c>
      <c r="L450" s="97" t="n">
        <f aca="false">IF($B450="","",IF($C450="",$E$6+55,$C450))</f>
        <v>46304</v>
      </c>
      <c r="M450" s="1" t="n">
        <f aca="false">IF($L450="","",COUNTIFS($L$400:$L$450,"&lt;"&amp;$L450)+COUNTIFS($L$400:$L450,$L450))</f>
        <v>9</v>
      </c>
    </row>
    <row r="451" customFormat="false" ht="15" hidden="false" customHeight="true" outlineLevel="0" collapsed="false">
      <c r="B451" s="108" t="s">
        <v>199</v>
      </c>
      <c r="C451" s="58"/>
      <c r="D451" s="58"/>
      <c r="E451" s="58"/>
      <c r="F451" s="58"/>
      <c r="G451" s="57" t="n">
        <f aca="false">SUM($G$400:$G$450)</f>
        <v>892.65</v>
      </c>
      <c r="H451" s="57" t="n">
        <f aca="false">SUM($H$400:$H$450)</f>
        <v>1119.59</v>
      </c>
      <c r="I451" s="109" t="n">
        <f aca="false">$I$398+$G$451-$H$451</f>
        <v>-389.37</v>
      </c>
      <c r="J451" s="110" t="str">
        <f aca="false">IF($I$451&lt;0,"SHORTFALL",IF($I$451&lt;$E$7,"TIGHT","OK"))</f>
        <v>SHORTFALL</v>
      </c>
      <c r="K451" s="111"/>
      <c r="N451" s="111" t="str">
        <f aca="false">IF(COUNT($I$400:$I$450)=0,"","Lowest point this week: "&amp;TEXT(MIN($I$400:$I$450),"$#,##0.00;-$#,##0.00")&amp;" on "&amp;TEXT(INDEX($C$400:$C$450,MATCH(MIN($I$400:$I$450),$I$400:$I$450,0)),"ddd mmm d")&amp;"     (in "&amp;TEXT($G$451,"$#,##0.00")&amp;", out "&amp;TEXT($H$451,"$#,##0.00")&amp;")")</f>
        <v>Lowest point this week: -$792.02 on Thu Oct 8     (in $892.65, out $1,119.59)</v>
      </c>
    </row>
    <row r="453" customFormat="false" ht="21.75" hidden="false" customHeight="true" outlineLevel="0" collapsed="false">
      <c r="B453" s="82" t="str">
        <f aca="false">"WEEK 9     "&amp;TEXT($E$6+56,"ddd, mmm d")&amp;"   through   "&amp;TEXT($E$6+56+6,"ddd, mmm d, yyyy")</f>
        <v>WEEK 9     Sat, Oct 10   through   Fri, Oct 16, 2026</v>
      </c>
      <c r="C453" s="83"/>
      <c r="D453" s="83"/>
      <c r="E453" s="83"/>
      <c r="F453" s="83"/>
      <c r="G453" s="84" t="s">
        <v>147</v>
      </c>
      <c r="H453" s="83"/>
      <c r="I453" s="85" t="n">
        <f aca="false">$I$451</f>
        <v>-389.37</v>
      </c>
      <c r="J453" s="83"/>
      <c r="K453" s="86"/>
      <c r="N453" s="86" t="str">
        <f aca="false">IF(COUNTIF(Schedule!$I$4:$I$483,9)&gt;10,"! "&amp;COUNTIF(Schedule!$I$4:$I$483,9)-10&amp;" more transaction(s) fall in this week than there are rows to show them.","")</f>
        <v/>
      </c>
    </row>
    <row r="454" customFormat="false" ht="25.5" hidden="false" customHeight="true" outlineLevel="0" collapsed="false">
      <c r="B454" s="87" t="s">
        <v>148</v>
      </c>
      <c r="C454" s="87" t="s">
        <v>149</v>
      </c>
      <c r="D454" s="87" t="s">
        <v>42</v>
      </c>
      <c r="E454" s="87" t="s">
        <v>150</v>
      </c>
      <c r="F454" s="87" t="s">
        <v>151</v>
      </c>
      <c r="G454" s="37" t="s">
        <v>152</v>
      </c>
      <c r="H454" s="38" t="s">
        <v>153</v>
      </c>
      <c r="I454" s="87" t="s">
        <v>154</v>
      </c>
      <c r="J454" s="87" t="s">
        <v>14</v>
      </c>
      <c r="K454" s="87" t="s">
        <v>155</v>
      </c>
    </row>
    <row r="455" customFormat="false" ht="15" hidden="false" customHeight="true" outlineLevel="0" collapsed="false">
      <c r="B455" s="8" t="str">
        <f aca="false">IFERROR(INDEX(Schedule!$C$4:$C$483,MATCH(9001,Schedule!$K$4:$K$483,0)),"")</f>
        <v>Apple: iCloud</v>
      </c>
      <c r="C455" s="88" t="n">
        <f aca="false">IF($B455="","",INDEX(Schedule!$G$4:$G$483,MATCH(9001,Schedule!$K$4:$K$483,0)))</f>
        <v>46308</v>
      </c>
      <c r="D455" s="89" t="str">
        <f aca="false">IF($B455="","",INDEX(Schedule!$D$4:$D$483,MATCH(9001,Schedule!$K$4:$K$483,0)))</f>
        <v>Expense</v>
      </c>
      <c r="E455" s="90" t="n">
        <f aca="false">IF($B455="","",INDEX(Schedule!$E$4:$E$483,MATCH(9001,Schedule!$K$4:$K$483,0)))</f>
        <v>2.99</v>
      </c>
      <c r="F455" s="91"/>
      <c r="G455" s="92" t="str">
        <f aca="false">IF($B455="","",IF($D455="Income",IF($F455&lt;&gt;"",$F455,IF(COUNTIFS('Paid Log'!$B$9:$B$308,$C455,'Paid Log'!$C$9:$C$308,$B455)&gt;0,SUMIFS('Paid Log'!$D$9:$D$308,'Paid Log'!$B$9:$B$308,$C455,'Paid Log'!$C$9:$C$308,$B455),$E455)),""))</f>
        <v/>
      </c>
      <c r="H455" s="93" t="n">
        <f aca="false">IF($B455="","",IF($D455="Income","",IF($F455&lt;&gt;"",$F455,IF(COUNTIFS('Paid Log'!$B$9:$B$308,$C455,'Paid Log'!$C$9:$C$308,$B455)&gt;0,SUMIFS('Paid Log'!$D$9:$D$308,'Paid Log'!$B$9:$B$308,$C455,'Paid Log'!$C$9:$C$308,$B455),$E455))))</f>
        <v>2.99</v>
      </c>
      <c r="I455" s="94" t="n">
        <f aca="false">IF($B455="","",$I$453+SUMIFS($G$455:$G$505,$M$455:$M$505,"&lt;="&amp;$M455)-SUMIFS($H$455:$H$505,$M$455:$M$505,"&lt;="&amp;$M455))</f>
        <v>-392.36</v>
      </c>
      <c r="J455" s="95" t="str">
        <f aca="true">IF($B455="","",IF(OR($F455&lt;&gt;"",COUNTIFS('Paid Log'!$B$9:$B$308,$C455,'Paid Log'!$C$9:$C$308,$B455)&gt;0),IF($C455&gt;TODAY(),"ADJUSTED","PAID"),IF($C455&lt;TODAY(),"PAST DUE",IF($C455&lt;=TODAY()+7,"DUE","Upcoming"))))</f>
        <v>Upcoming</v>
      </c>
      <c r="K455" s="96" t="str">
        <f aca="false">IF($B455="","",IF(OR($F455&lt;&gt;"",COUNTIFS('Paid Log'!$B$9:$B$308,$C455,'Paid Log'!$C$9:$C$308,$B455)&gt;0),"ACTUAL","FORECAST"))</f>
        <v>FORECAST</v>
      </c>
      <c r="L455" s="97"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88" t="n">
        <f aca="false">IF($B456="","",INDEX(Schedule!$G$4:$G$483,MATCH(9002,Schedule!$K$4:$K$483,0)))</f>
        <v>46309</v>
      </c>
      <c r="D456" s="89" t="str">
        <f aca="false">IF($B456="","",INDEX(Schedule!$D$4:$D$483,MATCH(9002,Schedule!$K$4:$K$483,0)))</f>
        <v>Income</v>
      </c>
      <c r="E456" s="90" t="n">
        <f aca="false">IF($B456="","",INDEX(Schedule!$E$4:$E$483,MATCH(9002,Schedule!$K$4:$K$483,0)))</f>
        <v>90</v>
      </c>
      <c r="F456" s="91"/>
      <c r="G456" s="92" t="n">
        <f aca="false">IF($B456="","",IF($D456="Income",IF($F456&lt;&gt;"",$F456,IF(COUNTIFS('Paid Log'!$B$9:$B$308,$C456,'Paid Log'!$C$9:$C$308,$B456)&gt;0,SUMIFS('Paid Log'!$D$9:$D$308,'Paid Log'!$B$9:$B$308,$C456,'Paid Log'!$C$9:$C$308,$B456),$E456)),""))</f>
        <v>90</v>
      </c>
      <c r="H456" s="93" t="str">
        <f aca="false">IF($B456="","",IF($D456="Income","",IF($F456&lt;&gt;"",$F456,IF(COUNTIFS('Paid Log'!$B$9:$B$308,$C456,'Paid Log'!$C$9:$C$308,$B456)&gt;0,SUMIFS('Paid Log'!$D$9:$D$308,'Paid Log'!$B$9:$B$308,$C456,'Paid Log'!$C$9:$C$308,$B456),$E456))))</f>
        <v/>
      </c>
      <c r="I456" s="94" t="n">
        <f aca="false">IF($B456="","",$I$453+SUMIFS($G$455:$G$505,$M$455:$M$505,"&lt;="&amp;$M456)-SUMIFS($H$455:$H$505,$M$455:$M$505,"&lt;="&amp;$M456))</f>
        <v>-302.36</v>
      </c>
      <c r="J456" s="95" t="str">
        <f aca="true">IF($B456="","",IF(OR($F456&lt;&gt;"",COUNTIFS('Paid Log'!$B$9:$B$308,$C456,'Paid Log'!$C$9:$C$308,$B456)&gt;0),IF($C456&gt;TODAY(),"ADJUSTED","PAID"),IF($C456&lt;TODAY(),"PAST DUE",IF($C456&lt;=TODAY()+7,"DUE","Upcoming"))))</f>
        <v>Upcoming</v>
      </c>
      <c r="K456" s="96" t="str">
        <f aca="false">IF($B456="","",IF(OR($F456&lt;&gt;"",COUNTIFS('Paid Log'!$B$9:$B$308,$C456,'Paid Log'!$C$9:$C$308,$B456)&gt;0),"ACTUAL","FORECAST"))</f>
        <v>FORECAST</v>
      </c>
      <c r="L456" s="97"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88" t="n">
        <f aca="false">IF($B457="","",INDEX(Schedule!$G$4:$G$483,MATCH(9003,Schedule!$K$4:$K$483,0)))</f>
        <v>46310</v>
      </c>
      <c r="D457" s="89" t="str">
        <f aca="false">IF($B457="","",INDEX(Schedule!$D$4:$D$483,MATCH(9003,Schedule!$K$4:$K$483,0)))</f>
        <v>Expense</v>
      </c>
      <c r="E457" s="90" t="n">
        <f aca="false">IF($B457="","",INDEX(Schedule!$E$4:$E$483,MATCH(9003,Schedule!$K$4:$K$483,0)))</f>
        <v>350</v>
      </c>
      <c r="F457" s="91"/>
      <c r="G457" s="92" t="str">
        <f aca="false">IF($B457="","",IF($D457="Income",IF($F457&lt;&gt;"",$F457,IF(COUNTIFS('Paid Log'!$B$9:$B$308,$C457,'Paid Log'!$C$9:$C$308,$B457)&gt;0,SUMIFS('Paid Log'!$D$9:$D$308,'Paid Log'!$B$9:$B$308,$C457,'Paid Log'!$C$9:$C$308,$B457),$E457)),""))</f>
        <v/>
      </c>
      <c r="H457" s="93" t="n">
        <f aca="false">IF($B457="","",IF($D457="Income","",IF($F457&lt;&gt;"",$F457,IF(COUNTIFS('Paid Log'!$B$9:$B$308,$C457,'Paid Log'!$C$9:$C$308,$B457)&gt;0,SUMIFS('Paid Log'!$D$9:$D$308,'Paid Log'!$B$9:$B$308,$C457,'Paid Log'!$C$9:$C$308,$B457),$E457))))</f>
        <v>350</v>
      </c>
      <c r="I457" s="94" t="n">
        <f aca="false">IF($B457="","",$I$453+SUMIFS($G$455:$G$505,$M$455:$M$505,"&lt;="&amp;$M457)-SUMIFS($H$455:$H$505,$M$455:$M$505,"&lt;="&amp;$M457))</f>
        <v>-652.36</v>
      </c>
      <c r="J457" s="95" t="str">
        <f aca="true">IF($B457="","",IF(OR($F457&lt;&gt;"",COUNTIFS('Paid Log'!$B$9:$B$308,$C457,'Paid Log'!$C$9:$C$308,$B457)&gt;0),IF($C457&gt;TODAY(),"ADJUSTED","PAID"),IF($C457&lt;TODAY(),"PAST DUE",IF($C457&lt;=TODAY()+7,"DUE","Upcoming"))))</f>
        <v>Upcoming</v>
      </c>
      <c r="K457" s="96" t="str">
        <f aca="false">IF($B457="","",IF(OR($F457&lt;&gt;"",COUNTIFS('Paid Log'!$B$9:$B$308,$C457,'Paid Log'!$C$9:$C$308,$B457)&gt;0),"ACTUAL","FORECAST"))</f>
        <v>FORECAST</v>
      </c>
      <c r="L457" s="97"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88" t="n">
        <f aca="false">IF($B458="","",INDEX(Schedule!$G$4:$G$483,MATCH(9004,Schedule!$K$4:$K$483,0)))</f>
        <v>46311</v>
      </c>
      <c r="D458" s="89" t="str">
        <f aca="false">IF($B458="","",INDEX(Schedule!$D$4:$D$483,MATCH(9004,Schedule!$K$4:$K$483,0)))</f>
        <v>Income</v>
      </c>
      <c r="E458" s="90" t="n">
        <f aca="false">IF($B458="","",INDEX(Schedule!$E$4:$E$483,MATCH(9004,Schedule!$K$4:$K$483,0)))</f>
        <v>802.65</v>
      </c>
      <c r="F458" s="91"/>
      <c r="G458" s="92" t="n">
        <f aca="false">IF($B458="","",IF($D458="Income",IF($F458&lt;&gt;"",$F458,IF(COUNTIFS('Paid Log'!$B$9:$B$308,$C458,'Paid Log'!$C$9:$C$308,$B458)&gt;0,SUMIFS('Paid Log'!$D$9:$D$308,'Paid Log'!$B$9:$B$308,$C458,'Paid Log'!$C$9:$C$308,$B458),$E458)),""))</f>
        <v>802.65</v>
      </c>
      <c r="H458" s="93" t="str">
        <f aca="false">IF($B458="","",IF($D458="Income","",IF($F458&lt;&gt;"",$F458,IF(COUNTIFS('Paid Log'!$B$9:$B$308,$C458,'Paid Log'!$C$9:$C$308,$B458)&gt;0,SUMIFS('Paid Log'!$D$9:$D$308,'Paid Log'!$B$9:$B$308,$C458,'Paid Log'!$C$9:$C$308,$B458),$E458))))</f>
        <v/>
      </c>
      <c r="I458" s="94" t="n">
        <f aca="false">IF($B458="","",$I$453+SUMIFS($G$455:$G$505,$M$455:$M$505,"&lt;="&amp;$M458)-SUMIFS($H$455:$H$505,$M$455:$M$505,"&lt;="&amp;$M458))</f>
        <v>150.29</v>
      </c>
      <c r="J458" s="95" t="str">
        <f aca="true">IF($B458="","",IF(OR($F458&lt;&gt;"",COUNTIFS('Paid Log'!$B$9:$B$308,$C458,'Paid Log'!$C$9:$C$308,$B458)&gt;0),IF($C458&gt;TODAY(),"ADJUSTED","PAID"),IF($C458&lt;TODAY(),"PAST DUE",IF($C458&lt;=TODAY()+7,"DUE","Upcoming"))))</f>
        <v>Upcoming</v>
      </c>
      <c r="K458" s="96" t="str">
        <f aca="false">IF($B458="","",IF(OR($F458&lt;&gt;"",COUNTIFS('Paid Log'!$B$9:$B$308,$C458,'Paid Log'!$C$9:$C$308,$B458)&gt;0),"ACTUAL","FORECAST"))</f>
        <v>FORECAST</v>
      </c>
      <c r="L458" s="97"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88" t="n">
        <f aca="false">IF($B459="","",INDEX(Schedule!$G$4:$G$483,MATCH(9005,Schedule!$K$4:$K$483,0)))</f>
        <v>46311</v>
      </c>
      <c r="D459" s="89" t="str">
        <f aca="false">IF($B459="","",INDEX(Schedule!$D$4:$D$483,MATCH(9005,Schedule!$K$4:$K$483,0)))</f>
        <v>Expense</v>
      </c>
      <c r="E459" s="90" t="n">
        <f aca="false">IF($B459="","",INDEX(Schedule!$E$4:$E$483,MATCH(9005,Schedule!$K$4:$K$483,0)))</f>
        <v>45</v>
      </c>
      <c r="F459" s="91"/>
      <c r="G459" s="92" t="str">
        <f aca="false">IF($B459="","",IF($D459="Income",IF($F459&lt;&gt;"",$F459,IF(COUNTIFS('Paid Log'!$B$9:$B$308,$C459,'Paid Log'!$C$9:$C$308,$B459)&gt;0,SUMIFS('Paid Log'!$D$9:$D$308,'Paid Log'!$B$9:$B$308,$C459,'Paid Log'!$C$9:$C$308,$B459),$E459)),""))</f>
        <v/>
      </c>
      <c r="H459" s="93" t="n">
        <f aca="false">IF($B459="","",IF($D459="Income","",IF($F459&lt;&gt;"",$F459,IF(COUNTIFS('Paid Log'!$B$9:$B$308,$C459,'Paid Log'!$C$9:$C$308,$B459)&gt;0,SUMIFS('Paid Log'!$D$9:$D$308,'Paid Log'!$B$9:$B$308,$C459,'Paid Log'!$C$9:$C$308,$B459),$E459))))</f>
        <v>45</v>
      </c>
      <c r="I459" s="94" t="n">
        <f aca="false">IF($B459="","",$I$453+SUMIFS($G$455:$G$505,$M$455:$M$505,"&lt;="&amp;$M459)-SUMIFS($H$455:$H$505,$M$455:$M$505,"&lt;="&amp;$M459))</f>
        <v>105.29</v>
      </c>
      <c r="J459" s="95" t="str">
        <f aca="true">IF($B459="","",IF(OR($F459&lt;&gt;"",COUNTIFS('Paid Log'!$B$9:$B$308,$C459,'Paid Log'!$C$9:$C$308,$B459)&gt;0),IF($C459&gt;TODAY(),"ADJUSTED","PAID"),IF($C459&lt;TODAY(),"PAST DUE",IF($C459&lt;=TODAY()+7,"DUE","Upcoming"))))</f>
        <v>Upcoming</v>
      </c>
      <c r="K459" s="96" t="str">
        <f aca="false">IF($B459="","",IF(OR($F459&lt;&gt;"",COUNTIFS('Paid Log'!$B$9:$B$308,$C459,'Paid Log'!$C$9:$C$308,$B459)&gt;0),"ACTUAL","FORECAST"))</f>
        <v>FORECAST</v>
      </c>
      <c r="L459" s="97"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88" t="str">
        <f aca="false">IF($B460="","",INDEX(Schedule!$G$4:$G$483,MATCH(9006,Schedule!$K$4:$K$483,0)))</f>
        <v/>
      </c>
      <c r="D460" s="89" t="str">
        <f aca="false">IF($B460="","",INDEX(Schedule!$D$4:$D$483,MATCH(9006,Schedule!$K$4:$K$483,0)))</f>
        <v/>
      </c>
      <c r="E460" s="90" t="str">
        <f aca="false">IF($B460="","",INDEX(Schedule!$E$4:$E$483,MATCH(9006,Schedule!$K$4:$K$483,0)))</f>
        <v/>
      </c>
      <c r="F460" s="91"/>
      <c r="G460" s="92" t="str">
        <f aca="false">IF($B460="","",IF($D460="Income",IF($F460&lt;&gt;"",$F460,IF(COUNTIFS('Paid Log'!$B$9:$B$308,$C460,'Paid Log'!$C$9:$C$308,$B460)&gt;0,SUMIFS('Paid Log'!$D$9:$D$308,'Paid Log'!$B$9:$B$308,$C460,'Paid Log'!$C$9:$C$308,$B460),$E460)),""))</f>
        <v/>
      </c>
      <c r="H460" s="93" t="str">
        <f aca="false">IF($B460="","",IF($D460="Income","",IF($F460&lt;&gt;"",$F460,IF(COUNTIFS('Paid Log'!$B$9:$B$308,$C460,'Paid Log'!$C$9:$C$308,$B460)&gt;0,SUMIFS('Paid Log'!$D$9:$D$308,'Paid Log'!$B$9:$B$308,$C460,'Paid Log'!$C$9:$C$308,$B460),$E460))))</f>
        <v/>
      </c>
      <c r="I460" s="94" t="str">
        <f aca="false">IF($B460="","",$I$453+SUMIFS($G$455:$G$505,$M$455:$M$505,"&lt;="&amp;$M460)-SUMIFS($H$455:$H$505,$M$455:$M$505,"&lt;="&amp;$M460))</f>
        <v/>
      </c>
      <c r="J460" s="95" t="str">
        <f aca="true">IF($B460="","",IF(OR($F460&lt;&gt;"",COUNTIFS('Paid Log'!$B$9:$B$308,$C460,'Paid Log'!$C$9:$C$308,$B460)&gt;0),IF($C460&gt;TODAY(),"ADJUSTED","PAID"),IF($C460&lt;TODAY(),"PAST DUE",IF($C460&lt;=TODAY()+7,"DUE","Upcoming"))))</f>
        <v/>
      </c>
      <c r="K460" s="96" t="str">
        <f aca="false">IF($B460="","",IF(OR($F460&lt;&gt;"",COUNTIFS('Paid Log'!$B$9:$B$308,$C460,'Paid Log'!$C$9:$C$308,$B460)&gt;0),"ACTUAL","FORECAST"))</f>
        <v/>
      </c>
      <c r="L460" s="97"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88" t="str">
        <f aca="false">IF($B461="","",INDEX(Schedule!$G$4:$G$483,MATCH(9007,Schedule!$K$4:$K$483,0)))</f>
        <v/>
      </c>
      <c r="D461" s="89" t="str">
        <f aca="false">IF($B461="","",INDEX(Schedule!$D$4:$D$483,MATCH(9007,Schedule!$K$4:$K$483,0)))</f>
        <v/>
      </c>
      <c r="E461" s="90" t="str">
        <f aca="false">IF($B461="","",INDEX(Schedule!$E$4:$E$483,MATCH(9007,Schedule!$K$4:$K$483,0)))</f>
        <v/>
      </c>
      <c r="F461" s="91"/>
      <c r="G461" s="92" t="str">
        <f aca="false">IF($B461="","",IF($D461="Income",IF($F461&lt;&gt;"",$F461,IF(COUNTIFS('Paid Log'!$B$9:$B$308,$C461,'Paid Log'!$C$9:$C$308,$B461)&gt;0,SUMIFS('Paid Log'!$D$9:$D$308,'Paid Log'!$B$9:$B$308,$C461,'Paid Log'!$C$9:$C$308,$B461),$E461)),""))</f>
        <v/>
      </c>
      <c r="H461" s="93" t="str">
        <f aca="false">IF($B461="","",IF($D461="Income","",IF($F461&lt;&gt;"",$F461,IF(COUNTIFS('Paid Log'!$B$9:$B$308,$C461,'Paid Log'!$C$9:$C$308,$B461)&gt;0,SUMIFS('Paid Log'!$D$9:$D$308,'Paid Log'!$B$9:$B$308,$C461,'Paid Log'!$C$9:$C$308,$B461),$E461))))</f>
        <v/>
      </c>
      <c r="I461" s="94" t="str">
        <f aca="false">IF($B461="","",$I$453+SUMIFS($G$455:$G$505,$M$455:$M$505,"&lt;="&amp;$M461)-SUMIFS($H$455:$H$505,$M$455:$M$505,"&lt;="&amp;$M461))</f>
        <v/>
      </c>
      <c r="J461" s="95" t="str">
        <f aca="true">IF($B461="","",IF(OR($F461&lt;&gt;"",COUNTIFS('Paid Log'!$B$9:$B$308,$C461,'Paid Log'!$C$9:$C$308,$B461)&gt;0),IF($C461&gt;TODAY(),"ADJUSTED","PAID"),IF($C461&lt;TODAY(),"PAST DUE",IF($C461&lt;=TODAY()+7,"DUE","Upcoming"))))</f>
        <v/>
      </c>
      <c r="K461" s="96"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88" t="str">
        <f aca="false">IF($B462="","",INDEX(Schedule!$G$4:$G$483,MATCH(9008,Schedule!$K$4:$K$483,0)))</f>
        <v/>
      </c>
      <c r="D462" s="89" t="str">
        <f aca="false">IF($B462="","",INDEX(Schedule!$D$4:$D$483,MATCH(9008,Schedule!$K$4:$K$483,0)))</f>
        <v/>
      </c>
      <c r="E462" s="90" t="str">
        <f aca="false">IF($B462="","",INDEX(Schedule!$E$4:$E$483,MATCH(9008,Schedule!$K$4:$K$483,0)))</f>
        <v/>
      </c>
      <c r="F462" s="91"/>
      <c r="G462" s="92" t="str">
        <f aca="false">IF($B462="","",IF($D462="Income",IF($F462&lt;&gt;"",$F462,IF(COUNTIFS('Paid Log'!$B$9:$B$308,$C462,'Paid Log'!$C$9:$C$308,$B462)&gt;0,SUMIFS('Paid Log'!$D$9:$D$308,'Paid Log'!$B$9:$B$308,$C462,'Paid Log'!$C$9:$C$308,$B462),$E462)),""))</f>
        <v/>
      </c>
      <c r="H462" s="93" t="str">
        <f aca="false">IF($B462="","",IF($D462="Income","",IF($F462&lt;&gt;"",$F462,IF(COUNTIFS('Paid Log'!$B$9:$B$308,$C462,'Paid Log'!$C$9:$C$308,$B462)&gt;0,SUMIFS('Paid Log'!$D$9:$D$308,'Paid Log'!$B$9:$B$308,$C462,'Paid Log'!$C$9:$C$308,$B462),$E462))))</f>
        <v/>
      </c>
      <c r="I462" s="94" t="str">
        <f aca="false">IF($B462="","",$I$453+SUMIFS($G$455:$G$505,$M$455:$M$505,"&lt;="&amp;$M462)-SUMIFS($H$455:$H$505,$M$455:$M$505,"&lt;="&amp;$M462))</f>
        <v/>
      </c>
      <c r="J462" s="95" t="str">
        <f aca="true">IF($B462="","",IF(OR($F462&lt;&gt;"",COUNTIFS('Paid Log'!$B$9:$B$308,$C462,'Paid Log'!$C$9:$C$308,$B462)&gt;0),IF($C462&gt;TODAY(),"ADJUSTED","PAID"),IF($C462&lt;TODAY(),"PAST DUE",IF($C462&lt;=TODAY()+7,"DUE","Upcoming"))))</f>
        <v/>
      </c>
      <c r="K462" s="96"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88" t="str">
        <f aca="false">IF($B463="","",INDEX(Schedule!$G$4:$G$483,MATCH(9009,Schedule!$K$4:$K$483,0)))</f>
        <v/>
      </c>
      <c r="D463" s="89" t="str">
        <f aca="false">IF($B463="","",INDEX(Schedule!$D$4:$D$483,MATCH(9009,Schedule!$K$4:$K$483,0)))</f>
        <v/>
      </c>
      <c r="E463" s="90" t="str">
        <f aca="false">IF($B463="","",INDEX(Schedule!$E$4:$E$483,MATCH(9009,Schedule!$K$4:$K$483,0)))</f>
        <v/>
      </c>
      <c r="F463" s="91"/>
      <c r="G463" s="92" t="str">
        <f aca="false">IF($B463="","",IF($D463="Income",IF($F463&lt;&gt;"",$F463,IF(COUNTIFS('Paid Log'!$B$9:$B$308,$C463,'Paid Log'!$C$9:$C$308,$B463)&gt;0,SUMIFS('Paid Log'!$D$9:$D$308,'Paid Log'!$B$9:$B$308,$C463,'Paid Log'!$C$9:$C$308,$B463),$E463)),""))</f>
        <v/>
      </c>
      <c r="H463" s="93" t="str">
        <f aca="false">IF($B463="","",IF($D463="Income","",IF($F463&lt;&gt;"",$F463,IF(COUNTIFS('Paid Log'!$B$9:$B$308,$C463,'Paid Log'!$C$9:$C$308,$B463)&gt;0,SUMIFS('Paid Log'!$D$9:$D$308,'Paid Log'!$B$9:$B$308,$C463,'Paid Log'!$C$9:$C$308,$B463),$E463))))</f>
        <v/>
      </c>
      <c r="I463" s="94" t="str">
        <f aca="false">IF($B463="","",$I$453+SUMIFS($G$455:$G$505,$M$455:$M$505,"&lt;="&amp;$M463)-SUMIFS($H$455:$H$505,$M$455:$M$505,"&lt;="&amp;$M463))</f>
        <v/>
      </c>
      <c r="J463" s="95" t="str">
        <f aca="true">IF($B463="","",IF(OR($F463&lt;&gt;"",COUNTIFS('Paid Log'!$B$9:$B$308,$C463,'Paid Log'!$C$9:$C$308,$B463)&gt;0),IF($C463&gt;TODAY(),"ADJUSTED","PAID"),IF($C463&lt;TODAY(),"PAST DUE",IF($C463&lt;=TODAY()+7,"DUE","Upcoming"))))</f>
        <v/>
      </c>
      <c r="K463" s="96"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88" t="str">
        <f aca="false">IF($B464="","",INDEX(Schedule!$G$4:$G$483,MATCH(9010,Schedule!$K$4:$K$483,0)))</f>
        <v/>
      </c>
      <c r="D464" s="89" t="str">
        <f aca="false">IF($B464="","",INDEX(Schedule!$D$4:$D$483,MATCH(9010,Schedule!$K$4:$K$483,0)))</f>
        <v/>
      </c>
      <c r="E464" s="90" t="str">
        <f aca="false">IF($B464="","",INDEX(Schedule!$E$4:$E$483,MATCH(9010,Schedule!$K$4:$K$483,0)))</f>
        <v/>
      </c>
      <c r="F464" s="91"/>
      <c r="G464" s="92" t="str">
        <f aca="false">IF($B464="","",IF($D464="Income",IF($F464&lt;&gt;"",$F464,IF(COUNTIFS('Paid Log'!$B$9:$B$308,$C464,'Paid Log'!$C$9:$C$308,$B464)&gt;0,SUMIFS('Paid Log'!$D$9:$D$308,'Paid Log'!$B$9:$B$308,$C464,'Paid Log'!$C$9:$C$308,$B464),$E464)),""))</f>
        <v/>
      </c>
      <c r="H464" s="93" t="str">
        <f aca="false">IF($B464="","",IF($D464="Income","",IF($F464&lt;&gt;"",$F464,IF(COUNTIFS('Paid Log'!$B$9:$B$308,$C464,'Paid Log'!$C$9:$C$308,$B464)&gt;0,SUMIFS('Paid Log'!$D$9:$D$308,'Paid Log'!$B$9:$B$308,$C464,'Paid Log'!$C$9:$C$308,$B464),$E464))))</f>
        <v/>
      </c>
      <c r="I464" s="94" t="str">
        <f aca="false">IF($B464="","",$I$453+SUMIFS($G$455:$G$505,$M$455:$M$505,"&lt;="&amp;$M464)-SUMIFS($H$455:$H$505,$M$455:$M$505,"&lt;="&amp;$M464))</f>
        <v/>
      </c>
      <c r="J464" s="95" t="str">
        <f aca="true">IF($B464="","",IF(OR($F464&lt;&gt;"",COUNTIFS('Paid Log'!$B$9:$B$308,$C464,'Paid Log'!$C$9:$C$308,$B464)&gt;0),IF($C464&gt;TODAY(),"ADJUSTED","PAID"),IF($C464&lt;TODAY(),"PAST DUE",IF($C464&lt;=TODAY()+7,"DUE","Upcoming"))))</f>
        <v/>
      </c>
      <c r="K464" s="96"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98" t="s">
        <v>156</v>
      </c>
      <c r="C465" s="99"/>
      <c r="D465" s="99"/>
      <c r="E465" s="99"/>
      <c r="F465" s="99"/>
      <c r="G465" s="99"/>
      <c r="H465" s="99"/>
      <c r="I465" s="99"/>
      <c r="J465" s="99"/>
    </row>
    <row r="466" customFormat="false" ht="15" hidden="false" customHeight="true" outlineLevel="0" collapsed="false">
      <c r="B466" s="13"/>
      <c r="C466" s="100"/>
      <c r="D466" s="101" t="str">
        <f aca="false">IF($B466="","","Expense")</f>
        <v/>
      </c>
      <c r="E466" s="15"/>
      <c r="F466" s="102"/>
      <c r="G466" s="102"/>
      <c r="H466" s="103" t="str">
        <f aca="false">IF($B466="","",N($E466))</f>
        <v/>
      </c>
      <c r="I466" s="104" t="str">
        <f aca="false">IF($B466="","",$I$453+SUMIFS($G$455:$G$505,$M$455:$M$505,"&lt;="&amp;$M466)-SUMIFS($H$455:$H$505,$M$455:$M$505,"&lt;="&amp;$M466))</f>
        <v/>
      </c>
      <c r="J466" s="102"/>
      <c r="K466" s="96"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100"/>
      <c r="D467" s="101" t="str">
        <f aca="false">IF($B467="","","Expense")</f>
        <v/>
      </c>
      <c r="E467" s="15"/>
      <c r="F467" s="102"/>
      <c r="G467" s="102"/>
      <c r="H467" s="103" t="str">
        <f aca="false">IF($B467="","",N($E467))</f>
        <v/>
      </c>
      <c r="I467" s="104" t="str">
        <f aca="false">IF($B467="","",$I$453+SUMIFS($G$455:$G$505,$M$455:$M$505,"&lt;="&amp;$M467)-SUMIFS($H$455:$H$505,$M$455:$M$505,"&lt;="&amp;$M467))</f>
        <v/>
      </c>
      <c r="J467" s="102"/>
      <c r="K467" s="96"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100"/>
      <c r="D468" s="101" t="str">
        <f aca="false">IF($B468="","","Expense")</f>
        <v/>
      </c>
      <c r="E468" s="15"/>
      <c r="F468" s="102"/>
      <c r="G468" s="102"/>
      <c r="H468" s="103" t="str">
        <f aca="false">IF($B468="","",N($E468))</f>
        <v/>
      </c>
      <c r="I468" s="104" t="str">
        <f aca="false">IF($B468="","",$I$453+SUMIFS($G$455:$G$505,$M$455:$M$505,"&lt;="&amp;$M468)-SUMIFS($H$455:$H$505,$M$455:$M$505,"&lt;="&amp;$M468))</f>
        <v/>
      </c>
      <c r="J468" s="102"/>
      <c r="K468" s="96"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100"/>
      <c r="D469" s="101" t="str">
        <f aca="false">IF($B469="","","Expense")</f>
        <v/>
      </c>
      <c r="E469" s="15"/>
      <c r="F469" s="102"/>
      <c r="G469" s="102"/>
      <c r="H469" s="103" t="str">
        <f aca="false">IF($B469="","",N($E469))</f>
        <v/>
      </c>
      <c r="I469" s="104" t="str">
        <f aca="false">IF($B469="","",$I$453+SUMIFS($G$455:$G$505,$M$455:$M$505,"&lt;="&amp;$M469)-SUMIFS($H$455:$H$505,$M$455:$M$505,"&lt;="&amp;$M469))</f>
        <v/>
      </c>
      <c r="J469" s="102"/>
      <c r="K469" s="96"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100"/>
      <c r="D470" s="101" t="str">
        <f aca="false">IF($B470="","","Expense")</f>
        <v/>
      </c>
      <c r="E470" s="15"/>
      <c r="F470" s="102"/>
      <c r="G470" s="102"/>
      <c r="H470" s="103" t="str">
        <f aca="false">IF($B470="","",N($E470))</f>
        <v/>
      </c>
      <c r="I470" s="104" t="str">
        <f aca="false">IF($B470="","",$I$453+SUMIFS($G$455:$G$505,$M$455:$M$505,"&lt;="&amp;$M470)-SUMIFS($H$455:$H$505,$M$455:$M$505,"&lt;="&amp;$M470))</f>
        <v/>
      </c>
      <c r="J470" s="102"/>
      <c r="K470" s="96"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100"/>
      <c r="D471" s="101" t="str">
        <f aca="false">IF($B471="","","Expense")</f>
        <v/>
      </c>
      <c r="E471" s="15"/>
      <c r="F471" s="102"/>
      <c r="G471" s="102"/>
      <c r="H471" s="103" t="str">
        <f aca="false">IF($B471="","",N($E471))</f>
        <v/>
      </c>
      <c r="I471" s="104" t="str">
        <f aca="false">IF($B471="","",$I$453+SUMIFS($G$455:$G$505,$M$455:$M$505,"&lt;="&amp;$M471)-SUMIFS($H$455:$H$505,$M$455:$M$505,"&lt;="&amp;$M471))</f>
        <v/>
      </c>
      <c r="J471" s="102"/>
      <c r="K471" s="96"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100"/>
      <c r="D472" s="101" t="str">
        <f aca="false">IF($B472="","","Expense")</f>
        <v/>
      </c>
      <c r="E472" s="15"/>
      <c r="F472" s="102"/>
      <c r="G472" s="102"/>
      <c r="H472" s="103" t="str">
        <f aca="false">IF($B472="","",N($E472))</f>
        <v/>
      </c>
      <c r="I472" s="104" t="str">
        <f aca="false">IF($B472="","",$I$453+SUMIFS($G$455:$G$505,$M$455:$M$505,"&lt;="&amp;$M472)-SUMIFS($H$455:$H$505,$M$455:$M$505,"&lt;="&amp;$M472))</f>
        <v/>
      </c>
      <c r="J472" s="102"/>
      <c r="K472" s="96"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100"/>
      <c r="D473" s="101" t="str">
        <f aca="false">IF($B473="","","Expense")</f>
        <v/>
      </c>
      <c r="E473" s="15"/>
      <c r="F473" s="102"/>
      <c r="G473" s="102"/>
      <c r="H473" s="103" t="str">
        <f aca="false">IF($B473="","",N($E473))</f>
        <v/>
      </c>
      <c r="I473" s="104" t="str">
        <f aca="false">IF($B473="","",$I$453+SUMIFS($G$455:$G$505,$M$455:$M$505,"&lt;="&amp;$M473)-SUMIFS($H$455:$H$505,$M$455:$M$505,"&lt;="&amp;$M473))</f>
        <v/>
      </c>
      <c r="J473" s="102"/>
      <c r="K473" s="96"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100"/>
      <c r="D474" s="101" t="str">
        <f aca="false">IF($B474="","","Expense")</f>
        <v/>
      </c>
      <c r="E474" s="15"/>
      <c r="F474" s="102"/>
      <c r="G474" s="102"/>
      <c r="H474" s="103" t="str">
        <f aca="false">IF($B474="","",N($E474))</f>
        <v/>
      </c>
      <c r="I474" s="104" t="str">
        <f aca="false">IF($B474="","",$I$453+SUMIFS($G$455:$G$505,$M$455:$M$505,"&lt;="&amp;$M474)-SUMIFS($H$455:$H$505,$M$455:$M$505,"&lt;="&amp;$M474))</f>
        <v/>
      </c>
      <c r="J474" s="102"/>
      <c r="K474" s="96"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100"/>
      <c r="D475" s="101" t="str">
        <f aca="false">IF($B475="","","Expense")</f>
        <v/>
      </c>
      <c r="E475" s="15"/>
      <c r="F475" s="102"/>
      <c r="G475" s="102"/>
      <c r="H475" s="103" t="str">
        <f aca="false">IF($B475="","",N($E475))</f>
        <v/>
      </c>
      <c r="I475" s="104" t="str">
        <f aca="false">IF($B475="","",$I$453+SUMIFS($G$455:$G$505,$M$455:$M$505,"&lt;="&amp;$M475)-SUMIFS($H$455:$H$505,$M$455:$M$505,"&lt;="&amp;$M475))</f>
        <v/>
      </c>
      <c r="J475" s="102"/>
      <c r="K475" s="96"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100"/>
      <c r="D476" s="101" t="str">
        <f aca="false">IF($B476="","","Expense")</f>
        <v/>
      </c>
      <c r="E476" s="15"/>
      <c r="F476" s="102"/>
      <c r="G476" s="102"/>
      <c r="H476" s="103" t="str">
        <f aca="false">IF($B476="","",N($E476))</f>
        <v/>
      </c>
      <c r="I476" s="104" t="str">
        <f aca="false">IF($B476="","",$I$453+SUMIFS($G$455:$G$505,$M$455:$M$505,"&lt;="&amp;$M476)-SUMIFS($H$455:$H$505,$M$455:$M$505,"&lt;="&amp;$M476))</f>
        <v/>
      </c>
      <c r="J476" s="102"/>
      <c r="K476" s="96"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100"/>
      <c r="D477" s="101" t="str">
        <f aca="false">IF($B477="","","Expense")</f>
        <v/>
      </c>
      <c r="E477" s="15"/>
      <c r="F477" s="102"/>
      <c r="G477" s="102"/>
      <c r="H477" s="103" t="str">
        <f aca="false">IF($B477="","",N($E477))</f>
        <v/>
      </c>
      <c r="I477" s="104" t="str">
        <f aca="false">IF($B477="","",$I$453+SUMIFS($G$455:$G$505,$M$455:$M$505,"&lt;="&amp;$M477)-SUMIFS($H$455:$H$505,$M$455:$M$505,"&lt;="&amp;$M477))</f>
        <v/>
      </c>
      <c r="J477" s="102"/>
      <c r="K477" s="96"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100"/>
      <c r="D478" s="101" t="str">
        <f aca="false">IF($B478="","","Expense")</f>
        <v/>
      </c>
      <c r="E478" s="15"/>
      <c r="F478" s="102"/>
      <c r="G478" s="102"/>
      <c r="H478" s="103" t="str">
        <f aca="false">IF($B478="","",N($E478))</f>
        <v/>
      </c>
      <c r="I478" s="104" t="str">
        <f aca="false">IF($B478="","",$I$453+SUMIFS($G$455:$G$505,$M$455:$M$505,"&lt;="&amp;$M478)-SUMIFS($H$455:$H$505,$M$455:$M$505,"&lt;="&amp;$M478))</f>
        <v/>
      </c>
      <c r="J478" s="102"/>
      <c r="K478" s="96"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100"/>
      <c r="D479" s="101" t="str">
        <f aca="false">IF($B479="","","Expense")</f>
        <v/>
      </c>
      <c r="E479" s="15"/>
      <c r="F479" s="102"/>
      <c r="G479" s="102"/>
      <c r="H479" s="103" t="str">
        <f aca="false">IF($B479="","",N($E479))</f>
        <v/>
      </c>
      <c r="I479" s="104" t="str">
        <f aca="false">IF($B479="","",$I$453+SUMIFS($G$455:$G$505,$M$455:$M$505,"&lt;="&amp;$M479)-SUMIFS($H$455:$H$505,$M$455:$M$505,"&lt;="&amp;$M479))</f>
        <v/>
      </c>
      <c r="J479" s="102"/>
      <c r="K479" s="96"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100"/>
      <c r="D480" s="101" t="str">
        <f aca="false">IF($B480="","","Expense")</f>
        <v/>
      </c>
      <c r="E480" s="15"/>
      <c r="F480" s="102"/>
      <c r="G480" s="102"/>
      <c r="H480" s="103" t="str">
        <f aca="false">IF($B480="","",N($E480))</f>
        <v/>
      </c>
      <c r="I480" s="104" t="str">
        <f aca="false">IF($B480="","",$I$453+SUMIFS($G$455:$G$505,$M$455:$M$505,"&lt;="&amp;$M480)-SUMIFS($H$455:$H$505,$M$455:$M$505,"&lt;="&amp;$M480))</f>
        <v/>
      </c>
      <c r="J480" s="102"/>
      <c r="K480" s="96"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100"/>
      <c r="D481" s="101" t="str">
        <f aca="false">IF($B481="","","Expense")</f>
        <v/>
      </c>
      <c r="E481" s="15"/>
      <c r="F481" s="102"/>
      <c r="G481" s="102"/>
      <c r="H481" s="103" t="str">
        <f aca="false">IF($B481="","",N($E481))</f>
        <v/>
      </c>
      <c r="I481" s="104" t="str">
        <f aca="false">IF($B481="","",$I$453+SUMIFS($G$455:$G$505,$M$455:$M$505,"&lt;="&amp;$M481)-SUMIFS($H$455:$H$505,$M$455:$M$505,"&lt;="&amp;$M481))</f>
        <v/>
      </c>
      <c r="J481" s="102"/>
      <c r="K481" s="96"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100"/>
      <c r="D482" s="101" t="str">
        <f aca="false">IF($B482="","","Expense")</f>
        <v/>
      </c>
      <c r="E482" s="15"/>
      <c r="F482" s="102"/>
      <c r="G482" s="102"/>
      <c r="H482" s="103" t="str">
        <f aca="false">IF($B482="","",N($E482))</f>
        <v/>
      </c>
      <c r="I482" s="104" t="str">
        <f aca="false">IF($B482="","",$I$453+SUMIFS($G$455:$G$505,$M$455:$M$505,"&lt;="&amp;$M482)-SUMIFS($H$455:$H$505,$M$455:$M$505,"&lt;="&amp;$M482))</f>
        <v/>
      </c>
      <c r="J482" s="102"/>
      <c r="K482" s="96"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100"/>
      <c r="D483" s="101" t="str">
        <f aca="false">IF($B483="","","Expense")</f>
        <v/>
      </c>
      <c r="E483" s="15"/>
      <c r="F483" s="102"/>
      <c r="G483" s="102"/>
      <c r="H483" s="103" t="str">
        <f aca="false">IF($B483="","",N($E483))</f>
        <v/>
      </c>
      <c r="I483" s="104" t="str">
        <f aca="false">IF($B483="","",$I$453+SUMIFS($G$455:$G$505,$M$455:$M$505,"&lt;="&amp;$M483)-SUMIFS($H$455:$H$505,$M$455:$M$505,"&lt;="&amp;$M483))</f>
        <v/>
      </c>
      <c r="J483" s="102"/>
      <c r="K483" s="96"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100"/>
      <c r="D484" s="101" t="str">
        <f aca="false">IF($B484="","","Expense")</f>
        <v/>
      </c>
      <c r="E484" s="15"/>
      <c r="F484" s="102"/>
      <c r="G484" s="102"/>
      <c r="H484" s="103" t="str">
        <f aca="false">IF($B484="","",N($E484))</f>
        <v/>
      </c>
      <c r="I484" s="104" t="str">
        <f aca="false">IF($B484="","",$I$453+SUMIFS($G$455:$G$505,$M$455:$M$505,"&lt;="&amp;$M484)-SUMIFS($H$455:$H$505,$M$455:$M$505,"&lt;="&amp;$M484))</f>
        <v/>
      </c>
      <c r="J484" s="102"/>
      <c r="K484" s="96"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100"/>
      <c r="D485" s="101" t="str">
        <f aca="false">IF($B485="","","Expense")</f>
        <v/>
      </c>
      <c r="E485" s="15"/>
      <c r="F485" s="102"/>
      <c r="G485" s="102"/>
      <c r="H485" s="103" t="str">
        <f aca="false">IF($B485="","",N($E485))</f>
        <v/>
      </c>
      <c r="I485" s="104" t="str">
        <f aca="false">IF($B485="","",$I$453+SUMIFS($G$455:$G$505,$M$455:$M$505,"&lt;="&amp;$M485)-SUMIFS($H$455:$H$505,$M$455:$M$505,"&lt;="&amp;$M485))</f>
        <v/>
      </c>
      <c r="J485" s="102"/>
      <c r="K485" s="96"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100"/>
      <c r="D486" s="101" t="str">
        <f aca="false">IF($B486="","","Expense")</f>
        <v/>
      </c>
      <c r="E486" s="15"/>
      <c r="F486" s="102"/>
      <c r="G486" s="102"/>
      <c r="H486" s="103" t="str">
        <f aca="false">IF($B486="","",N($E486))</f>
        <v/>
      </c>
      <c r="I486" s="104" t="str">
        <f aca="false">IF($B486="","",$I$453+SUMIFS($G$455:$G$505,$M$455:$M$505,"&lt;="&amp;$M486)-SUMIFS($H$455:$H$505,$M$455:$M$505,"&lt;="&amp;$M486))</f>
        <v/>
      </c>
      <c r="J486" s="102"/>
      <c r="K486" s="96"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100"/>
      <c r="D487" s="101" t="str">
        <f aca="false">IF($B487="","","Expense")</f>
        <v/>
      </c>
      <c r="E487" s="15"/>
      <c r="F487" s="102"/>
      <c r="G487" s="102"/>
      <c r="H487" s="103" t="str">
        <f aca="false">IF($B487="","",N($E487))</f>
        <v/>
      </c>
      <c r="I487" s="104" t="str">
        <f aca="false">IF($B487="","",$I$453+SUMIFS($G$455:$G$505,$M$455:$M$505,"&lt;="&amp;$M487)-SUMIFS($H$455:$H$505,$M$455:$M$505,"&lt;="&amp;$M487))</f>
        <v/>
      </c>
      <c r="J487" s="102"/>
      <c r="K487" s="96"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100"/>
      <c r="D488" s="101" t="str">
        <f aca="false">IF($B488="","","Expense")</f>
        <v/>
      </c>
      <c r="E488" s="15"/>
      <c r="F488" s="102"/>
      <c r="G488" s="102"/>
      <c r="H488" s="103" t="str">
        <f aca="false">IF($B488="","",N($E488))</f>
        <v/>
      </c>
      <c r="I488" s="104" t="str">
        <f aca="false">IF($B488="","",$I$453+SUMIFS($G$455:$G$505,$M$455:$M$505,"&lt;="&amp;$M488)-SUMIFS($H$455:$H$505,$M$455:$M$505,"&lt;="&amp;$M488))</f>
        <v/>
      </c>
      <c r="J488" s="102"/>
      <c r="K488" s="96"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100"/>
      <c r="D489" s="101" t="str">
        <f aca="false">IF($B489="","","Expense")</f>
        <v/>
      </c>
      <c r="E489" s="15"/>
      <c r="F489" s="102"/>
      <c r="G489" s="102"/>
      <c r="H489" s="103" t="str">
        <f aca="false">IF($B489="","",N($E489))</f>
        <v/>
      </c>
      <c r="I489" s="104" t="str">
        <f aca="false">IF($B489="","",$I$453+SUMIFS($G$455:$G$505,$M$455:$M$505,"&lt;="&amp;$M489)-SUMIFS($H$455:$H$505,$M$455:$M$505,"&lt;="&amp;$M489))</f>
        <v/>
      </c>
      <c r="J489" s="102"/>
      <c r="K489" s="96"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100"/>
      <c r="D490" s="101" t="str">
        <f aca="false">IF($B490="","","Expense")</f>
        <v/>
      </c>
      <c r="E490" s="15"/>
      <c r="F490" s="102"/>
      <c r="G490" s="102"/>
      <c r="H490" s="103" t="str">
        <f aca="false">IF($B490="","",N($E490))</f>
        <v/>
      </c>
      <c r="I490" s="104" t="str">
        <f aca="false">IF($B490="","",$I$453+SUMIFS($G$455:$G$505,$M$455:$M$505,"&lt;="&amp;$M490)-SUMIFS($H$455:$H$505,$M$455:$M$505,"&lt;="&amp;$M490))</f>
        <v/>
      </c>
      <c r="J490" s="102"/>
      <c r="K490" s="96"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100"/>
      <c r="D491" s="101" t="str">
        <f aca="false">IF($B491="","","Expense")</f>
        <v/>
      </c>
      <c r="E491" s="15"/>
      <c r="F491" s="102"/>
      <c r="G491" s="102"/>
      <c r="H491" s="103" t="str">
        <f aca="false">IF($B491="","",N($E491))</f>
        <v/>
      </c>
      <c r="I491" s="104" t="str">
        <f aca="false">IF($B491="","",$I$453+SUMIFS($G$455:$G$505,$M$455:$M$505,"&lt;="&amp;$M491)-SUMIFS($H$455:$H$505,$M$455:$M$505,"&lt;="&amp;$M491))</f>
        <v/>
      </c>
      <c r="J491" s="102"/>
      <c r="K491" s="96"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100"/>
      <c r="D492" s="101" t="str">
        <f aca="false">IF($B492="","","Expense")</f>
        <v/>
      </c>
      <c r="E492" s="15"/>
      <c r="F492" s="102"/>
      <c r="G492" s="102"/>
      <c r="H492" s="103" t="str">
        <f aca="false">IF($B492="","",N($E492))</f>
        <v/>
      </c>
      <c r="I492" s="104" t="str">
        <f aca="false">IF($B492="","",$I$453+SUMIFS($G$455:$G$505,$M$455:$M$505,"&lt;="&amp;$M492)-SUMIFS($H$455:$H$505,$M$455:$M$505,"&lt;="&amp;$M492))</f>
        <v/>
      </c>
      <c r="J492" s="102"/>
      <c r="K492" s="96"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100"/>
      <c r="D493" s="101" t="str">
        <f aca="false">IF($B493="","","Expense")</f>
        <v/>
      </c>
      <c r="E493" s="15"/>
      <c r="F493" s="102"/>
      <c r="G493" s="102"/>
      <c r="H493" s="103" t="str">
        <f aca="false">IF($B493="","",N($E493))</f>
        <v/>
      </c>
      <c r="I493" s="104" t="str">
        <f aca="false">IF($B493="","",$I$453+SUMIFS($G$455:$G$505,$M$455:$M$505,"&lt;="&amp;$M493)-SUMIFS($H$455:$H$505,$M$455:$M$505,"&lt;="&amp;$M493))</f>
        <v/>
      </c>
      <c r="J493" s="102"/>
      <c r="K493" s="96"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100"/>
      <c r="D494" s="101" t="str">
        <f aca="false">IF($B494="","","Expense")</f>
        <v/>
      </c>
      <c r="E494" s="15"/>
      <c r="F494" s="102"/>
      <c r="G494" s="102"/>
      <c r="H494" s="103" t="str">
        <f aca="false">IF($B494="","",N($E494))</f>
        <v/>
      </c>
      <c r="I494" s="104" t="str">
        <f aca="false">IF($B494="","",$I$453+SUMIFS($G$455:$G$505,$M$455:$M$505,"&lt;="&amp;$M494)-SUMIFS($H$455:$H$505,$M$455:$M$505,"&lt;="&amp;$M494))</f>
        <v/>
      </c>
      <c r="J494" s="102"/>
      <c r="K494" s="96"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100"/>
      <c r="D495" s="101" t="str">
        <f aca="false">IF($B495="","","Expense")</f>
        <v/>
      </c>
      <c r="E495" s="15"/>
      <c r="F495" s="102"/>
      <c r="G495" s="102"/>
      <c r="H495" s="103" t="str">
        <f aca="false">IF($B495="","",N($E495))</f>
        <v/>
      </c>
      <c r="I495" s="104" t="str">
        <f aca="false">IF($B495="","",$I$453+SUMIFS($G$455:$G$505,$M$455:$M$505,"&lt;="&amp;$M495)-SUMIFS($H$455:$H$505,$M$455:$M$505,"&lt;="&amp;$M495))</f>
        <v/>
      </c>
      <c r="J495" s="102"/>
      <c r="K495" s="96"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100"/>
      <c r="D496" s="101" t="str">
        <f aca="false">IF($B496="","","Expense")</f>
        <v/>
      </c>
      <c r="E496" s="15"/>
      <c r="F496" s="102"/>
      <c r="G496" s="102"/>
      <c r="H496" s="103" t="str">
        <f aca="false">IF($B496="","",N($E496))</f>
        <v/>
      </c>
      <c r="I496" s="104" t="str">
        <f aca="false">IF($B496="","",$I$453+SUMIFS($G$455:$G$505,$M$455:$M$505,"&lt;="&amp;$M496)-SUMIFS($H$455:$H$505,$M$455:$M$505,"&lt;="&amp;$M496))</f>
        <v/>
      </c>
      <c r="J496" s="102"/>
      <c r="K496" s="96"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100"/>
      <c r="D497" s="101" t="str">
        <f aca="false">IF($B497="","","Expense")</f>
        <v/>
      </c>
      <c r="E497" s="15"/>
      <c r="F497" s="102"/>
      <c r="G497" s="102"/>
      <c r="H497" s="103" t="str">
        <f aca="false">IF($B497="","",N($E497))</f>
        <v/>
      </c>
      <c r="I497" s="104" t="str">
        <f aca="false">IF($B497="","",$I$453+SUMIFS($G$455:$G$505,$M$455:$M$505,"&lt;="&amp;$M497)-SUMIFS($H$455:$H$505,$M$455:$M$505,"&lt;="&amp;$M497))</f>
        <v/>
      </c>
      <c r="J497" s="102"/>
      <c r="K497" s="96"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100"/>
      <c r="D498" s="101" t="str">
        <f aca="false">IF($B498="","","Expense")</f>
        <v/>
      </c>
      <c r="E498" s="15"/>
      <c r="F498" s="102"/>
      <c r="G498" s="102"/>
      <c r="H498" s="103" t="str">
        <f aca="false">IF($B498="","",N($E498))</f>
        <v/>
      </c>
      <c r="I498" s="104" t="str">
        <f aca="false">IF($B498="","",$I$453+SUMIFS($G$455:$G$505,$M$455:$M$505,"&lt;="&amp;$M498)-SUMIFS($H$455:$H$505,$M$455:$M$505,"&lt;="&amp;$M498))</f>
        <v/>
      </c>
      <c r="J498" s="102"/>
      <c r="K498" s="96"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100"/>
      <c r="D499" s="101" t="str">
        <f aca="false">IF($B499="","","Expense")</f>
        <v/>
      </c>
      <c r="E499" s="15"/>
      <c r="F499" s="102"/>
      <c r="G499" s="102"/>
      <c r="H499" s="103" t="str">
        <f aca="false">IF($B499="","",N($E499))</f>
        <v/>
      </c>
      <c r="I499" s="104" t="str">
        <f aca="false">IF($B499="","",$I$453+SUMIFS($G$455:$G$505,$M$455:$M$505,"&lt;="&amp;$M499)-SUMIFS($H$455:$H$505,$M$455:$M$505,"&lt;="&amp;$M499))</f>
        <v/>
      </c>
      <c r="J499" s="102"/>
      <c r="K499" s="96"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100"/>
      <c r="D500" s="101" t="str">
        <f aca="false">IF($B500="","","Expense")</f>
        <v/>
      </c>
      <c r="E500" s="15"/>
      <c r="F500" s="102"/>
      <c r="G500" s="102"/>
      <c r="H500" s="103" t="str">
        <f aca="false">IF($B500="","",N($E500))</f>
        <v/>
      </c>
      <c r="I500" s="104" t="str">
        <f aca="false">IF($B500="","",$I$453+SUMIFS($G$455:$G$505,$M$455:$M$505,"&lt;="&amp;$M500)-SUMIFS($H$455:$H$505,$M$455:$M$505,"&lt;="&amp;$M500))</f>
        <v/>
      </c>
      <c r="J500" s="102"/>
      <c r="K500" s="96"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100"/>
      <c r="D501" s="101" t="str">
        <f aca="false">IF($B501="","","Expense")</f>
        <v/>
      </c>
      <c r="E501" s="15"/>
      <c r="F501" s="102"/>
      <c r="G501" s="102"/>
      <c r="H501" s="103" t="str">
        <f aca="false">IF($B501="","",N($E501))</f>
        <v/>
      </c>
      <c r="I501" s="104" t="str">
        <f aca="false">IF($B501="","",$I$453+SUMIFS($G$455:$G$505,$M$455:$M$505,"&lt;="&amp;$M501)-SUMIFS($H$455:$H$505,$M$455:$M$505,"&lt;="&amp;$M501))</f>
        <v/>
      </c>
      <c r="J501" s="102"/>
      <c r="K501" s="96"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100"/>
      <c r="D502" s="101" t="str">
        <f aca="false">IF($B502="","","Expense")</f>
        <v/>
      </c>
      <c r="E502" s="15"/>
      <c r="F502" s="102"/>
      <c r="G502" s="102"/>
      <c r="H502" s="103" t="str">
        <f aca="false">IF($B502="","",N($E502))</f>
        <v/>
      </c>
      <c r="I502" s="104" t="str">
        <f aca="false">IF($B502="","",$I$453+SUMIFS($G$455:$G$505,$M$455:$M$505,"&lt;="&amp;$M502)-SUMIFS($H$455:$H$505,$M$455:$M$505,"&lt;="&amp;$M502))</f>
        <v/>
      </c>
      <c r="J502" s="102"/>
      <c r="K502" s="96"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100"/>
      <c r="D503" s="101" t="str">
        <f aca="false">IF($B503="","","Expense")</f>
        <v/>
      </c>
      <c r="E503" s="15"/>
      <c r="F503" s="102"/>
      <c r="G503" s="102"/>
      <c r="H503" s="103" t="str">
        <f aca="false">IF($B503="","",N($E503))</f>
        <v/>
      </c>
      <c r="I503" s="104" t="str">
        <f aca="false">IF($B503="","",$I$453+SUMIFS($G$455:$G$505,$M$455:$M$505,"&lt;="&amp;$M503)-SUMIFS($H$455:$H$505,$M$455:$M$505,"&lt;="&amp;$M503))</f>
        <v/>
      </c>
      <c r="J503" s="102"/>
      <c r="K503" s="96"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100"/>
      <c r="D504" s="101" t="str">
        <f aca="false">IF($B504="","","Expense")</f>
        <v/>
      </c>
      <c r="E504" s="15"/>
      <c r="F504" s="102"/>
      <c r="G504" s="102"/>
      <c r="H504" s="103" t="str">
        <f aca="false">IF($B504="","",N($E504))</f>
        <v/>
      </c>
      <c r="I504" s="104" t="str">
        <f aca="false">IF($B504="","",$I$453+SUMIFS($G$455:$G$505,$M$455:$M$505,"&lt;="&amp;$M504)-SUMIFS($H$455:$H$505,$M$455:$M$505,"&lt;="&amp;$M504))</f>
        <v/>
      </c>
      <c r="J504" s="102"/>
      <c r="K504" s="96" t="str">
        <f aca="false">IF($B504="","","ACTUAL")</f>
        <v/>
      </c>
      <c r="L504" s="1" t="str">
        <f aca="false">IF($B504="","",IF($C504="",$E$6+62,$C504))</f>
        <v/>
      </c>
      <c r="M504" s="1" t="str">
        <f aca="false">IF($L504="","",COUNTIFS($L$455:$L$505,"&lt;"&amp;$L504)+COUNTIFS($L$455:$L504,$L504))</f>
        <v/>
      </c>
    </row>
    <row r="505" customFormat="false" ht="15" hidden="false" customHeight="true" outlineLevel="0" collapsed="false">
      <c r="B505" s="105" t="str">
        <f aca="false">"Everyday spending still expected this week"</f>
        <v>Everyday spending still expected this week</v>
      </c>
      <c r="C505" s="106" t="n">
        <f aca="false">$E$6+62</f>
        <v>46311</v>
      </c>
      <c r="D505" s="101" t="str">
        <f aca="false">IF($B505="","","Expense")</f>
        <v>Expense</v>
      </c>
      <c r="E505" s="107" t="n">
        <f aca="false">MAX(0,$E$8-SUM($E$466:$E$504))</f>
        <v>400</v>
      </c>
      <c r="F505" s="102"/>
      <c r="G505" s="102"/>
      <c r="H505" s="103" t="n">
        <f aca="false">IF($B505="","",N($E505))</f>
        <v>400</v>
      </c>
      <c r="I505" s="104" t="n">
        <f aca="false">IF($B505="","",$I$453+SUMIFS($G$455:$G$505,$M$455:$M$505,"&lt;="&amp;$M505)-SUMIFS($H$455:$H$505,$M$455:$M$505,"&lt;="&amp;$M505))</f>
        <v>-294.71</v>
      </c>
      <c r="J505" s="102"/>
      <c r="K505" s="96" t="str">
        <f aca="false">"FORECAST"</f>
        <v>FORECAST</v>
      </c>
      <c r="L505" s="97" t="n">
        <f aca="false">IF($B505="","",IF($C505="",$E$6+62,$C505))</f>
        <v>46311</v>
      </c>
      <c r="M505" s="1" t="n">
        <f aca="false">IF($L505="","",COUNTIFS($L$455:$L$505,"&lt;"&amp;$L505)+COUNTIFS($L$455:$L505,$L505))</f>
        <v>6</v>
      </c>
    </row>
    <row r="506" customFormat="false" ht="15" hidden="false" customHeight="true" outlineLevel="0" collapsed="false">
      <c r="B506" s="108" t="s">
        <v>200</v>
      </c>
      <c r="C506" s="58"/>
      <c r="D506" s="58"/>
      <c r="E506" s="58"/>
      <c r="F506" s="58"/>
      <c r="G506" s="57" t="n">
        <f aca="false">SUM($G$455:$G$505)</f>
        <v>892.65</v>
      </c>
      <c r="H506" s="57" t="n">
        <f aca="false">SUM($H$455:$H$505)</f>
        <v>797.99</v>
      </c>
      <c r="I506" s="109" t="n">
        <f aca="false">$I$453+$G$506-$H$506</f>
        <v>-294.71</v>
      </c>
      <c r="J506" s="110" t="str">
        <f aca="false">IF($I$506&lt;0,"SHORTFALL",IF($I$506&lt;$E$7,"TIGHT","OK"))</f>
        <v>SHORTFALL</v>
      </c>
      <c r="K506" s="111"/>
      <c r="N506" s="111" t="str">
        <f aca="false">IF(COUNT($I$455:$I$505)=0,"","Lowest point this week: "&amp;TEXT(MIN($I$455:$I$505),"$#,##0.00;-$#,##0.00")&amp;" on "&amp;TEXT(INDEX($C$455:$C$505,MATCH(MIN($I$455:$I$505),$I$455:$I$505,0)),"ddd mmm d")&amp;"     (in "&amp;TEXT($G$506,"$#,##0.00")&amp;", out "&amp;TEXT($H$506,"$#,##0.00")&amp;")")</f>
        <v>Lowest point this week: -$652.36 on Thu Oct 15     (in $892.65, out $797.99)</v>
      </c>
    </row>
    <row r="508" customFormat="false" ht="21.75" hidden="false" customHeight="true" outlineLevel="0" collapsed="false">
      <c r="B508" s="82" t="str">
        <f aca="false">"WEEK 10     "&amp;TEXT($E$6+63,"ddd, mmm d")&amp;"   through   "&amp;TEXT($E$6+63+6,"ddd, mmm d, yyyy")</f>
        <v>WEEK 10     Sat, Oct 17   through   Fri, Oct 23, 2026</v>
      </c>
      <c r="C508" s="83"/>
      <c r="D508" s="83"/>
      <c r="E508" s="83"/>
      <c r="F508" s="83"/>
      <c r="G508" s="84" t="s">
        <v>147</v>
      </c>
      <c r="H508" s="83"/>
      <c r="I508" s="85" t="n">
        <f aca="false">$I$506</f>
        <v>-294.71</v>
      </c>
      <c r="J508" s="83"/>
      <c r="K508" s="86"/>
      <c r="N508" s="86" t="str">
        <f aca="false">IF(COUNTIF(Schedule!$I$4:$I$483,10)&gt;10,"! "&amp;COUNTIF(Schedule!$I$4:$I$483,10)-10&amp;" more transaction(s) fall in this week than there are rows to show them.","")</f>
        <v/>
      </c>
    </row>
    <row r="509" customFormat="false" ht="25.5" hidden="false" customHeight="true" outlineLevel="0" collapsed="false">
      <c r="B509" s="87" t="s">
        <v>148</v>
      </c>
      <c r="C509" s="87" t="s">
        <v>149</v>
      </c>
      <c r="D509" s="87" t="s">
        <v>42</v>
      </c>
      <c r="E509" s="87" t="s">
        <v>150</v>
      </c>
      <c r="F509" s="87" t="s">
        <v>151</v>
      </c>
      <c r="G509" s="37" t="s">
        <v>152</v>
      </c>
      <c r="H509" s="38" t="s">
        <v>153</v>
      </c>
      <c r="I509" s="87" t="s">
        <v>154</v>
      </c>
      <c r="J509" s="87" t="s">
        <v>14</v>
      </c>
      <c r="K509" s="87" t="s">
        <v>155</v>
      </c>
    </row>
    <row r="510" customFormat="false" ht="15" hidden="false" customHeight="true" outlineLevel="0" collapsed="false">
      <c r="B510" s="8" t="str">
        <f aca="false">IFERROR(INDEX(Schedule!$C$4:$C$483,MATCH(10001,Schedule!$K$4:$K$483,0)),"")</f>
        <v>Bruno's Restaurant (paycheck)</v>
      </c>
      <c r="C510" s="88" t="n">
        <f aca="false">IF($B510="","",INDEX(Schedule!$G$4:$G$483,MATCH(10001,Schedule!$K$4:$K$483,0)))</f>
        <v>46316</v>
      </c>
      <c r="D510" s="89" t="str">
        <f aca="false">IF($B510="","",INDEX(Schedule!$D$4:$D$483,MATCH(10001,Schedule!$K$4:$K$483,0)))</f>
        <v>Income</v>
      </c>
      <c r="E510" s="90" t="n">
        <f aca="false">IF($B510="","",INDEX(Schedule!$E$4:$E$483,MATCH(10001,Schedule!$K$4:$K$483,0)))</f>
        <v>90</v>
      </c>
      <c r="F510" s="91"/>
      <c r="G510" s="92" t="n">
        <f aca="false">IF($B510="","",IF($D510="Income",IF($F510&lt;&gt;"",$F510,IF(COUNTIFS('Paid Log'!$B$9:$B$308,$C510,'Paid Log'!$C$9:$C$308,$B510)&gt;0,SUMIFS('Paid Log'!$D$9:$D$308,'Paid Log'!$B$9:$B$308,$C510,'Paid Log'!$C$9:$C$308,$B510),$E510)),""))</f>
        <v>90</v>
      </c>
      <c r="H510" s="93" t="str">
        <f aca="false">IF($B510="","",IF($D510="Income","",IF($F510&lt;&gt;"",$F510,IF(COUNTIFS('Paid Log'!$B$9:$B$308,$C510,'Paid Log'!$C$9:$C$308,$B510)&gt;0,SUMIFS('Paid Log'!$D$9:$D$308,'Paid Log'!$B$9:$B$308,$C510,'Paid Log'!$C$9:$C$308,$B510),$E510))))</f>
        <v/>
      </c>
      <c r="I510" s="94" t="n">
        <f aca="false">IF($B510="","",$I$508+SUMIFS($G$510:$G$560,$M$510:$M$560,"&lt;="&amp;$M510)-SUMIFS($H$510:$H$560,$M$510:$M$560,"&lt;="&amp;$M510))</f>
        <v>-204.71</v>
      </c>
      <c r="J510" s="95" t="str">
        <f aca="true">IF($B510="","",IF(OR($F510&lt;&gt;"",COUNTIFS('Paid Log'!$B$9:$B$308,$C510,'Paid Log'!$C$9:$C$308,$B510)&gt;0),IF($C510&gt;TODAY(),"ADJUSTED","PAID"),IF($C510&lt;TODAY(),"PAST DUE",IF($C510&lt;=TODAY()+7,"DUE","Upcoming"))))</f>
        <v>Upcoming</v>
      </c>
      <c r="K510" s="96" t="str">
        <f aca="false">IF($B510="","",IF(OR($F510&lt;&gt;"",COUNTIFS('Paid Log'!$B$9:$B$308,$C510,'Paid Log'!$C$9:$C$308,$B510)&gt;0),"ACTUAL","FORECAST"))</f>
        <v>FORECAST</v>
      </c>
      <c r="L510" s="97"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88" t="n">
        <f aca="false">IF($B511="","",INDEX(Schedule!$G$4:$G$483,MATCH(10002,Schedule!$K$4:$K$483,0)))</f>
        <v>46316</v>
      </c>
      <c r="D511" s="89" t="str">
        <f aca="false">IF($B511="","",INDEX(Schedule!$D$4:$D$483,MATCH(10002,Schedule!$K$4:$K$483,0)))</f>
        <v>Expense</v>
      </c>
      <c r="E511" s="90" t="n">
        <f aca="false">IF($B511="","",INDEX(Schedule!$E$4:$E$483,MATCH(10002,Schedule!$K$4:$K$483,0)))</f>
        <v>171.1</v>
      </c>
      <c r="F511" s="91"/>
      <c r="G511" s="92" t="str">
        <f aca="false">IF($B511="","",IF($D511="Income",IF($F511&lt;&gt;"",$F511,IF(COUNTIFS('Paid Log'!$B$9:$B$308,$C511,'Paid Log'!$C$9:$C$308,$B511)&gt;0,SUMIFS('Paid Log'!$D$9:$D$308,'Paid Log'!$B$9:$B$308,$C511,'Paid Log'!$C$9:$C$308,$B511),$E511)),""))</f>
        <v/>
      </c>
      <c r="H511" s="93" t="n">
        <f aca="false">IF($B511="","",IF($D511="Income","",IF($F511&lt;&gt;"",$F511,IF(COUNTIFS('Paid Log'!$B$9:$B$308,$C511,'Paid Log'!$C$9:$C$308,$B511)&gt;0,SUMIFS('Paid Log'!$D$9:$D$308,'Paid Log'!$B$9:$B$308,$C511,'Paid Log'!$C$9:$C$308,$B511),$E511))))</f>
        <v>171.1</v>
      </c>
      <c r="I511" s="94" t="n">
        <f aca="false">IF($B511="","",$I$508+SUMIFS($G$510:$G$560,$M$510:$M$560,"&lt;="&amp;$M511)-SUMIFS($H$510:$H$560,$M$510:$M$560,"&lt;="&amp;$M511))</f>
        <v>-375.81</v>
      </c>
      <c r="J511" s="95" t="str">
        <f aca="true">IF($B511="","",IF(OR($F511&lt;&gt;"",COUNTIFS('Paid Log'!$B$9:$B$308,$C511,'Paid Log'!$C$9:$C$308,$B511)&gt;0),IF($C511&gt;TODAY(),"ADJUSTED","PAID"),IF($C511&lt;TODAY(),"PAST DUE",IF($C511&lt;=TODAY()+7,"DUE","Upcoming"))))</f>
        <v>Upcoming</v>
      </c>
      <c r="K511" s="96" t="str">
        <f aca="false">IF($B511="","",IF(OR($F511&lt;&gt;"",COUNTIFS('Paid Log'!$B$9:$B$308,$C511,'Paid Log'!$C$9:$C$308,$B511)&gt;0),"ACTUAL","FORECAST"))</f>
        <v>FORECAST</v>
      </c>
      <c r="L511" s="97"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88" t="n">
        <f aca="false">IF($B512="","",INDEX(Schedule!$G$4:$G$483,MATCH(10003,Schedule!$K$4:$K$483,0)))</f>
        <v>46317</v>
      </c>
      <c r="D512" s="89" t="str">
        <f aca="false">IF($B512="","",INDEX(Schedule!$D$4:$D$483,MATCH(10003,Schedule!$K$4:$K$483,0)))</f>
        <v>Expense</v>
      </c>
      <c r="E512" s="90" t="n">
        <f aca="false">IF($B512="","",INDEX(Schedule!$E$4:$E$483,MATCH(10003,Schedule!$K$4:$K$483,0)))</f>
        <v>13.7</v>
      </c>
      <c r="F512" s="91"/>
      <c r="G512" s="92" t="str">
        <f aca="false">IF($B512="","",IF($D512="Income",IF($F512&lt;&gt;"",$F512,IF(COUNTIFS('Paid Log'!$B$9:$B$308,$C512,'Paid Log'!$C$9:$C$308,$B512)&gt;0,SUMIFS('Paid Log'!$D$9:$D$308,'Paid Log'!$B$9:$B$308,$C512,'Paid Log'!$C$9:$C$308,$B512),$E512)),""))</f>
        <v/>
      </c>
      <c r="H512" s="93" t="n">
        <f aca="false">IF($B512="","",IF($D512="Income","",IF($F512&lt;&gt;"",$F512,IF(COUNTIFS('Paid Log'!$B$9:$B$308,$C512,'Paid Log'!$C$9:$C$308,$B512)&gt;0,SUMIFS('Paid Log'!$D$9:$D$308,'Paid Log'!$B$9:$B$308,$C512,'Paid Log'!$C$9:$C$308,$B512),$E512))))</f>
        <v>13.7</v>
      </c>
      <c r="I512" s="94" t="n">
        <f aca="false">IF($B512="","",$I$508+SUMIFS($G$510:$G$560,$M$510:$M$560,"&lt;="&amp;$M512)-SUMIFS($H$510:$H$560,$M$510:$M$560,"&lt;="&amp;$M512))</f>
        <v>-389.51</v>
      </c>
      <c r="J512" s="95" t="str">
        <f aca="true">IF($B512="","",IF(OR($F512&lt;&gt;"",COUNTIFS('Paid Log'!$B$9:$B$308,$C512,'Paid Log'!$C$9:$C$308,$B512)&gt;0),IF($C512&gt;TODAY(),"ADJUSTED","PAID"),IF($C512&lt;TODAY(),"PAST DUE",IF($C512&lt;=TODAY()+7,"DUE","Upcoming"))))</f>
        <v>Upcoming</v>
      </c>
      <c r="K512" s="96" t="str">
        <f aca="false">IF($B512="","",IF(OR($F512&lt;&gt;"",COUNTIFS('Paid Log'!$B$9:$B$308,$C512,'Paid Log'!$C$9:$C$308,$B512)&gt;0),"ACTUAL","FORECAST"))</f>
        <v>FORECAST</v>
      </c>
      <c r="L512" s="97"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88" t="n">
        <f aca="false">IF($B513="","",INDEX(Schedule!$G$4:$G$483,MATCH(10004,Schedule!$K$4:$K$483,0)))</f>
        <v>46318</v>
      </c>
      <c r="D513" s="89" t="str">
        <f aca="false">IF($B513="","",INDEX(Schedule!$D$4:$D$483,MATCH(10004,Schedule!$K$4:$K$483,0)))</f>
        <v>Income</v>
      </c>
      <c r="E513" s="90" t="n">
        <f aca="false">IF($B513="","",INDEX(Schedule!$E$4:$E$483,MATCH(10004,Schedule!$K$4:$K$483,0)))</f>
        <v>802.65</v>
      </c>
      <c r="F513" s="91"/>
      <c r="G513" s="92" t="n">
        <f aca="false">IF($B513="","",IF($D513="Income",IF($F513&lt;&gt;"",$F513,IF(COUNTIFS('Paid Log'!$B$9:$B$308,$C513,'Paid Log'!$C$9:$C$308,$B513)&gt;0,SUMIFS('Paid Log'!$D$9:$D$308,'Paid Log'!$B$9:$B$308,$C513,'Paid Log'!$C$9:$C$308,$B513),$E513)),""))</f>
        <v>802.65</v>
      </c>
      <c r="H513" s="93" t="str">
        <f aca="false">IF($B513="","",IF($D513="Income","",IF($F513&lt;&gt;"",$F513,IF(COUNTIFS('Paid Log'!$B$9:$B$308,$C513,'Paid Log'!$C$9:$C$308,$B513)&gt;0,SUMIFS('Paid Log'!$D$9:$D$308,'Paid Log'!$B$9:$B$308,$C513,'Paid Log'!$C$9:$C$308,$B513),$E513))))</f>
        <v/>
      </c>
      <c r="I513" s="94" t="n">
        <f aca="false">IF($B513="","",$I$508+SUMIFS($G$510:$G$560,$M$510:$M$560,"&lt;="&amp;$M513)-SUMIFS($H$510:$H$560,$M$510:$M$560,"&lt;="&amp;$M513))</f>
        <v>413.14</v>
      </c>
      <c r="J513" s="95" t="str">
        <f aca="true">IF($B513="","",IF(OR($F513&lt;&gt;"",COUNTIFS('Paid Log'!$B$9:$B$308,$C513,'Paid Log'!$C$9:$C$308,$B513)&gt;0),IF($C513&gt;TODAY(),"ADJUSTED","PAID"),IF($C513&lt;TODAY(),"PAST DUE",IF($C513&lt;=TODAY()+7,"DUE","Upcoming"))))</f>
        <v>Upcoming</v>
      </c>
      <c r="K513" s="96" t="str">
        <f aca="false">IF($B513="","",IF(OR($F513&lt;&gt;"",COUNTIFS('Paid Log'!$B$9:$B$308,$C513,'Paid Log'!$C$9:$C$308,$B513)&gt;0),"ACTUAL","FORECAST"))</f>
        <v>FORECAST</v>
      </c>
      <c r="L513" s="97"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Microsoft (2nd subscription)</v>
      </c>
      <c r="C514" s="88" t="n">
        <f aca="false">IF($B514="","",INDEX(Schedule!$G$4:$G$483,MATCH(10005,Schedule!$K$4:$K$483,0)))</f>
        <v>46318</v>
      </c>
      <c r="D514" s="89" t="str">
        <f aca="false">IF($B514="","",INDEX(Schedule!$D$4:$D$483,MATCH(10005,Schedule!$K$4:$K$483,0)))</f>
        <v>Expense</v>
      </c>
      <c r="E514" s="90" t="n">
        <f aca="false">IF($B514="","",INDEX(Schedule!$E$4:$E$483,MATCH(10005,Schedule!$K$4:$K$483,0)))</f>
        <v>2.39</v>
      </c>
      <c r="F514" s="91"/>
      <c r="G514" s="92" t="str">
        <f aca="false">IF($B514="","",IF($D514="Income",IF($F514&lt;&gt;"",$F514,IF(COUNTIFS('Paid Log'!$B$9:$B$308,$C514,'Paid Log'!$C$9:$C$308,$B514)&gt;0,SUMIFS('Paid Log'!$D$9:$D$308,'Paid Log'!$B$9:$B$308,$C514,'Paid Log'!$C$9:$C$308,$B514),$E514)),""))</f>
        <v/>
      </c>
      <c r="H514" s="93" t="n">
        <f aca="false">IF($B514="","",IF($D514="Income","",IF($F514&lt;&gt;"",$F514,IF(COUNTIFS('Paid Log'!$B$9:$B$308,$C514,'Paid Log'!$C$9:$C$308,$B514)&gt;0,SUMIFS('Paid Log'!$D$9:$D$308,'Paid Log'!$B$9:$B$308,$C514,'Paid Log'!$C$9:$C$308,$B514),$E514))))</f>
        <v>2.39</v>
      </c>
      <c r="I514" s="94" t="n">
        <f aca="false">IF($B514="","",$I$508+SUMIFS($G$510:$G$560,$M$510:$M$560,"&lt;="&amp;$M514)-SUMIFS($H$510:$H$560,$M$510:$M$560,"&lt;="&amp;$M514))</f>
        <v>410.75</v>
      </c>
      <c r="J514" s="95" t="str">
        <f aca="true">IF($B514="","",IF(OR($F514&lt;&gt;"",COUNTIFS('Paid Log'!$B$9:$B$308,$C514,'Paid Log'!$C$9:$C$308,$B514)&gt;0),IF($C514&gt;TODAY(),"ADJUSTED","PAID"),IF($C514&lt;TODAY(),"PAST DUE",IF($C514&lt;=TODAY()+7,"DUE","Upcoming"))))</f>
        <v>Upcoming</v>
      </c>
      <c r="K514" s="96" t="str">
        <f aca="false">IF($B514="","",IF(OR($F514&lt;&gt;"",COUNTIFS('Paid Log'!$B$9:$B$308,$C514,'Paid Log'!$C$9:$C$308,$B514)&gt;0),"ACTUAL","FORECAST"))</f>
        <v>FORECAST</v>
      </c>
      <c r="L514" s="97" t="n">
        <f aca="false">IF($B514="","",$C514)</f>
        <v>46318</v>
      </c>
      <c r="M514" s="1" t="n">
        <f aca="false">IF($L514="","",COUNTIFS($L$510:$L$560,"&lt;"&amp;$L514)+COUNTIFS($L$510:$L514,$L514))</f>
        <v>5</v>
      </c>
    </row>
    <row r="515" customFormat="false" ht="15" hidden="false" customHeight="true" outlineLevel="0" collapsed="false">
      <c r="B515" s="8" t="str">
        <f aca="false">IFERROR(INDEX(Schedule!$C$4:$C$483,MATCH(10006,Schedule!$K$4:$K$483,0)),"")</f>
        <v/>
      </c>
      <c r="C515" s="88" t="str">
        <f aca="false">IF($B515="","",INDEX(Schedule!$G$4:$G$483,MATCH(10006,Schedule!$K$4:$K$483,0)))</f>
        <v/>
      </c>
      <c r="D515" s="89" t="str">
        <f aca="false">IF($B515="","",INDEX(Schedule!$D$4:$D$483,MATCH(10006,Schedule!$K$4:$K$483,0)))</f>
        <v/>
      </c>
      <c r="E515" s="90" t="str">
        <f aca="false">IF($B515="","",INDEX(Schedule!$E$4:$E$483,MATCH(10006,Schedule!$K$4:$K$483,0)))</f>
        <v/>
      </c>
      <c r="F515" s="91"/>
      <c r="G515" s="92" t="str">
        <f aca="false">IF($B515="","",IF($D515="Income",IF($F515&lt;&gt;"",$F515,IF(COUNTIFS('Paid Log'!$B$9:$B$308,$C515,'Paid Log'!$C$9:$C$308,$B515)&gt;0,SUMIFS('Paid Log'!$D$9:$D$308,'Paid Log'!$B$9:$B$308,$C515,'Paid Log'!$C$9:$C$308,$B515),$E515)),""))</f>
        <v/>
      </c>
      <c r="H515" s="93" t="str">
        <f aca="false">IF($B515="","",IF($D515="Income","",IF($F515&lt;&gt;"",$F515,IF(COUNTIFS('Paid Log'!$B$9:$B$308,$C515,'Paid Log'!$C$9:$C$308,$B515)&gt;0,SUMIFS('Paid Log'!$D$9:$D$308,'Paid Log'!$B$9:$B$308,$C515,'Paid Log'!$C$9:$C$308,$B515),$E515))))</f>
        <v/>
      </c>
      <c r="I515" s="94" t="str">
        <f aca="false">IF($B515="","",$I$508+SUMIFS($G$510:$G$560,$M$510:$M$560,"&lt;="&amp;$M515)-SUMIFS($H$510:$H$560,$M$510:$M$560,"&lt;="&amp;$M515))</f>
        <v/>
      </c>
      <c r="J515" s="95" t="str">
        <f aca="true">IF($B515="","",IF(OR($F515&lt;&gt;"",COUNTIFS('Paid Log'!$B$9:$B$308,$C515,'Paid Log'!$C$9:$C$308,$B515)&gt;0),IF($C515&gt;TODAY(),"ADJUSTED","PAID"),IF($C515&lt;TODAY(),"PAST DUE",IF($C515&lt;=TODAY()+7,"DUE","Upcoming"))))</f>
        <v/>
      </c>
      <c r="K515" s="96"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88" t="str">
        <f aca="false">IF($B516="","",INDEX(Schedule!$G$4:$G$483,MATCH(10007,Schedule!$K$4:$K$483,0)))</f>
        <v/>
      </c>
      <c r="D516" s="89" t="str">
        <f aca="false">IF($B516="","",INDEX(Schedule!$D$4:$D$483,MATCH(10007,Schedule!$K$4:$K$483,0)))</f>
        <v/>
      </c>
      <c r="E516" s="90" t="str">
        <f aca="false">IF($B516="","",INDEX(Schedule!$E$4:$E$483,MATCH(10007,Schedule!$K$4:$K$483,0)))</f>
        <v/>
      </c>
      <c r="F516" s="91"/>
      <c r="G516" s="92" t="str">
        <f aca="false">IF($B516="","",IF($D516="Income",IF($F516&lt;&gt;"",$F516,IF(COUNTIFS('Paid Log'!$B$9:$B$308,$C516,'Paid Log'!$C$9:$C$308,$B516)&gt;0,SUMIFS('Paid Log'!$D$9:$D$308,'Paid Log'!$B$9:$B$308,$C516,'Paid Log'!$C$9:$C$308,$B516),$E516)),""))</f>
        <v/>
      </c>
      <c r="H516" s="93" t="str">
        <f aca="false">IF($B516="","",IF($D516="Income","",IF($F516&lt;&gt;"",$F516,IF(COUNTIFS('Paid Log'!$B$9:$B$308,$C516,'Paid Log'!$C$9:$C$308,$B516)&gt;0,SUMIFS('Paid Log'!$D$9:$D$308,'Paid Log'!$B$9:$B$308,$C516,'Paid Log'!$C$9:$C$308,$B516),$E516))))</f>
        <v/>
      </c>
      <c r="I516" s="94" t="str">
        <f aca="false">IF($B516="","",$I$508+SUMIFS($G$510:$G$560,$M$510:$M$560,"&lt;="&amp;$M516)-SUMIFS($H$510:$H$560,$M$510:$M$560,"&lt;="&amp;$M516))</f>
        <v/>
      </c>
      <c r="J516" s="95" t="str">
        <f aca="true">IF($B516="","",IF(OR($F516&lt;&gt;"",COUNTIFS('Paid Log'!$B$9:$B$308,$C516,'Paid Log'!$C$9:$C$308,$B516)&gt;0),IF($C516&gt;TODAY(),"ADJUSTED","PAID"),IF($C516&lt;TODAY(),"PAST DUE",IF($C516&lt;=TODAY()+7,"DUE","Upcoming"))))</f>
        <v/>
      </c>
      <c r="K516" s="96"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88" t="str">
        <f aca="false">IF($B517="","",INDEX(Schedule!$G$4:$G$483,MATCH(10008,Schedule!$K$4:$K$483,0)))</f>
        <v/>
      </c>
      <c r="D517" s="89" t="str">
        <f aca="false">IF($B517="","",INDEX(Schedule!$D$4:$D$483,MATCH(10008,Schedule!$K$4:$K$483,0)))</f>
        <v/>
      </c>
      <c r="E517" s="90" t="str">
        <f aca="false">IF($B517="","",INDEX(Schedule!$E$4:$E$483,MATCH(10008,Schedule!$K$4:$K$483,0)))</f>
        <v/>
      </c>
      <c r="F517" s="91"/>
      <c r="G517" s="92" t="str">
        <f aca="false">IF($B517="","",IF($D517="Income",IF($F517&lt;&gt;"",$F517,IF(COUNTIFS('Paid Log'!$B$9:$B$308,$C517,'Paid Log'!$C$9:$C$308,$B517)&gt;0,SUMIFS('Paid Log'!$D$9:$D$308,'Paid Log'!$B$9:$B$308,$C517,'Paid Log'!$C$9:$C$308,$B517),$E517)),""))</f>
        <v/>
      </c>
      <c r="H517" s="93" t="str">
        <f aca="false">IF($B517="","",IF($D517="Income","",IF($F517&lt;&gt;"",$F517,IF(COUNTIFS('Paid Log'!$B$9:$B$308,$C517,'Paid Log'!$C$9:$C$308,$B517)&gt;0,SUMIFS('Paid Log'!$D$9:$D$308,'Paid Log'!$B$9:$B$308,$C517,'Paid Log'!$C$9:$C$308,$B517),$E517))))</f>
        <v/>
      </c>
      <c r="I517" s="94" t="str">
        <f aca="false">IF($B517="","",$I$508+SUMIFS($G$510:$G$560,$M$510:$M$560,"&lt;="&amp;$M517)-SUMIFS($H$510:$H$560,$M$510:$M$560,"&lt;="&amp;$M517))</f>
        <v/>
      </c>
      <c r="J517" s="95" t="str">
        <f aca="true">IF($B517="","",IF(OR($F517&lt;&gt;"",COUNTIFS('Paid Log'!$B$9:$B$308,$C517,'Paid Log'!$C$9:$C$308,$B517)&gt;0),IF($C517&gt;TODAY(),"ADJUSTED","PAID"),IF($C517&lt;TODAY(),"PAST DUE",IF($C517&lt;=TODAY()+7,"DUE","Upcoming"))))</f>
        <v/>
      </c>
      <c r="K517" s="96"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88" t="str">
        <f aca="false">IF($B518="","",INDEX(Schedule!$G$4:$G$483,MATCH(10009,Schedule!$K$4:$K$483,0)))</f>
        <v/>
      </c>
      <c r="D518" s="89" t="str">
        <f aca="false">IF($B518="","",INDEX(Schedule!$D$4:$D$483,MATCH(10009,Schedule!$K$4:$K$483,0)))</f>
        <v/>
      </c>
      <c r="E518" s="90" t="str">
        <f aca="false">IF($B518="","",INDEX(Schedule!$E$4:$E$483,MATCH(10009,Schedule!$K$4:$K$483,0)))</f>
        <v/>
      </c>
      <c r="F518" s="91"/>
      <c r="G518" s="92" t="str">
        <f aca="false">IF($B518="","",IF($D518="Income",IF($F518&lt;&gt;"",$F518,IF(COUNTIFS('Paid Log'!$B$9:$B$308,$C518,'Paid Log'!$C$9:$C$308,$B518)&gt;0,SUMIFS('Paid Log'!$D$9:$D$308,'Paid Log'!$B$9:$B$308,$C518,'Paid Log'!$C$9:$C$308,$B518),$E518)),""))</f>
        <v/>
      </c>
      <c r="H518" s="93" t="str">
        <f aca="false">IF($B518="","",IF($D518="Income","",IF($F518&lt;&gt;"",$F518,IF(COUNTIFS('Paid Log'!$B$9:$B$308,$C518,'Paid Log'!$C$9:$C$308,$B518)&gt;0,SUMIFS('Paid Log'!$D$9:$D$308,'Paid Log'!$B$9:$B$308,$C518,'Paid Log'!$C$9:$C$308,$B518),$E518))))</f>
        <v/>
      </c>
      <c r="I518" s="94" t="str">
        <f aca="false">IF($B518="","",$I$508+SUMIFS($G$510:$G$560,$M$510:$M$560,"&lt;="&amp;$M518)-SUMIFS($H$510:$H$560,$M$510:$M$560,"&lt;="&amp;$M518))</f>
        <v/>
      </c>
      <c r="J518" s="95" t="str">
        <f aca="true">IF($B518="","",IF(OR($F518&lt;&gt;"",COUNTIFS('Paid Log'!$B$9:$B$308,$C518,'Paid Log'!$C$9:$C$308,$B518)&gt;0),IF($C518&gt;TODAY(),"ADJUSTED","PAID"),IF($C518&lt;TODAY(),"PAST DUE",IF($C518&lt;=TODAY()+7,"DUE","Upcoming"))))</f>
        <v/>
      </c>
      <c r="K518" s="96"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88" t="str">
        <f aca="false">IF($B519="","",INDEX(Schedule!$G$4:$G$483,MATCH(10010,Schedule!$K$4:$K$483,0)))</f>
        <v/>
      </c>
      <c r="D519" s="89" t="str">
        <f aca="false">IF($B519="","",INDEX(Schedule!$D$4:$D$483,MATCH(10010,Schedule!$K$4:$K$483,0)))</f>
        <v/>
      </c>
      <c r="E519" s="90" t="str">
        <f aca="false">IF($B519="","",INDEX(Schedule!$E$4:$E$483,MATCH(10010,Schedule!$K$4:$K$483,0)))</f>
        <v/>
      </c>
      <c r="F519" s="91"/>
      <c r="G519" s="92" t="str">
        <f aca="false">IF($B519="","",IF($D519="Income",IF($F519&lt;&gt;"",$F519,IF(COUNTIFS('Paid Log'!$B$9:$B$308,$C519,'Paid Log'!$C$9:$C$308,$B519)&gt;0,SUMIFS('Paid Log'!$D$9:$D$308,'Paid Log'!$B$9:$B$308,$C519,'Paid Log'!$C$9:$C$308,$B519),$E519)),""))</f>
        <v/>
      </c>
      <c r="H519" s="93" t="str">
        <f aca="false">IF($B519="","",IF($D519="Income","",IF($F519&lt;&gt;"",$F519,IF(COUNTIFS('Paid Log'!$B$9:$B$308,$C519,'Paid Log'!$C$9:$C$308,$B519)&gt;0,SUMIFS('Paid Log'!$D$9:$D$308,'Paid Log'!$B$9:$B$308,$C519,'Paid Log'!$C$9:$C$308,$B519),$E519))))</f>
        <v/>
      </c>
      <c r="I519" s="94" t="str">
        <f aca="false">IF($B519="","",$I$508+SUMIFS($G$510:$G$560,$M$510:$M$560,"&lt;="&amp;$M519)-SUMIFS($H$510:$H$560,$M$510:$M$560,"&lt;="&amp;$M519))</f>
        <v/>
      </c>
      <c r="J519" s="95" t="str">
        <f aca="true">IF($B519="","",IF(OR($F519&lt;&gt;"",COUNTIFS('Paid Log'!$B$9:$B$308,$C519,'Paid Log'!$C$9:$C$308,$B519)&gt;0),IF($C519&gt;TODAY(),"ADJUSTED","PAID"),IF($C519&lt;TODAY(),"PAST DUE",IF($C519&lt;=TODAY()+7,"DUE","Upcoming"))))</f>
        <v/>
      </c>
      <c r="K519" s="96"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98" t="s">
        <v>156</v>
      </c>
      <c r="C520" s="99"/>
      <c r="D520" s="99"/>
      <c r="E520" s="99"/>
      <c r="F520" s="99"/>
      <c r="G520" s="99"/>
      <c r="H520" s="99"/>
      <c r="I520" s="99"/>
      <c r="J520" s="99"/>
    </row>
    <row r="521" customFormat="false" ht="15" hidden="false" customHeight="true" outlineLevel="0" collapsed="false">
      <c r="B521" s="13"/>
      <c r="C521" s="100"/>
      <c r="D521" s="101" t="str">
        <f aca="false">IF($B521="","","Expense")</f>
        <v/>
      </c>
      <c r="E521" s="15"/>
      <c r="F521" s="102"/>
      <c r="G521" s="102"/>
      <c r="H521" s="103" t="str">
        <f aca="false">IF($B521="","",N($E521))</f>
        <v/>
      </c>
      <c r="I521" s="104" t="str">
        <f aca="false">IF($B521="","",$I$508+SUMIFS($G$510:$G$560,$M$510:$M$560,"&lt;="&amp;$M521)-SUMIFS($H$510:$H$560,$M$510:$M$560,"&lt;="&amp;$M521))</f>
        <v/>
      </c>
      <c r="J521" s="102"/>
      <c r="K521" s="96"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100"/>
      <c r="D522" s="101" t="str">
        <f aca="false">IF($B522="","","Expense")</f>
        <v/>
      </c>
      <c r="E522" s="15"/>
      <c r="F522" s="102"/>
      <c r="G522" s="102"/>
      <c r="H522" s="103" t="str">
        <f aca="false">IF($B522="","",N($E522))</f>
        <v/>
      </c>
      <c r="I522" s="104" t="str">
        <f aca="false">IF($B522="","",$I$508+SUMIFS($G$510:$G$560,$M$510:$M$560,"&lt;="&amp;$M522)-SUMIFS($H$510:$H$560,$M$510:$M$560,"&lt;="&amp;$M522))</f>
        <v/>
      </c>
      <c r="J522" s="102"/>
      <c r="K522" s="96"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100"/>
      <c r="D523" s="101" t="str">
        <f aca="false">IF($B523="","","Expense")</f>
        <v/>
      </c>
      <c r="E523" s="15"/>
      <c r="F523" s="102"/>
      <c r="G523" s="102"/>
      <c r="H523" s="103" t="str">
        <f aca="false">IF($B523="","",N($E523))</f>
        <v/>
      </c>
      <c r="I523" s="104" t="str">
        <f aca="false">IF($B523="","",$I$508+SUMIFS($G$510:$G$560,$M$510:$M$560,"&lt;="&amp;$M523)-SUMIFS($H$510:$H$560,$M$510:$M$560,"&lt;="&amp;$M523))</f>
        <v/>
      </c>
      <c r="J523" s="102"/>
      <c r="K523" s="96"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100"/>
      <c r="D524" s="101" t="str">
        <f aca="false">IF($B524="","","Expense")</f>
        <v/>
      </c>
      <c r="E524" s="15"/>
      <c r="F524" s="102"/>
      <c r="G524" s="102"/>
      <c r="H524" s="103" t="str">
        <f aca="false">IF($B524="","",N($E524))</f>
        <v/>
      </c>
      <c r="I524" s="104" t="str">
        <f aca="false">IF($B524="","",$I$508+SUMIFS($G$510:$G$560,$M$510:$M$560,"&lt;="&amp;$M524)-SUMIFS($H$510:$H$560,$M$510:$M$560,"&lt;="&amp;$M524))</f>
        <v/>
      </c>
      <c r="J524" s="102"/>
      <c r="K524" s="96"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100"/>
      <c r="D525" s="101" t="str">
        <f aca="false">IF($B525="","","Expense")</f>
        <v/>
      </c>
      <c r="E525" s="15"/>
      <c r="F525" s="102"/>
      <c r="G525" s="102"/>
      <c r="H525" s="103" t="str">
        <f aca="false">IF($B525="","",N($E525))</f>
        <v/>
      </c>
      <c r="I525" s="104" t="str">
        <f aca="false">IF($B525="","",$I$508+SUMIFS($G$510:$G$560,$M$510:$M$560,"&lt;="&amp;$M525)-SUMIFS($H$510:$H$560,$M$510:$M$560,"&lt;="&amp;$M525))</f>
        <v/>
      </c>
      <c r="J525" s="102"/>
      <c r="K525" s="96"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100"/>
      <c r="D526" s="101" t="str">
        <f aca="false">IF($B526="","","Expense")</f>
        <v/>
      </c>
      <c r="E526" s="15"/>
      <c r="F526" s="102"/>
      <c r="G526" s="102"/>
      <c r="H526" s="103" t="str">
        <f aca="false">IF($B526="","",N($E526))</f>
        <v/>
      </c>
      <c r="I526" s="104" t="str">
        <f aca="false">IF($B526="","",$I$508+SUMIFS($G$510:$G$560,$M$510:$M$560,"&lt;="&amp;$M526)-SUMIFS($H$510:$H$560,$M$510:$M$560,"&lt;="&amp;$M526))</f>
        <v/>
      </c>
      <c r="J526" s="102"/>
      <c r="K526" s="96"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100"/>
      <c r="D527" s="101" t="str">
        <f aca="false">IF($B527="","","Expense")</f>
        <v/>
      </c>
      <c r="E527" s="15"/>
      <c r="F527" s="102"/>
      <c r="G527" s="102"/>
      <c r="H527" s="103" t="str">
        <f aca="false">IF($B527="","",N($E527))</f>
        <v/>
      </c>
      <c r="I527" s="104" t="str">
        <f aca="false">IF($B527="","",$I$508+SUMIFS($G$510:$G$560,$M$510:$M$560,"&lt;="&amp;$M527)-SUMIFS($H$510:$H$560,$M$510:$M$560,"&lt;="&amp;$M527))</f>
        <v/>
      </c>
      <c r="J527" s="102"/>
      <c r="K527" s="96"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100"/>
      <c r="D528" s="101" t="str">
        <f aca="false">IF($B528="","","Expense")</f>
        <v/>
      </c>
      <c r="E528" s="15"/>
      <c r="F528" s="102"/>
      <c r="G528" s="102"/>
      <c r="H528" s="103" t="str">
        <f aca="false">IF($B528="","",N($E528))</f>
        <v/>
      </c>
      <c r="I528" s="104" t="str">
        <f aca="false">IF($B528="","",$I$508+SUMIFS($G$510:$G$560,$M$510:$M$560,"&lt;="&amp;$M528)-SUMIFS($H$510:$H$560,$M$510:$M$560,"&lt;="&amp;$M528))</f>
        <v/>
      </c>
      <c r="J528" s="102"/>
      <c r="K528" s="96"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100"/>
      <c r="D529" s="101" t="str">
        <f aca="false">IF($B529="","","Expense")</f>
        <v/>
      </c>
      <c r="E529" s="15"/>
      <c r="F529" s="102"/>
      <c r="G529" s="102"/>
      <c r="H529" s="103" t="str">
        <f aca="false">IF($B529="","",N($E529))</f>
        <v/>
      </c>
      <c r="I529" s="104" t="str">
        <f aca="false">IF($B529="","",$I$508+SUMIFS($G$510:$G$560,$M$510:$M$560,"&lt;="&amp;$M529)-SUMIFS($H$510:$H$560,$M$510:$M$560,"&lt;="&amp;$M529))</f>
        <v/>
      </c>
      <c r="J529" s="102"/>
      <c r="K529" s="96"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100"/>
      <c r="D530" s="101" t="str">
        <f aca="false">IF($B530="","","Expense")</f>
        <v/>
      </c>
      <c r="E530" s="15"/>
      <c r="F530" s="102"/>
      <c r="G530" s="102"/>
      <c r="H530" s="103" t="str">
        <f aca="false">IF($B530="","",N($E530))</f>
        <v/>
      </c>
      <c r="I530" s="104" t="str">
        <f aca="false">IF($B530="","",$I$508+SUMIFS($G$510:$G$560,$M$510:$M$560,"&lt;="&amp;$M530)-SUMIFS($H$510:$H$560,$M$510:$M$560,"&lt;="&amp;$M530))</f>
        <v/>
      </c>
      <c r="J530" s="102"/>
      <c r="K530" s="96"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100"/>
      <c r="D531" s="101" t="str">
        <f aca="false">IF($B531="","","Expense")</f>
        <v/>
      </c>
      <c r="E531" s="15"/>
      <c r="F531" s="102"/>
      <c r="G531" s="102"/>
      <c r="H531" s="103" t="str">
        <f aca="false">IF($B531="","",N($E531))</f>
        <v/>
      </c>
      <c r="I531" s="104" t="str">
        <f aca="false">IF($B531="","",$I$508+SUMIFS($G$510:$G$560,$M$510:$M$560,"&lt;="&amp;$M531)-SUMIFS($H$510:$H$560,$M$510:$M$560,"&lt;="&amp;$M531))</f>
        <v/>
      </c>
      <c r="J531" s="102"/>
      <c r="K531" s="96"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100"/>
      <c r="D532" s="101" t="str">
        <f aca="false">IF($B532="","","Expense")</f>
        <v/>
      </c>
      <c r="E532" s="15"/>
      <c r="F532" s="102"/>
      <c r="G532" s="102"/>
      <c r="H532" s="103" t="str">
        <f aca="false">IF($B532="","",N($E532))</f>
        <v/>
      </c>
      <c r="I532" s="104" t="str">
        <f aca="false">IF($B532="","",$I$508+SUMIFS($G$510:$G$560,$M$510:$M$560,"&lt;="&amp;$M532)-SUMIFS($H$510:$H$560,$M$510:$M$560,"&lt;="&amp;$M532))</f>
        <v/>
      </c>
      <c r="J532" s="102"/>
      <c r="K532" s="96"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100"/>
      <c r="D533" s="101" t="str">
        <f aca="false">IF($B533="","","Expense")</f>
        <v/>
      </c>
      <c r="E533" s="15"/>
      <c r="F533" s="102"/>
      <c r="G533" s="102"/>
      <c r="H533" s="103" t="str">
        <f aca="false">IF($B533="","",N($E533))</f>
        <v/>
      </c>
      <c r="I533" s="104" t="str">
        <f aca="false">IF($B533="","",$I$508+SUMIFS($G$510:$G$560,$M$510:$M$560,"&lt;="&amp;$M533)-SUMIFS($H$510:$H$560,$M$510:$M$560,"&lt;="&amp;$M533))</f>
        <v/>
      </c>
      <c r="J533" s="102"/>
      <c r="K533" s="96"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100"/>
      <c r="D534" s="101" t="str">
        <f aca="false">IF($B534="","","Expense")</f>
        <v/>
      </c>
      <c r="E534" s="15"/>
      <c r="F534" s="102"/>
      <c r="G534" s="102"/>
      <c r="H534" s="103" t="str">
        <f aca="false">IF($B534="","",N($E534))</f>
        <v/>
      </c>
      <c r="I534" s="104" t="str">
        <f aca="false">IF($B534="","",$I$508+SUMIFS($G$510:$G$560,$M$510:$M$560,"&lt;="&amp;$M534)-SUMIFS($H$510:$H$560,$M$510:$M$560,"&lt;="&amp;$M534))</f>
        <v/>
      </c>
      <c r="J534" s="102"/>
      <c r="K534" s="96"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100"/>
      <c r="D535" s="101" t="str">
        <f aca="false">IF($B535="","","Expense")</f>
        <v/>
      </c>
      <c r="E535" s="15"/>
      <c r="F535" s="102"/>
      <c r="G535" s="102"/>
      <c r="H535" s="103" t="str">
        <f aca="false">IF($B535="","",N($E535))</f>
        <v/>
      </c>
      <c r="I535" s="104" t="str">
        <f aca="false">IF($B535="","",$I$508+SUMIFS($G$510:$G$560,$M$510:$M$560,"&lt;="&amp;$M535)-SUMIFS($H$510:$H$560,$M$510:$M$560,"&lt;="&amp;$M535))</f>
        <v/>
      </c>
      <c r="J535" s="102"/>
      <c r="K535" s="96"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100"/>
      <c r="D536" s="101" t="str">
        <f aca="false">IF($B536="","","Expense")</f>
        <v/>
      </c>
      <c r="E536" s="15"/>
      <c r="F536" s="102"/>
      <c r="G536" s="102"/>
      <c r="H536" s="103" t="str">
        <f aca="false">IF($B536="","",N($E536))</f>
        <v/>
      </c>
      <c r="I536" s="104" t="str">
        <f aca="false">IF($B536="","",$I$508+SUMIFS($G$510:$G$560,$M$510:$M$560,"&lt;="&amp;$M536)-SUMIFS($H$510:$H$560,$M$510:$M$560,"&lt;="&amp;$M536))</f>
        <v/>
      </c>
      <c r="J536" s="102"/>
      <c r="K536" s="96"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100"/>
      <c r="D537" s="101" t="str">
        <f aca="false">IF($B537="","","Expense")</f>
        <v/>
      </c>
      <c r="E537" s="15"/>
      <c r="F537" s="102"/>
      <c r="G537" s="102"/>
      <c r="H537" s="103" t="str">
        <f aca="false">IF($B537="","",N($E537))</f>
        <v/>
      </c>
      <c r="I537" s="104" t="str">
        <f aca="false">IF($B537="","",$I$508+SUMIFS($G$510:$G$560,$M$510:$M$560,"&lt;="&amp;$M537)-SUMIFS($H$510:$H$560,$M$510:$M$560,"&lt;="&amp;$M537))</f>
        <v/>
      </c>
      <c r="J537" s="102"/>
      <c r="K537" s="96"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100"/>
      <c r="D538" s="101" t="str">
        <f aca="false">IF($B538="","","Expense")</f>
        <v/>
      </c>
      <c r="E538" s="15"/>
      <c r="F538" s="102"/>
      <c r="G538" s="102"/>
      <c r="H538" s="103" t="str">
        <f aca="false">IF($B538="","",N($E538))</f>
        <v/>
      </c>
      <c r="I538" s="104" t="str">
        <f aca="false">IF($B538="","",$I$508+SUMIFS($G$510:$G$560,$M$510:$M$560,"&lt;="&amp;$M538)-SUMIFS($H$510:$H$560,$M$510:$M$560,"&lt;="&amp;$M538))</f>
        <v/>
      </c>
      <c r="J538" s="102"/>
      <c r="K538" s="96"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100"/>
      <c r="D539" s="101" t="str">
        <f aca="false">IF($B539="","","Expense")</f>
        <v/>
      </c>
      <c r="E539" s="15"/>
      <c r="F539" s="102"/>
      <c r="G539" s="102"/>
      <c r="H539" s="103" t="str">
        <f aca="false">IF($B539="","",N($E539))</f>
        <v/>
      </c>
      <c r="I539" s="104" t="str">
        <f aca="false">IF($B539="","",$I$508+SUMIFS($G$510:$G$560,$M$510:$M$560,"&lt;="&amp;$M539)-SUMIFS($H$510:$H$560,$M$510:$M$560,"&lt;="&amp;$M539))</f>
        <v/>
      </c>
      <c r="J539" s="102"/>
      <c r="K539" s="96"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100"/>
      <c r="D540" s="101" t="str">
        <f aca="false">IF($B540="","","Expense")</f>
        <v/>
      </c>
      <c r="E540" s="15"/>
      <c r="F540" s="102"/>
      <c r="G540" s="102"/>
      <c r="H540" s="103" t="str">
        <f aca="false">IF($B540="","",N($E540))</f>
        <v/>
      </c>
      <c r="I540" s="104" t="str">
        <f aca="false">IF($B540="","",$I$508+SUMIFS($G$510:$G$560,$M$510:$M$560,"&lt;="&amp;$M540)-SUMIFS($H$510:$H$560,$M$510:$M$560,"&lt;="&amp;$M540))</f>
        <v/>
      </c>
      <c r="J540" s="102"/>
      <c r="K540" s="96"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100"/>
      <c r="D541" s="101" t="str">
        <f aca="false">IF($B541="","","Expense")</f>
        <v/>
      </c>
      <c r="E541" s="15"/>
      <c r="F541" s="102"/>
      <c r="G541" s="102"/>
      <c r="H541" s="103" t="str">
        <f aca="false">IF($B541="","",N($E541))</f>
        <v/>
      </c>
      <c r="I541" s="104" t="str">
        <f aca="false">IF($B541="","",$I$508+SUMIFS($G$510:$G$560,$M$510:$M$560,"&lt;="&amp;$M541)-SUMIFS($H$510:$H$560,$M$510:$M$560,"&lt;="&amp;$M541))</f>
        <v/>
      </c>
      <c r="J541" s="102"/>
      <c r="K541" s="96"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100"/>
      <c r="D542" s="101" t="str">
        <f aca="false">IF($B542="","","Expense")</f>
        <v/>
      </c>
      <c r="E542" s="15"/>
      <c r="F542" s="102"/>
      <c r="G542" s="102"/>
      <c r="H542" s="103" t="str">
        <f aca="false">IF($B542="","",N($E542))</f>
        <v/>
      </c>
      <c r="I542" s="104" t="str">
        <f aca="false">IF($B542="","",$I$508+SUMIFS($G$510:$G$560,$M$510:$M$560,"&lt;="&amp;$M542)-SUMIFS($H$510:$H$560,$M$510:$M$560,"&lt;="&amp;$M542))</f>
        <v/>
      </c>
      <c r="J542" s="102"/>
      <c r="K542" s="96"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100"/>
      <c r="D543" s="101" t="str">
        <f aca="false">IF($B543="","","Expense")</f>
        <v/>
      </c>
      <c r="E543" s="15"/>
      <c r="F543" s="102"/>
      <c r="G543" s="102"/>
      <c r="H543" s="103" t="str">
        <f aca="false">IF($B543="","",N($E543))</f>
        <v/>
      </c>
      <c r="I543" s="104" t="str">
        <f aca="false">IF($B543="","",$I$508+SUMIFS($G$510:$G$560,$M$510:$M$560,"&lt;="&amp;$M543)-SUMIFS($H$510:$H$560,$M$510:$M$560,"&lt;="&amp;$M543))</f>
        <v/>
      </c>
      <c r="J543" s="102"/>
      <c r="K543" s="96"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100"/>
      <c r="D544" s="101" t="str">
        <f aca="false">IF($B544="","","Expense")</f>
        <v/>
      </c>
      <c r="E544" s="15"/>
      <c r="F544" s="102"/>
      <c r="G544" s="102"/>
      <c r="H544" s="103" t="str">
        <f aca="false">IF($B544="","",N($E544))</f>
        <v/>
      </c>
      <c r="I544" s="104" t="str">
        <f aca="false">IF($B544="","",$I$508+SUMIFS($G$510:$G$560,$M$510:$M$560,"&lt;="&amp;$M544)-SUMIFS($H$510:$H$560,$M$510:$M$560,"&lt;="&amp;$M544))</f>
        <v/>
      </c>
      <c r="J544" s="102"/>
      <c r="K544" s="96"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100"/>
      <c r="D545" s="101" t="str">
        <f aca="false">IF($B545="","","Expense")</f>
        <v/>
      </c>
      <c r="E545" s="15"/>
      <c r="F545" s="102"/>
      <c r="G545" s="102"/>
      <c r="H545" s="103" t="str">
        <f aca="false">IF($B545="","",N($E545))</f>
        <v/>
      </c>
      <c r="I545" s="104" t="str">
        <f aca="false">IF($B545="","",$I$508+SUMIFS($G$510:$G$560,$M$510:$M$560,"&lt;="&amp;$M545)-SUMIFS($H$510:$H$560,$M$510:$M$560,"&lt;="&amp;$M545))</f>
        <v/>
      </c>
      <c r="J545" s="102"/>
      <c r="K545" s="96"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100"/>
      <c r="D546" s="101" t="str">
        <f aca="false">IF($B546="","","Expense")</f>
        <v/>
      </c>
      <c r="E546" s="15"/>
      <c r="F546" s="102"/>
      <c r="G546" s="102"/>
      <c r="H546" s="103" t="str">
        <f aca="false">IF($B546="","",N($E546))</f>
        <v/>
      </c>
      <c r="I546" s="104" t="str">
        <f aca="false">IF($B546="","",$I$508+SUMIFS($G$510:$G$560,$M$510:$M$560,"&lt;="&amp;$M546)-SUMIFS($H$510:$H$560,$M$510:$M$560,"&lt;="&amp;$M546))</f>
        <v/>
      </c>
      <c r="J546" s="102"/>
      <c r="K546" s="96"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100"/>
      <c r="D547" s="101" t="str">
        <f aca="false">IF($B547="","","Expense")</f>
        <v/>
      </c>
      <c r="E547" s="15"/>
      <c r="F547" s="102"/>
      <c r="G547" s="102"/>
      <c r="H547" s="103" t="str">
        <f aca="false">IF($B547="","",N($E547))</f>
        <v/>
      </c>
      <c r="I547" s="104" t="str">
        <f aca="false">IF($B547="","",$I$508+SUMIFS($G$510:$G$560,$M$510:$M$560,"&lt;="&amp;$M547)-SUMIFS($H$510:$H$560,$M$510:$M$560,"&lt;="&amp;$M547))</f>
        <v/>
      </c>
      <c r="J547" s="102"/>
      <c r="K547" s="96"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100"/>
      <c r="D548" s="101" t="str">
        <f aca="false">IF($B548="","","Expense")</f>
        <v/>
      </c>
      <c r="E548" s="15"/>
      <c r="F548" s="102"/>
      <c r="G548" s="102"/>
      <c r="H548" s="103" t="str">
        <f aca="false">IF($B548="","",N($E548))</f>
        <v/>
      </c>
      <c r="I548" s="104" t="str">
        <f aca="false">IF($B548="","",$I$508+SUMIFS($G$510:$G$560,$M$510:$M$560,"&lt;="&amp;$M548)-SUMIFS($H$510:$H$560,$M$510:$M$560,"&lt;="&amp;$M548))</f>
        <v/>
      </c>
      <c r="J548" s="102"/>
      <c r="K548" s="96"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100"/>
      <c r="D549" s="101" t="str">
        <f aca="false">IF($B549="","","Expense")</f>
        <v/>
      </c>
      <c r="E549" s="15"/>
      <c r="F549" s="102"/>
      <c r="G549" s="102"/>
      <c r="H549" s="103" t="str">
        <f aca="false">IF($B549="","",N($E549))</f>
        <v/>
      </c>
      <c r="I549" s="104" t="str">
        <f aca="false">IF($B549="","",$I$508+SUMIFS($G$510:$G$560,$M$510:$M$560,"&lt;="&amp;$M549)-SUMIFS($H$510:$H$560,$M$510:$M$560,"&lt;="&amp;$M549))</f>
        <v/>
      </c>
      <c r="J549" s="102"/>
      <c r="K549" s="96"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100"/>
      <c r="D550" s="101" t="str">
        <f aca="false">IF($B550="","","Expense")</f>
        <v/>
      </c>
      <c r="E550" s="15"/>
      <c r="F550" s="102"/>
      <c r="G550" s="102"/>
      <c r="H550" s="103" t="str">
        <f aca="false">IF($B550="","",N($E550))</f>
        <v/>
      </c>
      <c r="I550" s="104" t="str">
        <f aca="false">IF($B550="","",$I$508+SUMIFS($G$510:$G$560,$M$510:$M$560,"&lt;="&amp;$M550)-SUMIFS($H$510:$H$560,$M$510:$M$560,"&lt;="&amp;$M550))</f>
        <v/>
      </c>
      <c r="J550" s="102"/>
      <c r="K550" s="96"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100"/>
      <c r="D551" s="101" t="str">
        <f aca="false">IF($B551="","","Expense")</f>
        <v/>
      </c>
      <c r="E551" s="15"/>
      <c r="F551" s="102"/>
      <c r="G551" s="102"/>
      <c r="H551" s="103" t="str">
        <f aca="false">IF($B551="","",N($E551))</f>
        <v/>
      </c>
      <c r="I551" s="104" t="str">
        <f aca="false">IF($B551="","",$I$508+SUMIFS($G$510:$G$560,$M$510:$M$560,"&lt;="&amp;$M551)-SUMIFS($H$510:$H$560,$M$510:$M$560,"&lt;="&amp;$M551))</f>
        <v/>
      </c>
      <c r="J551" s="102"/>
      <c r="K551" s="96"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100"/>
      <c r="D552" s="101" t="str">
        <f aca="false">IF($B552="","","Expense")</f>
        <v/>
      </c>
      <c r="E552" s="15"/>
      <c r="F552" s="102"/>
      <c r="G552" s="102"/>
      <c r="H552" s="103" t="str">
        <f aca="false">IF($B552="","",N($E552))</f>
        <v/>
      </c>
      <c r="I552" s="104" t="str">
        <f aca="false">IF($B552="","",$I$508+SUMIFS($G$510:$G$560,$M$510:$M$560,"&lt;="&amp;$M552)-SUMIFS($H$510:$H$560,$M$510:$M$560,"&lt;="&amp;$M552))</f>
        <v/>
      </c>
      <c r="J552" s="102"/>
      <c r="K552" s="96"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100"/>
      <c r="D553" s="101" t="str">
        <f aca="false">IF($B553="","","Expense")</f>
        <v/>
      </c>
      <c r="E553" s="15"/>
      <c r="F553" s="102"/>
      <c r="G553" s="102"/>
      <c r="H553" s="103" t="str">
        <f aca="false">IF($B553="","",N($E553))</f>
        <v/>
      </c>
      <c r="I553" s="104" t="str">
        <f aca="false">IF($B553="","",$I$508+SUMIFS($G$510:$G$560,$M$510:$M$560,"&lt;="&amp;$M553)-SUMIFS($H$510:$H$560,$M$510:$M$560,"&lt;="&amp;$M553))</f>
        <v/>
      </c>
      <c r="J553" s="102"/>
      <c r="K553" s="96"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100"/>
      <c r="D554" s="101" t="str">
        <f aca="false">IF($B554="","","Expense")</f>
        <v/>
      </c>
      <c r="E554" s="15"/>
      <c r="F554" s="102"/>
      <c r="G554" s="102"/>
      <c r="H554" s="103" t="str">
        <f aca="false">IF($B554="","",N($E554))</f>
        <v/>
      </c>
      <c r="I554" s="104" t="str">
        <f aca="false">IF($B554="","",$I$508+SUMIFS($G$510:$G$560,$M$510:$M$560,"&lt;="&amp;$M554)-SUMIFS($H$510:$H$560,$M$510:$M$560,"&lt;="&amp;$M554))</f>
        <v/>
      </c>
      <c r="J554" s="102"/>
      <c r="K554" s="96"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100"/>
      <c r="D555" s="101" t="str">
        <f aca="false">IF($B555="","","Expense")</f>
        <v/>
      </c>
      <c r="E555" s="15"/>
      <c r="F555" s="102"/>
      <c r="G555" s="102"/>
      <c r="H555" s="103" t="str">
        <f aca="false">IF($B555="","",N($E555))</f>
        <v/>
      </c>
      <c r="I555" s="104" t="str">
        <f aca="false">IF($B555="","",$I$508+SUMIFS($G$510:$G$560,$M$510:$M$560,"&lt;="&amp;$M555)-SUMIFS($H$510:$H$560,$M$510:$M$560,"&lt;="&amp;$M555))</f>
        <v/>
      </c>
      <c r="J555" s="102"/>
      <c r="K555" s="96"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100"/>
      <c r="D556" s="101" t="str">
        <f aca="false">IF($B556="","","Expense")</f>
        <v/>
      </c>
      <c r="E556" s="15"/>
      <c r="F556" s="102"/>
      <c r="G556" s="102"/>
      <c r="H556" s="103" t="str">
        <f aca="false">IF($B556="","",N($E556))</f>
        <v/>
      </c>
      <c r="I556" s="104" t="str">
        <f aca="false">IF($B556="","",$I$508+SUMIFS($G$510:$G$560,$M$510:$M$560,"&lt;="&amp;$M556)-SUMIFS($H$510:$H$560,$M$510:$M$560,"&lt;="&amp;$M556))</f>
        <v/>
      </c>
      <c r="J556" s="102"/>
      <c r="K556" s="96"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100"/>
      <c r="D557" s="101" t="str">
        <f aca="false">IF($B557="","","Expense")</f>
        <v/>
      </c>
      <c r="E557" s="15"/>
      <c r="F557" s="102"/>
      <c r="G557" s="102"/>
      <c r="H557" s="103" t="str">
        <f aca="false">IF($B557="","",N($E557))</f>
        <v/>
      </c>
      <c r="I557" s="104" t="str">
        <f aca="false">IF($B557="","",$I$508+SUMIFS($G$510:$G$560,$M$510:$M$560,"&lt;="&amp;$M557)-SUMIFS($H$510:$H$560,$M$510:$M$560,"&lt;="&amp;$M557))</f>
        <v/>
      </c>
      <c r="J557" s="102"/>
      <c r="K557" s="96"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100"/>
      <c r="D558" s="101" t="str">
        <f aca="false">IF($B558="","","Expense")</f>
        <v/>
      </c>
      <c r="E558" s="15"/>
      <c r="F558" s="102"/>
      <c r="G558" s="102"/>
      <c r="H558" s="103" t="str">
        <f aca="false">IF($B558="","",N($E558))</f>
        <v/>
      </c>
      <c r="I558" s="104" t="str">
        <f aca="false">IF($B558="","",$I$508+SUMIFS($G$510:$G$560,$M$510:$M$560,"&lt;="&amp;$M558)-SUMIFS($H$510:$H$560,$M$510:$M$560,"&lt;="&amp;$M558))</f>
        <v/>
      </c>
      <c r="J558" s="102"/>
      <c r="K558" s="96"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100"/>
      <c r="D559" s="101" t="str">
        <f aca="false">IF($B559="","","Expense")</f>
        <v/>
      </c>
      <c r="E559" s="15"/>
      <c r="F559" s="102"/>
      <c r="G559" s="102"/>
      <c r="H559" s="103" t="str">
        <f aca="false">IF($B559="","",N($E559))</f>
        <v/>
      </c>
      <c r="I559" s="104" t="str">
        <f aca="false">IF($B559="","",$I$508+SUMIFS($G$510:$G$560,$M$510:$M$560,"&lt;="&amp;$M559)-SUMIFS($H$510:$H$560,$M$510:$M$560,"&lt;="&amp;$M559))</f>
        <v/>
      </c>
      <c r="J559" s="102"/>
      <c r="K559" s="96" t="str">
        <f aca="false">IF($B559="","","ACTUAL")</f>
        <v/>
      </c>
      <c r="L559" s="1" t="str">
        <f aca="false">IF($B559="","",IF($C559="",$E$6+69,$C559))</f>
        <v/>
      </c>
      <c r="M559" s="1" t="str">
        <f aca="false">IF($L559="","",COUNTIFS($L$510:$L$560,"&lt;"&amp;$L559)+COUNTIFS($L$510:$L559,$L559))</f>
        <v/>
      </c>
    </row>
    <row r="560" customFormat="false" ht="15" hidden="false" customHeight="true" outlineLevel="0" collapsed="false">
      <c r="B560" s="105" t="str">
        <f aca="false">"Everyday spending still expected this week"</f>
        <v>Everyday spending still expected this week</v>
      </c>
      <c r="C560" s="106" t="n">
        <f aca="false">$E$6+69</f>
        <v>46318</v>
      </c>
      <c r="D560" s="101" t="str">
        <f aca="false">IF($B560="","","Expense")</f>
        <v>Expense</v>
      </c>
      <c r="E560" s="107" t="n">
        <f aca="false">MAX(0,$E$8-SUM($E$521:$E$559))</f>
        <v>400</v>
      </c>
      <c r="F560" s="102"/>
      <c r="G560" s="102"/>
      <c r="H560" s="103" t="n">
        <f aca="false">IF($B560="","",N($E560))</f>
        <v>400</v>
      </c>
      <c r="I560" s="104" t="n">
        <f aca="false">IF($B560="","",$I$508+SUMIFS($G$510:$G$560,$M$510:$M$560,"&lt;="&amp;$M560)-SUMIFS($H$510:$H$560,$M$510:$M$560,"&lt;="&amp;$M560))</f>
        <v>10.75</v>
      </c>
      <c r="J560" s="102"/>
      <c r="K560" s="96" t="str">
        <f aca="false">"FORECAST"</f>
        <v>FORECAST</v>
      </c>
      <c r="L560" s="97" t="n">
        <f aca="false">IF($B560="","",IF($C560="",$E$6+69,$C560))</f>
        <v>46318</v>
      </c>
      <c r="M560" s="1" t="n">
        <f aca="false">IF($L560="","",COUNTIFS($L$510:$L$560,"&lt;"&amp;$L560)+COUNTIFS($L$510:$L560,$L560))</f>
        <v>6</v>
      </c>
    </row>
    <row r="561" customFormat="false" ht="15" hidden="false" customHeight="true" outlineLevel="0" collapsed="false">
      <c r="B561" s="108" t="s">
        <v>201</v>
      </c>
      <c r="C561" s="58"/>
      <c r="D561" s="58"/>
      <c r="E561" s="58"/>
      <c r="F561" s="58"/>
      <c r="G561" s="57" t="n">
        <f aca="false">SUM($G$510:$G$560)</f>
        <v>892.65</v>
      </c>
      <c r="H561" s="57" t="n">
        <f aca="false">SUM($H$510:$H$560)</f>
        <v>587.19</v>
      </c>
      <c r="I561" s="109" t="n">
        <f aca="false">$I$508+$G$561-$H$561</f>
        <v>10.7499999999999</v>
      </c>
      <c r="J561" s="110" t="str">
        <f aca="false">IF($I$561&lt;0,"SHORTFALL",IF($I$561&lt;$E$7,"TIGHT","OK"))</f>
        <v>TIGHT</v>
      </c>
      <c r="K561" s="111"/>
      <c r="N561" s="111" t="str">
        <f aca="false">IF(COUNT($I$510:$I$560)=0,"","Lowest point this week: "&amp;TEXT(MIN($I$510:$I$560),"$#,##0.00;-$#,##0.00")&amp;" on "&amp;TEXT(INDEX($C$510:$C$560,MATCH(MIN($I$510:$I$560),$I$510:$I$560,0)),"ddd mmm d")&amp;"     (in "&amp;TEXT($G$561,"$#,##0.00")&amp;", out "&amp;TEXT($H$561,"$#,##0.00")&amp;")")</f>
        <v>Lowest point this week: -$389.51 on Thu Oct 22     (in $892.65, out $587.19)</v>
      </c>
    </row>
    <row r="563" customFormat="false" ht="21.75" hidden="false" customHeight="true" outlineLevel="0" collapsed="false">
      <c r="B563" s="82" t="str">
        <f aca="false">"WEEK 11     "&amp;TEXT($E$6+70,"ddd, mmm d")&amp;"   through   "&amp;TEXT($E$6+70+6,"ddd, mmm d, yyyy")</f>
        <v>WEEK 11     Sat, Oct 24   through   Fri, Oct 30, 2026</v>
      </c>
      <c r="C563" s="83"/>
      <c r="D563" s="83"/>
      <c r="E563" s="83"/>
      <c r="F563" s="83"/>
      <c r="G563" s="84" t="s">
        <v>147</v>
      </c>
      <c r="H563" s="83"/>
      <c r="I563" s="85" t="n">
        <f aca="false">$I$561</f>
        <v>10.7499999999999</v>
      </c>
      <c r="J563" s="83"/>
      <c r="K563" s="86"/>
      <c r="N563" s="86" t="str">
        <f aca="false">IF(COUNTIF(Schedule!$I$4:$I$483,11)&gt;10,"! "&amp;COUNTIF(Schedule!$I$4:$I$483,11)-10&amp;" more transaction(s) fall in this week than there are rows to show them.","")</f>
        <v/>
      </c>
    </row>
    <row r="564" customFormat="false" ht="25.5" hidden="false" customHeight="true" outlineLevel="0" collapsed="false">
      <c r="B564" s="87" t="s">
        <v>148</v>
      </c>
      <c r="C564" s="87" t="s">
        <v>149</v>
      </c>
      <c r="D564" s="87" t="s">
        <v>42</v>
      </c>
      <c r="E564" s="87" t="s">
        <v>150</v>
      </c>
      <c r="F564" s="87" t="s">
        <v>151</v>
      </c>
      <c r="G564" s="37" t="s">
        <v>152</v>
      </c>
      <c r="H564" s="38" t="s">
        <v>153</v>
      </c>
      <c r="I564" s="87" t="s">
        <v>154</v>
      </c>
      <c r="J564" s="87" t="s">
        <v>14</v>
      </c>
      <c r="K564" s="87" t="s">
        <v>155</v>
      </c>
    </row>
    <row r="565" customFormat="false" ht="15" hidden="false" customHeight="true" outlineLevel="0" collapsed="false">
      <c r="B565" s="8" t="str">
        <f aca="false">IFERROR(INDEX(Schedule!$C$4:$C$483,MATCH(11001,Schedule!$K$4:$K$483,0)),"")</f>
        <v>Bruno's Restaurant (paycheck)</v>
      </c>
      <c r="C565" s="88" t="n">
        <f aca="false">IF($B565="","",INDEX(Schedule!$G$4:$G$483,MATCH(11001,Schedule!$K$4:$K$483,0)))</f>
        <v>46323</v>
      </c>
      <c r="D565" s="89" t="str">
        <f aca="false">IF($B565="","",INDEX(Schedule!$D$4:$D$483,MATCH(11001,Schedule!$K$4:$K$483,0)))</f>
        <v>Income</v>
      </c>
      <c r="E565" s="90" t="n">
        <f aca="false">IF($B565="","",INDEX(Schedule!$E$4:$E$483,MATCH(11001,Schedule!$K$4:$K$483,0)))</f>
        <v>90</v>
      </c>
      <c r="F565" s="91"/>
      <c r="G565" s="92" t="n">
        <f aca="false">IF($B565="","",IF($D565="Income",IF($F565&lt;&gt;"",$F565,IF(COUNTIFS('Paid Log'!$B$9:$B$308,$C565,'Paid Log'!$C$9:$C$308,$B565)&gt;0,SUMIFS('Paid Log'!$D$9:$D$308,'Paid Log'!$B$9:$B$308,$C565,'Paid Log'!$C$9:$C$308,$B565),$E565)),""))</f>
        <v>90</v>
      </c>
      <c r="H565" s="93" t="str">
        <f aca="false">IF($B565="","",IF($D565="Income","",IF($F565&lt;&gt;"",$F565,IF(COUNTIFS('Paid Log'!$B$9:$B$308,$C565,'Paid Log'!$C$9:$C$308,$B565)&gt;0,SUMIFS('Paid Log'!$D$9:$D$308,'Paid Log'!$B$9:$B$308,$C565,'Paid Log'!$C$9:$C$308,$B565),$E565))))</f>
        <v/>
      </c>
      <c r="I565" s="94" t="n">
        <f aca="false">IF($B565="","",$I$563+SUMIFS($G$565:$G$615,$M$565:$M$615,"&lt;="&amp;$M565)-SUMIFS($H$565:$H$615,$M$565:$M$615,"&lt;="&amp;$M565))</f>
        <v>100.75</v>
      </c>
      <c r="J565" s="95" t="str">
        <f aca="true">IF($B565="","",IF(OR($F565&lt;&gt;"",COUNTIFS('Paid Log'!$B$9:$B$308,$C565,'Paid Log'!$C$9:$C$308,$B565)&gt;0),IF($C565&gt;TODAY(),"ADJUSTED","PAID"),IF($C565&lt;TODAY(),"PAST DUE",IF($C565&lt;=TODAY()+7,"DUE","Upcoming"))))</f>
        <v>Upcoming</v>
      </c>
      <c r="K565" s="96" t="str">
        <f aca="false">IF($B565="","",IF(OR($F565&lt;&gt;"",COUNTIFS('Paid Log'!$B$9:$B$308,$C565,'Paid Log'!$C$9:$C$308,$B565)&gt;0),"ACTUAL","FORECAST"))</f>
        <v>FORECAST</v>
      </c>
      <c r="L565" s="97"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88" t="n">
        <f aca="false">IF($B566="","",INDEX(Schedule!$G$4:$G$483,MATCH(11002,Schedule!$K$4:$K$483,0)))</f>
        <v>46325</v>
      </c>
      <c r="D566" s="89" t="str">
        <f aca="false">IF($B566="","",INDEX(Schedule!$D$4:$D$483,MATCH(11002,Schedule!$K$4:$K$483,0)))</f>
        <v>Income</v>
      </c>
      <c r="E566" s="90" t="n">
        <f aca="false">IF($B566="","",INDEX(Schedule!$E$4:$E$483,MATCH(11002,Schedule!$K$4:$K$483,0)))</f>
        <v>802.65</v>
      </c>
      <c r="F566" s="91"/>
      <c r="G566" s="92" t="n">
        <f aca="false">IF($B566="","",IF($D566="Income",IF($F566&lt;&gt;"",$F566,IF(COUNTIFS('Paid Log'!$B$9:$B$308,$C566,'Paid Log'!$C$9:$C$308,$B566)&gt;0,SUMIFS('Paid Log'!$D$9:$D$308,'Paid Log'!$B$9:$B$308,$C566,'Paid Log'!$C$9:$C$308,$B566),$E566)),""))</f>
        <v>802.65</v>
      </c>
      <c r="H566" s="93" t="str">
        <f aca="false">IF($B566="","",IF($D566="Income","",IF($F566&lt;&gt;"",$F566,IF(COUNTIFS('Paid Log'!$B$9:$B$308,$C566,'Paid Log'!$C$9:$C$308,$B566)&gt;0,SUMIFS('Paid Log'!$D$9:$D$308,'Paid Log'!$B$9:$B$308,$C566,'Paid Log'!$C$9:$C$308,$B566),$E566))))</f>
        <v/>
      </c>
      <c r="I566" s="94" t="n">
        <f aca="false">IF($B566="","",$I$563+SUMIFS($G$565:$G$615,$M$565:$M$615,"&lt;="&amp;$M566)-SUMIFS($H$565:$H$615,$M$565:$M$615,"&lt;="&amp;$M566))</f>
        <v>903.4</v>
      </c>
      <c r="J566" s="95" t="str">
        <f aca="true">IF($B566="","",IF(OR($F566&lt;&gt;"",COUNTIFS('Paid Log'!$B$9:$B$308,$C566,'Paid Log'!$C$9:$C$308,$B566)&gt;0),IF($C566&gt;TODAY(),"ADJUSTED","PAID"),IF($C566&lt;TODAY(),"PAST DUE",IF($C566&lt;=TODAY()+7,"DUE","Upcoming"))))</f>
        <v>Upcoming</v>
      </c>
      <c r="K566" s="96" t="str">
        <f aca="false">IF($B566="","",IF(OR($F566&lt;&gt;"",COUNTIFS('Paid Log'!$B$9:$B$308,$C566,'Paid Log'!$C$9:$C$308,$B566)&gt;0),"ACTUAL","FORECAST"))</f>
        <v>FORECAST</v>
      </c>
      <c r="L566" s="97"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88" t="n">
        <f aca="false">IF($B567="","",INDEX(Schedule!$G$4:$G$483,MATCH(11003,Schedule!$K$4:$K$483,0)))</f>
        <v>46325</v>
      </c>
      <c r="D567" s="89" t="str">
        <f aca="false">IF($B567="","",INDEX(Schedule!$D$4:$D$483,MATCH(11003,Schedule!$K$4:$K$483,0)))</f>
        <v>Expense</v>
      </c>
      <c r="E567" s="90" t="n">
        <f aca="false">IF($B567="","",INDEX(Schedule!$E$4:$E$483,MATCH(11003,Schedule!$K$4:$K$483,0)))</f>
        <v>350</v>
      </c>
      <c r="F567" s="91"/>
      <c r="G567" s="92" t="str">
        <f aca="false">IF($B567="","",IF($D567="Income",IF($F567&lt;&gt;"",$F567,IF(COUNTIFS('Paid Log'!$B$9:$B$308,$C567,'Paid Log'!$C$9:$C$308,$B567)&gt;0,SUMIFS('Paid Log'!$D$9:$D$308,'Paid Log'!$B$9:$B$308,$C567,'Paid Log'!$C$9:$C$308,$B567),$E567)),""))</f>
        <v/>
      </c>
      <c r="H567" s="93" t="n">
        <f aca="false">IF($B567="","",IF($D567="Income","",IF($F567&lt;&gt;"",$F567,IF(COUNTIFS('Paid Log'!$B$9:$B$308,$C567,'Paid Log'!$C$9:$C$308,$B567)&gt;0,SUMIFS('Paid Log'!$D$9:$D$308,'Paid Log'!$B$9:$B$308,$C567,'Paid Log'!$C$9:$C$308,$B567),$E567))))</f>
        <v>350</v>
      </c>
      <c r="I567" s="94" t="n">
        <f aca="false">IF($B567="","",$I$563+SUMIFS($G$565:$G$615,$M$565:$M$615,"&lt;="&amp;$M567)-SUMIFS($H$565:$H$615,$M$565:$M$615,"&lt;="&amp;$M567))</f>
        <v>553.4</v>
      </c>
      <c r="J567" s="95" t="str">
        <f aca="true">IF($B567="","",IF(OR($F567&lt;&gt;"",COUNTIFS('Paid Log'!$B$9:$B$308,$C567,'Paid Log'!$C$9:$C$308,$B567)&gt;0),IF($C567&gt;TODAY(),"ADJUSTED","PAID"),IF($C567&lt;TODAY(),"PAST DUE",IF($C567&lt;=TODAY()+7,"DUE","Upcoming"))))</f>
        <v>Upcoming</v>
      </c>
      <c r="K567" s="96" t="str">
        <f aca="false">IF($B567="","",IF(OR($F567&lt;&gt;"",COUNTIFS('Paid Log'!$B$9:$B$308,$C567,'Paid Log'!$C$9:$C$308,$B567)&gt;0),"ACTUAL","FORECAST"))</f>
        <v>FORECAST</v>
      </c>
      <c r="L567" s="97"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88" t="n">
        <f aca="false">IF($B568="","",INDEX(Schedule!$G$4:$G$483,MATCH(11004,Schedule!$K$4:$K$483,0)))</f>
        <v>46325</v>
      </c>
      <c r="D568" s="89" t="str">
        <f aca="false">IF($B568="","",INDEX(Schedule!$D$4:$D$483,MATCH(11004,Schedule!$K$4:$K$483,0)))</f>
        <v>Expense</v>
      </c>
      <c r="E568" s="90" t="n">
        <f aca="false">IF($B568="","",INDEX(Schedule!$E$4:$E$483,MATCH(11004,Schedule!$K$4:$K$483,0)))</f>
        <v>150</v>
      </c>
      <c r="F568" s="91"/>
      <c r="G568" s="92" t="str">
        <f aca="false">IF($B568="","",IF($D568="Income",IF($F568&lt;&gt;"",$F568,IF(COUNTIFS('Paid Log'!$B$9:$B$308,$C568,'Paid Log'!$C$9:$C$308,$B568)&gt;0,SUMIFS('Paid Log'!$D$9:$D$308,'Paid Log'!$B$9:$B$308,$C568,'Paid Log'!$C$9:$C$308,$B568),$E568)),""))</f>
        <v/>
      </c>
      <c r="H568" s="93" t="n">
        <f aca="false">IF($B568="","",IF($D568="Income","",IF($F568&lt;&gt;"",$F568,IF(COUNTIFS('Paid Log'!$B$9:$B$308,$C568,'Paid Log'!$C$9:$C$308,$B568)&gt;0,SUMIFS('Paid Log'!$D$9:$D$308,'Paid Log'!$B$9:$B$308,$C568,'Paid Log'!$C$9:$C$308,$B568),$E568))))</f>
        <v>150</v>
      </c>
      <c r="I568" s="94" t="n">
        <f aca="false">IF($B568="","",$I$563+SUMIFS($G$565:$G$615,$M$565:$M$615,"&lt;="&amp;$M568)-SUMIFS($H$565:$H$615,$M$565:$M$615,"&lt;="&amp;$M568))</f>
        <v>403.4</v>
      </c>
      <c r="J568" s="95" t="str">
        <f aca="true">IF($B568="","",IF(OR($F568&lt;&gt;"",COUNTIFS('Paid Log'!$B$9:$B$308,$C568,'Paid Log'!$C$9:$C$308,$B568)&gt;0),IF($C568&gt;TODAY(),"ADJUSTED","PAID"),IF($C568&lt;TODAY(),"PAST DUE",IF($C568&lt;=TODAY()+7,"DUE","Upcoming"))))</f>
        <v>Upcoming</v>
      </c>
      <c r="K568" s="96" t="str">
        <f aca="false">IF($B568="","",IF(OR($F568&lt;&gt;"",COUNTIFS('Paid Log'!$B$9:$B$308,$C568,'Paid Log'!$C$9:$C$308,$B568)&gt;0),"ACTUAL","FORECAST"))</f>
        <v>FORECAST</v>
      </c>
      <c r="L568" s="97"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88" t="str">
        <f aca="false">IF($B569="","",INDEX(Schedule!$G$4:$G$483,MATCH(11005,Schedule!$K$4:$K$483,0)))</f>
        <v/>
      </c>
      <c r="D569" s="89" t="str">
        <f aca="false">IF($B569="","",INDEX(Schedule!$D$4:$D$483,MATCH(11005,Schedule!$K$4:$K$483,0)))</f>
        <v/>
      </c>
      <c r="E569" s="90" t="str">
        <f aca="false">IF($B569="","",INDEX(Schedule!$E$4:$E$483,MATCH(11005,Schedule!$K$4:$K$483,0)))</f>
        <v/>
      </c>
      <c r="F569" s="91"/>
      <c r="G569" s="92" t="str">
        <f aca="false">IF($B569="","",IF($D569="Income",IF($F569&lt;&gt;"",$F569,IF(COUNTIFS('Paid Log'!$B$9:$B$308,$C569,'Paid Log'!$C$9:$C$308,$B569)&gt;0,SUMIFS('Paid Log'!$D$9:$D$308,'Paid Log'!$B$9:$B$308,$C569,'Paid Log'!$C$9:$C$308,$B569),$E569)),""))</f>
        <v/>
      </c>
      <c r="H569" s="93" t="str">
        <f aca="false">IF($B569="","",IF($D569="Income","",IF($F569&lt;&gt;"",$F569,IF(COUNTIFS('Paid Log'!$B$9:$B$308,$C569,'Paid Log'!$C$9:$C$308,$B569)&gt;0,SUMIFS('Paid Log'!$D$9:$D$308,'Paid Log'!$B$9:$B$308,$C569,'Paid Log'!$C$9:$C$308,$B569),$E569))))</f>
        <v/>
      </c>
      <c r="I569" s="94" t="str">
        <f aca="false">IF($B569="","",$I$563+SUMIFS($G$565:$G$615,$M$565:$M$615,"&lt;="&amp;$M569)-SUMIFS($H$565:$H$615,$M$565:$M$615,"&lt;="&amp;$M569))</f>
        <v/>
      </c>
      <c r="J569" s="95" t="str">
        <f aca="true">IF($B569="","",IF(OR($F569&lt;&gt;"",COUNTIFS('Paid Log'!$B$9:$B$308,$C569,'Paid Log'!$C$9:$C$308,$B569)&gt;0),IF($C569&gt;TODAY(),"ADJUSTED","PAID"),IF($C569&lt;TODAY(),"PAST DUE",IF($C569&lt;=TODAY()+7,"DUE","Upcoming"))))</f>
        <v/>
      </c>
      <c r="K569" s="96" t="str">
        <f aca="false">IF($B569="","",IF(OR($F569&lt;&gt;"",COUNTIFS('Paid Log'!$B$9:$B$308,$C569,'Paid Log'!$C$9:$C$308,$B569)&gt;0),"ACTUAL","FORECAST"))</f>
        <v/>
      </c>
      <c r="L569" s="97"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88" t="str">
        <f aca="false">IF($B570="","",INDEX(Schedule!$G$4:$G$483,MATCH(11006,Schedule!$K$4:$K$483,0)))</f>
        <v/>
      </c>
      <c r="D570" s="89" t="str">
        <f aca="false">IF($B570="","",INDEX(Schedule!$D$4:$D$483,MATCH(11006,Schedule!$K$4:$K$483,0)))</f>
        <v/>
      </c>
      <c r="E570" s="90" t="str">
        <f aca="false">IF($B570="","",INDEX(Schedule!$E$4:$E$483,MATCH(11006,Schedule!$K$4:$K$483,0)))</f>
        <v/>
      </c>
      <c r="F570" s="91"/>
      <c r="G570" s="92" t="str">
        <f aca="false">IF($B570="","",IF($D570="Income",IF($F570&lt;&gt;"",$F570,IF(COUNTIFS('Paid Log'!$B$9:$B$308,$C570,'Paid Log'!$C$9:$C$308,$B570)&gt;0,SUMIFS('Paid Log'!$D$9:$D$308,'Paid Log'!$B$9:$B$308,$C570,'Paid Log'!$C$9:$C$308,$B570),$E570)),""))</f>
        <v/>
      </c>
      <c r="H570" s="93" t="str">
        <f aca="false">IF($B570="","",IF($D570="Income","",IF($F570&lt;&gt;"",$F570,IF(COUNTIFS('Paid Log'!$B$9:$B$308,$C570,'Paid Log'!$C$9:$C$308,$B570)&gt;0,SUMIFS('Paid Log'!$D$9:$D$308,'Paid Log'!$B$9:$B$308,$C570,'Paid Log'!$C$9:$C$308,$B570),$E570))))</f>
        <v/>
      </c>
      <c r="I570" s="94" t="str">
        <f aca="false">IF($B570="","",$I$563+SUMIFS($G$565:$G$615,$M$565:$M$615,"&lt;="&amp;$M570)-SUMIFS($H$565:$H$615,$M$565:$M$615,"&lt;="&amp;$M570))</f>
        <v/>
      </c>
      <c r="J570" s="95" t="str">
        <f aca="true">IF($B570="","",IF(OR($F570&lt;&gt;"",COUNTIFS('Paid Log'!$B$9:$B$308,$C570,'Paid Log'!$C$9:$C$308,$B570)&gt;0),IF($C570&gt;TODAY(),"ADJUSTED","PAID"),IF($C570&lt;TODAY(),"PAST DUE",IF($C570&lt;=TODAY()+7,"DUE","Upcoming"))))</f>
        <v/>
      </c>
      <c r="K570" s="96" t="str">
        <f aca="false">IF($B570="","",IF(OR($F570&lt;&gt;"",COUNTIFS('Paid Log'!$B$9:$B$308,$C570,'Paid Log'!$C$9:$C$308,$B570)&gt;0),"ACTUAL","FORECAST"))</f>
        <v/>
      </c>
      <c r="L570" s="97"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88" t="str">
        <f aca="false">IF($B571="","",INDEX(Schedule!$G$4:$G$483,MATCH(11007,Schedule!$K$4:$K$483,0)))</f>
        <v/>
      </c>
      <c r="D571" s="89" t="str">
        <f aca="false">IF($B571="","",INDEX(Schedule!$D$4:$D$483,MATCH(11007,Schedule!$K$4:$K$483,0)))</f>
        <v/>
      </c>
      <c r="E571" s="90" t="str">
        <f aca="false">IF($B571="","",INDEX(Schedule!$E$4:$E$483,MATCH(11007,Schedule!$K$4:$K$483,0)))</f>
        <v/>
      </c>
      <c r="F571" s="91"/>
      <c r="G571" s="92" t="str">
        <f aca="false">IF($B571="","",IF($D571="Income",IF($F571&lt;&gt;"",$F571,IF(COUNTIFS('Paid Log'!$B$9:$B$308,$C571,'Paid Log'!$C$9:$C$308,$B571)&gt;0,SUMIFS('Paid Log'!$D$9:$D$308,'Paid Log'!$B$9:$B$308,$C571,'Paid Log'!$C$9:$C$308,$B571),$E571)),""))</f>
        <v/>
      </c>
      <c r="H571" s="93" t="str">
        <f aca="false">IF($B571="","",IF($D571="Income","",IF($F571&lt;&gt;"",$F571,IF(COUNTIFS('Paid Log'!$B$9:$B$308,$C571,'Paid Log'!$C$9:$C$308,$B571)&gt;0,SUMIFS('Paid Log'!$D$9:$D$308,'Paid Log'!$B$9:$B$308,$C571,'Paid Log'!$C$9:$C$308,$B571),$E571))))</f>
        <v/>
      </c>
      <c r="I571" s="94" t="str">
        <f aca="false">IF($B571="","",$I$563+SUMIFS($G$565:$G$615,$M$565:$M$615,"&lt;="&amp;$M571)-SUMIFS($H$565:$H$615,$M$565:$M$615,"&lt;="&amp;$M571))</f>
        <v/>
      </c>
      <c r="J571" s="95" t="str">
        <f aca="true">IF($B571="","",IF(OR($F571&lt;&gt;"",COUNTIFS('Paid Log'!$B$9:$B$308,$C571,'Paid Log'!$C$9:$C$308,$B571)&gt;0),IF($C571&gt;TODAY(),"ADJUSTED","PAID"),IF($C571&lt;TODAY(),"PAST DUE",IF($C571&lt;=TODAY()+7,"DUE","Upcoming"))))</f>
        <v/>
      </c>
      <c r="K571" s="96"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88" t="str">
        <f aca="false">IF($B572="","",INDEX(Schedule!$G$4:$G$483,MATCH(11008,Schedule!$K$4:$K$483,0)))</f>
        <v/>
      </c>
      <c r="D572" s="89" t="str">
        <f aca="false">IF($B572="","",INDEX(Schedule!$D$4:$D$483,MATCH(11008,Schedule!$K$4:$K$483,0)))</f>
        <v/>
      </c>
      <c r="E572" s="90" t="str">
        <f aca="false">IF($B572="","",INDEX(Schedule!$E$4:$E$483,MATCH(11008,Schedule!$K$4:$K$483,0)))</f>
        <v/>
      </c>
      <c r="F572" s="91"/>
      <c r="G572" s="92" t="str">
        <f aca="false">IF($B572="","",IF($D572="Income",IF($F572&lt;&gt;"",$F572,IF(COUNTIFS('Paid Log'!$B$9:$B$308,$C572,'Paid Log'!$C$9:$C$308,$B572)&gt;0,SUMIFS('Paid Log'!$D$9:$D$308,'Paid Log'!$B$9:$B$308,$C572,'Paid Log'!$C$9:$C$308,$B572),$E572)),""))</f>
        <v/>
      </c>
      <c r="H572" s="93" t="str">
        <f aca="false">IF($B572="","",IF($D572="Income","",IF($F572&lt;&gt;"",$F572,IF(COUNTIFS('Paid Log'!$B$9:$B$308,$C572,'Paid Log'!$C$9:$C$308,$B572)&gt;0,SUMIFS('Paid Log'!$D$9:$D$308,'Paid Log'!$B$9:$B$308,$C572,'Paid Log'!$C$9:$C$308,$B572),$E572))))</f>
        <v/>
      </c>
      <c r="I572" s="94" t="str">
        <f aca="false">IF($B572="","",$I$563+SUMIFS($G$565:$G$615,$M$565:$M$615,"&lt;="&amp;$M572)-SUMIFS($H$565:$H$615,$M$565:$M$615,"&lt;="&amp;$M572))</f>
        <v/>
      </c>
      <c r="J572" s="95" t="str">
        <f aca="true">IF($B572="","",IF(OR($F572&lt;&gt;"",COUNTIFS('Paid Log'!$B$9:$B$308,$C572,'Paid Log'!$C$9:$C$308,$B572)&gt;0),IF($C572&gt;TODAY(),"ADJUSTED","PAID"),IF($C572&lt;TODAY(),"PAST DUE",IF($C572&lt;=TODAY()+7,"DUE","Upcoming"))))</f>
        <v/>
      </c>
      <c r="K572" s="96"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88" t="str">
        <f aca="false">IF($B573="","",INDEX(Schedule!$G$4:$G$483,MATCH(11009,Schedule!$K$4:$K$483,0)))</f>
        <v/>
      </c>
      <c r="D573" s="89" t="str">
        <f aca="false">IF($B573="","",INDEX(Schedule!$D$4:$D$483,MATCH(11009,Schedule!$K$4:$K$483,0)))</f>
        <v/>
      </c>
      <c r="E573" s="90" t="str">
        <f aca="false">IF($B573="","",INDEX(Schedule!$E$4:$E$483,MATCH(11009,Schedule!$K$4:$K$483,0)))</f>
        <v/>
      </c>
      <c r="F573" s="91"/>
      <c r="G573" s="92" t="str">
        <f aca="false">IF($B573="","",IF($D573="Income",IF($F573&lt;&gt;"",$F573,IF(COUNTIFS('Paid Log'!$B$9:$B$308,$C573,'Paid Log'!$C$9:$C$308,$B573)&gt;0,SUMIFS('Paid Log'!$D$9:$D$308,'Paid Log'!$B$9:$B$308,$C573,'Paid Log'!$C$9:$C$308,$B573),$E573)),""))</f>
        <v/>
      </c>
      <c r="H573" s="93" t="str">
        <f aca="false">IF($B573="","",IF($D573="Income","",IF($F573&lt;&gt;"",$F573,IF(COUNTIFS('Paid Log'!$B$9:$B$308,$C573,'Paid Log'!$C$9:$C$308,$B573)&gt;0,SUMIFS('Paid Log'!$D$9:$D$308,'Paid Log'!$B$9:$B$308,$C573,'Paid Log'!$C$9:$C$308,$B573),$E573))))</f>
        <v/>
      </c>
      <c r="I573" s="94" t="str">
        <f aca="false">IF($B573="","",$I$563+SUMIFS($G$565:$G$615,$M$565:$M$615,"&lt;="&amp;$M573)-SUMIFS($H$565:$H$615,$M$565:$M$615,"&lt;="&amp;$M573))</f>
        <v/>
      </c>
      <c r="J573" s="95" t="str">
        <f aca="true">IF($B573="","",IF(OR($F573&lt;&gt;"",COUNTIFS('Paid Log'!$B$9:$B$308,$C573,'Paid Log'!$C$9:$C$308,$B573)&gt;0),IF($C573&gt;TODAY(),"ADJUSTED","PAID"),IF($C573&lt;TODAY(),"PAST DUE",IF($C573&lt;=TODAY()+7,"DUE","Upcoming"))))</f>
        <v/>
      </c>
      <c r="K573" s="96"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88" t="str">
        <f aca="false">IF($B574="","",INDEX(Schedule!$G$4:$G$483,MATCH(11010,Schedule!$K$4:$K$483,0)))</f>
        <v/>
      </c>
      <c r="D574" s="89" t="str">
        <f aca="false">IF($B574="","",INDEX(Schedule!$D$4:$D$483,MATCH(11010,Schedule!$K$4:$K$483,0)))</f>
        <v/>
      </c>
      <c r="E574" s="90" t="str">
        <f aca="false">IF($B574="","",INDEX(Schedule!$E$4:$E$483,MATCH(11010,Schedule!$K$4:$K$483,0)))</f>
        <v/>
      </c>
      <c r="F574" s="91"/>
      <c r="G574" s="92" t="str">
        <f aca="false">IF($B574="","",IF($D574="Income",IF($F574&lt;&gt;"",$F574,IF(COUNTIFS('Paid Log'!$B$9:$B$308,$C574,'Paid Log'!$C$9:$C$308,$B574)&gt;0,SUMIFS('Paid Log'!$D$9:$D$308,'Paid Log'!$B$9:$B$308,$C574,'Paid Log'!$C$9:$C$308,$B574),$E574)),""))</f>
        <v/>
      </c>
      <c r="H574" s="93" t="str">
        <f aca="false">IF($B574="","",IF($D574="Income","",IF($F574&lt;&gt;"",$F574,IF(COUNTIFS('Paid Log'!$B$9:$B$308,$C574,'Paid Log'!$C$9:$C$308,$B574)&gt;0,SUMIFS('Paid Log'!$D$9:$D$308,'Paid Log'!$B$9:$B$308,$C574,'Paid Log'!$C$9:$C$308,$B574),$E574))))</f>
        <v/>
      </c>
      <c r="I574" s="94" t="str">
        <f aca="false">IF($B574="","",$I$563+SUMIFS($G$565:$G$615,$M$565:$M$615,"&lt;="&amp;$M574)-SUMIFS($H$565:$H$615,$M$565:$M$615,"&lt;="&amp;$M574))</f>
        <v/>
      </c>
      <c r="J574" s="95" t="str">
        <f aca="true">IF($B574="","",IF(OR($F574&lt;&gt;"",COUNTIFS('Paid Log'!$B$9:$B$308,$C574,'Paid Log'!$C$9:$C$308,$B574)&gt;0),IF($C574&gt;TODAY(),"ADJUSTED","PAID"),IF($C574&lt;TODAY(),"PAST DUE",IF($C574&lt;=TODAY()+7,"DUE","Upcoming"))))</f>
        <v/>
      </c>
      <c r="K574" s="96"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98" t="s">
        <v>156</v>
      </c>
      <c r="C575" s="99"/>
      <c r="D575" s="99"/>
      <c r="E575" s="99"/>
      <c r="F575" s="99"/>
      <c r="G575" s="99"/>
      <c r="H575" s="99"/>
      <c r="I575" s="99"/>
      <c r="J575" s="99"/>
    </row>
    <row r="576" customFormat="false" ht="15" hidden="false" customHeight="true" outlineLevel="0" collapsed="false">
      <c r="B576" s="13"/>
      <c r="C576" s="100"/>
      <c r="D576" s="101" t="str">
        <f aca="false">IF($B576="","","Expense")</f>
        <v/>
      </c>
      <c r="E576" s="15"/>
      <c r="F576" s="102"/>
      <c r="G576" s="102"/>
      <c r="H576" s="103" t="str">
        <f aca="false">IF($B576="","",N($E576))</f>
        <v/>
      </c>
      <c r="I576" s="104" t="str">
        <f aca="false">IF($B576="","",$I$563+SUMIFS($G$565:$G$615,$M$565:$M$615,"&lt;="&amp;$M576)-SUMIFS($H$565:$H$615,$M$565:$M$615,"&lt;="&amp;$M576))</f>
        <v/>
      </c>
      <c r="J576" s="102"/>
      <c r="K576" s="96"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100"/>
      <c r="D577" s="101" t="str">
        <f aca="false">IF($B577="","","Expense")</f>
        <v/>
      </c>
      <c r="E577" s="15"/>
      <c r="F577" s="102"/>
      <c r="G577" s="102"/>
      <c r="H577" s="103" t="str">
        <f aca="false">IF($B577="","",N($E577))</f>
        <v/>
      </c>
      <c r="I577" s="104" t="str">
        <f aca="false">IF($B577="","",$I$563+SUMIFS($G$565:$G$615,$M$565:$M$615,"&lt;="&amp;$M577)-SUMIFS($H$565:$H$615,$M$565:$M$615,"&lt;="&amp;$M577))</f>
        <v/>
      </c>
      <c r="J577" s="102"/>
      <c r="K577" s="96"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100"/>
      <c r="D578" s="101" t="str">
        <f aca="false">IF($B578="","","Expense")</f>
        <v/>
      </c>
      <c r="E578" s="15"/>
      <c r="F578" s="102"/>
      <c r="G578" s="102"/>
      <c r="H578" s="103" t="str">
        <f aca="false">IF($B578="","",N($E578))</f>
        <v/>
      </c>
      <c r="I578" s="104" t="str">
        <f aca="false">IF($B578="","",$I$563+SUMIFS($G$565:$G$615,$M$565:$M$615,"&lt;="&amp;$M578)-SUMIFS($H$565:$H$615,$M$565:$M$615,"&lt;="&amp;$M578))</f>
        <v/>
      </c>
      <c r="J578" s="102"/>
      <c r="K578" s="96"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100"/>
      <c r="D579" s="101" t="str">
        <f aca="false">IF($B579="","","Expense")</f>
        <v/>
      </c>
      <c r="E579" s="15"/>
      <c r="F579" s="102"/>
      <c r="G579" s="102"/>
      <c r="H579" s="103" t="str">
        <f aca="false">IF($B579="","",N($E579))</f>
        <v/>
      </c>
      <c r="I579" s="104" t="str">
        <f aca="false">IF($B579="","",$I$563+SUMIFS($G$565:$G$615,$M$565:$M$615,"&lt;="&amp;$M579)-SUMIFS($H$565:$H$615,$M$565:$M$615,"&lt;="&amp;$M579))</f>
        <v/>
      </c>
      <c r="J579" s="102"/>
      <c r="K579" s="96"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100"/>
      <c r="D580" s="101" t="str">
        <f aca="false">IF($B580="","","Expense")</f>
        <v/>
      </c>
      <c r="E580" s="15"/>
      <c r="F580" s="102"/>
      <c r="G580" s="102"/>
      <c r="H580" s="103" t="str">
        <f aca="false">IF($B580="","",N($E580))</f>
        <v/>
      </c>
      <c r="I580" s="104" t="str">
        <f aca="false">IF($B580="","",$I$563+SUMIFS($G$565:$G$615,$M$565:$M$615,"&lt;="&amp;$M580)-SUMIFS($H$565:$H$615,$M$565:$M$615,"&lt;="&amp;$M580))</f>
        <v/>
      </c>
      <c r="J580" s="102"/>
      <c r="K580" s="96"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100"/>
      <c r="D581" s="101" t="str">
        <f aca="false">IF($B581="","","Expense")</f>
        <v/>
      </c>
      <c r="E581" s="15"/>
      <c r="F581" s="102"/>
      <c r="G581" s="102"/>
      <c r="H581" s="103" t="str">
        <f aca="false">IF($B581="","",N($E581))</f>
        <v/>
      </c>
      <c r="I581" s="104" t="str">
        <f aca="false">IF($B581="","",$I$563+SUMIFS($G$565:$G$615,$M$565:$M$615,"&lt;="&amp;$M581)-SUMIFS($H$565:$H$615,$M$565:$M$615,"&lt;="&amp;$M581))</f>
        <v/>
      </c>
      <c r="J581" s="102"/>
      <c r="K581" s="96"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100"/>
      <c r="D582" s="101" t="str">
        <f aca="false">IF($B582="","","Expense")</f>
        <v/>
      </c>
      <c r="E582" s="15"/>
      <c r="F582" s="102"/>
      <c r="G582" s="102"/>
      <c r="H582" s="103" t="str">
        <f aca="false">IF($B582="","",N($E582))</f>
        <v/>
      </c>
      <c r="I582" s="104" t="str">
        <f aca="false">IF($B582="","",$I$563+SUMIFS($G$565:$G$615,$M$565:$M$615,"&lt;="&amp;$M582)-SUMIFS($H$565:$H$615,$M$565:$M$615,"&lt;="&amp;$M582))</f>
        <v/>
      </c>
      <c r="J582" s="102"/>
      <c r="K582" s="96"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100"/>
      <c r="D583" s="101" t="str">
        <f aca="false">IF($B583="","","Expense")</f>
        <v/>
      </c>
      <c r="E583" s="15"/>
      <c r="F583" s="102"/>
      <c r="G583" s="102"/>
      <c r="H583" s="103" t="str">
        <f aca="false">IF($B583="","",N($E583))</f>
        <v/>
      </c>
      <c r="I583" s="104" t="str">
        <f aca="false">IF($B583="","",$I$563+SUMIFS($G$565:$G$615,$M$565:$M$615,"&lt;="&amp;$M583)-SUMIFS($H$565:$H$615,$M$565:$M$615,"&lt;="&amp;$M583))</f>
        <v/>
      </c>
      <c r="J583" s="102"/>
      <c r="K583" s="96"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100"/>
      <c r="D584" s="101" t="str">
        <f aca="false">IF($B584="","","Expense")</f>
        <v/>
      </c>
      <c r="E584" s="15"/>
      <c r="F584" s="102"/>
      <c r="G584" s="102"/>
      <c r="H584" s="103" t="str">
        <f aca="false">IF($B584="","",N($E584))</f>
        <v/>
      </c>
      <c r="I584" s="104" t="str">
        <f aca="false">IF($B584="","",$I$563+SUMIFS($G$565:$G$615,$M$565:$M$615,"&lt;="&amp;$M584)-SUMIFS($H$565:$H$615,$M$565:$M$615,"&lt;="&amp;$M584))</f>
        <v/>
      </c>
      <c r="J584" s="102"/>
      <c r="K584" s="96"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100"/>
      <c r="D585" s="101" t="str">
        <f aca="false">IF($B585="","","Expense")</f>
        <v/>
      </c>
      <c r="E585" s="15"/>
      <c r="F585" s="102"/>
      <c r="G585" s="102"/>
      <c r="H585" s="103" t="str">
        <f aca="false">IF($B585="","",N($E585))</f>
        <v/>
      </c>
      <c r="I585" s="104" t="str">
        <f aca="false">IF($B585="","",$I$563+SUMIFS($G$565:$G$615,$M$565:$M$615,"&lt;="&amp;$M585)-SUMIFS($H$565:$H$615,$M$565:$M$615,"&lt;="&amp;$M585))</f>
        <v/>
      </c>
      <c r="J585" s="102"/>
      <c r="K585" s="96"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100"/>
      <c r="D586" s="101" t="str">
        <f aca="false">IF($B586="","","Expense")</f>
        <v/>
      </c>
      <c r="E586" s="15"/>
      <c r="F586" s="102"/>
      <c r="G586" s="102"/>
      <c r="H586" s="103" t="str">
        <f aca="false">IF($B586="","",N($E586))</f>
        <v/>
      </c>
      <c r="I586" s="104" t="str">
        <f aca="false">IF($B586="","",$I$563+SUMIFS($G$565:$G$615,$M$565:$M$615,"&lt;="&amp;$M586)-SUMIFS($H$565:$H$615,$M$565:$M$615,"&lt;="&amp;$M586))</f>
        <v/>
      </c>
      <c r="J586" s="102"/>
      <c r="K586" s="96"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100"/>
      <c r="D587" s="101" t="str">
        <f aca="false">IF($B587="","","Expense")</f>
        <v/>
      </c>
      <c r="E587" s="15"/>
      <c r="F587" s="102"/>
      <c r="G587" s="102"/>
      <c r="H587" s="103" t="str">
        <f aca="false">IF($B587="","",N($E587))</f>
        <v/>
      </c>
      <c r="I587" s="104" t="str">
        <f aca="false">IF($B587="","",$I$563+SUMIFS($G$565:$G$615,$M$565:$M$615,"&lt;="&amp;$M587)-SUMIFS($H$565:$H$615,$M$565:$M$615,"&lt;="&amp;$M587))</f>
        <v/>
      </c>
      <c r="J587" s="102"/>
      <c r="K587" s="96"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100"/>
      <c r="D588" s="101" t="str">
        <f aca="false">IF($B588="","","Expense")</f>
        <v/>
      </c>
      <c r="E588" s="15"/>
      <c r="F588" s="102"/>
      <c r="G588" s="102"/>
      <c r="H588" s="103" t="str">
        <f aca="false">IF($B588="","",N($E588))</f>
        <v/>
      </c>
      <c r="I588" s="104" t="str">
        <f aca="false">IF($B588="","",$I$563+SUMIFS($G$565:$G$615,$M$565:$M$615,"&lt;="&amp;$M588)-SUMIFS($H$565:$H$615,$M$565:$M$615,"&lt;="&amp;$M588))</f>
        <v/>
      </c>
      <c r="J588" s="102"/>
      <c r="K588" s="96"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100"/>
      <c r="D589" s="101" t="str">
        <f aca="false">IF($B589="","","Expense")</f>
        <v/>
      </c>
      <c r="E589" s="15"/>
      <c r="F589" s="102"/>
      <c r="G589" s="102"/>
      <c r="H589" s="103" t="str">
        <f aca="false">IF($B589="","",N($E589))</f>
        <v/>
      </c>
      <c r="I589" s="104" t="str">
        <f aca="false">IF($B589="","",$I$563+SUMIFS($G$565:$G$615,$M$565:$M$615,"&lt;="&amp;$M589)-SUMIFS($H$565:$H$615,$M$565:$M$615,"&lt;="&amp;$M589))</f>
        <v/>
      </c>
      <c r="J589" s="102"/>
      <c r="K589" s="96"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100"/>
      <c r="D590" s="101" t="str">
        <f aca="false">IF($B590="","","Expense")</f>
        <v/>
      </c>
      <c r="E590" s="15"/>
      <c r="F590" s="102"/>
      <c r="G590" s="102"/>
      <c r="H590" s="103" t="str">
        <f aca="false">IF($B590="","",N($E590))</f>
        <v/>
      </c>
      <c r="I590" s="104" t="str">
        <f aca="false">IF($B590="","",$I$563+SUMIFS($G$565:$G$615,$M$565:$M$615,"&lt;="&amp;$M590)-SUMIFS($H$565:$H$615,$M$565:$M$615,"&lt;="&amp;$M590))</f>
        <v/>
      </c>
      <c r="J590" s="102"/>
      <c r="K590" s="96"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100"/>
      <c r="D591" s="101" t="str">
        <f aca="false">IF($B591="","","Expense")</f>
        <v/>
      </c>
      <c r="E591" s="15"/>
      <c r="F591" s="102"/>
      <c r="G591" s="102"/>
      <c r="H591" s="103" t="str">
        <f aca="false">IF($B591="","",N($E591))</f>
        <v/>
      </c>
      <c r="I591" s="104" t="str">
        <f aca="false">IF($B591="","",$I$563+SUMIFS($G$565:$G$615,$M$565:$M$615,"&lt;="&amp;$M591)-SUMIFS($H$565:$H$615,$M$565:$M$615,"&lt;="&amp;$M591))</f>
        <v/>
      </c>
      <c r="J591" s="102"/>
      <c r="K591" s="96"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100"/>
      <c r="D592" s="101" t="str">
        <f aca="false">IF($B592="","","Expense")</f>
        <v/>
      </c>
      <c r="E592" s="15"/>
      <c r="F592" s="102"/>
      <c r="G592" s="102"/>
      <c r="H592" s="103" t="str">
        <f aca="false">IF($B592="","",N($E592))</f>
        <v/>
      </c>
      <c r="I592" s="104" t="str">
        <f aca="false">IF($B592="","",$I$563+SUMIFS($G$565:$G$615,$M$565:$M$615,"&lt;="&amp;$M592)-SUMIFS($H$565:$H$615,$M$565:$M$615,"&lt;="&amp;$M592))</f>
        <v/>
      </c>
      <c r="J592" s="102"/>
      <c r="K592" s="96"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100"/>
      <c r="D593" s="101" t="str">
        <f aca="false">IF($B593="","","Expense")</f>
        <v/>
      </c>
      <c r="E593" s="15"/>
      <c r="F593" s="102"/>
      <c r="G593" s="102"/>
      <c r="H593" s="103" t="str">
        <f aca="false">IF($B593="","",N($E593))</f>
        <v/>
      </c>
      <c r="I593" s="104" t="str">
        <f aca="false">IF($B593="","",$I$563+SUMIFS($G$565:$G$615,$M$565:$M$615,"&lt;="&amp;$M593)-SUMIFS($H$565:$H$615,$M$565:$M$615,"&lt;="&amp;$M593))</f>
        <v/>
      </c>
      <c r="J593" s="102"/>
      <c r="K593" s="96"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100"/>
      <c r="D594" s="101" t="str">
        <f aca="false">IF($B594="","","Expense")</f>
        <v/>
      </c>
      <c r="E594" s="15"/>
      <c r="F594" s="102"/>
      <c r="G594" s="102"/>
      <c r="H594" s="103" t="str">
        <f aca="false">IF($B594="","",N($E594))</f>
        <v/>
      </c>
      <c r="I594" s="104" t="str">
        <f aca="false">IF($B594="","",$I$563+SUMIFS($G$565:$G$615,$M$565:$M$615,"&lt;="&amp;$M594)-SUMIFS($H$565:$H$615,$M$565:$M$615,"&lt;="&amp;$M594))</f>
        <v/>
      </c>
      <c r="J594" s="102"/>
      <c r="K594" s="96"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100"/>
      <c r="D595" s="101" t="str">
        <f aca="false">IF($B595="","","Expense")</f>
        <v/>
      </c>
      <c r="E595" s="15"/>
      <c r="F595" s="102"/>
      <c r="G595" s="102"/>
      <c r="H595" s="103" t="str">
        <f aca="false">IF($B595="","",N($E595))</f>
        <v/>
      </c>
      <c r="I595" s="104" t="str">
        <f aca="false">IF($B595="","",$I$563+SUMIFS($G$565:$G$615,$M$565:$M$615,"&lt;="&amp;$M595)-SUMIFS($H$565:$H$615,$M$565:$M$615,"&lt;="&amp;$M595))</f>
        <v/>
      </c>
      <c r="J595" s="102"/>
      <c r="K595" s="96"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100"/>
      <c r="D596" s="101" t="str">
        <f aca="false">IF($B596="","","Expense")</f>
        <v/>
      </c>
      <c r="E596" s="15"/>
      <c r="F596" s="102"/>
      <c r="G596" s="102"/>
      <c r="H596" s="103" t="str">
        <f aca="false">IF($B596="","",N($E596))</f>
        <v/>
      </c>
      <c r="I596" s="104" t="str">
        <f aca="false">IF($B596="","",$I$563+SUMIFS($G$565:$G$615,$M$565:$M$615,"&lt;="&amp;$M596)-SUMIFS($H$565:$H$615,$M$565:$M$615,"&lt;="&amp;$M596))</f>
        <v/>
      </c>
      <c r="J596" s="102"/>
      <c r="K596" s="96"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100"/>
      <c r="D597" s="101" t="str">
        <f aca="false">IF($B597="","","Expense")</f>
        <v/>
      </c>
      <c r="E597" s="15"/>
      <c r="F597" s="102"/>
      <c r="G597" s="102"/>
      <c r="H597" s="103" t="str">
        <f aca="false">IF($B597="","",N($E597))</f>
        <v/>
      </c>
      <c r="I597" s="104" t="str">
        <f aca="false">IF($B597="","",$I$563+SUMIFS($G$565:$G$615,$M$565:$M$615,"&lt;="&amp;$M597)-SUMIFS($H$565:$H$615,$M$565:$M$615,"&lt;="&amp;$M597))</f>
        <v/>
      </c>
      <c r="J597" s="102"/>
      <c r="K597" s="96"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100"/>
      <c r="D598" s="101" t="str">
        <f aca="false">IF($B598="","","Expense")</f>
        <v/>
      </c>
      <c r="E598" s="15"/>
      <c r="F598" s="102"/>
      <c r="G598" s="102"/>
      <c r="H598" s="103" t="str">
        <f aca="false">IF($B598="","",N($E598))</f>
        <v/>
      </c>
      <c r="I598" s="104" t="str">
        <f aca="false">IF($B598="","",$I$563+SUMIFS($G$565:$G$615,$M$565:$M$615,"&lt;="&amp;$M598)-SUMIFS($H$565:$H$615,$M$565:$M$615,"&lt;="&amp;$M598))</f>
        <v/>
      </c>
      <c r="J598" s="102"/>
      <c r="K598" s="96"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100"/>
      <c r="D599" s="101" t="str">
        <f aca="false">IF($B599="","","Expense")</f>
        <v/>
      </c>
      <c r="E599" s="15"/>
      <c r="F599" s="102"/>
      <c r="G599" s="102"/>
      <c r="H599" s="103" t="str">
        <f aca="false">IF($B599="","",N($E599))</f>
        <v/>
      </c>
      <c r="I599" s="104" t="str">
        <f aca="false">IF($B599="","",$I$563+SUMIFS($G$565:$G$615,$M$565:$M$615,"&lt;="&amp;$M599)-SUMIFS($H$565:$H$615,$M$565:$M$615,"&lt;="&amp;$M599))</f>
        <v/>
      </c>
      <c r="J599" s="102"/>
      <c r="K599" s="96"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100"/>
      <c r="D600" s="101" t="str">
        <f aca="false">IF($B600="","","Expense")</f>
        <v/>
      </c>
      <c r="E600" s="15"/>
      <c r="F600" s="102"/>
      <c r="G600" s="102"/>
      <c r="H600" s="103" t="str">
        <f aca="false">IF($B600="","",N($E600))</f>
        <v/>
      </c>
      <c r="I600" s="104" t="str">
        <f aca="false">IF($B600="","",$I$563+SUMIFS($G$565:$G$615,$M$565:$M$615,"&lt;="&amp;$M600)-SUMIFS($H$565:$H$615,$M$565:$M$615,"&lt;="&amp;$M600))</f>
        <v/>
      </c>
      <c r="J600" s="102"/>
      <c r="K600" s="96"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100"/>
      <c r="D601" s="101" t="str">
        <f aca="false">IF($B601="","","Expense")</f>
        <v/>
      </c>
      <c r="E601" s="15"/>
      <c r="F601" s="102"/>
      <c r="G601" s="102"/>
      <c r="H601" s="103" t="str">
        <f aca="false">IF($B601="","",N($E601))</f>
        <v/>
      </c>
      <c r="I601" s="104" t="str">
        <f aca="false">IF($B601="","",$I$563+SUMIFS($G$565:$G$615,$M$565:$M$615,"&lt;="&amp;$M601)-SUMIFS($H$565:$H$615,$M$565:$M$615,"&lt;="&amp;$M601))</f>
        <v/>
      </c>
      <c r="J601" s="102"/>
      <c r="K601" s="96"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100"/>
      <c r="D602" s="101" t="str">
        <f aca="false">IF($B602="","","Expense")</f>
        <v/>
      </c>
      <c r="E602" s="15"/>
      <c r="F602" s="102"/>
      <c r="G602" s="102"/>
      <c r="H602" s="103" t="str">
        <f aca="false">IF($B602="","",N($E602))</f>
        <v/>
      </c>
      <c r="I602" s="104" t="str">
        <f aca="false">IF($B602="","",$I$563+SUMIFS($G$565:$G$615,$M$565:$M$615,"&lt;="&amp;$M602)-SUMIFS($H$565:$H$615,$M$565:$M$615,"&lt;="&amp;$M602))</f>
        <v/>
      </c>
      <c r="J602" s="102"/>
      <c r="K602" s="96"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100"/>
      <c r="D603" s="101" t="str">
        <f aca="false">IF($B603="","","Expense")</f>
        <v/>
      </c>
      <c r="E603" s="15"/>
      <c r="F603" s="102"/>
      <c r="G603" s="102"/>
      <c r="H603" s="103" t="str">
        <f aca="false">IF($B603="","",N($E603))</f>
        <v/>
      </c>
      <c r="I603" s="104" t="str">
        <f aca="false">IF($B603="","",$I$563+SUMIFS($G$565:$G$615,$M$565:$M$615,"&lt;="&amp;$M603)-SUMIFS($H$565:$H$615,$M$565:$M$615,"&lt;="&amp;$M603))</f>
        <v/>
      </c>
      <c r="J603" s="102"/>
      <c r="K603" s="96"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100"/>
      <c r="D604" s="101" t="str">
        <f aca="false">IF($B604="","","Expense")</f>
        <v/>
      </c>
      <c r="E604" s="15"/>
      <c r="F604" s="102"/>
      <c r="G604" s="102"/>
      <c r="H604" s="103" t="str">
        <f aca="false">IF($B604="","",N($E604))</f>
        <v/>
      </c>
      <c r="I604" s="104" t="str">
        <f aca="false">IF($B604="","",$I$563+SUMIFS($G$565:$G$615,$M$565:$M$615,"&lt;="&amp;$M604)-SUMIFS($H$565:$H$615,$M$565:$M$615,"&lt;="&amp;$M604))</f>
        <v/>
      </c>
      <c r="J604" s="102"/>
      <c r="K604" s="96"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100"/>
      <c r="D605" s="101" t="str">
        <f aca="false">IF($B605="","","Expense")</f>
        <v/>
      </c>
      <c r="E605" s="15"/>
      <c r="F605" s="102"/>
      <c r="G605" s="102"/>
      <c r="H605" s="103" t="str">
        <f aca="false">IF($B605="","",N($E605))</f>
        <v/>
      </c>
      <c r="I605" s="104" t="str">
        <f aca="false">IF($B605="","",$I$563+SUMIFS($G$565:$G$615,$M$565:$M$615,"&lt;="&amp;$M605)-SUMIFS($H$565:$H$615,$M$565:$M$615,"&lt;="&amp;$M605))</f>
        <v/>
      </c>
      <c r="J605" s="102"/>
      <c r="K605" s="96"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100"/>
      <c r="D606" s="101" t="str">
        <f aca="false">IF($B606="","","Expense")</f>
        <v/>
      </c>
      <c r="E606" s="15"/>
      <c r="F606" s="102"/>
      <c r="G606" s="102"/>
      <c r="H606" s="103" t="str">
        <f aca="false">IF($B606="","",N($E606))</f>
        <v/>
      </c>
      <c r="I606" s="104" t="str">
        <f aca="false">IF($B606="","",$I$563+SUMIFS($G$565:$G$615,$M$565:$M$615,"&lt;="&amp;$M606)-SUMIFS($H$565:$H$615,$M$565:$M$615,"&lt;="&amp;$M606))</f>
        <v/>
      </c>
      <c r="J606" s="102"/>
      <c r="K606" s="96"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100"/>
      <c r="D607" s="101" t="str">
        <f aca="false">IF($B607="","","Expense")</f>
        <v/>
      </c>
      <c r="E607" s="15"/>
      <c r="F607" s="102"/>
      <c r="G607" s="102"/>
      <c r="H607" s="103" t="str">
        <f aca="false">IF($B607="","",N($E607))</f>
        <v/>
      </c>
      <c r="I607" s="104" t="str">
        <f aca="false">IF($B607="","",$I$563+SUMIFS($G$565:$G$615,$M$565:$M$615,"&lt;="&amp;$M607)-SUMIFS($H$565:$H$615,$M$565:$M$615,"&lt;="&amp;$M607))</f>
        <v/>
      </c>
      <c r="J607" s="102"/>
      <c r="K607" s="96"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100"/>
      <c r="D608" s="101" t="str">
        <f aca="false">IF($B608="","","Expense")</f>
        <v/>
      </c>
      <c r="E608" s="15"/>
      <c r="F608" s="102"/>
      <c r="G608" s="102"/>
      <c r="H608" s="103" t="str">
        <f aca="false">IF($B608="","",N($E608))</f>
        <v/>
      </c>
      <c r="I608" s="104" t="str">
        <f aca="false">IF($B608="","",$I$563+SUMIFS($G$565:$G$615,$M$565:$M$615,"&lt;="&amp;$M608)-SUMIFS($H$565:$H$615,$M$565:$M$615,"&lt;="&amp;$M608))</f>
        <v/>
      </c>
      <c r="J608" s="102"/>
      <c r="K608" s="96"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100"/>
      <c r="D609" s="101" t="str">
        <f aca="false">IF($B609="","","Expense")</f>
        <v/>
      </c>
      <c r="E609" s="15"/>
      <c r="F609" s="102"/>
      <c r="G609" s="102"/>
      <c r="H609" s="103" t="str">
        <f aca="false">IF($B609="","",N($E609))</f>
        <v/>
      </c>
      <c r="I609" s="104" t="str">
        <f aca="false">IF($B609="","",$I$563+SUMIFS($G$565:$G$615,$M$565:$M$615,"&lt;="&amp;$M609)-SUMIFS($H$565:$H$615,$M$565:$M$615,"&lt;="&amp;$M609))</f>
        <v/>
      </c>
      <c r="J609" s="102"/>
      <c r="K609" s="96"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100"/>
      <c r="D610" s="101" t="str">
        <f aca="false">IF($B610="","","Expense")</f>
        <v/>
      </c>
      <c r="E610" s="15"/>
      <c r="F610" s="102"/>
      <c r="G610" s="102"/>
      <c r="H610" s="103" t="str">
        <f aca="false">IF($B610="","",N($E610))</f>
        <v/>
      </c>
      <c r="I610" s="104" t="str">
        <f aca="false">IF($B610="","",$I$563+SUMIFS($G$565:$G$615,$M$565:$M$615,"&lt;="&amp;$M610)-SUMIFS($H$565:$H$615,$M$565:$M$615,"&lt;="&amp;$M610))</f>
        <v/>
      </c>
      <c r="J610" s="102"/>
      <c r="K610" s="96"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100"/>
      <c r="D611" s="101" t="str">
        <f aca="false">IF($B611="","","Expense")</f>
        <v/>
      </c>
      <c r="E611" s="15"/>
      <c r="F611" s="102"/>
      <c r="G611" s="102"/>
      <c r="H611" s="103" t="str">
        <f aca="false">IF($B611="","",N($E611))</f>
        <v/>
      </c>
      <c r="I611" s="104" t="str">
        <f aca="false">IF($B611="","",$I$563+SUMIFS($G$565:$G$615,$M$565:$M$615,"&lt;="&amp;$M611)-SUMIFS($H$565:$H$615,$M$565:$M$615,"&lt;="&amp;$M611))</f>
        <v/>
      </c>
      <c r="J611" s="102"/>
      <c r="K611" s="96"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100"/>
      <c r="D612" s="101" t="str">
        <f aca="false">IF($B612="","","Expense")</f>
        <v/>
      </c>
      <c r="E612" s="15"/>
      <c r="F612" s="102"/>
      <c r="G612" s="102"/>
      <c r="H612" s="103" t="str">
        <f aca="false">IF($B612="","",N($E612))</f>
        <v/>
      </c>
      <c r="I612" s="104" t="str">
        <f aca="false">IF($B612="","",$I$563+SUMIFS($G$565:$G$615,$M$565:$M$615,"&lt;="&amp;$M612)-SUMIFS($H$565:$H$615,$M$565:$M$615,"&lt;="&amp;$M612))</f>
        <v/>
      </c>
      <c r="J612" s="102"/>
      <c r="K612" s="96"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100"/>
      <c r="D613" s="101" t="str">
        <f aca="false">IF($B613="","","Expense")</f>
        <v/>
      </c>
      <c r="E613" s="15"/>
      <c r="F613" s="102"/>
      <c r="G613" s="102"/>
      <c r="H613" s="103" t="str">
        <f aca="false">IF($B613="","",N($E613))</f>
        <v/>
      </c>
      <c r="I613" s="104" t="str">
        <f aca="false">IF($B613="","",$I$563+SUMIFS($G$565:$G$615,$M$565:$M$615,"&lt;="&amp;$M613)-SUMIFS($H$565:$H$615,$M$565:$M$615,"&lt;="&amp;$M613))</f>
        <v/>
      </c>
      <c r="J613" s="102"/>
      <c r="K613" s="96"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100"/>
      <c r="D614" s="101" t="str">
        <f aca="false">IF($B614="","","Expense")</f>
        <v/>
      </c>
      <c r="E614" s="15"/>
      <c r="F614" s="102"/>
      <c r="G614" s="102"/>
      <c r="H614" s="103" t="str">
        <f aca="false">IF($B614="","",N($E614))</f>
        <v/>
      </c>
      <c r="I614" s="104" t="str">
        <f aca="false">IF($B614="","",$I$563+SUMIFS($G$565:$G$615,$M$565:$M$615,"&lt;="&amp;$M614)-SUMIFS($H$565:$H$615,$M$565:$M$615,"&lt;="&amp;$M614))</f>
        <v/>
      </c>
      <c r="J614" s="102"/>
      <c r="K614" s="96" t="str">
        <f aca="false">IF($B614="","","ACTUAL")</f>
        <v/>
      </c>
      <c r="L614" s="1" t="str">
        <f aca="false">IF($B614="","",IF($C614="",$E$6+76,$C614))</f>
        <v/>
      </c>
      <c r="M614" s="1" t="str">
        <f aca="false">IF($L614="","",COUNTIFS($L$565:$L$615,"&lt;"&amp;$L614)+COUNTIFS($L$565:$L614,$L614))</f>
        <v/>
      </c>
    </row>
    <row r="615" customFormat="false" ht="15" hidden="false" customHeight="true" outlineLevel="0" collapsed="false">
      <c r="B615" s="105" t="str">
        <f aca="false">"Everyday spending still expected this week"</f>
        <v>Everyday spending still expected this week</v>
      </c>
      <c r="C615" s="106" t="n">
        <f aca="false">$E$6+76</f>
        <v>46325</v>
      </c>
      <c r="D615" s="101" t="str">
        <f aca="false">IF($B615="","","Expense")</f>
        <v>Expense</v>
      </c>
      <c r="E615" s="107" t="n">
        <f aca="false">MAX(0,$E$8-SUM($E$576:$E$614))</f>
        <v>400</v>
      </c>
      <c r="F615" s="102"/>
      <c r="G615" s="102"/>
      <c r="H615" s="103" t="n">
        <f aca="false">IF($B615="","",N($E615))</f>
        <v>400</v>
      </c>
      <c r="I615" s="104" t="n">
        <f aca="false">IF($B615="","",$I$563+SUMIFS($G$565:$G$615,$M$565:$M$615,"&lt;="&amp;$M615)-SUMIFS($H$565:$H$615,$M$565:$M$615,"&lt;="&amp;$M615))</f>
        <v>3.39999999999986</v>
      </c>
      <c r="J615" s="102"/>
      <c r="K615" s="96" t="str">
        <f aca="false">"FORECAST"</f>
        <v>FORECAST</v>
      </c>
      <c r="L615" s="97" t="n">
        <f aca="false">IF($B615="","",IF($C615="",$E$6+76,$C615))</f>
        <v>46325</v>
      </c>
      <c r="M615" s="1" t="n">
        <f aca="false">IF($L615="","",COUNTIFS($L$565:$L$615,"&lt;"&amp;$L615)+COUNTIFS($L$565:$L615,$L615))</f>
        <v>5</v>
      </c>
    </row>
    <row r="616" customFormat="false" ht="15" hidden="false" customHeight="true" outlineLevel="0" collapsed="false">
      <c r="B616" s="108" t="s">
        <v>202</v>
      </c>
      <c r="C616" s="58"/>
      <c r="D616" s="58"/>
      <c r="E616" s="58"/>
      <c r="F616" s="58"/>
      <c r="G616" s="57" t="n">
        <f aca="false">SUM($G$565:$G$615)</f>
        <v>892.65</v>
      </c>
      <c r="H616" s="57" t="n">
        <f aca="false">SUM($H$565:$H$615)</f>
        <v>900</v>
      </c>
      <c r="I616" s="109" t="n">
        <f aca="false">$I$563+$G$616-$H$616</f>
        <v>3.39999999999986</v>
      </c>
      <c r="J616" s="110" t="str">
        <f aca="false">IF($I$616&lt;0,"SHORTFALL",IF($I$616&lt;$E$7,"TIGHT","OK"))</f>
        <v>TIGHT</v>
      </c>
      <c r="K616" s="111"/>
      <c r="N616" s="111" t="str">
        <f aca="false">IF(COUNT($I$565:$I$615)=0,"","Lowest point this week: "&amp;TEXT(MIN($I$565:$I$615),"$#,##0.00;-$#,##0.00")&amp;" on "&amp;TEXT(INDEX($C$565:$C$615,MATCH(MIN($I$565:$I$615),$I$565:$I$615,0)),"ddd mmm d")&amp;"     (in "&amp;TEXT($G$616,"$#,##0.00")&amp;", out "&amp;TEXT($H$616,"$#,##0.00")&amp;")")</f>
        <v>Lowest point this week: $3.40 on Fri Oct 30     (in $892.65, out $900.00)</v>
      </c>
    </row>
    <row r="618" customFormat="false" ht="21.75" hidden="false" customHeight="true" outlineLevel="0" collapsed="false">
      <c r="B618" s="82" t="str">
        <f aca="false">"WEEK 12     "&amp;TEXT($E$6+77,"ddd, mmm d")&amp;"   through   "&amp;TEXT($E$6+77+6,"ddd, mmm d, yyyy")</f>
        <v>WEEK 12     Sat, Oct 31   through   Fri, Nov 6, 2026</v>
      </c>
      <c r="C618" s="83"/>
      <c r="D618" s="83"/>
      <c r="E618" s="83"/>
      <c r="F618" s="83"/>
      <c r="G618" s="84" t="s">
        <v>147</v>
      </c>
      <c r="H618" s="83"/>
      <c r="I618" s="85" t="n">
        <f aca="false">$I$616</f>
        <v>3.39999999999986</v>
      </c>
      <c r="J618" s="83"/>
      <c r="K618" s="86"/>
      <c r="N618" s="86" t="str">
        <f aca="false">IF(COUNTIF(Schedule!$I$4:$I$483,12)&gt;10,"! "&amp;COUNTIF(Schedule!$I$4:$I$483,12)-10&amp;" more transaction(s) fall in this week than there are rows to show them.","")</f>
        <v/>
      </c>
    </row>
    <row r="619" customFormat="false" ht="25.5" hidden="false" customHeight="true" outlineLevel="0" collapsed="false">
      <c r="B619" s="87" t="s">
        <v>148</v>
      </c>
      <c r="C619" s="87" t="s">
        <v>149</v>
      </c>
      <c r="D619" s="87" t="s">
        <v>42</v>
      </c>
      <c r="E619" s="87" t="s">
        <v>150</v>
      </c>
      <c r="F619" s="87" t="s">
        <v>151</v>
      </c>
      <c r="G619" s="37" t="s">
        <v>152</v>
      </c>
      <c r="H619" s="38" t="s">
        <v>153</v>
      </c>
      <c r="I619" s="87" t="s">
        <v>154</v>
      </c>
      <c r="J619" s="87" t="s">
        <v>14</v>
      </c>
      <c r="K619" s="87" t="s">
        <v>155</v>
      </c>
    </row>
    <row r="620" customFormat="false" ht="15" hidden="false" customHeight="true" outlineLevel="0" collapsed="false">
      <c r="B620" s="8" t="str">
        <f aca="false">IFERROR(INDEX(Schedule!$C$4:$C$483,MATCH(12001,Schedule!$K$4:$K$483,0)),"")</f>
        <v>Progressive Insurance</v>
      </c>
      <c r="C620" s="88" t="n">
        <f aca="false">IF($B620="","",INDEX(Schedule!$G$4:$G$483,MATCH(12001,Schedule!$K$4:$K$483,0)))</f>
        <v>46326</v>
      </c>
      <c r="D620" s="89" t="str">
        <f aca="false">IF($B620="","",INDEX(Schedule!$D$4:$D$483,MATCH(12001,Schedule!$K$4:$K$483,0)))</f>
        <v>Expense</v>
      </c>
      <c r="E620" s="90" t="n">
        <f aca="false">IF($B620="","",INDEX(Schedule!$E$4:$E$483,MATCH(12001,Schedule!$K$4:$K$483,0)))</f>
        <v>143.37</v>
      </c>
      <c r="F620" s="91"/>
      <c r="G620" s="92" t="str">
        <f aca="false">IF($B620="","",IF($D620="Income",IF($F620&lt;&gt;"",$F620,IF(COUNTIFS('Paid Log'!$B$9:$B$308,$C620,'Paid Log'!$C$9:$C$308,$B620)&gt;0,SUMIFS('Paid Log'!$D$9:$D$308,'Paid Log'!$B$9:$B$308,$C620,'Paid Log'!$C$9:$C$308,$B620),$E620)),""))</f>
        <v/>
      </c>
      <c r="H620" s="93" t="n">
        <f aca="false">IF($B620="","",IF($D620="Income","",IF($F620&lt;&gt;"",$F620,IF(COUNTIFS('Paid Log'!$B$9:$B$308,$C620,'Paid Log'!$C$9:$C$308,$B620)&gt;0,SUMIFS('Paid Log'!$D$9:$D$308,'Paid Log'!$B$9:$B$308,$C620,'Paid Log'!$C$9:$C$308,$B620),$E620))))</f>
        <v>143.37</v>
      </c>
      <c r="I620" s="94" t="n">
        <f aca="false">IF($B620="","",$I$618+SUMIFS($G$620:$G$670,$M$620:$M$670,"&lt;="&amp;$M620)-SUMIFS($H$620:$H$670,$M$620:$M$670,"&lt;="&amp;$M620))</f>
        <v>-139.97</v>
      </c>
      <c r="J620" s="95" t="str">
        <f aca="true">IF($B620="","",IF(OR($F620&lt;&gt;"",COUNTIFS('Paid Log'!$B$9:$B$308,$C620,'Paid Log'!$C$9:$C$308,$B620)&gt;0),IF($C620&gt;TODAY(),"ADJUSTED","PAID"),IF($C620&lt;TODAY(),"PAST DUE",IF($C620&lt;=TODAY()+7,"DUE","Upcoming"))))</f>
        <v>Upcoming</v>
      </c>
      <c r="K620" s="96" t="str">
        <f aca="false">IF($B620="","",IF(OR($F620&lt;&gt;"",COUNTIFS('Paid Log'!$B$9:$B$308,$C620,'Paid Log'!$C$9:$C$308,$B620)&gt;0),"ACTUAL","FORECAST"))</f>
        <v>FORECAST</v>
      </c>
      <c r="L620" s="97"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88" t="n">
        <f aca="false">IF($B621="","",INDEX(Schedule!$G$4:$G$483,MATCH(12002,Schedule!$K$4:$K$483,0)))</f>
        <v>46330</v>
      </c>
      <c r="D621" s="89" t="str">
        <f aca="false">IF($B621="","",INDEX(Schedule!$D$4:$D$483,MATCH(12002,Schedule!$K$4:$K$483,0)))</f>
        <v>Income</v>
      </c>
      <c r="E621" s="90" t="n">
        <f aca="false">IF($B621="","",INDEX(Schedule!$E$4:$E$483,MATCH(12002,Schedule!$K$4:$K$483,0)))</f>
        <v>90</v>
      </c>
      <c r="F621" s="91"/>
      <c r="G621" s="92" t="n">
        <f aca="false">IF($B621="","",IF($D621="Income",IF($F621&lt;&gt;"",$F621,IF(COUNTIFS('Paid Log'!$B$9:$B$308,$C621,'Paid Log'!$C$9:$C$308,$B621)&gt;0,SUMIFS('Paid Log'!$D$9:$D$308,'Paid Log'!$B$9:$B$308,$C621,'Paid Log'!$C$9:$C$308,$B621),$E621)),""))</f>
        <v>90</v>
      </c>
      <c r="H621" s="93" t="str">
        <f aca="false">IF($B621="","",IF($D621="Income","",IF($F621&lt;&gt;"",$F621,IF(COUNTIFS('Paid Log'!$B$9:$B$308,$C621,'Paid Log'!$C$9:$C$308,$B621)&gt;0,SUMIFS('Paid Log'!$D$9:$D$308,'Paid Log'!$B$9:$B$308,$C621,'Paid Log'!$C$9:$C$308,$B621),$E621))))</f>
        <v/>
      </c>
      <c r="I621" s="94" t="n">
        <f aca="false">IF($B621="","",$I$618+SUMIFS($G$620:$G$670,$M$620:$M$670,"&lt;="&amp;$M621)-SUMIFS($H$620:$H$670,$M$620:$M$670,"&lt;="&amp;$M621))</f>
        <v>-49.9700000000001</v>
      </c>
      <c r="J621" s="95" t="str">
        <f aca="true">IF($B621="","",IF(OR($F621&lt;&gt;"",COUNTIFS('Paid Log'!$B$9:$B$308,$C621,'Paid Log'!$C$9:$C$308,$B621)&gt;0),IF($C621&gt;TODAY(),"ADJUSTED","PAID"),IF($C621&lt;TODAY(),"PAST DUE",IF($C621&lt;=TODAY()+7,"DUE","Upcoming"))))</f>
        <v>Upcoming</v>
      </c>
      <c r="K621" s="96" t="str">
        <f aca="false">IF($B621="","",IF(OR($F621&lt;&gt;"",COUNTIFS('Paid Log'!$B$9:$B$308,$C621,'Paid Log'!$C$9:$C$308,$B621)&gt;0),"ACTUAL","FORECAST"))</f>
        <v>FORECAST</v>
      </c>
      <c r="L621" s="97"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88" t="n">
        <f aca="false">IF($B622="","",INDEX(Schedule!$G$4:$G$483,MATCH(12003,Schedule!$K$4:$K$483,0)))</f>
        <v>46330</v>
      </c>
      <c r="D622" s="89" t="str">
        <f aca="false">IF($B622="","",INDEX(Schedule!$D$4:$D$483,MATCH(12003,Schedule!$K$4:$K$483,0)))</f>
        <v>Expense</v>
      </c>
      <c r="E622" s="90" t="n">
        <f aca="false">IF($B622="","",INDEX(Schedule!$E$4:$E$483,MATCH(12003,Schedule!$K$4:$K$483,0)))</f>
        <v>21.1</v>
      </c>
      <c r="F622" s="91"/>
      <c r="G622" s="92" t="str">
        <f aca="false">IF($B622="","",IF($D622="Income",IF($F622&lt;&gt;"",$F622,IF(COUNTIFS('Paid Log'!$B$9:$B$308,$C622,'Paid Log'!$C$9:$C$308,$B622)&gt;0,SUMIFS('Paid Log'!$D$9:$D$308,'Paid Log'!$B$9:$B$308,$C622,'Paid Log'!$C$9:$C$308,$B622),$E622)),""))</f>
        <v/>
      </c>
      <c r="H622" s="93" t="n">
        <f aca="false">IF($B622="","",IF($D622="Income","",IF($F622&lt;&gt;"",$F622,IF(COUNTIFS('Paid Log'!$B$9:$B$308,$C622,'Paid Log'!$C$9:$C$308,$B622)&gt;0,SUMIFS('Paid Log'!$D$9:$D$308,'Paid Log'!$B$9:$B$308,$C622,'Paid Log'!$C$9:$C$308,$B622),$E622))))</f>
        <v>21.1</v>
      </c>
      <c r="I622" s="94" t="n">
        <f aca="false">IF($B622="","",$I$618+SUMIFS($G$620:$G$670,$M$620:$M$670,"&lt;="&amp;$M622)-SUMIFS($H$620:$H$670,$M$620:$M$670,"&lt;="&amp;$M622))</f>
        <v>-71.0700000000001</v>
      </c>
      <c r="J622" s="95" t="str">
        <f aca="true">IF($B622="","",IF(OR($F622&lt;&gt;"",COUNTIFS('Paid Log'!$B$9:$B$308,$C622,'Paid Log'!$C$9:$C$308,$B622)&gt;0),IF($C622&gt;TODAY(),"ADJUSTED","PAID"),IF($C622&lt;TODAY(),"PAST DUE",IF($C622&lt;=TODAY()+7,"DUE","Upcoming"))))</f>
        <v>Upcoming</v>
      </c>
      <c r="K622" s="96" t="str">
        <f aca="false">IF($B622="","",IF(OR($F622&lt;&gt;"",COUNTIFS('Paid Log'!$B$9:$B$308,$C622,'Paid Log'!$C$9:$C$308,$B622)&gt;0),"ACTUAL","FORECAST"))</f>
        <v>FORECAST</v>
      </c>
      <c r="L622" s="97"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88" t="n">
        <f aca="false">IF($B623="","",INDEX(Schedule!$G$4:$G$483,MATCH(12004,Schedule!$K$4:$K$483,0)))</f>
        <v>46331</v>
      </c>
      <c r="D623" s="89" t="str">
        <f aca="false">IF($B623="","",INDEX(Schedule!$D$4:$D$483,MATCH(12004,Schedule!$K$4:$K$483,0)))</f>
        <v>Expense</v>
      </c>
      <c r="E623" s="90" t="n">
        <f aca="false">IF($B623="","",INDEX(Schedule!$E$4:$E$483,MATCH(12004,Schedule!$K$4:$K$483,0)))</f>
        <v>20</v>
      </c>
      <c r="F623" s="91"/>
      <c r="G623" s="92" t="str">
        <f aca="false">IF($B623="","",IF($D623="Income",IF($F623&lt;&gt;"",$F623,IF(COUNTIFS('Paid Log'!$B$9:$B$308,$C623,'Paid Log'!$C$9:$C$308,$B623)&gt;0,SUMIFS('Paid Log'!$D$9:$D$308,'Paid Log'!$B$9:$B$308,$C623,'Paid Log'!$C$9:$C$308,$B623),$E623)),""))</f>
        <v/>
      </c>
      <c r="H623" s="93" t="n">
        <f aca="false">IF($B623="","",IF($D623="Income","",IF($F623&lt;&gt;"",$F623,IF(COUNTIFS('Paid Log'!$B$9:$B$308,$C623,'Paid Log'!$C$9:$C$308,$B623)&gt;0,SUMIFS('Paid Log'!$D$9:$D$308,'Paid Log'!$B$9:$B$308,$C623,'Paid Log'!$C$9:$C$308,$B623),$E623))))</f>
        <v>20</v>
      </c>
      <c r="I623" s="94" t="n">
        <f aca="false">IF($B623="","",$I$618+SUMIFS($G$620:$G$670,$M$620:$M$670,"&lt;="&amp;$M623)-SUMIFS($H$620:$H$670,$M$620:$M$670,"&lt;="&amp;$M623))</f>
        <v>-91.0700000000001</v>
      </c>
      <c r="J623" s="95" t="str">
        <f aca="true">IF($B623="","",IF(OR($F623&lt;&gt;"",COUNTIFS('Paid Log'!$B$9:$B$308,$C623,'Paid Log'!$C$9:$C$308,$B623)&gt;0),IF($C623&gt;TODAY(),"ADJUSTED","PAID"),IF($C623&lt;TODAY(),"PAST DUE",IF($C623&lt;=TODAY()+7,"DUE","Upcoming"))))</f>
        <v>Upcoming</v>
      </c>
      <c r="K623" s="96" t="str">
        <f aca="false">IF($B623="","",IF(OR($F623&lt;&gt;"",COUNTIFS('Paid Log'!$B$9:$B$308,$C623,'Paid Log'!$C$9:$C$308,$B623)&gt;0),"ACTUAL","FORECAST"))</f>
        <v>FORECAST</v>
      </c>
      <c r="L623" s="97"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88" t="n">
        <f aca="false">IF($B624="","",INDEX(Schedule!$G$4:$G$483,MATCH(12005,Schedule!$K$4:$K$483,0)))</f>
        <v>46331</v>
      </c>
      <c r="D624" s="89" t="str">
        <f aca="false">IF($B624="","",INDEX(Schedule!$D$4:$D$483,MATCH(12005,Schedule!$K$4:$K$483,0)))</f>
        <v>Expense</v>
      </c>
      <c r="E624" s="90" t="n">
        <f aca="false">IF($B624="","",INDEX(Schedule!$E$4:$E$483,MATCH(12005,Schedule!$K$4:$K$483,0)))</f>
        <v>10</v>
      </c>
      <c r="F624" s="91"/>
      <c r="G624" s="92" t="str">
        <f aca="false">IF($B624="","",IF($D624="Income",IF($F624&lt;&gt;"",$F624,IF(COUNTIFS('Paid Log'!$B$9:$B$308,$C624,'Paid Log'!$C$9:$C$308,$B624)&gt;0,SUMIFS('Paid Log'!$D$9:$D$308,'Paid Log'!$B$9:$B$308,$C624,'Paid Log'!$C$9:$C$308,$B624),$E624)),""))</f>
        <v/>
      </c>
      <c r="H624" s="93" t="n">
        <f aca="false">IF($B624="","",IF($D624="Income","",IF($F624&lt;&gt;"",$F624,IF(COUNTIFS('Paid Log'!$B$9:$B$308,$C624,'Paid Log'!$C$9:$C$308,$B624)&gt;0,SUMIFS('Paid Log'!$D$9:$D$308,'Paid Log'!$B$9:$B$308,$C624,'Paid Log'!$C$9:$C$308,$B624),$E624))))</f>
        <v>10</v>
      </c>
      <c r="I624" s="94" t="n">
        <f aca="false">IF($B624="","",$I$618+SUMIFS($G$620:$G$670,$M$620:$M$670,"&lt;="&amp;$M624)-SUMIFS($H$620:$H$670,$M$620:$M$670,"&lt;="&amp;$M624))</f>
        <v>-101.07</v>
      </c>
      <c r="J624" s="95" t="str">
        <f aca="true">IF($B624="","",IF(OR($F624&lt;&gt;"",COUNTIFS('Paid Log'!$B$9:$B$308,$C624,'Paid Log'!$C$9:$C$308,$B624)&gt;0),IF($C624&gt;TODAY(),"ADJUSTED","PAID"),IF($C624&lt;TODAY(),"PAST DUE",IF($C624&lt;=TODAY()+7,"DUE","Upcoming"))))</f>
        <v>Upcoming</v>
      </c>
      <c r="K624" s="96" t="str">
        <f aca="false">IF($B624="","",IF(OR($F624&lt;&gt;"",COUNTIFS('Paid Log'!$B$9:$B$308,$C624,'Paid Log'!$C$9:$C$308,$B624)&gt;0),"ACTUAL","FORECAST"))</f>
        <v>FORECAST</v>
      </c>
      <c r="L624" s="97"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88" t="n">
        <f aca="false">IF($B625="","",INDEX(Schedule!$G$4:$G$483,MATCH(12006,Schedule!$K$4:$K$483,0)))</f>
        <v>46332</v>
      </c>
      <c r="D625" s="89" t="str">
        <f aca="false">IF($B625="","",INDEX(Schedule!$D$4:$D$483,MATCH(12006,Schedule!$K$4:$K$483,0)))</f>
        <v>Income</v>
      </c>
      <c r="E625" s="90" t="n">
        <f aca="false">IF($B625="","",INDEX(Schedule!$E$4:$E$483,MATCH(12006,Schedule!$K$4:$K$483,0)))</f>
        <v>802.65</v>
      </c>
      <c r="F625" s="91"/>
      <c r="G625" s="92" t="n">
        <f aca="false">IF($B625="","",IF($D625="Income",IF($F625&lt;&gt;"",$F625,IF(COUNTIFS('Paid Log'!$B$9:$B$308,$C625,'Paid Log'!$C$9:$C$308,$B625)&gt;0,SUMIFS('Paid Log'!$D$9:$D$308,'Paid Log'!$B$9:$B$308,$C625,'Paid Log'!$C$9:$C$308,$B625),$E625)),""))</f>
        <v>802.65</v>
      </c>
      <c r="H625" s="93" t="str">
        <f aca="false">IF($B625="","",IF($D625="Income","",IF($F625&lt;&gt;"",$F625,IF(COUNTIFS('Paid Log'!$B$9:$B$308,$C625,'Paid Log'!$C$9:$C$308,$B625)&gt;0,SUMIFS('Paid Log'!$D$9:$D$308,'Paid Log'!$B$9:$B$308,$C625,'Paid Log'!$C$9:$C$308,$B625),$E625))))</f>
        <v/>
      </c>
      <c r="I625" s="94" t="n">
        <f aca="false">IF($B625="","",$I$618+SUMIFS($G$620:$G$670,$M$620:$M$670,"&lt;="&amp;$M625)-SUMIFS($H$620:$H$670,$M$620:$M$670,"&lt;="&amp;$M625))</f>
        <v>701.58</v>
      </c>
      <c r="J625" s="95" t="str">
        <f aca="true">IF($B625="","",IF(OR($F625&lt;&gt;"",COUNTIFS('Paid Log'!$B$9:$B$308,$C625,'Paid Log'!$C$9:$C$308,$B625)&gt;0),IF($C625&gt;TODAY(),"ADJUSTED","PAID"),IF($C625&lt;TODAY(),"PAST DUE",IF($C625&lt;=TODAY()+7,"DUE","Upcoming"))))</f>
        <v>Upcoming</v>
      </c>
      <c r="K625" s="96" t="str">
        <f aca="false">IF($B625="","",IF(OR($F625&lt;&gt;"",COUNTIFS('Paid Log'!$B$9:$B$308,$C625,'Paid Log'!$C$9:$C$308,$B625)&gt;0),"ACTUAL","FORECAST"))</f>
        <v>FORECAST</v>
      </c>
      <c r="L625" s="97"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88" t="str">
        <f aca="false">IF($B626="","",INDEX(Schedule!$G$4:$G$483,MATCH(12007,Schedule!$K$4:$K$483,0)))</f>
        <v/>
      </c>
      <c r="D626" s="89" t="str">
        <f aca="false">IF($B626="","",INDEX(Schedule!$D$4:$D$483,MATCH(12007,Schedule!$K$4:$K$483,0)))</f>
        <v/>
      </c>
      <c r="E626" s="90" t="str">
        <f aca="false">IF($B626="","",INDEX(Schedule!$E$4:$E$483,MATCH(12007,Schedule!$K$4:$K$483,0)))</f>
        <v/>
      </c>
      <c r="F626" s="91"/>
      <c r="G626" s="92" t="str">
        <f aca="false">IF($B626="","",IF($D626="Income",IF($F626&lt;&gt;"",$F626,IF(COUNTIFS('Paid Log'!$B$9:$B$308,$C626,'Paid Log'!$C$9:$C$308,$B626)&gt;0,SUMIFS('Paid Log'!$D$9:$D$308,'Paid Log'!$B$9:$B$308,$C626,'Paid Log'!$C$9:$C$308,$B626),$E626)),""))</f>
        <v/>
      </c>
      <c r="H626" s="93" t="str">
        <f aca="false">IF($B626="","",IF($D626="Income","",IF($F626&lt;&gt;"",$F626,IF(COUNTIFS('Paid Log'!$B$9:$B$308,$C626,'Paid Log'!$C$9:$C$308,$B626)&gt;0,SUMIFS('Paid Log'!$D$9:$D$308,'Paid Log'!$B$9:$B$308,$C626,'Paid Log'!$C$9:$C$308,$B626),$E626))))</f>
        <v/>
      </c>
      <c r="I626" s="94" t="str">
        <f aca="false">IF($B626="","",$I$618+SUMIFS($G$620:$G$670,$M$620:$M$670,"&lt;="&amp;$M626)-SUMIFS($H$620:$H$670,$M$620:$M$670,"&lt;="&amp;$M626))</f>
        <v/>
      </c>
      <c r="J626" s="95" t="str">
        <f aca="true">IF($B626="","",IF(OR($F626&lt;&gt;"",COUNTIFS('Paid Log'!$B$9:$B$308,$C626,'Paid Log'!$C$9:$C$308,$B626)&gt;0),IF($C626&gt;TODAY(),"ADJUSTED","PAID"),IF($C626&lt;TODAY(),"PAST DUE",IF($C626&lt;=TODAY()+7,"DUE","Upcoming"))))</f>
        <v/>
      </c>
      <c r="K626" s="96"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88" t="str">
        <f aca="false">IF($B627="","",INDEX(Schedule!$G$4:$G$483,MATCH(12008,Schedule!$K$4:$K$483,0)))</f>
        <v/>
      </c>
      <c r="D627" s="89" t="str">
        <f aca="false">IF($B627="","",INDEX(Schedule!$D$4:$D$483,MATCH(12008,Schedule!$K$4:$K$483,0)))</f>
        <v/>
      </c>
      <c r="E627" s="90" t="str">
        <f aca="false">IF($B627="","",INDEX(Schedule!$E$4:$E$483,MATCH(12008,Schedule!$K$4:$K$483,0)))</f>
        <v/>
      </c>
      <c r="F627" s="91"/>
      <c r="G627" s="92" t="str">
        <f aca="false">IF($B627="","",IF($D627="Income",IF($F627&lt;&gt;"",$F627,IF(COUNTIFS('Paid Log'!$B$9:$B$308,$C627,'Paid Log'!$C$9:$C$308,$B627)&gt;0,SUMIFS('Paid Log'!$D$9:$D$308,'Paid Log'!$B$9:$B$308,$C627,'Paid Log'!$C$9:$C$308,$B627),$E627)),""))</f>
        <v/>
      </c>
      <c r="H627" s="93" t="str">
        <f aca="false">IF($B627="","",IF($D627="Income","",IF($F627&lt;&gt;"",$F627,IF(COUNTIFS('Paid Log'!$B$9:$B$308,$C627,'Paid Log'!$C$9:$C$308,$B627)&gt;0,SUMIFS('Paid Log'!$D$9:$D$308,'Paid Log'!$B$9:$B$308,$C627,'Paid Log'!$C$9:$C$308,$B627),$E627))))</f>
        <v/>
      </c>
      <c r="I627" s="94" t="str">
        <f aca="false">IF($B627="","",$I$618+SUMIFS($G$620:$G$670,$M$620:$M$670,"&lt;="&amp;$M627)-SUMIFS($H$620:$H$670,$M$620:$M$670,"&lt;="&amp;$M627))</f>
        <v/>
      </c>
      <c r="J627" s="95" t="str">
        <f aca="true">IF($B627="","",IF(OR($F627&lt;&gt;"",COUNTIFS('Paid Log'!$B$9:$B$308,$C627,'Paid Log'!$C$9:$C$308,$B627)&gt;0),IF($C627&gt;TODAY(),"ADJUSTED","PAID"),IF($C627&lt;TODAY(),"PAST DUE",IF($C627&lt;=TODAY()+7,"DUE","Upcoming"))))</f>
        <v/>
      </c>
      <c r="K627" s="96"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88" t="str">
        <f aca="false">IF($B628="","",INDEX(Schedule!$G$4:$G$483,MATCH(12009,Schedule!$K$4:$K$483,0)))</f>
        <v/>
      </c>
      <c r="D628" s="89" t="str">
        <f aca="false">IF($B628="","",INDEX(Schedule!$D$4:$D$483,MATCH(12009,Schedule!$K$4:$K$483,0)))</f>
        <v/>
      </c>
      <c r="E628" s="90" t="str">
        <f aca="false">IF($B628="","",INDEX(Schedule!$E$4:$E$483,MATCH(12009,Schedule!$K$4:$K$483,0)))</f>
        <v/>
      </c>
      <c r="F628" s="91"/>
      <c r="G628" s="92" t="str">
        <f aca="false">IF($B628="","",IF($D628="Income",IF($F628&lt;&gt;"",$F628,IF(COUNTIFS('Paid Log'!$B$9:$B$308,$C628,'Paid Log'!$C$9:$C$308,$B628)&gt;0,SUMIFS('Paid Log'!$D$9:$D$308,'Paid Log'!$B$9:$B$308,$C628,'Paid Log'!$C$9:$C$308,$B628),$E628)),""))</f>
        <v/>
      </c>
      <c r="H628" s="93" t="str">
        <f aca="false">IF($B628="","",IF($D628="Income","",IF($F628&lt;&gt;"",$F628,IF(COUNTIFS('Paid Log'!$B$9:$B$308,$C628,'Paid Log'!$C$9:$C$308,$B628)&gt;0,SUMIFS('Paid Log'!$D$9:$D$308,'Paid Log'!$B$9:$B$308,$C628,'Paid Log'!$C$9:$C$308,$B628),$E628))))</f>
        <v/>
      </c>
      <c r="I628" s="94" t="str">
        <f aca="false">IF($B628="","",$I$618+SUMIFS($G$620:$G$670,$M$620:$M$670,"&lt;="&amp;$M628)-SUMIFS($H$620:$H$670,$M$620:$M$670,"&lt;="&amp;$M628))</f>
        <v/>
      </c>
      <c r="J628" s="95" t="str">
        <f aca="true">IF($B628="","",IF(OR($F628&lt;&gt;"",COUNTIFS('Paid Log'!$B$9:$B$308,$C628,'Paid Log'!$C$9:$C$308,$B628)&gt;0),IF($C628&gt;TODAY(),"ADJUSTED","PAID"),IF($C628&lt;TODAY(),"PAST DUE",IF($C628&lt;=TODAY()+7,"DUE","Upcoming"))))</f>
        <v/>
      </c>
      <c r="K628" s="96"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88" t="str">
        <f aca="false">IF($B629="","",INDEX(Schedule!$G$4:$G$483,MATCH(12010,Schedule!$K$4:$K$483,0)))</f>
        <v/>
      </c>
      <c r="D629" s="89" t="str">
        <f aca="false">IF($B629="","",INDEX(Schedule!$D$4:$D$483,MATCH(12010,Schedule!$K$4:$K$483,0)))</f>
        <v/>
      </c>
      <c r="E629" s="90" t="str">
        <f aca="false">IF($B629="","",INDEX(Schedule!$E$4:$E$483,MATCH(12010,Schedule!$K$4:$K$483,0)))</f>
        <v/>
      </c>
      <c r="F629" s="91"/>
      <c r="G629" s="92" t="str">
        <f aca="false">IF($B629="","",IF($D629="Income",IF($F629&lt;&gt;"",$F629,IF(COUNTIFS('Paid Log'!$B$9:$B$308,$C629,'Paid Log'!$C$9:$C$308,$B629)&gt;0,SUMIFS('Paid Log'!$D$9:$D$308,'Paid Log'!$B$9:$B$308,$C629,'Paid Log'!$C$9:$C$308,$B629),$E629)),""))</f>
        <v/>
      </c>
      <c r="H629" s="93" t="str">
        <f aca="false">IF($B629="","",IF($D629="Income","",IF($F629&lt;&gt;"",$F629,IF(COUNTIFS('Paid Log'!$B$9:$B$308,$C629,'Paid Log'!$C$9:$C$308,$B629)&gt;0,SUMIFS('Paid Log'!$D$9:$D$308,'Paid Log'!$B$9:$B$308,$C629,'Paid Log'!$C$9:$C$308,$B629),$E629))))</f>
        <v/>
      </c>
      <c r="I629" s="94" t="str">
        <f aca="false">IF($B629="","",$I$618+SUMIFS($G$620:$G$670,$M$620:$M$670,"&lt;="&amp;$M629)-SUMIFS($H$620:$H$670,$M$620:$M$670,"&lt;="&amp;$M629))</f>
        <v/>
      </c>
      <c r="J629" s="95" t="str">
        <f aca="true">IF($B629="","",IF(OR($F629&lt;&gt;"",COUNTIFS('Paid Log'!$B$9:$B$308,$C629,'Paid Log'!$C$9:$C$308,$B629)&gt;0),IF($C629&gt;TODAY(),"ADJUSTED","PAID"),IF($C629&lt;TODAY(),"PAST DUE",IF($C629&lt;=TODAY()+7,"DUE","Upcoming"))))</f>
        <v/>
      </c>
      <c r="K629" s="96"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98" t="s">
        <v>156</v>
      </c>
      <c r="C630" s="99"/>
      <c r="D630" s="99"/>
      <c r="E630" s="99"/>
      <c r="F630" s="99"/>
      <c r="G630" s="99"/>
      <c r="H630" s="99"/>
      <c r="I630" s="99"/>
      <c r="J630" s="99"/>
    </row>
    <row r="631" customFormat="false" ht="15" hidden="false" customHeight="true" outlineLevel="0" collapsed="false">
      <c r="B631" s="13"/>
      <c r="C631" s="100"/>
      <c r="D631" s="101" t="str">
        <f aca="false">IF($B631="","","Expense")</f>
        <v/>
      </c>
      <c r="E631" s="15"/>
      <c r="F631" s="102"/>
      <c r="G631" s="102"/>
      <c r="H631" s="103" t="str">
        <f aca="false">IF($B631="","",N($E631))</f>
        <v/>
      </c>
      <c r="I631" s="104" t="str">
        <f aca="false">IF($B631="","",$I$618+SUMIFS($G$620:$G$670,$M$620:$M$670,"&lt;="&amp;$M631)-SUMIFS($H$620:$H$670,$M$620:$M$670,"&lt;="&amp;$M631))</f>
        <v/>
      </c>
      <c r="J631" s="102"/>
      <c r="K631" s="96"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100"/>
      <c r="D632" s="101" t="str">
        <f aca="false">IF($B632="","","Expense")</f>
        <v/>
      </c>
      <c r="E632" s="15"/>
      <c r="F632" s="102"/>
      <c r="G632" s="102"/>
      <c r="H632" s="103" t="str">
        <f aca="false">IF($B632="","",N($E632))</f>
        <v/>
      </c>
      <c r="I632" s="104" t="str">
        <f aca="false">IF($B632="","",$I$618+SUMIFS($G$620:$G$670,$M$620:$M$670,"&lt;="&amp;$M632)-SUMIFS($H$620:$H$670,$M$620:$M$670,"&lt;="&amp;$M632))</f>
        <v/>
      </c>
      <c r="J632" s="102"/>
      <c r="K632" s="96"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100"/>
      <c r="D633" s="101" t="str">
        <f aca="false">IF($B633="","","Expense")</f>
        <v/>
      </c>
      <c r="E633" s="15"/>
      <c r="F633" s="102"/>
      <c r="G633" s="102"/>
      <c r="H633" s="103" t="str">
        <f aca="false">IF($B633="","",N($E633))</f>
        <v/>
      </c>
      <c r="I633" s="104" t="str">
        <f aca="false">IF($B633="","",$I$618+SUMIFS($G$620:$G$670,$M$620:$M$670,"&lt;="&amp;$M633)-SUMIFS($H$620:$H$670,$M$620:$M$670,"&lt;="&amp;$M633))</f>
        <v/>
      </c>
      <c r="J633" s="102"/>
      <c r="K633" s="96"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100"/>
      <c r="D634" s="101" t="str">
        <f aca="false">IF($B634="","","Expense")</f>
        <v/>
      </c>
      <c r="E634" s="15"/>
      <c r="F634" s="102"/>
      <c r="G634" s="102"/>
      <c r="H634" s="103" t="str">
        <f aca="false">IF($B634="","",N($E634))</f>
        <v/>
      </c>
      <c r="I634" s="104" t="str">
        <f aca="false">IF($B634="","",$I$618+SUMIFS($G$620:$G$670,$M$620:$M$670,"&lt;="&amp;$M634)-SUMIFS($H$620:$H$670,$M$620:$M$670,"&lt;="&amp;$M634))</f>
        <v/>
      </c>
      <c r="J634" s="102"/>
      <c r="K634" s="96"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100"/>
      <c r="D635" s="101" t="str">
        <f aca="false">IF($B635="","","Expense")</f>
        <v/>
      </c>
      <c r="E635" s="15"/>
      <c r="F635" s="102"/>
      <c r="G635" s="102"/>
      <c r="H635" s="103" t="str">
        <f aca="false">IF($B635="","",N($E635))</f>
        <v/>
      </c>
      <c r="I635" s="104" t="str">
        <f aca="false">IF($B635="","",$I$618+SUMIFS($G$620:$G$670,$M$620:$M$670,"&lt;="&amp;$M635)-SUMIFS($H$620:$H$670,$M$620:$M$670,"&lt;="&amp;$M635))</f>
        <v/>
      </c>
      <c r="J635" s="102"/>
      <c r="K635" s="96"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100"/>
      <c r="D636" s="101" t="str">
        <f aca="false">IF($B636="","","Expense")</f>
        <v/>
      </c>
      <c r="E636" s="15"/>
      <c r="F636" s="102"/>
      <c r="G636" s="102"/>
      <c r="H636" s="103" t="str">
        <f aca="false">IF($B636="","",N($E636))</f>
        <v/>
      </c>
      <c r="I636" s="104" t="str">
        <f aca="false">IF($B636="","",$I$618+SUMIFS($G$620:$G$670,$M$620:$M$670,"&lt;="&amp;$M636)-SUMIFS($H$620:$H$670,$M$620:$M$670,"&lt;="&amp;$M636))</f>
        <v/>
      </c>
      <c r="J636" s="102"/>
      <c r="K636" s="96"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100"/>
      <c r="D637" s="101" t="str">
        <f aca="false">IF($B637="","","Expense")</f>
        <v/>
      </c>
      <c r="E637" s="15"/>
      <c r="F637" s="102"/>
      <c r="G637" s="102"/>
      <c r="H637" s="103" t="str">
        <f aca="false">IF($B637="","",N($E637))</f>
        <v/>
      </c>
      <c r="I637" s="104" t="str">
        <f aca="false">IF($B637="","",$I$618+SUMIFS($G$620:$G$670,$M$620:$M$670,"&lt;="&amp;$M637)-SUMIFS($H$620:$H$670,$M$620:$M$670,"&lt;="&amp;$M637))</f>
        <v/>
      </c>
      <c r="J637" s="102"/>
      <c r="K637" s="96"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100"/>
      <c r="D638" s="101" t="str">
        <f aca="false">IF($B638="","","Expense")</f>
        <v/>
      </c>
      <c r="E638" s="15"/>
      <c r="F638" s="102"/>
      <c r="G638" s="102"/>
      <c r="H638" s="103" t="str">
        <f aca="false">IF($B638="","",N($E638))</f>
        <v/>
      </c>
      <c r="I638" s="104" t="str">
        <f aca="false">IF($B638="","",$I$618+SUMIFS($G$620:$G$670,$M$620:$M$670,"&lt;="&amp;$M638)-SUMIFS($H$620:$H$670,$M$620:$M$670,"&lt;="&amp;$M638))</f>
        <v/>
      </c>
      <c r="J638" s="102"/>
      <c r="K638" s="96"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100"/>
      <c r="D639" s="101" t="str">
        <f aca="false">IF($B639="","","Expense")</f>
        <v/>
      </c>
      <c r="E639" s="15"/>
      <c r="F639" s="102"/>
      <c r="G639" s="102"/>
      <c r="H639" s="103" t="str">
        <f aca="false">IF($B639="","",N($E639))</f>
        <v/>
      </c>
      <c r="I639" s="104" t="str">
        <f aca="false">IF($B639="","",$I$618+SUMIFS($G$620:$G$670,$M$620:$M$670,"&lt;="&amp;$M639)-SUMIFS($H$620:$H$670,$M$620:$M$670,"&lt;="&amp;$M639))</f>
        <v/>
      </c>
      <c r="J639" s="102"/>
      <c r="K639" s="96"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100"/>
      <c r="D640" s="101" t="str">
        <f aca="false">IF($B640="","","Expense")</f>
        <v/>
      </c>
      <c r="E640" s="15"/>
      <c r="F640" s="102"/>
      <c r="G640" s="102"/>
      <c r="H640" s="103" t="str">
        <f aca="false">IF($B640="","",N($E640))</f>
        <v/>
      </c>
      <c r="I640" s="104" t="str">
        <f aca="false">IF($B640="","",$I$618+SUMIFS($G$620:$G$670,$M$620:$M$670,"&lt;="&amp;$M640)-SUMIFS($H$620:$H$670,$M$620:$M$670,"&lt;="&amp;$M640))</f>
        <v/>
      </c>
      <c r="J640" s="102"/>
      <c r="K640" s="96"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100"/>
      <c r="D641" s="101" t="str">
        <f aca="false">IF($B641="","","Expense")</f>
        <v/>
      </c>
      <c r="E641" s="15"/>
      <c r="F641" s="102"/>
      <c r="G641" s="102"/>
      <c r="H641" s="103" t="str">
        <f aca="false">IF($B641="","",N($E641))</f>
        <v/>
      </c>
      <c r="I641" s="104" t="str">
        <f aca="false">IF($B641="","",$I$618+SUMIFS($G$620:$G$670,$M$620:$M$670,"&lt;="&amp;$M641)-SUMIFS($H$620:$H$670,$M$620:$M$670,"&lt;="&amp;$M641))</f>
        <v/>
      </c>
      <c r="J641" s="102"/>
      <c r="K641" s="96"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100"/>
      <c r="D642" s="101" t="str">
        <f aca="false">IF($B642="","","Expense")</f>
        <v/>
      </c>
      <c r="E642" s="15"/>
      <c r="F642" s="102"/>
      <c r="G642" s="102"/>
      <c r="H642" s="103" t="str">
        <f aca="false">IF($B642="","",N($E642))</f>
        <v/>
      </c>
      <c r="I642" s="104" t="str">
        <f aca="false">IF($B642="","",$I$618+SUMIFS($G$620:$G$670,$M$620:$M$670,"&lt;="&amp;$M642)-SUMIFS($H$620:$H$670,$M$620:$M$670,"&lt;="&amp;$M642))</f>
        <v/>
      </c>
      <c r="J642" s="102"/>
      <c r="K642" s="96"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100"/>
      <c r="D643" s="101" t="str">
        <f aca="false">IF($B643="","","Expense")</f>
        <v/>
      </c>
      <c r="E643" s="15"/>
      <c r="F643" s="102"/>
      <c r="G643" s="102"/>
      <c r="H643" s="103" t="str">
        <f aca="false">IF($B643="","",N($E643))</f>
        <v/>
      </c>
      <c r="I643" s="104" t="str">
        <f aca="false">IF($B643="","",$I$618+SUMIFS($G$620:$G$670,$M$620:$M$670,"&lt;="&amp;$M643)-SUMIFS($H$620:$H$670,$M$620:$M$670,"&lt;="&amp;$M643))</f>
        <v/>
      </c>
      <c r="J643" s="102"/>
      <c r="K643" s="96"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100"/>
      <c r="D644" s="101" t="str">
        <f aca="false">IF($B644="","","Expense")</f>
        <v/>
      </c>
      <c r="E644" s="15"/>
      <c r="F644" s="102"/>
      <c r="G644" s="102"/>
      <c r="H644" s="103" t="str">
        <f aca="false">IF($B644="","",N($E644))</f>
        <v/>
      </c>
      <c r="I644" s="104" t="str">
        <f aca="false">IF($B644="","",$I$618+SUMIFS($G$620:$G$670,$M$620:$M$670,"&lt;="&amp;$M644)-SUMIFS($H$620:$H$670,$M$620:$M$670,"&lt;="&amp;$M644))</f>
        <v/>
      </c>
      <c r="J644" s="102"/>
      <c r="K644" s="96"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100"/>
      <c r="D645" s="101" t="str">
        <f aca="false">IF($B645="","","Expense")</f>
        <v/>
      </c>
      <c r="E645" s="15"/>
      <c r="F645" s="102"/>
      <c r="G645" s="102"/>
      <c r="H645" s="103" t="str">
        <f aca="false">IF($B645="","",N($E645))</f>
        <v/>
      </c>
      <c r="I645" s="104" t="str">
        <f aca="false">IF($B645="","",$I$618+SUMIFS($G$620:$G$670,$M$620:$M$670,"&lt;="&amp;$M645)-SUMIFS($H$620:$H$670,$M$620:$M$670,"&lt;="&amp;$M645))</f>
        <v/>
      </c>
      <c r="J645" s="102"/>
      <c r="K645" s="96"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100"/>
      <c r="D646" s="101" t="str">
        <f aca="false">IF($B646="","","Expense")</f>
        <v/>
      </c>
      <c r="E646" s="15"/>
      <c r="F646" s="102"/>
      <c r="G646" s="102"/>
      <c r="H646" s="103" t="str">
        <f aca="false">IF($B646="","",N($E646))</f>
        <v/>
      </c>
      <c r="I646" s="104" t="str">
        <f aca="false">IF($B646="","",$I$618+SUMIFS($G$620:$G$670,$M$620:$M$670,"&lt;="&amp;$M646)-SUMIFS($H$620:$H$670,$M$620:$M$670,"&lt;="&amp;$M646))</f>
        <v/>
      </c>
      <c r="J646" s="102"/>
      <c r="K646" s="96"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100"/>
      <c r="D647" s="101" t="str">
        <f aca="false">IF($B647="","","Expense")</f>
        <v/>
      </c>
      <c r="E647" s="15"/>
      <c r="F647" s="102"/>
      <c r="G647" s="102"/>
      <c r="H647" s="103" t="str">
        <f aca="false">IF($B647="","",N($E647))</f>
        <v/>
      </c>
      <c r="I647" s="104" t="str">
        <f aca="false">IF($B647="","",$I$618+SUMIFS($G$620:$G$670,$M$620:$M$670,"&lt;="&amp;$M647)-SUMIFS($H$620:$H$670,$M$620:$M$670,"&lt;="&amp;$M647))</f>
        <v/>
      </c>
      <c r="J647" s="102"/>
      <c r="K647" s="96"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100"/>
      <c r="D648" s="101" t="str">
        <f aca="false">IF($B648="","","Expense")</f>
        <v/>
      </c>
      <c r="E648" s="15"/>
      <c r="F648" s="102"/>
      <c r="G648" s="102"/>
      <c r="H648" s="103" t="str">
        <f aca="false">IF($B648="","",N($E648))</f>
        <v/>
      </c>
      <c r="I648" s="104" t="str">
        <f aca="false">IF($B648="","",$I$618+SUMIFS($G$620:$G$670,$M$620:$M$670,"&lt;="&amp;$M648)-SUMIFS($H$620:$H$670,$M$620:$M$670,"&lt;="&amp;$M648))</f>
        <v/>
      </c>
      <c r="J648" s="102"/>
      <c r="K648" s="96"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100"/>
      <c r="D649" s="101" t="str">
        <f aca="false">IF($B649="","","Expense")</f>
        <v/>
      </c>
      <c r="E649" s="15"/>
      <c r="F649" s="102"/>
      <c r="G649" s="102"/>
      <c r="H649" s="103" t="str">
        <f aca="false">IF($B649="","",N($E649))</f>
        <v/>
      </c>
      <c r="I649" s="104" t="str">
        <f aca="false">IF($B649="","",$I$618+SUMIFS($G$620:$G$670,$M$620:$M$670,"&lt;="&amp;$M649)-SUMIFS($H$620:$H$670,$M$620:$M$670,"&lt;="&amp;$M649))</f>
        <v/>
      </c>
      <c r="J649" s="102"/>
      <c r="K649" s="96"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100"/>
      <c r="D650" s="101" t="str">
        <f aca="false">IF($B650="","","Expense")</f>
        <v/>
      </c>
      <c r="E650" s="15"/>
      <c r="F650" s="102"/>
      <c r="G650" s="102"/>
      <c r="H650" s="103" t="str">
        <f aca="false">IF($B650="","",N($E650))</f>
        <v/>
      </c>
      <c r="I650" s="104" t="str">
        <f aca="false">IF($B650="","",$I$618+SUMIFS($G$620:$G$670,$M$620:$M$670,"&lt;="&amp;$M650)-SUMIFS($H$620:$H$670,$M$620:$M$670,"&lt;="&amp;$M650))</f>
        <v/>
      </c>
      <c r="J650" s="102"/>
      <c r="K650" s="96"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100"/>
      <c r="D651" s="101" t="str">
        <f aca="false">IF($B651="","","Expense")</f>
        <v/>
      </c>
      <c r="E651" s="15"/>
      <c r="F651" s="102"/>
      <c r="G651" s="102"/>
      <c r="H651" s="103" t="str">
        <f aca="false">IF($B651="","",N($E651))</f>
        <v/>
      </c>
      <c r="I651" s="104" t="str">
        <f aca="false">IF($B651="","",$I$618+SUMIFS($G$620:$G$670,$M$620:$M$670,"&lt;="&amp;$M651)-SUMIFS($H$620:$H$670,$M$620:$M$670,"&lt;="&amp;$M651))</f>
        <v/>
      </c>
      <c r="J651" s="102"/>
      <c r="K651" s="96"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100"/>
      <c r="D652" s="101" t="str">
        <f aca="false">IF($B652="","","Expense")</f>
        <v/>
      </c>
      <c r="E652" s="15"/>
      <c r="F652" s="102"/>
      <c r="G652" s="102"/>
      <c r="H652" s="103" t="str">
        <f aca="false">IF($B652="","",N($E652))</f>
        <v/>
      </c>
      <c r="I652" s="104" t="str">
        <f aca="false">IF($B652="","",$I$618+SUMIFS($G$620:$G$670,$M$620:$M$670,"&lt;="&amp;$M652)-SUMIFS($H$620:$H$670,$M$620:$M$670,"&lt;="&amp;$M652))</f>
        <v/>
      </c>
      <c r="J652" s="102"/>
      <c r="K652" s="96"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100"/>
      <c r="D653" s="101" t="str">
        <f aca="false">IF($B653="","","Expense")</f>
        <v/>
      </c>
      <c r="E653" s="15"/>
      <c r="F653" s="102"/>
      <c r="G653" s="102"/>
      <c r="H653" s="103" t="str">
        <f aca="false">IF($B653="","",N($E653))</f>
        <v/>
      </c>
      <c r="I653" s="104" t="str">
        <f aca="false">IF($B653="","",$I$618+SUMIFS($G$620:$G$670,$M$620:$M$670,"&lt;="&amp;$M653)-SUMIFS($H$620:$H$670,$M$620:$M$670,"&lt;="&amp;$M653))</f>
        <v/>
      </c>
      <c r="J653" s="102"/>
      <c r="K653" s="96"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100"/>
      <c r="D654" s="101" t="str">
        <f aca="false">IF($B654="","","Expense")</f>
        <v/>
      </c>
      <c r="E654" s="15"/>
      <c r="F654" s="102"/>
      <c r="G654" s="102"/>
      <c r="H654" s="103" t="str">
        <f aca="false">IF($B654="","",N($E654))</f>
        <v/>
      </c>
      <c r="I654" s="104" t="str">
        <f aca="false">IF($B654="","",$I$618+SUMIFS($G$620:$G$670,$M$620:$M$670,"&lt;="&amp;$M654)-SUMIFS($H$620:$H$670,$M$620:$M$670,"&lt;="&amp;$M654))</f>
        <v/>
      </c>
      <c r="J654" s="102"/>
      <c r="K654" s="96"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100"/>
      <c r="D655" s="101" t="str">
        <f aca="false">IF($B655="","","Expense")</f>
        <v/>
      </c>
      <c r="E655" s="15"/>
      <c r="F655" s="102"/>
      <c r="G655" s="102"/>
      <c r="H655" s="103" t="str">
        <f aca="false">IF($B655="","",N($E655))</f>
        <v/>
      </c>
      <c r="I655" s="104" t="str">
        <f aca="false">IF($B655="","",$I$618+SUMIFS($G$620:$G$670,$M$620:$M$670,"&lt;="&amp;$M655)-SUMIFS($H$620:$H$670,$M$620:$M$670,"&lt;="&amp;$M655))</f>
        <v/>
      </c>
      <c r="J655" s="102"/>
      <c r="K655" s="96"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100"/>
      <c r="D656" s="101" t="str">
        <f aca="false">IF($B656="","","Expense")</f>
        <v/>
      </c>
      <c r="E656" s="15"/>
      <c r="F656" s="102"/>
      <c r="G656" s="102"/>
      <c r="H656" s="103" t="str">
        <f aca="false">IF($B656="","",N($E656))</f>
        <v/>
      </c>
      <c r="I656" s="104" t="str">
        <f aca="false">IF($B656="","",$I$618+SUMIFS($G$620:$G$670,$M$620:$M$670,"&lt;="&amp;$M656)-SUMIFS($H$620:$H$670,$M$620:$M$670,"&lt;="&amp;$M656))</f>
        <v/>
      </c>
      <c r="J656" s="102"/>
      <c r="K656" s="96"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100"/>
      <c r="D657" s="101" t="str">
        <f aca="false">IF($B657="","","Expense")</f>
        <v/>
      </c>
      <c r="E657" s="15"/>
      <c r="F657" s="102"/>
      <c r="G657" s="102"/>
      <c r="H657" s="103" t="str">
        <f aca="false">IF($B657="","",N($E657))</f>
        <v/>
      </c>
      <c r="I657" s="104" t="str">
        <f aca="false">IF($B657="","",$I$618+SUMIFS($G$620:$G$670,$M$620:$M$670,"&lt;="&amp;$M657)-SUMIFS($H$620:$H$670,$M$620:$M$670,"&lt;="&amp;$M657))</f>
        <v/>
      </c>
      <c r="J657" s="102"/>
      <c r="K657" s="96"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100"/>
      <c r="D658" s="101" t="str">
        <f aca="false">IF($B658="","","Expense")</f>
        <v/>
      </c>
      <c r="E658" s="15"/>
      <c r="F658" s="102"/>
      <c r="G658" s="102"/>
      <c r="H658" s="103" t="str">
        <f aca="false">IF($B658="","",N($E658))</f>
        <v/>
      </c>
      <c r="I658" s="104" t="str">
        <f aca="false">IF($B658="","",$I$618+SUMIFS($G$620:$G$670,$M$620:$M$670,"&lt;="&amp;$M658)-SUMIFS($H$620:$H$670,$M$620:$M$670,"&lt;="&amp;$M658))</f>
        <v/>
      </c>
      <c r="J658" s="102"/>
      <c r="K658" s="96"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100"/>
      <c r="D659" s="101" t="str">
        <f aca="false">IF($B659="","","Expense")</f>
        <v/>
      </c>
      <c r="E659" s="15"/>
      <c r="F659" s="102"/>
      <c r="G659" s="102"/>
      <c r="H659" s="103" t="str">
        <f aca="false">IF($B659="","",N($E659))</f>
        <v/>
      </c>
      <c r="I659" s="104" t="str">
        <f aca="false">IF($B659="","",$I$618+SUMIFS($G$620:$G$670,$M$620:$M$670,"&lt;="&amp;$M659)-SUMIFS($H$620:$H$670,$M$620:$M$670,"&lt;="&amp;$M659))</f>
        <v/>
      </c>
      <c r="J659" s="102"/>
      <c r="K659" s="96"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100"/>
      <c r="D660" s="101" t="str">
        <f aca="false">IF($B660="","","Expense")</f>
        <v/>
      </c>
      <c r="E660" s="15"/>
      <c r="F660" s="102"/>
      <c r="G660" s="102"/>
      <c r="H660" s="103" t="str">
        <f aca="false">IF($B660="","",N($E660))</f>
        <v/>
      </c>
      <c r="I660" s="104" t="str">
        <f aca="false">IF($B660="","",$I$618+SUMIFS($G$620:$G$670,$M$620:$M$670,"&lt;="&amp;$M660)-SUMIFS($H$620:$H$670,$M$620:$M$670,"&lt;="&amp;$M660))</f>
        <v/>
      </c>
      <c r="J660" s="102"/>
      <c r="K660" s="96"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100"/>
      <c r="D661" s="101" t="str">
        <f aca="false">IF($B661="","","Expense")</f>
        <v/>
      </c>
      <c r="E661" s="15"/>
      <c r="F661" s="102"/>
      <c r="G661" s="102"/>
      <c r="H661" s="103" t="str">
        <f aca="false">IF($B661="","",N($E661))</f>
        <v/>
      </c>
      <c r="I661" s="104" t="str">
        <f aca="false">IF($B661="","",$I$618+SUMIFS($G$620:$G$670,$M$620:$M$670,"&lt;="&amp;$M661)-SUMIFS($H$620:$H$670,$M$620:$M$670,"&lt;="&amp;$M661))</f>
        <v/>
      </c>
      <c r="J661" s="102"/>
      <c r="K661" s="96"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100"/>
      <c r="D662" s="101" t="str">
        <f aca="false">IF($B662="","","Expense")</f>
        <v/>
      </c>
      <c r="E662" s="15"/>
      <c r="F662" s="102"/>
      <c r="G662" s="102"/>
      <c r="H662" s="103" t="str">
        <f aca="false">IF($B662="","",N($E662))</f>
        <v/>
      </c>
      <c r="I662" s="104" t="str">
        <f aca="false">IF($B662="","",$I$618+SUMIFS($G$620:$G$670,$M$620:$M$670,"&lt;="&amp;$M662)-SUMIFS($H$620:$H$670,$M$620:$M$670,"&lt;="&amp;$M662))</f>
        <v/>
      </c>
      <c r="J662" s="102"/>
      <c r="K662" s="96"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100"/>
      <c r="D663" s="101" t="str">
        <f aca="false">IF($B663="","","Expense")</f>
        <v/>
      </c>
      <c r="E663" s="15"/>
      <c r="F663" s="102"/>
      <c r="G663" s="102"/>
      <c r="H663" s="103" t="str">
        <f aca="false">IF($B663="","",N($E663))</f>
        <v/>
      </c>
      <c r="I663" s="104" t="str">
        <f aca="false">IF($B663="","",$I$618+SUMIFS($G$620:$G$670,$M$620:$M$670,"&lt;="&amp;$M663)-SUMIFS($H$620:$H$670,$M$620:$M$670,"&lt;="&amp;$M663))</f>
        <v/>
      </c>
      <c r="J663" s="102"/>
      <c r="K663" s="96"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100"/>
      <c r="D664" s="101" t="str">
        <f aca="false">IF($B664="","","Expense")</f>
        <v/>
      </c>
      <c r="E664" s="15"/>
      <c r="F664" s="102"/>
      <c r="G664" s="102"/>
      <c r="H664" s="103" t="str">
        <f aca="false">IF($B664="","",N($E664))</f>
        <v/>
      </c>
      <c r="I664" s="104" t="str">
        <f aca="false">IF($B664="","",$I$618+SUMIFS($G$620:$G$670,$M$620:$M$670,"&lt;="&amp;$M664)-SUMIFS($H$620:$H$670,$M$620:$M$670,"&lt;="&amp;$M664))</f>
        <v/>
      </c>
      <c r="J664" s="102"/>
      <c r="K664" s="96"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100"/>
      <c r="D665" s="101" t="str">
        <f aca="false">IF($B665="","","Expense")</f>
        <v/>
      </c>
      <c r="E665" s="15"/>
      <c r="F665" s="102"/>
      <c r="G665" s="102"/>
      <c r="H665" s="103" t="str">
        <f aca="false">IF($B665="","",N($E665))</f>
        <v/>
      </c>
      <c r="I665" s="104" t="str">
        <f aca="false">IF($B665="","",$I$618+SUMIFS($G$620:$G$670,$M$620:$M$670,"&lt;="&amp;$M665)-SUMIFS($H$620:$H$670,$M$620:$M$670,"&lt;="&amp;$M665))</f>
        <v/>
      </c>
      <c r="J665" s="102"/>
      <c r="K665" s="96"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100"/>
      <c r="D666" s="101" t="str">
        <f aca="false">IF($B666="","","Expense")</f>
        <v/>
      </c>
      <c r="E666" s="15"/>
      <c r="F666" s="102"/>
      <c r="G666" s="102"/>
      <c r="H666" s="103" t="str">
        <f aca="false">IF($B666="","",N($E666))</f>
        <v/>
      </c>
      <c r="I666" s="104" t="str">
        <f aca="false">IF($B666="","",$I$618+SUMIFS($G$620:$G$670,$M$620:$M$670,"&lt;="&amp;$M666)-SUMIFS($H$620:$H$670,$M$620:$M$670,"&lt;="&amp;$M666))</f>
        <v/>
      </c>
      <c r="J666" s="102"/>
      <c r="K666" s="96"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100"/>
      <c r="D667" s="101" t="str">
        <f aca="false">IF($B667="","","Expense")</f>
        <v/>
      </c>
      <c r="E667" s="15"/>
      <c r="F667" s="102"/>
      <c r="G667" s="102"/>
      <c r="H667" s="103" t="str">
        <f aca="false">IF($B667="","",N($E667))</f>
        <v/>
      </c>
      <c r="I667" s="104" t="str">
        <f aca="false">IF($B667="","",$I$618+SUMIFS($G$620:$G$670,$M$620:$M$670,"&lt;="&amp;$M667)-SUMIFS($H$620:$H$670,$M$620:$M$670,"&lt;="&amp;$M667))</f>
        <v/>
      </c>
      <c r="J667" s="102"/>
      <c r="K667" s="96"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100"/>
      <c r="D668" s="101" t="str">
        <f aca="false">IF($B668="","","Expense")</f>
        <v/>
      </c>
      <c r="E668" s="15"/>
      <c r="F668" s="102"/>
      <c r="G668" s="102"/>
      <c r="H668" s="103" t="str">
        <f aca="false">IF($B668="","",N($E668))</f>
        <v/>
      </c>
      <c r="I668" s="104" t="str">
        <f aca="false">IF($B668="","",$I$618+SUMIFS($G$620:$G$670,$M$620:$M$670,"&lt;="&amp;$M668)-SUMIFS($H$620:$H$670,$M$620:$M$670,"&lt;="&amp;$M668))</f>
        <v/>
      </c>
      <c r="J668" s="102"/>
      <c r="K668" s="96"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100"/>
      <c r="D669" s="101" t="str">
        <f aca="false">IF($B669="","","Expense")</f>
        <v/>
      </c>
      <c r="E669" s="15"/>
      <c r="F669" s="102"/>
      <c r="G669" s="102"/>
      <c r="H669" s="103" t="str">
        <f aca="false">IF($B669="","",N($E669))</f>
        <v/>
      </c>
      <c r="I669" s="104" t="str">
        <f aca="false">IF($B669="","",$I$618+SUMIFS($G$620:$G$670,$M$620:$M$670,"&lt;="&amp;$M669)-SUMIFS($H$620:$H$670,$M$620:$M$670,"&lt;="&amp;$M669))</f>
        <v/>
      </c>
      <c r="J669" s="102"/>
      <c r="K669" s="96" t="str">
        <f aca="false">IF($B669="","","ACTUAL")</f>
        <v/>
      </c>
      <c r="L669" s="1" t="str">
        <f aca="false">IF($B669="","",IF($C669="",$E$6+83,$C669))</f>
        <v/>
      </c>
      <c r="M669" s="1" t="str">
        <f aca="false">IF($L669="","",COUNTIFS($L$620:$L$670,"&lt;"&amp;$L669)+COUNTIFS($L$620:$L669,$L669))</f>
        <v/>
      </c>
    </row>
    <row r="670" customFormat="false" ht="15" hidden="false" customHeight="true" outlineLevel="0" collapsed="false">
      <c r="B670" s="105" t="str">
        <f aca="false">"Everyday spending still expected this week"</f>
        <v>Everyday spending still expected this week</v>
      </c>
      <c r="C670" s="106" t="n">
        <f aca="false">$E$6+83</f>
        <v>46332</v>
      </c>
      <c r="D670" s="101" t="str">
        <f aca="false">IF($B670="","","Expense")</f>
        <v>Expense</v>
      </c>
      <c r="E670" s="107" t="n">
        <f aca="false">MAX(0,$E$8-SUM($E$631:$E$669))</f>
        <v>400</v>
      </c>
      <c r="F670" s="102"/>
      <c r="G670" s="102"/>
      <c r="H670" s="103" t="n">
        <f aca="false">IF($B670="","",N($E670))</f>
        <v>400</v>
      </c>
      <c r="I670" s="104" t="n">
        <f aca="false">IF($B670="","",$I$618+SUMIFS($G$620:$G$670,$M$620:$M$670,"&lt;="&amp;$M670)-SUMIFS($H$620:$H$670,$M$620:$M$670,"&lt;="&amp;$M670))</f>
        <v>301.58</v>
      </c>
      <c r="J670" s="102"/>
      <c r="K670" s="96" t="str">
        <f aca="false">"FORECAST"</f>
        <v>FORECAST</v>
      </c>
      <c r="L670" s="97" t="n">
        <f aca="false">IF($B670="","",IF($C670="",$E$6+83,$C670))</f>
        <v>46332</v>
      </c>
      <c r="M670" s="1" t="n">
        <f aca="false">IF($L670="","",COUNTIFS($L$620:$L$670,"&lt;"&amp;$L670)+COUNTIFS($L$620:$L670,$L670))</f>
        <v>7</v>
      </c>
    </row>
    <row r="671" customFormat="false" ht="15" hidden="false" customHeight="true" outlineLevel="0" collapsed="false">
      <c r="B671" s="108" t="s">
        <v>203</v>
      </c>
      <c r="C671" s="58"/>
      <c r="D671" s="58"/>
      <c r="E671" s="58"/>
      <c r="F671" s="58"/>
      <c r="G671" s="57" t="n">
        <f aca="false">SUM($G$620:$G$670)</f>
        <v>892.65</v>
      </c>
      <c r="H671" s="57" t="n">
        <f aca="false">SUM($H$620:$H$670)</f>
        <v>594.47</v>
      </c>
      <c r="I671" s="109" t="n">
        <f aca="false">$I$618+$G$671-$H$671</f>
        <v>301.58</v>
      </c>
      <c r="J671" s="110" t="str">
        <f aca="false">IF($I$671&lt;0,"SHORTFALL",IF($I$671&lt;$E$7,"TIGHT","OK"))</f>
        <v>OK</v>
      </c>
      <c r="K671" s="111"/>
      <c r="N671" s="111" t="str">
        <f aca="false">IF(COUNT($I$620:$I$670)=0,"","Lowest point this week: "&amp;TEXT(MIN($I$620:$I$670),"$#,##0.00;-$#,##0.00")&amp;" on "&amp;TEXT(INDEX($C$620:$C$670,MATCH(MIN($I$620:$I$670),$I$620:$I$670,0)),"ddd mmm d")&amp;"     (in "&amp;TEXT($G$671,"$#,##0.00")&amp;", out "&amp;TEXT($H$671,"$#,##0.00")&amp;")")</f>
        <v>Lowest point this week: -$139.97 on Sat Oct 31     (in $892.65, out $594.47)</v>
      </c>
    </row>
    <row r="673" customFormat="false" ht="21.75" hidden="false" customHeight="true" outlineLevel="0" collapsed="false">
      <c r="B673" s="82" t="str">
        <f aca="false">"WEEK 13     "&amp;TEXT($E$6+84,"ddd, mmm d")&amp;"   through   "&amp;TEXT($E$6+84+6,"ddd, mmm d, yyyy")</f>
        <v>WEEK 13     Sat, Nov 7   through   Fri, Nov 13, 2026</v>
      </c>
      <c r="C673" s="83"/>
      <c r="D673" s="83"/>
      <c r="E673" s="83"/>
      <c r="F673" s="83"/>
      <c r="G673" s="84" t="s">
        <v>147</v>
      </c>
      <c r="H673" s="83"/>
      <c r="I673" s="85" t="n">
        <f aca="false">$I$671</f>
        <v>301.58</v>
      </c>
      <c r="J673" s="83"/>
      <c r="K673" s="86"/>
      <c r="N673" s="86" t="str">
        <f aca="false">IF(COUNTIF(Schedule!$I$4:$I$483,13)&gt;10,"! "&amp;COUNTIF(Schedule!$I$4:$I$483,13)-10&amp;" more transaction(s) fall in this week than there are rows to show them.","")</f>
        <v/>
      </c>
    </row>
    <row r="674" customFormat="false" ht="25.5" hidden="false" customHeight="true" outlineLevel="0" collapsed="false">
      <c r="B674" s="87" t="s">
        <v>148</v>
      </c>
      <c r="C674" s="87" t="s">
        <v>149</v>
      </c>
      <c r="D674" s="87" t="s">
        <v>42</v>
      </c>
      <c r="E674" s="87" t="s">
        <v>150</v>
      </c>
      <c r="F674" s="87" t="s">
        <v>151</v>
      </c>
      <c r="G674" s="37" t="s">
        <v>152</v>
      </c>
      <c r="H674" s="38" t="s">
        <v>153</v>
      </c>
      <c r="I674" s="87" t="s">
        <v>154</v>
      </c>
      <c r="J674" s="87" t="s">
        <v>14</v>
      </c>
      <c r="K674" s="87" t="s">
        <v>155</v>
      </c>
    </row>
    <row r="675" customFormat="false" ht="15" hidden="false" customHeight="true" outlineLevel="0" collapsed="false">
      <c r="B675" s="8" t="str">
        <f aca="false">IFERROR(INDEX(Schedule!$C$4:$C$483,MATCH(13001,Schedule!$K$4:$K$483,0)),"")</f>
        <v>Google One</v>
      </c>
      <c r="C675" s="88" t="n">
        <f aca="false">IF($B675="","",INDEX(Schedule!$G$4:$G$483,MATCH(13001,Schedule!$K$4:$K$483,0)))</f>
        <v>46333</v>
      </c>
      <c r="D675" s="89" t="str">
        <f aca="false">IF($B675="","",INDEX(Schedule!$D$4:$D$483,MATCH(13001,Schedule!$K$4:$K$483,0)))</f>
        <v>Expense</v>
      </c>
      <c r="E675" s="90" t="n">
        <f aca="false">IF($B675="","",INDEX(Schedule!$E$4:$E$483,MATCH(13001,Schedule!$K$4:$K$483,0)))</f>
        <v>4.99</v>
      </c>
      <c r="F675" s="91"/>
      <c r="G675" s="92" t="str">
        <f aca="false">IF($B675="","",IF($D675="Income",IF($F675&lt;&gt;"",$F675,IF(COUNTIFS('Paid Log'!$B$9:$B$308,$C675,'Paid Log'!$C$9:$C$308,$B675)&gt;0,SUMIFS('Paid Log'!$D$9:$D$308,'Paid Log'!$B$9:$B$308,$C675,'Paid Log'!$C$9:$C$308,$B675),$E675)),""))</f>
        <v/>
      </c>
      <c r="H675" s="93" t="n">
        <f aca="false">IF($B675="","",IF($D675="Income","",IF($F675&lt;&gt;"",$F675,IF(COUNTIFS('Paid Log'!$B$9:$B$308,$C675,'Paid Log'!$C$9:$C$308,$B675)&gt;0,SUMIFS('Paid Log'!$D$9:$D$308,'Paid Log'!$B$9:$B$308,$C675,'Paid Log'!$C$9:$C$308,$B675),$E675))))</f>
        <v>4.99</v>
      </c>
      <c r="I675" s="94" t="n">
        <f aca="false">IF($B675="","",$I$673+SUMIFS($G$675:$G$725,$M$675:$M$725,"&lt;="&amp;$M675)-SUMIFS($H$675:$H$725,$M$675:$M$725,"&lt;="&amp;$M675))</f>
        <v>296.59</v>
      </c>
      <c r="J675" s="95" t="str">
        <f aca="true">IF($B675="","",IF(OR($F675&lt;&gt;"",COUNTIFS('Paid Log'!$B$9:$B$308,$C675,'Paid Log'!$C$9:$C$308,$B675)&gt;0),IF($C675&gt;TODAY(),"ADJUSTED","PAID"),IF($C675&lt;TODAY(),"PAST DUE",IF($C675&lt;=TODAY()+7,"DUE","Upcoming"))))</f>
        <v>Upcoming</v>
      </c>
      <c r="K675" s="96" t="str">
        <f aca="false">IF($B675="","",IF(OR($F675&lt;&gt;"",COUNTIFS('Paid Log'!$B$9:$B$308,$C675,'Paid Log'!$C$9:$C$308,$B675)&gt;0),"ACTUAL","FORECAST"))</f>
        <v>FORECAST</v>
      </c>
      <c r="L675" s="97"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88" t="n">
        <f aca="false">IF($B676="","",INDEX(Schedule!$G$4:$G$483,MATCH(13002,Schedule!$K$4:$K$483,0)))</f>
        <v>46333</v>
      </c>
      <c r="D676" s="89" t="str">
        <f aca="false">IF($B676="","",INDEX(Schedule!$D$4:$D$483,MATCH(13002,Schedule!$K$4:$K$483,0)))</f>
        <v>Expense</v>
      </c>
      <c r="E676" s="90" t="n">
        <f aca="false">IF($B676="","",INDEX(Schedule!$E$4:$E$483,MATCH(13002,Schedule!$K$4:$K$483,0)))</f>
        <v>500</v>
      </c>
      <c r="F676" s="91"/>
      <c r="G676" s="92" t="str">
        <f aca="false">IF($B676="","",IF($D676="Income",IF($F676&lt;&gt;"",$F676,IF(COUNTIFS('Paid Log'!$B$9:$B$308,$C676,'Paid Log'!$C$9:$C$308,$B676)&gt;0,SUMIFS('Paid Log'!$D$9:$D$308,'Paid Log'!$B$9:$B$308,$C676,'Paid Log'!$C$9:$C$308,$B676),$E676)),""))</f>
        <v/>
      </c>
      <c r="H676" s="93" t="n">
        <f aca="false">IF($B676="","",IF($D676="Income","",IF($F676&lt;&gt;"",$F676,IF(COUNTIFS('Paid Log'!$B$9:$B$308,$C676,'Paid Log'!$C$9:$C$308,$B676)&gt;0,SUMIFS('Paid Log'!$D$9:$D$308,'Paid Log'!$B$9:$B$308,$C676,'Paid Log'!$C$9:$C$308,$B676),$E676))))</f>
        <v>500</v>
      </c>
      <c r="I676" s="94" t="n">
        <f aca="false">IF($B676="","",$I$673+SUMIFS($G$675:$G$725,$M$675:$M$725,"&lt;="&amp;$M676)-SUMIFS($H$675:$H$725,$M$675:$M$725,"&lt;="&amp;$M676))</f>
        <v>-203.41</v>
      </c>
      <c r="J676" s="95" t="str">
        <f aca="true">IF($B676="","",IF(OR($F676&lt;&gt;"",COUNTIFS('Paid Log'!$B$9:$B$308,$C676,'Paid Log'!$C$9:$C$308,$B676)&gt;0),IF($C676&gt;TODAY(),"ADJUSTED","PAID"),IF($C676&lt;TODAY(),"PAST DUE",IF($C676&lt;=TODAY()+7,"DUE","Upcoming"))))</f>
        <v>Upcoming</v>
      </c>
      <c r="K676" s="96" t="str">
        <f aca="false">IF($B676="","",IF(OR($F676&lt;&gt;"",COUNTIFS('Paid Log'!$B$9:$B$308,$C676,'Paid Log'!$C$9:$C$308,$B676)&gt;0),"ACTUAL","FORECAST"))</f>
        <v>FORECAST</v>
      </c>
      <c r="L676" s="97"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88" t="n">
        <f aca="false">IF($B677="","",INDEX(Schedule!$G$4:$G$483,MATCH(13003,Schedule!$K$4:$K$483,0)))</f>
        <v>46334</v>
      </c>
      <c r="D677" s="89" t="str">
        <f aca="false">IF($B677="","",INDEX(Schedule!$D$4:$D$483,MATCH(13003,Schedule!$K$4:$K$483,0)))</f>
        <v>Expense</v>
      </c>
      <c r="E677" s="90" t="n">
        <f aca="false">IF($B677="","",INDEX(Schedule!$E$4:$E$483,MATCH(13003,Schedule!$K$4:$K$483,0)))</f>
        <v>163.5</v>
      </c>
      <c r="F677" s="91"/>
      <c r="G677" s="92" t="str">
        <f aca="false">IF($B677="","",IF($D677="Income",IF($F677&lt;&gt;"",$F677,IF(COUNTIFS('Paid Log'!$B$9:$B$308,$C677,'Paid Log'!$C$9:$C$308,$B677)&gt;0,SUMIFS('Paid Log'!$D$9:$D$308,'Paid Log'!$B$9:$B$308,$C677,'Paid Log'!$C$9:$C$308,$B677),$E677)),""))</f>
        <v/>
      </c>
      <c r="H677" s="93" t="n">
        <f aca="false">IF($B677="","",IF($D677="Income","",IF($F677&lt;&gt;"",$F677,IF(COUNTIFS('Paid Log'!$B$9:$B$308,$C677,'Paid Log'!$C$9:$C$308,$B677)&gt;0,SUMIFS('Paid Log'!$D$9:$D$308,'Paid Log'!$B$9:$B$308,$C677,'Paid Log'!$C$9:$C$308,$B677),$E677))))</f>
        <v>163.5</v>
      </c>
      <c r="I677" s="94" t="n">
        <f aca="false">IF($B677="","",$I$673+SUMIFS($G$675:$G$725,$M$675:$M$725,"&lt;="&amp;$M677)-SUMIFS($H$675:$H$725,$M$675:$M$725,"&lt;="&amp;$M677))</f>
        <v>-366.91</v>
      </c>
      <c r="J677" s="95" t="str">
        <f aca="true">IF($B677="","",IF(OR($F677&lt;&gt;"",COUNTIFS('Paid Log'!$B$9:$B$308,$C677,'Paid Log'!$C$9:$C$308,$B677)&gt;0),IF($C677&gt;TODAY(),"ADJUSTED","PAID"),IF($C677&lt;TODAY(),"PAST DUE",IF($C677&lt;=TODAY()+7,"DUE","Upcoming"))))</f>
        <v>Upcoming</v>
      </c>
      <c r="K677" s="96" t="str">
        <f aca="false">IF($B677="","",IF(OR($F677&lt;&gt;"",COUNTIFS('Paid Log'!$B$9:$B$308,$C677,'Paid Log'!$C$9:$C$308,$B677)&gt;0),"ACTUAL","FORECAST"))</f>
        <v>FORECAST</v>
      </c>
      <c r="L677" s="97"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88" t="n">
        <f aca="false">IF($B678="","",INDEX(Schedule!$G$4:$G$483,MATCH(13004,Schedule!$K$4:$K$483,0)))</f>
        <v>46337</v>
      </c>
      <c r="D678" s="89" t="str">
        <f aca="false">IF($B678="","",INDEX(Schedule!$D$4:$D$483,MATCH(13004,Schedule!$K$4:$K$483,0)))</f>
        <v>Income</v>
      </c>
      <c r="E678" s="90" t="n">
        <f aca="false">IF($B678="","",INDEX(Schedule!$E$4:$E$483,MATCH(13004,Schedule!$K$4:$K$483,0)))</f>
        <v>90</v>
      </c>
      <c r="F678" s="91"/>
      <c r="G678" s="92" t="n">
        <f aca="false">IF($B678="","",IF($D678="Income",IF($F678&lt;&gt;"",$F678,IF(COUNTIFS('Paid Log'!$B$9:$B$308,$C678,'Paid Log'!$C$9:$C$308,$B678)&gt;0,SUMIFS('Paid Log'!$D$9:$D$308,'Paid Log'!$B$9:$B$308,$C678,'Paid Log'!$C$9:$C$308,$B678),$E678)),""))</f>
        <v>90</v>
      </c>
      <c r="H678" s="93" t="str">
        <f aca="false">IF($B678="","",IF($D678="Income","",IF($F678&lt;&gt;"",$F678,IF(COUNTIFS('Paid Log'!$B$9:$B$308,$C678,'Paid Log'!$C$9:$C$308,$B678)&gt;0,SUMIFS('Paid Log'!$D$9:$D$308,'Paid Log'!$B$9:$B$308,$C678,'Paid Log'!$C$9:$C$308,$B678),$E678))))</f>
        <v/>
      </c>
      <c r="I678" s="94" t="n">
        <f aca="false">IF($B678="","",$I$673+SUMIFS($G$675:$G$725,$M$675:$M$725,"&lt;="&amp;$M678)-SUMIFS($H$675:$H$725,$M$675:$M$725,"&lt;="&amp;$M678))</f>
        <v>-276.91</v>
      </c>
      <c r="J678" s="95" t="str">
        <f aca="true">IF($B678="","",IF(OR($F678&lt;&gt;"",COUNTIFS('Paid Log'!$B$9:$B$308,$C678,'Paid Log'!$C$9:$C$308,$B678)&gt;0),IF($C678&gt;TODAY(),"ADJUSTED","PAID"),IF($C678&lt;TODAY(),"PAST DUE",IF($C678&lt;=TODAY()+7,"DUE","Upcoming"))))</f>
        <v>Upcoming</v>
      </c>
      <c r="K678" s="96" t="str">
        <f aca="false">IF($B678="","",IF(OR($F678&lt;&gt;"",COUNTIFS('Paid Log'!$B$9:$B$308,$C678,'Paid Log'!$C$9:$C$308,$B678)&gt;0),"ACTUAL","FORECAST"))</f>
        <v>FORECAST</v>
      </c>
      <c r="L678" s="97"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88" t="n">
        <f aca="false">IF($B679="","",INDEX(Schedule!$G$4:$G$483,MATCH(13005,Schedule!$K$4:$K$483,0)))</f>
        <v>46339</v>
      </c>
      <c r="D679" s="89" t="str">
        <f aca="false">IF($B679="","",INDEX(Schedule!$D$4:$D$483,MATCH(13005,Schedule!$K$4:$K$483,0)))</f>
        <v>Income</v>
      </c>
      <c r="E679" s="90" t="n">
        <f aca="false">IF($B679="","",INDEX(Schedule!$E$4:$E$483,MATCH(13005,Schedule!$K$4:$K$483,0)))</f>
        <v>802.65</v>
      </c>
      <c r="F679" s="91"/>
      <c r="G679" s="92" t="n">
        <f aca="false">IF($B679="","",IF($D679="Income",IF($F679&lt;&gt;"",$F679,IF(COUNTIFS('Paid Log'!$B$9:$B$308,$C679,'Paid Log'!$C$9:$C$308,$B679)&gt;0,SUMIFS('Paid Log'!$D$9:$D$308,'Paid Log'!$B$9:$B$308,$C679,'Paid Log'!$C$9:$C$308,$B679),$E679)),""))</f>
        <v>802.65</v>
      </c>
      <c r="H679" s="93" t="str">
        <f aca="false">IF($B679="","",IF($D679="Income","",IF($F679&lt;&gt;"",$F679,IF(COUNTIFS('Paid Log'!$B$9:$B$308,$C679,'Paid Log'!$C$9:$C$308,$B679)&gt;0,SUMIFS('Paid Log'!$D$9:$D$308,'Paid Log'!$B$9:$B$308,$C679,'Paid Log'!$C$9:$C$308,$B679),$E679))))</f>
        <v/>
      </c>
      <c r="I679" s="94" t="n">
        <f aca="false">IF($B679="","",$I$673+SUMIFS($G$675:$G$725,$M$675:$M$725,"&lt;="&amp;$M679)-SUMIFS($H$675:$H$725,$M$675:$M$725,"&lt;="&amp;$M679))</f>
        <v>525.74</v>
      </c>
      <c r="J679" s="95" t="str">
        <f aca="true">IF($B679="","",IF(OR($F679&lt;&gt;"",COUNTIFS('Paid Log'!$B$9:$B$308,$C679,'Paid Log'!$C$9:$C$308,$B679)&gt;0),IF($C679&gt;TODAY(),"ADJUSTED","PAID"),IF($C679&lt;TODAY(),"PAST DUE",IF($C679&lt;=TODAY()+7,"DUE","Upcoming"))))</f>
        <v>Upcoming</v>
      </c>
      <c r="K679" s="96" t="str">
        <f aca="false">IF($B679="","",IF(OR($F679&lt;&gt;"",COUNTIFS('Paid Log'!$B$9:$B$308,$C679,'Paid Log'!$C$9:$C$308,$B679)&gt;0),"ACTUAL","FORECAST"))</f>
        <v>FORECAST</v>
      </c>
      <c r="L679" s="97"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88" t="n">
        <f aca="false">IF($B680="","",INDEX(Schedule!$G$4:$G$483,MATCH(13006,Schedule!$K$4:$K$483,0)))</f>
        <v>46339</v>
      </c>
      <c r="D680" s="89" t="str">
        <f aca="false">IF($B680="","",INDEX(Schedule!$D$4:$D$483,MATCH(13006,Schedule!$K$4:$K$483,0)))</f>
        <v>Expense</v>
      </c>
      <c r="E680" s="90" t="n">
        <f aca="false">IF($B680="","",INDEX(Schedule!$E$4:$E$483,MATCH(13006,Schedule!$K$4:$K$483,0)))</f>
        <v>2.99</v>
      </c>
      <c r="F680" s="91"/>
      <c r="G680" s="92" t="str">
        <f aca="false">IF($B680="","",IF($D680="Income",IF($F680&lt;&gt;"",$F680,IF(COUNTIFS('Paid Log'!$B$9:$B$308,$C680,'Paid Log'!$C$9:$C$308,$B680)&gt;0,SUMIFS('Paid Log'!$D$9:$D$308,'Paid Log'!$B$9:$B$308,$C680,'Paid Log'!$C$9:$C$308,$B680),$E680)),""))</f>
        <v/>
      </c>
      <c r="H680" s="93" t="n">
        <f aca="false">IF($B680="","",IF($D680="Income","",IF($F680&lt;&gt;"",$F680,IF(COUNTIFS('Paid Log'!$B$9:$B$308,$C680,'Paid Log'!$C$9:$C$308,$B680)&gt;0,SUMIFS('Paid Log'!$D$9:$D$308,'Paid Log'!$B$9:$B$308,$C680,'Paid Log'!$C$9:$C$308,$B680),$E680))))</f>
        <v>2.99</v>
      </c>
      <c r="I680" s="94" t="n">
        <f aca="false">IF($B680="","",$I$673+SUMIFS($G$675:$G$725,$M$675:$M$725,"&lt;="&amp;$M680)-SUMIFS($H$675:$H$725,$M$675:$M$725,"&lt;="&amp;$M680))</f>
        <v>522.75</v>
      </c>
      <c r="J680" s="95" t="str">
        <f aca="true">IF($B680="","",IF(OR($F680&lt;&gt;"",COUNTIFS('Paid Log'!$B$9:$B$308,$C680,'Paid Log'!$C$9:$C$308,$B680)&gt;0),IF($C680&gt;TODAY(),"ADJUSTED","PAID"),IF($C680&lt;TODAY(),"PAST DUE",IF($C680&lt;=TODAY()+7,"DUE","Upcoming"))))</f>
        <v>Upcoming</v>
      </c>
      <c r="K680" s="96" t="str">
        <f aca="false">IF($B680="","",IF(OR($F680&lt;&gt;"",COUNTIFS('Paid Log'!$B$9:$B$308,$C680,'Paid Log'!$C$9:$C$308,$B680)&gt;0),"ACTUAL","FORECAST"))</f>
        <v>FORECAST</v>
      </c>
      <c r="L680" s="97"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88" t="n">
        <f aca="false">IF($B681="","",INDEX(Schedule!$G$4:$G$483,MATCH(13007,Schedule!$K$4:$K$483,0)))</f>
        <v>46339</v>
      </c>
      <c r="D681" s="89" t="str">
        <f aca="false">IF($B681="","",INDEX(Schedule!$D$4:$D$483,MATCH(13007,Schedule!$K$4:$K$483,0)))</f>
        <v>Expense</v>
      </c>
      <c r="E681" s="90" t="n">
        <f aca="false">IF($B681="","",INDEX(Schedule!$E$4:$E$483,MATCH(13007,Schedule!$K$4:$K$483,0)))</f>
        <v>350</v>
      </c>
      <c r="F681" s="91"/>
      <c r="G681" s="92" t="str">
        <f aca="false">IF($B681="","",IF($D681="Income",IF($F681&lt;&gt;"",$F681,IF(COUNTIFS('Paid Log'!$B$9:$B$308,$C681,'Paid Log'!$C$9:$C$308,$B681)&gt;0,SUMIFS('Paid Log'!$D$9:$D$308,'Paid Log'!$B$9:$B$308,$C681,'Paid Log'!$C$9:$C$308,$B681),$E681)),""))</f>
        <v/>
      </c>
      <c r="H681" s="93" t="n">
        <f aca="false">IF($B681="","",IF($D681="Income","",IF($F681&lt;&gt;"",$F681,IF(COUNTIFS('Paid Log'!$B$9:$B$308,$C681,'Paid Log'!$C$9:$C$308,$B681)&gt;0,SUMIFS('Paid Log'!$D$9:$D$308,'Paid Log'!$B$9:$B$308,$C681,'Paid Log'!$C$9:$C$308,$B681),$E681))))</f>
        <v>350</v>
      </c>
      <c r="I681" s="94" t="n">
        <f aca="false">IF($B681="","",$I$673+SUMIFS($G$675:$G$725,$M$675:$M$725,"&lt;="&amp;$M681)-SUMIFS($H$675:$H$725,$M$675:$M$725,"&lt;="&amp;$M681))</f>
        <v>172.75</v>
      </c>
      <c r="J681" s="95" t="str">
        <f aca="true">IF($B681="","",IF(OR($F681&lt;&gt;"",COUNTIFS('Paid Log'!$B$9:$B$308,$C681,'Paid Log'!$C$9:$C$308,$B681)&gt;0),IF($C681&gt;TODAY(),"ADJUSTED","PAID"),IF($C681&lt;TODAY(),"PAST DUE",IF($C681&lt;=TODAY()+7,"DUE","Upcoming"))))</f>
        <v>Upcoming</v>
      </c>
      <c r="K681" s="96" t="str">
        <f aca="false">IF($B681="","",IF(OR($F681&lt;&gt;"",COUNTIFS('Paid Log'!$B$9:$B$308,$C681,'Paid Log'!$C$9:$C$308,$B681)&gt;0),"ACTUAL","FORECAST"))</f>
        <v>FORECAST</v>
      </c>
      <c r="L681" s="97"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88" t="str">
        <f aca="false">IF($B682="","",INDEX(Schedule!$G$4:$G$483,MATCH(13008,Schedule!$K$4:$K$483,0)))</f>
        <v/>
      </c>
      <c r="D682" s="89" t="str">
        <f aca="false">IF($B682="","",INDEX(Schedule!$D$4:$D$483,MATCH(13008,Schedule!$K$4:$K$483,0)))</f>
        <v/>
      </c>
      <c r="E682" s="90" t="str">
        <f aca="false">IF($B682="","",INDEX(Schedule!$E$4:$E$483,MATCH(13008,Schedule!$K$4:$K$483,0)))</f>
        <v/>
      </c>
      <c r="F682" s="91"/>
      <c r="G682" s="92" t="str">
        <f aca="false">IF($B682="","",IF($D682="Income",IF($F682&lt;&gt;"",$F682,IF(COUNTIFS('Paid Log'!$B$9:$B$308,$C682,'Paid Log'!$C$9:$C$308,$B682)&gt;0,SUMIFS('Paid Log'!$D$9:$D$308,'Paid Log'!$B$9:$B$308,$C682,'Paid Log'!$C$9:$C$308,$B682),$E682)),""))</f>
        <v/>
      </c>
      <c r="H682" s="93" t="str">
        <f aca="false">IF($B682="","",IF($D682="Income","",IF($F682&lt;&gt;"",$F682,IF(COUNTIFS('Paid Log'!$B$9:$B$308,$C682,'Paid Log'!$C$9:$C$308,$B682)&gt;0,SUMIFS('Paid Log'!$D$9:$D$308,'Paid Log'!$B$9:$B$308,$C682,'Paid Log'!$C$9:$C$308,$B682),$E682))))</f>
        <v/>
      </c>
      <c r="I682" s="94" t="str">
        <f aca="false">IF($B682="","",$I$673+SUMIFS($G$675:$G$725,$M$675:$M$725,"&lt;="&amp;$M682)-SUMIFS($H$675:$H$725,$M$675:$M$725,"&lt;="&amp;$M682))</f>
        <v/>
      </c>
      <c r="J682" s="95" t="str">
        <f aca="true">IF($B682="","",IF(OR($F682&lt;&gt;"",COUNTIFS('Paid Log'!$B$9:$B$308,$C682,'Paid Log'!$C$9:$C$308,$B682)&gt;0),IF($C682&gt;TODAY(),"ADJUSTED","PAID"),IF($C682&lt;TODAY(),"PAST DUE",IF($C682&lt;=TODAY()+7,"DUE","Upcoming"))))</f>
        <v/>
      </c>
      <c r="K682" s="96"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88" t="str">
        <f aca="false">IF($B683="","",INDEX(Schedule!$G$4:$G$483,MATCH(13009,Schedule!$K$4:$K$483,0)))</f>
        <v/>
      </c>
      <c r="D683" s="89" t="str">
        <f aca="false">IF($B683="","",INDEX(Schedule!$D$4:$D$483,MATCH(13009,Schedule!$K$4:$K$483,0)))</f>
        <v/>
      </c>
      <c r="E683" s="90" t="str">
        <f aca="false">IF($B683="","",INDEX(Schedule!$E$4:$E$483,MATCH(13009,Schedule!$K$4:$K$483,0)))</f>
        <v/>
      </c>
      <c r="F683" s="91"/>
      <c r="G683" s="92" t="str">
        <f aca="false">IF($B683="","",IF($D683="Income",IF($F683&lt;&gt;"",$F683,IF(COUNTIFS('Paid Log'!$B$9:$B$308,$C683,'Paid Log'!$C$9:$C$308,$B683)&gt;0,SUMIFS('Paid Log'!$D$9:$D$308,'Paid Log'!$B$9:$B$308,$C683,'Paid Log'!$C$9:$C$308,$B683),$E683)),""))</f>
        <v/>
      </c>
      <c r="H683" s="93" t="str">
        <f aca="false">IF($B683="","",IF($D683="Income","",IF($F683&lt;&gt;"",$F683,IF(COUNTIFS('Paid Log'!$B$9:$B$308,$C683,'Paid Log'!$C$9:$C$308,$B683)&gt;0,SUMIFS('Paid Log'!$D$9:$D$308,'Paid Log'!$B$9:$B$308,$C683,'Paid Log'!$C$9:$C$308,$B683),$E683))))</f>
        <v/>
      </c>
      <c r="I683" s="94" t="str">
        <f aca="false">IF($B683="","",$I$673+SUMIFS($G$675:$G$725,$M$675:$M$725,"&lt;="&amp;$M683)-SUMIFS($H$675:$H$725,$M$675:$M$725,"&lt;="&amp;$M683))</f>
        <v/>
      </c>
      <c r="J683" s="95" t="str">
        <f aca="true">IF($B683="","",IF(OR($F683&lt;&gt;"",COUNTIFS('Paid Log'!$B$9:$B$308,$C683,'Paid Log'!$C$9:$C$308,$B683)&gt;0),IF($C683&gt;TODAY(),"ADJUSTED","PAID"),IF($C683&lt;TODAY(),"PAST DUE",IF($C683&lt;=TODAY()+7,"DUE","Upcoming"))))</f>
        <v/>
      </c>
      <c r="K683" s="96"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88" t="str">
        <f aca="false">IF($B684="","",INDEX(Schedule!$G$4:$G$483,MATCH(13010,Schedule!$K$4:$K$483,0)))</f>
        <v/>
      </c>
      <c r="D684" s="89" t="str">
        <f aca="false">IF($B684="","",INDEX(Schedule!$D$4:$D$483,MATCH(13010,Schedule!$K$4:$K$483,0)))</f>
        <v/>
      </c>
      <c r="E684" s="90" t="str">
        <f aca="false">IF($B684="","",INDEX(Schedule!$E$4:$E$483,MATCH(13010,Schedule!$K$4:$K$483,0)))</f>
        <v/>
      </c>
      <c r="F684" s="91"/>
      <c r="G684" s="92" t="str">
        <f aca="false">IF($B684="","",IF($D684="Income",IF($F684&lt;&gt;"",$F684,IF(COUNTIFS('Paid Log'!$B$9:$B$308,$C684,'Paid Log'!$C$9:$C$308,$B684)&gt;0,SUMIFS('Paid Log'!$D$9:$D$308,'Paid Log'!$B$9:$B$308,$C684,'Paid Log'!$C$9:$C$308,$B684),$E684)),""))</f>
        <v/>
      </c>
      <c r="H684" s="93" t="str">
        <f aca="false">IF($B684="","",IF($D684="Income","",IF($F684&lt;&gt;"",$F684,IF(COUNTIFS('Paid Log'!$B$9:$B$308,$C684,'Paid Log'!$C$9:$C$308,$B684)&gt;0,SUMIFS('Paid Log'!$D$9:$D$308,'Paid Log'!$B$9:$B$308,$C684,'Paid Log'!$C$9:$C$308,$B684),$E684))))</f>
        <v/>
      </c>
      <c r="I684" s="94" t="str">
        <f aca="false">IF($B684="","",$I$673+SUMIFS($G$675:$G$725,$M$675:$M$725,"&lt;="&amp;$M684)-SUMIFS($H$675:$H$725,$M$675:$M$725,"&lt;="&amp;$M684))</f>
        <v/>
      </c>
      <c r="J684" s="95" t="str">
        <f aca="true">IF($B684="","",IF(OR($F684&lt;&gt;"",COUNTIFS('Paid Log'!$B$9:$B$308,$C684,'Paid Log'!$C$9:$C$308,$B684)&gt;0),IF($C684&gt;TODAY(),"ADJUSTED","PAID"),IF($C684&lt;TODAY(),"PAST DUE",IF($C684&lt;=TODAY()+7,"DUE","Upcoming"))))</f>
        <v/>
      </c>
      <c r="K684" s="96"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98" t="s">
        <v>156</v>
      </c>
      <c r="C685" s="99"/>
      <c r="D685" s="99"/>
      <c r="E685" s="99"/>
      <c r="F685" s="99"/>
      <c r="G685" s="99"/>
      <c r="H685" s="99"/>
      <c r="I685" s="99"/>
      <c r="J685" s="99"/>
    </row>
    <row r="686" customFormat="false" ht="15" hidden="false" customHeight="true" outlineLevel="0" collapsed="false">
      <c r="B686" s="13"/>
      <c r="C686" s="100"/>
      <c r="D686" s="101" t="str">
        <f aca="false">IF($B686="","","Expense")</f>
        <v/>
      </c>
      <c r="E686" s="15"/>
      <c r="F686" s="102"/>
      <c r="G686" s="102"/>
      <c r="H686" s="103" t="str">
        <f aca="false">IF($B686="","",N($E686))</f>
        <v/>
      </c>
      <c r="I686" s="104" t="str">
        <f aca="false">IF($B686="","",$I$673+SUMIFS($G$675:$G$725,$M$675:$M$725,"&lt;="&amp;$M686)-SUMIFS($H$675:$H$725,$M$675:$M$725,"&lt;="&amp;$M686))</f>
        <v/>
      </c>
      <c r="J686" s="102"/>
      <c r="K686" s="96"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100"/>
      <c r="D687" s="101" t="str">
        <f aca="false">IF($B687="","","Expense")</f>
        <v/>
      </c>
      <c r="E687" s="15"/>
      <c r="F687" s="102"/>
      <c r="G687" s="102"/>
      <c r="H687" s="103" t="str">
        <f aca="false">IF($B687="","",N($E687))</f>
        <v/>
      </c>
      <c r="I687" s="104" t="str">
        <f aca="false">IF($B687="","",$I$673+SUMIFS($G$675:$G$725,$M$675:$M$725,"&lt;="&amp;$M687)-SUMIFS($H$675:$H$725,$M$675:$M$725,"&lt;="&amp;$M687))</f>
        <v/>
      </c>
      <c r="J687" s="102"/>
      <c r="K687" s="96"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100"/>
      <c r="D688" s="101" t="str">
        <f aca="false">IF($B688="","","Expense")</f>
        <v/>
      </c>
      <c r="E688" s="15"/>
      <c r="F688" s="102"/>
      <c r="G688" s="102"/>
      <c r="H688" s="103" t="str">
        <f aca="false">IF($B688="","",N($E688))</f>
        <v/>
      </c>
      <c r="I688" s="104" t="str">
        <f aca="false">IF($B688="","",$I$673+SUMIFS($G$675:$G$725,$M$675:$M$725,"&lt;="&amp;$M688)-SUMIFS($H$675:$H$725,$M$675:$M$725,"&lt;="&amp;$M688))</f>
        <v/>
      </c>
      <c r="J688" s="102"/>
      <c r="K688" s="96"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100"/>
      <c r="D689" s="101" t="str">
        <f aca="false">IF($B689="","","Expense")</f>
        <v/>
      </c>
      <c r="E689" s="15"/>
      <c r="F689" s="102"/>
      <c r="G689" s="102"/>
      <c r="H689" s="103" t="str">
        <f aca="false">IF($B689="","",N($E689))</f>
        <v/>
      </c>
      <c r="I689" s="104" t="str">
        <f aca="false">IF($B689="","",$I$673+SUMIFS($G$675:$G$725,$M$675:$M$725,"&lt;="&amp;$M689)-SUMIFS($H$675:$H$725,$M$675:$M$725,"&lt;="&amp;$M689))</f>
        <v/>
      </c>
      <c r="J689" s="102"/>
      <c r="K689" s="96"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100"/>
      <c r="D690" s="101" t="str">
        <f aca="false">IF($B690="","","Expense")</f>
        <v/>
      </c>
      <c r="E690" s="15"/>
      <c r="F690" s="102"/>
      <c r="G690" s="102"/>
      <c r="H690" s="103" t="str">
        <f aca="false">IF($B690="","",N($E690))</f>
        <v/>
      </c>
      <c r="I690" s="104" t="str">
        <f aca="false">IF($B690="","",$I$673+SUMIFS($G$675:$G$725,$M$675:$M$725,"&lt;="&amp;$M690)-SUMIFS($H$675:$H$725,$M$675:$M$725,"&lt;="&amp;$M690))</f>
        <v/>
      </c>
      <c r="J690" s="102"/>
      <c r="K690" s="96"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100"/>
      <c r="D691" s="101" t="str">
        <f aca="false">IF($B691="","","Expense")</f>
        <v/>
      </c>
      <c r="E691" s="15"/>
      <c r="F691" s="102"/>
      <c r="G691" s="102"/>
      <c r="H691" s="103" t="str">
        <f aca="false">IF($B691="","",N($E691))</f>
        <v/>
      </c>
      <c r="I691" s="104" t="str">
        <f aca="false">IF($B691="","",$I$673+SUMIFS($G$675:$G$725,$M$675:$M$725,"&lt;="&amp;$M691)-SUMIFS($H$675:$H$725,$M$675:$M$725,"&lt;="&amp;$M691))</f>
        <v/>
      </c>
      <c r="J691" s="102"/>
      <c r="K691" s="96"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100"/>
      <c r="D692" s="101" t="str">
        <f aca="false">IF($B692="","","Expense")</f>
        <v/>
      </c>
      <c r="E692" s="15"/>
      <c r="F692" s="102"/>
      <c r="G692" s="102"/>
      <c r="H692" s="103" t="str">
        <f aca="false">IF($B692="","",N($E692))</f>
        <v/>
      </c>
      <c r="I692" s="104" t="str">
        <f aca="false">IF($B692="","",$I$673+SUMIFS($G$675:$G$725,$M$675:$M$725,"&lt;="&amp;$M692)-SUMIFS($H$675:$H$725,$M$675:$M$725,"&lt;="&amp;$M692))</f>
        <v/>
      </c>
      <c r="J692" s="102"/>
      <c r="K692" s="96"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100"/>
      <c r="D693" s="101" t="str">
        <f aca="false">IF($B693="","","Expense")</f>
        <v/>
      </c>
      <c r="E693" s="15"/>
      <c r="F693" s="102"/>
      <c r="G693" s="102"/>
      <c r="H693" s="103" t="str">
        <f aca="false">IF($B693="","",N($E693))</f>
        <v/>
      </c>
      <c r="I693" s="104" t="str">
        <f aca="false">IF($B693="","",$I$673+SUMIFS($G$675:$G$725,$M$675:$M$725,"&lt;="&amp;$M693)-SUMIFS($H$675:$H$725,$M$675:$M$725,"&lt;="&amp;$M693))</f>
        <v/>
      </c>
      <c r="J693" s="102"/>
      <c r="K693" s="96"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100"/>
      <c r="D694" s="101" t="str">
        <f aca="false">IF($B694="","","Expense")</f>
        <v/>
      </c>
      <c r="E694" s="15"/>
      <c r="F694" s="102"/>
      <c r="G694" s="102"/>
      <c r="H694" s="103" t="str">
        <f aca="false">IF($B694="","",N($E694))</f>
        <v/>
      </c>
      <c r="I694" s="104" t="str">
        <f aca="false">IF($B694="","",$I$673+SUMIFS($G$675:$G$725,$M$675:$M$725,"&lt;="&amp;$M694)-SUMIFS($H$675:$H$725,$M$675:$M$725,"&lt;="&amp;$M694))</f>
        <v/>
      </c>
      <c r="J694" s="102"/>
      <c r="K694" s="96"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100"/>
      <c r="D695" s="101" t="str">
        <f aca="false">IF($B695="","","Expense")</f>
        <v/>
      </c>
      <c r="E695" s="15"/>
      <c r="F695" s="102"/>
      <c r="G695" s="102"/>
      <c r="H695" s="103" t="str">
        <f aca="false">IF($B695="","",N($E695))</f>
        <v/>
      </c>
      <c r="I695" s="104" t="str">
        <f aca="false">IF($B695="","",$I$673+SUMIFS($G$675:$G$725,$M$675:$M$725,"&lt;="&amp;$M695)-SUMIFS($H$675:$H$725,$M$675:$M$725,"&lt;="&amp;$M695))</f>
        <v/>
      </c>
      <c r="J695" s="102"/>
      <c r="K695" s="96"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100"/>
      <c r="D696" s="101" t="str">
        <f aca="false">IF($B696="","","Expense")</f>
        <v/>
      </c>
      <c r="E696" s="15"/>
      <c r="F696" s="102"/>
      <c r="G696" s="102"/>
      <c r="H696" s="103" t="str">
        <f aca="false">IF($B696="","",N($E696))</f>
        <v/>
      </c>
      <c r="I696" s="104" t="str">
        <f aca="false">IF($B696="","",$I$673+SUMIFS($G$675:$G$725,$M$675:$M$725,"&lt;="&amp;$M696)-SUMIFS($H$675:$H$725,$M$675:$M$725,"&lt;="&amp;$M696))</f>
        <v/>
      </c>
      <c r="J696" s="102"/>
      <c r="K696" s="96"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100"/>
      <c r="D697" s="101" t="str">
        <f aca="false">IF($B697="","","Expense")</f>
        <v/>
      </c>
      <c r="E697" s="15"/>
      <c r="F697" s="102"/>
      <c r="G697" s="102"/>
      <c r="H697" s="103" t="str">
        <f aca="false">IF($B697="","",N($E697))</f>
        <v/>
      </c>
      <c r="I697" s="104" t="str">
        <f aca="false">IF($B697="","",$I$673+SUMIFS($G$675:$G$725,$M$675:$M$725,"&lt;="&amp;$M697)-SUMIFS($H$675:$H$725,$M$675:$M$725,"&lt;="&amp;$M697))</f>
        <v/>
      </c>
      <c r="J697" s="102"/>
      <c r="K697" s="96"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100"/>
      <c r="D698" s="101" t="str">
        <f aca="false">IF($B698="","","Expense")</f>
        <v/>
      </c>
      <c r="E698" s="15"/>
      <c r="F698" s="102"/>
      <c r="G698" s="102"/>
      <c r="H698" s="103" t="str">
        <f aca="false">IF($B698="","",N($E698))</f>
        <v/>
      </c>
      <c r="I698" s="104" t="str">
        <f aca="false">IF($B698="","",$I$673+SUMIFS($G$675:$G$725,$M$675:$M$725,"&lt;="&amp;$M698)-SUMIFS($H$675:$H$725,$M$675:$M$725,"&lt;="&amp;$M698))</f>
        <v/>
      </c>
      <c r="J698" s="102"/>
      <c r="K698" s="96"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100"/>
      <c r="D699" s="101" t="str">
        <f aca="false">IF($B699="","","Expense")</f>
        <v/>
      </c>
      <c r="E699" s="15"/>
      <c r="F699" s="102"/>
      <c r="G699" s="102"/>
      <c r="H699" s="103" t="str">
        <f aca="false">IF($B699="","",N($E699))</f>
        <v/>
      </c>
      <c r="I699" s="104" t="str">
        <f aca="false">IF($B699="","",$I$673+SUMIFS($G$675:$G$725,$M$675:$M$725,"&lt;="&amp;$M699)-SUMIFS($H$675:$H$725,$M$675:$M$725,"&lt;="&amp;$M699))</f>
        <v/>
      </c>
      <c r="J699" s="102"/>
      <c r="K699" s="96"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100"/>
      <c r="D700" s="101" t="str">
        <f aca="false">IF($B700="","","Expense")</f>
        <v/>
      </c>
      <c r="E700" s="15"/>
      <c r="F700" s="102"/>
      <c r="G700" s="102"/>
      <c r="H700" s="103" t="str">
        <f aca="false">IF($B700="","",N($E700))</f>
        <v/>
      </c>
      <c r="I700" s="104" t="str">
        <f aca="false">IF($B700="","",$I$673+SUMIFS($G$675:$G$725,$M$675:$M$725,"&lt;="&amp;$M700)-SUMIFS($H$675:$H$725,$M$675:$M$725,"&lt;="&amp;$M700))</f>
        <v/>
      </c>
      <c r="J700" s="102"/>
      <c r="K700" s="96"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100"/>
      <c r="D701" s="101" t="str">
        <f aca="false">IF($B701="","","Expense")</f>
        <v/>
      </c>
      <c r="E701" s="15"/>
      <c r="F701" s="102"/>
      <c r="G701" s="102"/>
      <c r="H701" s="103" t="str">
        <f aca="false">IF($B701="","",N($E701))</f>
        <v/>
      </c>
      <c r="I701" s="104" t="str">
        <f aca="false">IF($B701="","",$I$673+SUMIFS($G$675:$G$725,$M$675:$M$725,"&lt;="&amp;$M701)-SUMIFS($H$675:$H$725,$M$675:$M$725,"&lt;="&amp;$M701))</f>
        <v/>
      </c>
      <c r="J701" s="102"/>
      <c r="K701" s="96"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100"/>
      <c r="D702" s="101" t="str">
        <f aca="false">IF($B702="","","Expense")</f>
        <v/>
      </c>
      <c r="E702" s="15"/>
      <c r="F702" s="102"/>
      <c r="G702" s="102"/>
      <c r="H702" s="103" t="str">
        <f aca="false">IF($B702="","",N($E702))</f>
        <v/>
      </c>
      <c r="I702" s="104" t="str">
        <f aca="false">IF($B702="","",$I$673+SUMIFS($G$675:$G$725,$M$675:$M$725,"&lt;="&amp;$M702)-SUMIFS($H$675:$H$725,$M$675:$M$725,"&lt;="&amp;$M702))</f>
        <v/>
      </c>
      <c r="J702" s="102"/>
      <c r="K702" s="96"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100"/>
      <c r="D703" s="101" t="str">
        <f aca="false">IF($B703="","","Expense")</f>
        <v/>
      </c>
      <c r="E703" s="15"/>
      <c r="F703" s="102"/>
      <c r="G703" s="102"/>
      <c r="H703" s="103" t="str">
        <f aca="false">IF($B703="","",N($E703))</f>
        <v/>
      </c>
      <c r="I703" s="104" t="str">
        <f aca="false">IF($B703="","",$I$673+SUMIFS($G$675:$G$725,$M$675:$M$725,"&lt;="&amp;$M703)-SUMIFS($H$675:$H$725,$M$675:$M$725,"&lt;="&amp;$M703))</f>
        <v/>
      </c>
      <c r="J703" s="102"/>
      <c r="K703" s="96"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100"/>
      <c r="D704" s="101" t="str">
        <f aca="false">IF($B704="","","Expense")</f>
        <v/>
      </c>
      <c r="E704" s="15"/>
      <c r="F704" s="102"/>
      <c r="G704" s="102"/>
      <c r="H704" s="103" t="str">
        <f aca="false">IF($B704="","",N($E704))</f>
        <v/>
      </c>
      <c r="I704" s="104" t="str">
        <f aca="false">IF($B704="","",$I$673+SUMIFS($G$675:$G$725,$M$675:$M$725,"&lt;="&amp;$M704)-SUMIFS($H$675:$H$725,$M$675:$M$725,"&lt;="&amp;$M704))</f>
        <v/>
      </c>
      <c r="J704" s="102"/>
      <c r="K704" s="96"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100"/>
      <c r="D705" s="101" t="str">
        <f aca="false">IF($B705="","","Expense")</f>
        <v/>
      </c>
      <c r="E705" s="15"/>
      <c r="F705" s="102"/>
      <c r="G705" s="102"/>
      <c r="H705" s="103" t="str">
        <f aca="false">IF($B705="","",N($E705))</f>
        <v/>
      </c>
      <c r="I705" s="104" t="str">
        <f aca="false">IF($B705="","",$I$673+SUMIFS($G$675:$G$725,$M$675:$M$725,"&lt;="&amp;$M705)-SUMIFS($H$675:$H$725,$M$675:$M$725,"&lt;="&amp;$M705))</f>
        <v/>
      </c>
      <c r="J705" s="102"/>
      <c r="K705" s="96"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100"/>
      <c r="D706" s="101" t="str">
        <f aca="false">IF($B706="","","Expense")</f>
        <v/>
      </c>
      <c r="E706" s="15"/>
      <c r="F706" s="102"/>
      <c r="G706" s="102"/>
      <c r="H706" s="103" t="str">
        <f aca="false">IF($B706="","",N($E706))</f>
        <v/>
      </c>
      <c r="I706" s="104" t="str">
        <f aca="false">IF($B706="","",$I$673+SUMIFS($G$675:$G$725,$M$675:$M$725,"&lt;="&amp;$M706)-SUMIFS($H$675:$H$725,$M$675:$M$725,"&lt;="&amp;$M706))</f>
        <v/>
      </c>
      <c r="J706" s="102"/>
      <c r="K706" s="96"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100"/>
      <c r="D707" s="101" t="str">
        <f aca="false">IF($B707="","","Expense")</f>
        <v/>
      </c>
      <c r="E707" s="15"/>
      <c r="F707" s="102"/>
      <c r="G707" s="102"/>
      <c r="H707" s="103" t="str">
        <f aca="false">IF($B707="","",N($E707))</f>
        <v/>
      </c>
      <c r="I707" s="104" t="str">
        <f aca="false">IF($B707="","",$I$673+SUMIFS($G$675:$G$725,$M$675:$M$725,"&lt;="&amp;$M707)-SUMIFS($H$675:$H$725,$M$675:$M$725,"&lt;="&amp;$M707))</f>
        <v/>
      </c>
      <c r="J707" s="102"/>
      <c r="K707" s="96"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100"/>
      <c r="D708" s="101" t="str">
        <f aca="false">IF($B708="","","Expense")</f>
        <v/>
      </c>
      <c r="E708" s="15"/>
      <c r="F708" s="102"/>
      <c r="G708" s="102"/>
      <c r="H708" s="103" t="str">
        <f aca="false">IF($B708="","",N($E708))</f>
        <v/>
      </c>
      <c r="I708" s="104" t="str">
        <f aca="false">IF($B708="","",$I$673+SUMIFS($G$675:$G$725,$M$675:$M$725,"&lt;="&amp;$M708)-SUMIFS($H$675:$H$725,$M$675:$M$725,"&lt;="&amp;$M708))</f>
        <v/>
      </c>
      <c r="J708" s="102"/>
      <c r="K708" s="96"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100"/>
      <c r="D709" s="101" t="str">
        <f aca="false">IF($B709="","","Expense")</f>
        <v/>
      </c>
      <c r="E709" s="15"/>
      <c r="F709" s="102"/>
      <c r="G709" s="102"/>
      <c r="H709" s="103" t="str">
        <f aca="false">IF($B709="","",N($E709))</f>
        <v/>
      </c>
      <c r="I709" s="104" t="str">
        <f aca="false">IF($B709="","",$I$673+SUMIFS($G$675:$G$725,$M$675:$M$725,"&lt;="&amp;$M709)-SUMIFS($H$675:$H$725,$M$675:$M$725,"&lt;="&amp;$M709))</f>
        <v/>
      </c>
      <c r="J709" s="102"/>
      <c r="K709" s="96"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100"/>
      <c r="D710" s="101" t="str">
        <f aca="false">IF($B710="","","Expense")</f>
        <v/>
      </c>
      <c r="E710" s="15"/>
      <c r="F710" s="102"/>
      <c r="G710" s="102"/>
      <c r="H710" s="103" t="str">
        <f aca="false">IF($B710="","",N($E710))</f>
        <v/>
      </c>
      <c r="I710" s="104" t="str">
        <f aca="false">IF($B710="","",$I$673+SUMIFS($G$675:$G$725,$M$675:$M$725,"&lt;="&amp;$M710)-SUMIFS($H$675:$H$725,$M$675:$M$725,"&lt;="&amp;$M710))</f>
        <v/>
      </c>
      <c r="J710" s="102"/>
      <c r="K710" s="96"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100"/>
      <c r="D711" s="101" t="str">
        <f aca="false">IF($B711="","","Expense")</f>
        <v/>
      </c>
      <c r="E711" s="15"/>
      <c r="F711" s="102"/>
      <c r="G711" s="102"/>
      <c r="H711" s="103" t="str">
        <f aca="false">IF($B711="","",N($E711))</f>
        <v/>
      </c>
      <c r="I711" s="104" t="str">
        <f aca="false">IF($B711="","",$I$673+SUMIFS($G$675:$G$725,$M$675:$M$725,"&lt;="&amp;$M711)-SUMIFS($H$675:$H$725,$M$675:$M$725,"&lt;="&amp;$M711))</f>
        <v/>
      </c>
      <c r="J711" s="102"/>
      <c r="K711" s="96"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100"/>
      <c r="D712" s="101" t="str">
        <f aca="false">IF($B712="","","Expense")</f>
        <v/>
      </c>
      <c r="E712" s="15"/>
      <c r="F712" s="102"/>
      <c r="G712" s="102"/>
      <c r="H712" s="103" t="str">
        <f aca="false">IF($B712="","",N($E712))</f>
        <v/>
      </c>
      <c r="I712" s="104" t="str">
        <f aca="false">IF($B712="","",$I$673+SUMIFS($G$675:$G$725,$M$675:$M$725,"&lt;="&amp;$M712)-SUMIFS($H$675:$H$725,$M$675:$M$725,"&lt;="&amp;$M712))</f>
        <v/>
      </c>
      <c r="J712" s="102"/>
      <c r="K712" s="96"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100"/>
      <c r="D713" s="101" t="str">
        <f aca="false">IF($B713="","","Expense")</f>
        <v/>
      </c>
      <c r="E713" s="15"/>
      <c r="F713" s="102"/>
      <c r="G713" s="102"/>
      <c r="H713" s="103" t="str">
        <f aca="false">IF($B713="","",N($E713))</f>
        <v/>
      </c>
      <c r="I713" s="104" t="str">
        <f aca="false">IF($B713="","",$I$673+SUMIFS($G$675:$G$725,$M$675:$M$725,"&lt;="&amp;$M713)-SUMIFS($H$675:$H$725,$M$675:$M$725,"&lt;="&amp;$M713))</f>
        <v/>
      </c>
      <c r="J713" s="102"/>
      <c r="K713" s="96"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100"/>
      <c r="D714" s="101" t="str">
        <f aca="false">IF($B714="","","Expense")</f>
        <v/>
      </c>
      <c r="E714" s="15"/>
      <c r="F714" s="102"/>
      <c r="G714" s="102"/>
      <c r="H714" s="103" t="str">
        <f aca="false">IF($B714="","",N($E714))</f>
        <v/>
      </c>
      <c r="I714" s="104" t="str">
        <f aca="false">IF($B714="","",$I$673+SUMIFS($G$675:$G$725,$M$675:$M$725,"&lt;="&amp;$M714)-SUMIFS($H$675:$H$725,$M$675:$M$725,"&lt;="&amp;$M714))</f>
        <v/>
      </c>
      <c r="J714" s="102"/>
      <c r="K714" s="96"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100"/>
      <c r="D715" s="101" t="str">
        <f aca="false">IF($B715="","","Expense")</f>
        <v/>
      </c>
      <c r="E715" s="15"/>
      <c r="F715" s="102"/>
      <c r="G715" s="102"/>
      <c r="H715" s="103" t="str">
        <f aca="false">IF($B715="","",N($E715))</f>
        <v/>
      </c>
      <c r="I715" s="104" t="str">
        <f aca="false">IF($B715="","",$I$673+SUMIFS($G$675:$G$725,$M$675:$M$725,"&lt;="&amp;$M715)-SUMIFS($H$675:$H$725,$M$675:$M$725,"&lt;="&amp;$M715))</f>
        <v/>
      </c>
      <c r="J715" s="102"/>
      <c r="K715" s="96"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100"/>
      <c r="D716" s="101" t="str">
        <f aca="false">IF($B716="","","Expense")</f>
        <v/>
      </c>
      <c r="E716" s="15"/>
      <c r="F716" s="102"/>
      <c r="G716" s="102"/>
      <c r="H716" s="103" t="str">
        <f aca="false">IF($B716="","",N($E716))</f>
        <v/>
      </c>
      <c r="I716" s="104" t="str">
        <f aca="false">IF($B716="","",$I$673+SUMIFS($G$675:$G$725,$M$675:$M$725,"&lt;="&amp;$M716)-SUMIFS($H$675:$H$725,$M$675:$M$725,"&lt;="&amp;$M716))</f>
        <v/>
      </c>
      <c r="J716" s="102"/>
      <c r="K716" s="96"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100"/>
      <c r="D717" s="101" t="str">
        <f aca="false">IF($B717="","","Expense")</f>
        <v/>
      </c>
      <c r="E717" s="15"/>
      <c r="F717" s="102"/>
      <c r="G717" s="102"/>
      <c r="H717" s="103" t="str">
        <f aca="false">IF($B717="","",N($E717))</f>
        <v/>
      </c>
      <c r="I717" s="104" t="str">
        <f aca="false">IF($B717="","",$I$673+SUMIFS($G$675:$G$725,$M$675:$M$725,"&lt;="&amp;$M717)-SUMIFS($H$675:$H$725,$M$675:$M$725,"&lt;="&amp;$M717))</f>
        <v/>
      </c>
      <c r="J717" s="102"/>
      <c r="K717" s="96"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100"/>
      <c r="D718" s="101" t="str">
        <f aca="false">IF($B718="","","Expense")</f>
        <v/>
      </c>
      <c r="E718" s="15"/>
      <c r="F718" s="102"/>
      <c r="G718" s="102"/>
      <c r="H718" s="103" t="str">
        <f aca="false">IF($B718="","",N($E718))</f>
        <v/>
      </c>
      <c r="I718" s="104" t="str">
        <f aca="false">IF($B718="","",$I$673+SUMIFS($G$675:$G$725,$M$675:$M$725,"&lt;="&amp;$M718)-SUMIFS($H$675:$H$725,$M$675:$M$725,"&lt;="&amp;$M718))</f>
        <v/>
      </c>
      <c r="J718" s="102"/>
      <c r="K718" s="96"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100"/>
      <c r="D719" s="101" t="str">
        <f aca="false">IF($B719="","","Expense")</f>
        <v/>
      </c>
      <c r="E719" s="15"/>
      <c r="F719" s="102"/>
      <c r="G719" s="102"/>
      <c r="H719" s="103" t="str">
        <f aca="false">IF($B719="","",N($E719))</f>
        <v/>
      </c>
      <c r="I719" s="104" t="str">
        <f aca="false">IF($B719="","",$I$673+SUMIFS($G$675:$G$725,$M$675:$M$725,"&lt;="&amp;$M719)-SUMIFS($H$675:$H$725,$M$675:$M$725,"&lt;="&amp;$M719))</f>
        <v/>
      </c>
      <c r="J719" s="102"/>
      <c r="K719" s="96"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100"/>
      <c r="D720" s="101" t="str">
        <f aca="false">IF($B720="","","Expense")</f>
        <v/>
      </c>
      <c r="E720" s="15"/>
      <c r="F720" s="102"/>
      <c r="G720" s="102"/>
      <c r="H720" s="103" t="str">
        <f aca="false">IF($B720="","",N($E720))</f>
        <v/>
      </c>
      <c r="I720" s="104" t="str">
        <f aca="false">IF($B720="","",$I$673+SUMIFS($G$675:$G$725,$M$675:$M$725,"&lt;="&amp;$M720)-SUMIFS($H$675:$H$725,$M$675:$M$725,"&lt;="&amp;$M720))</f>
        <v/>
      </c>
      <c r="J720" s="102"/>
      <c r="K720" s="96"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100"/>
      <c r="D721" s="101" t="str">
        <f aca="false">IF($B721="","","Expense")</f>
        <v/>
      </c>
      <c r="E721" s="15"/>
      <c r="F721" s="102"/>
      <c r="G721" s="102"/>
      <c r="H721" s="103" t="str">
        <f aca="false">IF($B721="","",N($E721))</f>
        <v/>
      </c>
      <c r="I721" s="104" t="str">
        <f aca="false">IF($B721="","",$I$673+SUMIFS($G$675:$G$725,$M$675:$M$725,"&lt;="&amp;$M721)-SUMIFS($H$675:$H$725,$M$675:$M$725,"&lt;="&amp;$M721))</f>
        <v/>
      </c>
      <c r="J721" s="102"/>
      <c r="K721" s="96"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100"/>
      <c r="D722" s="101" t="str">
        <f aca="false">IF($B722="","","Expense")</f>
        <v/>
      </c>
      <c r="E722" s="15"/>
      <c r="F722" s="102"/>
      <c r="G722" s="102"/>
      <c r="H722" s="103" t="str">
        <f aca="false">IF($B722="","",N($E722))</f>
        <v/>
      </c>
      <c r="I722" s="104" t="str">
        <f aca="false">IF($B722="","",$I$673+SUMIFS($G$675:$G$725,$M$675:$M$725,"&lt;="&amp;$M722)-SUMIFS($H$675:$H$725,$M$675:$M$725,"&lt;="&amp;$M722))</f>
        <v/>
      </c>
      <c r="J722" s="102"/>
      <c r="K722" s="96"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100"/>
      <c r="D723" s="101" t="str">
        <f aca="false">IF($B723="","","Expense")</f>
        <v/>
      </c>
      <c r="E723" s="15"/>
      <c r="F723" s="102"/>
      <c r="G723" s="102"/>
      <c r="H723" s="103" t="str">
        <f aca="false">IF($B723="","",N($E723))</f>
        <v/>
      </c>
      <c r="I723" s="104" t="str">
        <f aca="false">IF($B723="","",$I$673+SUMIFS($G$675:$G$725,$M$675:$M$725,"&lt;="&amp;$M723)-SUMIFS($H$675:$H$725,$M$675:$M$725,"&lt;="&amp;$M723))</f>
        <v/>
      </c>
      <c r="J723" s="102"/>
      <c r="K723" s="96"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100"/>
      <c r="D724" s="101" t="str">
        <f aca="false">IF($B724="","","Expense")</f>
        <v/>
      </c>
      <c r="E724" s="15"/>
      <c r="F724" s="102"/>
      <c r="G724" s="102"/>
      <c r="H724" s="103" t="str">
        <f aca="false">IF($B724="","",N($E724))</f>
        <v/>
      </c>
      <c r="I724" s="104" t="str">
        <f aca="false">IF($B724="","",$I$673+SUMIFS($G$675:$G$725,$M$675:$M$725,"&lt;="&amp;$M724)-SUMIFS($H$675:$H$725,$M$675:$M$725,"&lt;="&amp;$M724))</f>
        <v/>
      </c>
      <c r="J724" s="102"/>
      <c r="K724" s="96" t="str">
        <f aca="false">IF($B724="","","ACTUAL")</f>
        <v/>
      </c>
      <c r="L724" s="1" t="str">
        <f aca="false">IF($B724="","",IF($C724="",$E$6+90,$C724))</f>
        <v/>
      </c>
      <c r="M724" s="1" t="str">
        <f aca="false">IF($L724="","",COUNTIFS($L$675:$L$725,"&lt;"&amp;$L724)+COUNTIFS($L$675:$L724,$L724))</f>
        <v/>
      </c>
    </row>
    <row r="725" customFormat="false" ht="15" hidden="false" customHeight="true" outlineLevel="0" collapsed="false">
      <c r="B725" s="105" t="str">
        <f aca="false">"Everyday spending still expected this week"</f>
        <v>Everyday spending still expected this week</v>
      </c>
      <c r="C725" s="106" t="n">
        <f aca="false">$E$6+90</f>
        <v>46339</v>
      </c>
      <c r="D725" s="101" t="str">
        <f aca="false">IF($B725="","","Expense")</f>
        <v>Expense</v>
      </c>
      <c r="E725" s="107" t="n">
        <f aca="false">MAX(0,$E$8-SUM($E$686:$E$724))</f>
        <v>400</v>
      </c>
      <c r="F725" s="102"/>
      <c r="G725" s="102"/>
      <c r="H725" s="103" t="n">
        <f aca="false">IF($B725="","",N($E725))</f>
        <v>400</v>
      </c>
      <c r="I725" s="104" t="n">
        <f aca="false">IF($B725="","",$I$673+SUMIFS($G$675:$G$725,$M$675:$M$725,"&lt;="&amp;$M725)-SUMIFS($H$675:$H$725,$M$675:$M$725,"&lt;="&amp;$M725))</f>
        <v>-227.25</v>
      </c>
      <c r="J725" s="102"/>
      <c r="K725" s="96" t="str">
        <f aca="false">"FORECAST"</f>
        <v>FORECAST</v>
      </c>
      <c r="L725" s="97" t="n">
        <f aca="false">IF($B725="","",IF($C725="",$E$6+90,$C725))</f>
        <v>46339</v>
      </c>
      <c r="M725" s="1" t="n">
        <f aca="false">IF($L725="","",COUNTIFS($L$675:$L$725,"&lt;"&amp;$L725)+COUNTIFS($L$675:$L725,$L725))</f>
        <v>8</v>
      </c>
    </row>
    <row r="726" customFormat="false" ht="15" hidden="false" customHeight="true" outlineLevel="0" collapsed="false">
      <c r="B726" s="108" t="s">
        <v>204</v>
      </c>
      <c r="C726" s="58"/>
      <c r="D726" s="58"/>
      <c r="E726" s="58"/>
      <c r="F726" s="58"/>
      <c r="G726" s="57" t="n">
        <f aca="false">SUM($G$675:$G$725)</f>
        <v>892.65</v>
      </c>
      <c r="H726" s="57" t="n">
        <f aca="false">SUM($H$675:$H$725)</f>
        <v>1421.48</v>
      </c>
      <c r="I726" s="109" t="n">
        <f aca="false">$I$673+$G$726-$H$726</f>
        <v>-227.25</v>
      </c>
      <c r="J726" s="110" t="str">
        <f aca="false">IF($I$726&lt;0,"SHORTFALL",IF($I$726&lt;$E$7,"TIGHT","OK"))</f>
        <v>SHORTFALL</v>
      </c>
      <c r="K726" s="111"/>
      <c r="N726" s="111" t="str">
        <f aca="false">IF(COUNT($I$675:$I$725)=0,"","Lowest point this week: "&amp;TEXT(MIN($I$675:$I$725),"$#,##0.00;-$#,##0.00")&amp;" on "&amp;TEXT(INDEX($C$675:$C$725,MATCH(MIN($I$675:$I$725),$I$675:$I$725,0)),"ddd mmm d")&amp;"     (in "&amp;TEXT($G$726,"$#,##0.00")&amp;", out "&amp;TEXT($H$726,"$#,##0.00")&amp;")")</f>
        <v>Lowest point this week: -$366.91 on Sun Nov 8     (in $892.65, out $1,421.48)</v>
      </c>
    </row>
  </sheetData>
  <conditionalFormatting sqref="B15:J24 B70:J79 B125:J134 B180:J189 B235:J244 B290:J299 B345:J354 B400:J409 B455:J464 B510:J519 B565:J574 B620:J629 B675:J684">
    <cfRule type="expression" priority="2" aboveAverage="0" equalAverage="0" bottom="0" percent="0" rank="0" text="" dxfId="20">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1">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2">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3">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4">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3">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4">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3">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4">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3">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4">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3">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4">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3">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4">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3">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4">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3">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4">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3">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4">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3">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4">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3">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4">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3">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4">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3">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4">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3">
      <formula>$K15="ACTUAL"</formula>
    </cfRule>
    <cfRule type="expression" priority="113" aboveAverage="0" equalAverage="0" bottom="0" percent="0" rank="0" text="" dxfId="24">
      <formula>$K15="FORECAST"</formula>
    </cfRule>
  </conditionalFormatting>
  <conditionalFormatting sqref="K70:K120">
    <cfRule type="expression" priority="114" aboveAverage="0" equalAverage="0" bottom="0" percent="0" rank="0" text="" dxfId="23">
      <formula>$K70="ACTUAL"</formula>
    </cfRule>
    <cfRule type="expression" priority="115" aboveAverage="0" equalAverage="0" bottom="0" percent="0" rank="0" text="" dxfId="24">
      <formula>$K70="FORECAST"</formula>
    </cfRule>
  </conditionalFormatting>
  <conditionalFormatting sqref="K125:K175">
    <cfRule type="expression" priority="116" aboveAverage="0" equalAverage="0" bottom="0" percent="0" rank="0" text="" dxfId="23">
      <formula>$K125="ACTUAL"</formula>
    </cfRule>
    <cfRule type="expression" priority="117" aboveAverage="0" equalAverage="0" bottom="0" percent="0" rank="0" text="" dxfId="24">
      <formula>$K125="FORECAST"</formula>
    </cfRule>
  </conditionalFormatting>
  <conditionalFormatting sqref="K180:K230">
    <cfRule type="expression" priority="118" aboveAverage="0" equalAverage="0" bottom="0" percent="0" rank="0" text="" dxfId="23">
      <formula>$K180="ACTUAL"</formula>
    </cfRule>
    <cfRule type="expression" priority="119" aboveAverage="0" equalAverage="0" bottom="0" percent="0" rank="0" text="" dxfId="24">
      <formula>$K180="FORECAST"</formula>
    </cfRule>
  </conditionalFormatting>
  <conditionalFormatting sqref="K235:K285">
    <cfRule type="expression" priority="120" aboveAverage="0" equalAverage="0" bottom="0" percent="0" rank="0" text="" dxfId="23">
      <formula>$K235="ACTUAL"</formula>
    </cfRule>
    <cfRule type="expression" priority="121" aboveAverage="0" equalAverage="0" bottom="0" percent="0" rank="0" text="" dxfId="24">
      <formula>$K235="FORECAST"</formula>
    </cfRule>
  </conditionalFormatting>
  <conditionalFormatting sqref="K290:K340">
    <cfRule type="expression" priority="122" aboveAverage="0" equalAverage="0" bottom="0" percent="0" rank="0" text="" dxfId="23">
      <formula>$K290="ACTUAL"</formula>
    </cfRule>
    <cfRule type="expression" priority="123" aboveAverage="0" equalAverage="0" bottom="0" percent="0" rank="0" text="" dxfId="24">
      <formula>$K290="FORECAST"</formula>
    </cfRule>
  </conditionalFormatting>
  <conditionalFormatting sqref="K345:K395">
    <cfRule type="expression" priority="124" aboveAverage="0" equalAverage="0" bottom="0" percent="0" rank="0" text="" dxfId="23">
      <formula>$K345="ACTUAL"</formula>
    </cfRule>
    <cfRule type="expression" priority="125" aboveAverage="0" equalAverage="0" bottom="0" percent="0" rank="0" text="" dxfId="24">
      <formula>$K345="FORECAST"</formula>
    </cfRule>
  </conditionalFormatting>
  <conditionalFormatting sqref="K400:K450">
    <cfRule type="expression" priority="126" aboveAverage="0" equalAverage="0" bottom="0" percent="0" rank="0" text="" dxfId="23">
      <formula>$K400="ACTUAL"</formula>
    </cfRule>
    <cfRule type="expression" priority="127" aboveAverage="0" equalAverage="0" bottom="0" percent="0" rank="0" text="" dxfId="24">
      <formula>$K400="FORECAST"</formula>
    </cfRule>
  </conditionalFormatting>
  <conditionalFormatting sqref="K455:K505">
    <cfRule type="expression" priority="128" aboveAverage="0" equalAverage="0" bottom="0" percent="0" rank="0" text="" dxfId="23">
      <formula>$K455="ACTUAL"</formula>
    </cfRule>
    <cfRule type="expression" priority="129" aboveAverage="0" equalAverage="0" bottom="0" percent="0" rank="0" text="" dxfId="24">
      <formula>$K455="FORECAST"</formula>
    </cfRule>
  </conditionalFormatting>
  <conditionalFormatting sqref="K510:K560">
    <cfRule type="expression" priority="130" aboveAverage="0" equalAverage="0" bottom="0" percent="0" rank="0" text="" dxfId="23">
      <formula>$K510="ACTUAL"</formula>
    </cfRule>
    <cfRule type="expression" priority="131" aboveAverage="0" equalAverage="0" bottom="0" percent="0" rank="0" text="" dxfId="24">
      <formula>$K510="FORECAST"</formula>
    </cfRule>
  </conditionalFormatting>
  <conditionalFormatting sqref="K565:K615">
    <cfRule type="expression" priority="132" aboveAverage="0" equalAverage="0" bottom="0" percent="0" rank="0" text="" dxfId="23">
      <formula>$K565="ACTUAL"</formula>
    </cfRule>
    <cfRule type="expression" priority="133" aboveAverage="0" equalAverage="0" bottom="0" percent="0" rank="0" text="" dxfId="24">
      <formula>$K565="FORECAST"</formula>
    </cfRule>
  </conditionalFormatting>
  <conditionalFormatting sqref="K620:K670">
    <cfRule type="expression" priority="134" aboveAverage="0" equalAverage="0" bottom="0" percent="0" rank="0" text="" dxfId="23">
      <formula>$K620="ACTUAL"</formula>
    </cfRule>
    <cfRule type="expression" priority="135" aboveAverage="0" equalAverage="0" bottom="0" percent="0" rank="0" text="" dxfId="24">
      <formula>$K620="FORECAST"</formula>
    </cfRule>
  </conditionalFormatting>
  <conditionalFormatting sqref="K675:K725">
    <cfRule type="expression" priority="136" aboveAverage="0" equalAverage="0" bottom="0" percent="0" rank="0" text="" dxfId="23">
      <formula>$K675="ACTUAL"</formula>
    </cfRule>
    <cfRule type="expression" priority="137" aboveAverage="0" equalAverage="0" bottom="0" percent="0" rank="0" text="" dxfId="24">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46.14"/>
    <col collapsed="false" customWidth="true" hidden="false" outlineLevel="0" max="3" min="3" style="1" width="34.03"/>
    <col collapsed="false" customWidth="true" hidden="false" outlineLevel="0" max="4" min="4" style="1" width="14.93"/>
    <col collapsed="false" customWidth="true" hidden="false" outlineLevel="0" max="5" min="5" style="1" width="34.03"/>
    <col collapsed="false" customWidth="true" hidden="false" outlineLevel="0" max="6" min="6" style="1" width="39.95"/>
  </cols>
  <sheetData>
    <row r="1" customFormat="false" ht="19.5" hidden="false" customHeight="true" outlineLevel="0" collapsed="false">
      <c r="B1" s="2" t="s">
        <v>205</v>
      </c>
    </row>
    <row r="2" customFormat="false" ht="15" hidden="false" customHeight="true" outlineLevel="0" collapsed="false">
      <c r="B2" s="3" t="s">
        <v>206</v>
      </c>
    </row>
    <row r="4" customFormat="false" ht="25.5" hidden="false" customHeight="true" outlineLevel="0" collapsed="false">
      <c r="B4" s="36" t="s">
        <v>207</v>
      </c>
      <c r="C4" s="36"/>
      <c r="D4" s="36"/>
      <c r="E4" s="36"/>
    </row>
    <row r="5" customFormat="false" ht="25.5" hidden="false" customHeight="true" outlineLevel="0" collapsed="false">
      <c r="B5" s="36" t="s">
        <v>208</v>
      </c>
      <c r="C5" s="36"/>
      <c r="D5" s="36"/>
      <c r="E5" s="36"/>
    </row>
    <row r="6" customFormat="false" ht="25.5" hidden="false" customHeight="true" outlineLevel="0" collapsed="false">
      <c r="B6" s="36" t="s">
        <v>209</v>
      </c>
      <c r="C6" s="36"/>
      <c r="D6" s="36"/>
      <c r="E6" s="36"/>
    </row>
    <row r="7" customFormat="false" ht="24" hidden="false" customHeight="true" outlineLevel="0" collapsed="false">
      <c r="B7" s="36" t="s">
        <v>210</v>
      </c>
      <c r="C7" s="36"/>
      <c r="D7" s="36"/>
      <c r="E7" s="36"/>
      <c r="F7" s="36"/>
    </row>
    <row r="8" customFormat="false" ht="15" hidden="false" customHeight="true" outlineLevel="0" collapsed="false">
      <c r="B8" s="112" t="s">
        <v>149</v>
      </c>
      <c r="C8" s="112" t="s">
        <v>41</v>
      </c>
      <c r="D8" s="112" t="s">
        <v>211</v>
      </c>
      <c r="E8" s="112" t="s">
        <v>212</v>
      </c>
      <c r="F8" s="112" t="s">
        <v>213</v>
      </c>
    </row>
    <row r="9" customFormat="false" ht="15" hidden="false" customHeight="true" outlineLevel="0" collapsed="false">
      <c r="B9" s="113" t="n">
        <v>46250</v>
      </c>
      <c r="C9" s="13" t="s">
        <v>74</v>
      </c>
      <c r="D9" s="15" t="n">
        <v>45</v>
      </c>
      <c r="E9" s="13" t="s">
        <v>214</v>
      </c>
      <c r="F9" s="114" t="str">
        <f aca="false">IF($C9="","",$C9&amp;"  |  "&amp;TEXT($B9,"yyyy-mm-dd"))</f>
        <v>Maine Revenue Services  |  2026-08-16</v>
      </c>
    </row>
    <row r="10" customFormat="false" ht="15" hidden="false" customHeight="true" outlineLevel="0" collapsed="false">
      <c r="B10" s="115" t="n">
        <v>46253</v>
      </c>
      <c r="C10" s="19" t="s">
        <v>50</v>
      </c>
      <c r="D10" s="21" t="n">
        <v>148.34</v>
      </c>
      <c r="E10" s="19" t="s">
        <v>215</v>
      </c>
      <c r="F10" s="114" t="str">
        <f aca="false">IF($C10="","",$C10&amp;"  |  "&amp;TEXT($B10,"yyyy-mm-dd"))</f>
        <v>Bruno's Restaurant (paycheck)  |  2026-08-19</v>
      </c>
    </row>
    <row r="11" customFormat="false" ht="15" hidden="false" customHeight="true" outlineLevel="0" collapsed="false">
      <c r="B11" s="113" t="n">
        <v>46255</v>
      </c>
      <c r="C11" s="13" t="s">
        <v>56</v>
      </c>
      <c r="D11" s="15" t="n">
        <v>802.65</v>
      </c>
      <c r="E11" s="13" t="s">
        <v>216</v>
      </c>
      <c r="F11" s="114" t="str">
        <f aca="false">IF($C11="","",$C11&amp;"  |  "&amp;TEXT($B11,"yyyy-mm-dd"))</f>
        <v>Compunnel Software (paycheck)  |  2026-08-21</v>
      </c>
    </row>
    <row r="12" customFormat="false" ht="15" hidden="false" customHeight="true" outlineLevel="0" collapsed="false">
      <c r="B12" s="115" t="n">
        <v>46255</v>
      </c>
      <c r="C12" s="19" t="s">
        <v>73</v>
      </c>
      <c r="D12" s="21" t="n">
        <v>0</v>
      </c>
      <c r="E12" s="19" t="s">
        <v>217</v>
      </c>
      <c r="F12" s="114" t="str">
        <f aca="false">IF($C12="","",$C12&amp;"  |  "&amp;TEXT($B12,"yyyy-mm-dd"))</f>
        <v>Spectrum  |  2026-08-21</v>
      </c>
    </row>
    <row r="13" customFormat="false" ht="15" hidden="false" customHeight="true" outlineLevel="0" collapsed="false">
      <c r="B13" s="113" t="n">
        <v>46257</v>
      </c>
      <c r="C13" s="13" t="s">
        <v>85</v>
      </c>
      <c r="D13" s="15" t="n">
        <v>314.95</v>
      </c>
      <c r="E13" s="13" t="s">
        <v>218</v>
      </c>
      <c r="F13" s="114" t="str">
        <f aca="false">IF($C13="","",$C13&amp;"  |  "&amp;TEXT($B13,"yyyy-mm-dd"))</f>
        <v>Sneaker Premier (school clothes)  |  2026-08-23</v>
      </c>
    </row>
    <row r="14" customFormat="false" ht="15" hidden="false" customHeight="true" outlineLevel="0" collapsed="false">
      <c r="B14" s="115" t="n">
        <v>46256</v>
      </c>
      <c r="C14" s="19" t="s">
        <v>79</v>
      </c>
      <c r="D14" s="21" t="n">
        <v>13.7</v>
      </c>
      <c r="E14" s="19" t="s">
        <v>218</v>
      </c>
      <c r="F14" s="114" t="str">
        <f aca="false">IF($C14="","",$C14&amp;"  |  "&amp;TEXT($B14,"yyyy-mm-dd"))</f>
        <v>Microsoft  |  2026-08-22</v>
      </c>
    </row>
    <row r="15" customFormat="false" ht="15" hidden="false" customHeight="true" outlineLevel="0" collapsed="false">
      <c r="B15" s="113" t="n">
        <v>46258</v>
      </c>
      <c r="C15" s="13" t="s">
        <v>95</v>
      </c>
      <c r="D15" s="15" t="n">
        <v>100</v>
      </c>
      <c r="E15" s="13" t="s">
        <v>218</v>
      </c>
      <c r="F15" s="114" t="str">
        <f aca="false">IF($C15="","",$C15&amp;"  |  "&amp;TEXT($B15,"yyyy-mm-dd"))</f>
        <v>Earnin'  |  2026-08-24</v>
      </c>
    </row>
    <row r="16" customFormat="false" ht="15" hidden="false" customHeight="true" outlineLevel="0" collapsed="false">
      <c r="B16" s="115" t="n">
        <v>46260</v>
      </c>
      <c r="C16" s="19" t="s">
        <v>50</v>
      </c>
      <c r="D16" s="21" t="n">
        <v>149.73</v>
      </c>
      <c r="E16" s="19" t="s">
        <v>219</v>
      </c>
      <c r="F16" s="114" t="str">
        <f aca="false">IF($C16="","",$C16&amp;"  |  "&amp;TEXT($B16,"yyyy-mm-dd"))</f>
        <v>Bruno's Restaurant (paycheck)  |  2026-08-26</v>
      </c>
    </row>
    <row r="17" customFormat="false" ht="15" hidden="false" customHeight="true" outlineLevel="0" collapsed="false">
      <c r="B17" s="113" t="n">
        <v>46262</v>
      </c>
      <c r="C17" s="13" t="s">
        <v>56</v>
      </c>
      <c r="D17" s="15" t="n">
        <v>802.65</v>
      </c>
      <c r="E17" s="13" t="s">
        <v>220</v>
      </c>
      <c r="F17" s="114" t="str">
        <f aca="false">IF($C17="","",$C17&amp;"  |  "&amp;TEXT($B17,"yyyy-mm-dd"))</f>
        <v>Compunnel Software (paycheck)  |  2026-08-28</v>
      </c>
    </row>
    <row r="18" customFormat="false" ht="15" hidden="false" customHeight="true" outlineLevel="0" collapsed="false">
      <c r="B18" s="115" t="n">
        <v>46261</v>
      </c>
      <c r="C18" s="19" t="s">
        <v>91</v>
      </c>
      <c r="D18" s="21" t="n">
        <v>107.99</v>
      </c>
      <c r="E18" s="19" t="s">
        <v>221</v>
      </c>
      <c r="F18" s="114" t="str">
        <f aca="false">IF($C18="","",$C18&amp;"  |  "&amp;TEXT($B18,"yyyy-mm-dd"))</f>
        <v>Earnin' repayment  |  2026-08-27</v>
      </c>
    </row>
    <row r="19" customFormat="false" ht="15" hidden="false" customHeight="true" outlineLevel="0" collapsed="false">
      <c r="B19" s="113" t="n">
        <v>46263</v>
      </c>
      <c r="C19" s="13" t="s">
        <v>89</v>
      </c>
      <c r="D19" s="15" t="n">
        <v>100</v>
      </c>
      <c r="E19" s="13" t="s">
        <v>222</v>
      </c>
      <c r="F19" s="114" t="str">
        <f aca="false">IF($C19="","",$C19&amp;"  |  "&amp;TEXT($B19,"yyyy-mm-dd"))</f>
        <v>Earnin' advance  |  2026-08-29</v>
      </c>
    </row>
    <row r="20" customFormat="false" ht="15" hidden="false" customHeight="true" outlineLevel="0" collapsed="false">
      <c r="B20" s="115" t="n">
        <v>46257</v>
      </c>
      <c r="C20" s="19" t="s">
        <v>93</v>
      </c>
      <c r="D20" s="21" t="n">
        <v>2.39</v>
      </c>
      <c r="E20" s="19" t="s">
        <v>223</v>
      </c>
      <c r="F20" s="114" t="str">
        <f aca="false">IF($C20="","",$C20&amp;"  |  "&amp;TEXT($B20,"yyyy-mm-dd"))</f>
        <v>Microsoft (2nd subscription)  |  2026-08-23</v>
      </c>
    </row>
    <row r="21" customFormat="false" ht="15" hidden="false" customHeight="true" outlineLevel="0" collapsed="false">
      <c r="B21" s="113"/>
      <c r="C21" s="13"/>
      <c r="D21" s="15"/>
      <c r="E21" s="13"/>
      <c r="F21" s="114" t="str">
        <f aca="false">IF($C21="","",$C21&amp;"  |  "&amp;TEXT($B21,"yyyy-mm-dd"))</f>
        <v/>
      </c>
    </row>
    <row r="22" customFormat="false" ht="15" hidden="false" customHeight="true" outlineLevel="0" collapsed="false">
      <c r="B22" s="115"/>
      <c r="C22" s="19"/>
      <c r="D22" s="21"/>
      <c r="E22" s="19"/>
      <c r="F22" s="114" t="str">
        <f aca="false">IF($C22="","",$C22&amp;"  |  "&amp;TEXT($B22,"yyyy-mm-dd"))</f>
        <v/>
      </c>
    </row>
    <row r="23" customFormat="false" ht="15" hidden="false" customHeight="true" outlineLevel="0" collapsed="false">
      <c r="B23" s="113"/>
      <c r="C23" s="13"/>
      <c r="D23" s="15"/>
      <c r="E23" s="13"/>
      <c r="F23" s="114" t="str">
        <f aca="false">IF($C23="","",$C23&amp;"  |  "&amp;TEXT($B23,"yyyy-mm-dd"))</f>
        <v/>
      </c>
    </row>
    <row r="24" customFormat="false" ht="15" hidden="false" customHeight="true" outlineLevel="0" collapsed="false">
      <c r="B24" s="115"/>
      <c r="C24" s="19"/>
      <c r="D24" s="21"/>
      <c r="E24" s="19"/>
      <c r="F24" s="114" t="str">
        <f aca="false">IF($C24="","",$C24&amp;"  |  "&amp;TEXT($B24,"yyyy-mm-dd"))</f>
        <v/>
      </c>
    </row>
    <row r="25" customFormat="false" ht="15" hidden="false" customHeight="true" outlineLevel="0" collapsed="false">
      <c r="B25" s="113"/>
      <c r="C25" s="13"/>
      <c r="D25" s="15"/>
      <c r="E25" s="13"/>
      <c r="F25" s="114" t="str">
        <f aca="false">IF($C25="","",$C25&amp;"  |  "&amp;TEXT($B25,"yyyy-mm-dd"))</f>
        <v/>
      </c>
    </row>
    <row r="26" customFormat="false" ht="15" hidden="false" customHeight="true" outlineLevel="0" collapsed="false">
      <c r="B26" s="115"/>
      <c r="C26" s="19"/>
      <c r="D26" s="21"/>
      <c r="E26" s="19"/>
      <c r="F26" s="114" t="str">
        <f aca="false">IF($C26="","",$C26&amp;"  |  "&amp;TEXT($B26,"yyyy-mm-dd"))</f>
        <v/>
      </c>
    </row>
    <row r="27" customFormat="false" ht="15" hidden="false" customHeight="true" outlineLevel="0" collapsed="false">
      <c r="B27" s="113"/>
      <c r="C27" s="13"/>
      <c r="D27" s="15"/>
      <c r="E27" s="13"/>
      <c r="F27" s="114" t="str">
        <f aca="false">IF($C27="","",$C27&amp;"  |  "&amp;TEXT($B27,"yyyy-mm-dd"))</f>
        <v/>
      </c>
    </row>
    <row r="28" customFormat="false" ht="15" hidden="false" customHeight="true" outlineLevel="0" collapsed="false">
      <c r="B28" s="115"/>
      <c r="C28" s="19"/>
      <c r="D28" s="21"/>
      <c r="E28" s="19"/>
      <c r="F28" s="114" t="str">
        <f aca="false">IF($C28="","",$C28&amp;"  |  "&amp;TEXT($B28,"yyyy-mm-dd"))</f>
        <v/>
      </c>
    </row>
    <row r="29" customFormat="false" ht="15" hidden="false" customHeight="true" outlineLevel="0" collapsed="false">
      <c r="B29" s="113"/>
      <c r="C29" s="13"/>
      <c r="D29" s="15"/>
      <c r="E29" s="13"/>
      <c r="F29" s="114" t="str">
        <f aca="false">IF($C29="","",$C29&amp;"  |  "&amp;TEXT($B29,"yyyy-mm-dd"))</f>
        <v/>
      </c>
    </row>
    <row r="30" customFormat="false" ht="15" hidden="false" customHeight="true" outlineLevel="0" collapsed="false">
      <c r="B30" s="115"/>
      <c r="C30" s="19"/>
      <c r="D30" s="21"/>
      <c r="E30" s="19"/>
      <c r="F30" s="114" t="str">
        <f aca="false">IF($C30="","",$C30&amp;"  |  "&amp;TEXT($B30,"yyyy-mm-dd"))</f>
        <v/>
      </c>
    </row>
    <row r="31" customFormat="false" ht="15" hidden="false" customHeight="true" outlineLevel="0" collapsed="false">
      <c r="B31" s="113"/>
      <c r="C31" s="13"/>
      <c r="D31" s="15"/>
      <c r="E31" s="13"/>
      <c r="F31" s="114" t="str">
        <f aca="false">IF($C31="","",$C31&amp;"  |  "&amp;TEXT($B31,"yyyy-mm-dd"))</f>
        <v/>
      </c>
    </row>
    <row r="32" customFormat="false" ht="15" hidden="false" customHeight="true" outlineLevel="0" collapsed="false">
      <c r="B32" s="115"/>
      <c r="C32" s="19"/>
      <c r="D32" s="21"/>
      <c r="E32" s="19"/>
      <c r="F32" s="114" t="str">
        <f aca="false">IF($C32="","",$C32&amp;"  |  "&amp;TEXT($B32,"yyyy-mm-dd"))</f>
        <v/>
      </c>
    </row>
    <row r="33" customFormat="false" ht="15" hidden="false" customHeight="true" outlineLevel="0" collapsed="false">
      <c r="B33" s="113"/>
      <c r="C33" s="13"/>
      <c r="D33" s="15"/>
      <c r="E33" s="13"/>
      <c r="F33" s="114" t="str">
        <f aca="false">IF($C33="","",$C33&amp;"  |  "&amp;TEXT($B33,"yyyy-mm-dd"))</f>
        <v/>
      </c>
    </row>
    <row r="34" customFormat="false" ht="15" hidden="false" customHeight="true" outlineLevel="0" collapsed="false">
      <c r="B34" s="115"/>
      <c r="C34" s="19"/>
      <c r="D34" s="21"/>
      <c r="E34" s="19"/>
      <c r="F34" s="114" t="str">
        <f aca="false">IF($C34="","",$C34&amp;"  |  "&amp;TEXT($B34,"yyyy-mm-dd"))</f>
        <v/>
      </c>
    </row>
    <row r="35" customFormat="false" ht="15" hidden="false" customHeight="true" outlineLevel="0" collapsed="false">
      <c r="B35" s="113"/>
      <c r="C35" s="13"/>
      <c r="D35" s="15"/>
      <c r="E35" s="13"/>
      <c r="F35" s="114" t="str">
        <f aca="false">IF($C35="","",$C35&amp;"  |  "&amp;TEXT($B35,"yyyy-mm-dd"))</f>
        <v/>
      </c>
    </row>
    <row r="36" customFormat="false" ht="15" hidden="false" customHeight="true" outlineLevel="0" collapsed="false">
      <c r="B36" s="115"/>
      <c r="C36" s="19"/>
      <c r="D36" s="21"/>
      <c r="E36" s="19"/>
      <c r="F36" s="114" t="str">
        <f aca="false">IF($C36="","",$C36&amp;"  |  "&amp;TEXT($B36,"yyyy-mm-dd"))</f>
        <v/>
      </c>
    </row>
    <row r="37" customFormat="false" ht="15" hidden="false" customHeight="true" outlineLevel="0" collapsed="false">
      <c r="B37" s="113"/>
      <c r="C37" s="13"/>
      <c r="D37" s="15"/>
      <c r="E37" s="13"/>
      <c r="F37" s="114" t="str">
        <f aca="false">IF($C37="","",$C37&amp;"  |  "&amp;TEXT($B37,"yyyy-mm-dd"))</f>
        <v/>
      </c>
    </row>
    <row r="38" customFormat="false" ht="15" hidden="false" customHeight="true" outlineLevel="0" collapsed="false">
      <c r="B38" s="115"/>
      <c r="C38" s="19"/>
      <c r="D38" s="21"/>
      <c r="E38" s="19"/>
      <c r="F38" s="114" t="str">
        <f aca="false">IF($C38="","",$C38&amp;"  |  "&amp;TEXT($B38,"yyyy-mm-dd"))</f>
        <v/>
      </c>
    </row>
    <row r="39" customFormat="false" ht="15" hidden="false" customHeight="true" outlineLevel="0" collapsed="false">
      <c r="B39" s="113"/>
      <c r="C39" s="13"/>
      <c r="D39" s="15"/>
      <c r="E39" s="13"/>
      <c r="F39" s="114" t="str">
        <f aca="false">IF($C39="","",$C39&amp;"  |  "&amp;TEXT($B39,"yyyy-mm-dd"))</f>
        <v/>
      </c>
    </row>
    <row r="40" customFormat="false" ht="15" hidden="false" customHeight="true" outlineLevel="0" collapsed="false">
      <c r="B40" s="115"/>
      <c r="C40" s="19"/>
      <c r="D40" s="21"/>
      <c r="E40" s="19"/>
      <c r="F40" s="114" t="str">
        <f aca="false">IF($C40="","",$C40&amp;"  |  "&amp;TEXT($B40,"yyyy-mm-dd"))</f>
        <v/>
      </c>
    </row>
    <row r="41" customFormat="false" ht="15" hidden="false" customHeight="true" outlineLevel="0" collapsed="false">
      <c r="B41" s="113"/>
      <c r="C41" s="13"/>
      <c r="D41" s="15"/>
      <c r="E41" s="13"/>
      <c r="F41" s="114" t="str">
        <f aca="false">IF($C41="","",$C41&amp;"  |  "&amp;TEXT($B41,"yyyy-mm-dd"))</f>
        <v/>
      </c>
    </row>
    <row r="42" customFormat="false" ht="15" hidden="false" customHeight="true" outlineLevel="0" collapsed="false">
      <c r="B42" s="115"/>
      <c r="C42" s="19"/>
      <c r="D42" s="21"/>
      <c r="E42" s="19"/>
      <c r="F42" s="114" t="str">
        <f aca="false">IF($C42="","",$C42&amp;"  |  "&amp;TEXT($B42,"yyyy-mm-dd"))</f>
        <v/>
      </c>
    </row>
    <row r="43" customFormat="false" ht="15" hidden="false" customHeight="true" outlineLevel="0" collapsed="false">
      <c r="B43" s="113"/>
      <c r="C43" s="13"/>
      <c r="D43" s="15"/>
      <c r="E43" s="13"/>
      <c r="F43" s="114" t="str">
        <f aca="false">IF($C43="","",$C43&amp;"  |  "&amp;TEXT($B43,"yyyy-mm-dd"))</f>
        <v/>
      </c>
    </row>
    <row r="44" customFormat="false" ht="15" hidden="false" customHeight="true" outlineLevel="0" collapsed="false">
      <c r="B44" s="115"/>
      <c r="C44" s="19"/>
      <c r="D44" s="21"/>
      <c r="E44" s="19"/>
      <c r="F44" s="114" t="str">
        <f aca="false">IF($C44="","",$C44&amp;"  |  "&amp;TEXT($B44,"yyyy-mm-dd"))</f>
        <v/>
      </c>
    </row>
    <row r="45" customFormat="false" ht="15" hidden="false" customHeight="true" outlineLevel="0" collapsed="false">
      <c r="B45" s="113"/>
      <c r="C45" s="13"/>
      <c r="D45" s="15"/>
      <c r="E45" s="13"/>
      <c r="F45" s="114" t="str">
        <f aca="false">IF($C45="","",$C45&amp;"  |  "&amp;TEXT($B45,"yyyy-mm-dd"))</f>
        <v/>
      </c>
    </row>
    <row r="46" customFormat="false" ht="15" hidden="false" customHeight="true" outlineLevel="0" collapsed="false">
      <c r="B46" s="115"/>
      <c r="C46" s="19"/>
      <c r="D46" s="21"/>
      <c r="E46" s="19"/>
      <c r="F46" s="114" t="str">
        <f aca="false">IF($C46="","",$C46&amp;"  |  "&amp;TEXT($B46,"yyyy-mm-dd"))</f>
        <v/>
      </c>
    </row>
    <row r="47" customFormat="false" ht="15" hidden="false" customHeight="true" outlineLevel="0" collapsed="false">
      <c r="B47" s="113"/>
      <c r="C47" s="13"/>
      <c r="D47" s="15"/>
      <c r="E47" s="13"/>
      <c r="F47" s="114" t="str">
        <f aca="false">IF($C47="","",$C47&amp;"  |  "&amp;TEXT($B47,"yyyy-mm-dd"))</f>
        <v/>
      </c>
    </row>
    <row r="48" customFormat="false" ht="15" hidden="false" customHeight="true" outlineLevel="0" collapsed="false">
      <c r="B48" s="115"/>
      <c r="C48" s="19"/>
      <c r="D48" s="21"/>
      <c r="E48" s="19"/>
      <c r="F48" s="114" t="str">
        <f aca="false">IF($C48="","",$C48&amp;"  |  "&amp;TEXT($B48,"yyyy-mm-dd"))</f>
        <v/>
      </c>
    </row>
    <row r="49" customFormat="false" ht="15" hidden="false" customHeight="true" outlineLevel="0" collapsed="false">
      <c r="B49" s="113"/>
      <c r="C49" s="13"/>
      <c r="D49" s="15"/>
      <c r="E49" s="13"/>
      <c r="F49" s="114" t="str">
        <f aca="false">IF($C49="","",$C49&amp;"  |  "&amp;TEXT($B49,"yyyy-mm-dd"))</f>
        <v/>
      </c>
    </row>
    <row r="50" customFormat="false" ht="15" hidden="false" customHeight="true" outlineLevel="0" collapsed="false">
      <c r="B50" s="115"/>
      <c r="C50" s="19"/>
      <c r="D50" s="21"/>
      <c r="E50" s="19"/>
      <c r="F50" s="114" t="str">
        <f aca="false">IF($C50="","",$C50&amp;"  |  "&amp;TEXT($B50,"yyyy-mm-dd"))</f>
        <v/>
      </c>
    </row>
    <row r="51" customFormat="false" ht="15" hidden="false" customHeight="true" outlineLevel="0" collapsed="false">
      <c r="B51" s="113"/>
      <c r="C51" s="13"/>
      <c r="D51" s="15"/>
      <c r="E51" s="13"/>
      <c r="F51" s="114" t="str">
        <f aca="false">IF($C51="","",$C51&amp;"  |  "&amp;TEXT($B51,"yyyy-mm-dd"))</f>
        <v/>
      </c>
    </row>
    <row r="52" customFormat="false" ht="15" hidden="false" customHeight="true" outlineLevel="0" collapsed="false">
      <c r="B52" s="115"/>
      <c r="C52" s="19"/>
      <c r="D52" s="21"/>
      <c r="E52" s="19"/>
      <c r="F52" s="114" t="str">
        <f aca="false">IF($C52="","",$C52&amp;"  |  "&amp;TEXT($B52,"yyyy-mm-dd"))</f>
        <v/>
      </c>
    </row>
    <row r="53" customFormat="false" ht="15" hidden="false" customHeight="true" outlineLevel="0" collapsed="false">
      <c r="B53" s="113"/>
      <c r="C53" s="13"/>
      <c r="D53" s="15"/>
      <c r="E53" s="13"/>
      <c r="F53" s="114" t="str">
        <f aca="false">IF($C53="","",$C53&amp;"  |  "&amp;TEXT($B53,"yyyy-mm-dd"))</f>
        <v/>
      </c>
    </row>
    <row r="54" customFormat="false" ht="15" hidden="false" customHeight="true" outlineLevel="0" collapsed="false">
      <c r="B54" s="115"/>
      <c r="C54" s="19"/>
      <c r="D54" s="21"/>
      <c r="E54" s="19"/>
      <c r="F54" s="114" t="str">
        <f aca="false">IF($C54="","",$C54&amp;"  |  "&amp;TEXT($B54,"yyyy-mm-dd"))</f>
        <v/>
      </c>
    </row>
    <row r="55" customFormat="false" ht="15" hidden="false" customHeight="true" outlineLevel="0" collapsed="false">
      <c r="B55" s="113"/>
      <c r="C55" s="13"/>
      <c r="D55" s="15"/>
      <c r="E55" s="13"/>
      <c r="F55" s="114" t="str">
        <f aca="false">IF($C55="","",$C55&amp;"  |  "&amp;TEXT($B55,"yyyy-mm-dd"))</f>
        <v/>
      </c>
    </row>
    <row r="56" customFormat="false" ht="15" hidden="false" customHeight="true" outlineLevel="0" collapsed="false">
      <c r="B56" s="115"/>
      <c r="C56" s="19"/>
      <c r="D56" s="21"/>
      <c r="E56" s="19"/>
      <c r="F56" s="114" t="str">
        <f aca="false">IF($C56="","",$C56&amp;"  |  "&amp;TEXT($B56,"yyyy-mm-dd"))</f>
        <v/>
      </c>
    </row>
    <row r="57" customFormat="false" ht="15" hidden="false" customHeight="true" outlineLevel="0" collapsed="false">
      <c r="B57" s="113"/>
      <c r="C57" s="13"/>
      <c r="D57" s="15"/>
      <c r="E57" s="13"/>
      <c r="F57" s="114" t="str">
        <f aca="false">IF($C57="","",$C57&amp;"  |  "&amp;TEXT($B57,"yyyy-mm-dd"))</f>
        <v/>
      </c>
    </row>
    <row r="58" customFormat="false" ht="15" hidden="false" customHeight="true" outlineLevel="0" collapsed="false">
      <c r="B58" s="115"/>
      <c r="C58" s="19"/>
      <c r="D58" s="21"/>
      <c r="E58" s="19"/>
      <c r="F58" s="114" t="str">
        <f aca="false">IF($C58="","",$C58&amp;"  |  "&amp;TEXT($B58,"yyyy-mm-dd"))</f>
        <v/>
      </c>
    </row>
    <row r="59" customFormat="false" ht="15" hidden="false" customHeight="true" outlineLevel="0" collapsed="false">
      <c r="B59" s="113"/>
      <c r="C59" s="13"/>
      <c r="D59" s="15"/>
      <c r="E59" s="13"/>
      <c r="F59" s="114" t="str">
        <f aca="false">IF($C59="","",$C59&amp;"  |  "&amp;TEXT($B59,"yyyy-mm-dd"))</f>
        <v/>
      </c>
    </row>
    <row r="60" customFormat="false" ht="15" hidden="false" customHeight="true" outlineLevel="0" collapsed="false">
      <c r="B60" s="115"/>
      <c r="C60" s="19"/>
      <c r="D60" s="21"/>
      <c r="E60" s="19"/>
      <c r="F60" s="114" t="str">
        <f aca="false">IF($C60="","",$C60&amp;"  |  "&amp;TEXT($B60,"yyyy-mm-dd"))</f>
        <v/>
      </c>
    </row>
    <row r="61" customFormat="false" ht="15" hidden="false" customHeight="true" outlineLevel="0" collapsed="false">
      <c r="B61" s="113"/>
      <c r="C61" s="13"/>
      <c r="D61" s="15"/>
      <c r="E61" s="13"/>
      <c r="F61" s="114" t="str">
        <f aca="false">IF($C61="","",$C61&amp;"  |  "&amp;TEXT($B61,"yyyy-mm-dd"))</f>
        <v/>
      </c>
    </row>
    <row r="62" customFormat="false" ht="15" hidden="false" customHeight="true" outlineLevel="0" collapsed="false">
      <c r="B62" s="115"/>
      <c r="C62" s="19"/>
      <c r="D62" s="21"/>
      <c r="E62" s="19"/>
      <c r="F62" s="114" t="str">
        <f aca="false">IF($C62="","",$C62&amp;"  |  "&amp;TEXT($B62,"yyyy-mm-dd"))</f>
        <v/>
      </c>
    </row>
    <row r="63" customFormat="false" ht="15" hidden="false" customHeight="true" outlineLevel="0" collapsed="false">
      <c r="B63" s="113"/>
      <c r="C63" s="13"/>
      <c r="D63" s="15"/>
      <c r="E63" s="13"/>
      <c r="F63" s="114" t="str">
        <f aca="false">IF($C63="","",$C63&amp;"  |  "&amp;TEXT($B63,"yyyy-mm-dd"))</f>
        <v/>
      </c>
    </row>
    <row r="64" customFormat="false" ht="15" hidden="false" customHeight="true" outlineLevel="0" collapsed="false">
      <c r="B64" s="115"/>
      <c r="C64" s="19"/>
      <c r="D64" s="21"/>
      <c r="E64" s="19"/>
      <c r="F64" s="114" t="str">
        <f aca="false">IF($C64="","",$C64&amp;"  |  "&amp;TEXT($B64,"yyyy-mm-dd"))</f>
        <v/>
      </c>
    </row>
    <row r="65" customFormat="false" ht="15" hidden="false" customHeight="true" outlineLevel="0" collapsed="false">
      <c r="B65" s="113"/>
      <c r="C65" s="13"/>
      <c r="D65" s="15"/>
      <c r="E65" s="13"/>
      <c r="F65" s="114" t="str">
        <f aca="false">IF($C65="","",$C65&amp;"  |  "&amp;TEXT($B65,"yyyy-mm-dd"))</f>
        <v/>
      </c>
    </row>
    <row r="66" customFormat="false" ht="15" hidden="false" customHeight="true" outlineLevel="0" collapsed="false">
      <c r="B66" s="115"/>
      <c r="C66" s="19"/>
      <c r="D66" s="21"/>
      <c r="E66" s="19"/>
      <c r="F66" s="114" t="str">
        <f aca="false">IF($C66="","",$C66&amp;"  |  "&amp;TEXT($B66,"yyyy-mm-dd"))</f>
        <v/>
      </c>
    </row>
    <row r="67" customFormat="false" ht="15" hidden="false" customHeight="true" outlineLevel="0" collapsed="false">
      <c r="B67" s="113"/>
      <c r="C67" s="13"/>
      <c r="D67" s="15"/>
      <c r="E67" s="13"/>
      <c r="F67" s="114" t="str">
        <f aca="false">IF($C67="","",$C67&amp;"  |  "&amp;TEXT($B67,"yyyy-mm-dd"))</f>
        <v/>
      </c>
    </row>
    <row r="68" customFormat="false" ht="15" hidden="false" customHeight="true" outlineLevel="0" collapsed="false">
      <c r="B68" s="115"/>
      <c r="C68" s="19"/>
      <c r="D68" s="21"/>
      <c r="E68" s="19"/>
      <c r="F68" s="114" t="str">
        <f aca="false">IF($C68="","",$C68&amp;"  |  "&amp;TEXT($B68,"yyyy-mm-dd"))</f>
        <v/>
      </c>
    </row>
    <row r="69" customFormat="false" ht="15" hidden="false" customHeight="true" outlineLevel="0" collapsed="false">
      <c r="B69" s="113"/>
      <c r="C69" s="13"/>
      <c r="D69" s="15"/>
      <c r="E69" s="13"/>
      <c r="F69" s="114" t="str">
        <f aca="false">IF($C69="","",$C69&amp;"  |  "&amp;TEXT($B69,"yyyy-mm-dd"))</f>
        <v/>
      </c>
    </row>
    <row r="70" customFormat="false" ht="15" hidden="false" customHeight="true" outlineLevel="0" collapsed="false">
      <c r="B70" s="115"/>
      <c r="C70" s="19"/>
      <c r="D70" s="21"/>
      <c r="E70" s="19"/>
      <c r="F70" s="114" t="str">
        <f aca="false">IF($C70="","",$C70&amp;"  |  "&amp;TEXT($B70,"yyyy-mm-dd"))</f>
        <v/>
      </c>
    </row>
    <row r="71" customFormat="false" ht="15" hidden="false" customHeight="true" outlineLevel="0" collapsed="false">
      <c r="B71" s="113"/>
      <c r="C71" s="13"/>
      <c r="D71" s="15"/>
      <c r="E71" s="13"/>
      <c r="F71" s="114" t="str">
        <f aca="false">IF($C71="","",$C71&amp;"  |  "&amp;TEXT($B71,"yyyy-mm-dd"))</f>
        <v/>
      </c>
    </row>
    <row r="72" customFormat="false" ht="15" hidden="false" customHeight="true" outlineLevel="0" collapsed="false">
      <c r="B72" s="115"/>
      <c r="C72" s="19"/>
      <c r="D72" s="21"/>
      <c r="E72" s="19"/>
      <c r="F72" s="114" t="str">
        <f aca="false">IF($C72="","",$C72&amp;"  |  "&amp;TEXT($B72,"yyyy-mm-dd"))</f>
        <v/>
      </c>
    </row>
    <row r="73" customFormat="false" ht="15" hidden="false" customHeight="true" outlineLevel="0" collapsed="false">
      <c r="B73" s="113"/>
      <c r="C73" s="13"/>
      <c r="D73" s="15"/>
      <c r="E73" s="13"/>
      <c r="F73" s="114" t="str">
        <f aca="false">IF($C73="","",$C73&amp;"  |  "&amp;TEXT($B73,"yyyy-mm-dd"))</f>
        <v/>
      </c>
    </row>
    <row r="74" customFormat="false" ht="15" hidden="false" customHeight="true" outlineLevel="0" collapsed="false">
      <c r="B74" s="115"/>
      <c r="C74" s="19"/>
      <c r="D74" s="21"/>
      <c r="E74" s="19"/>
      <c r="F74" s="114" t="str">
        <f aca="false">IF($C74="","",$C74&amp;"  |  "&amp;TEXT($B74,"yyyy-mm-dd"))</f>
        <v/>
      </c>
    </row>
    <row r="75" customFormat="false" ht="15" hidden="false" customHeight="true" outlineLevel="0" collapsed="false">
      <c r="B75" s="113"/>
      <c r="C75" s="13"/>
      <c r="D75" s="15"/>
      <c r="E75" s="13"/>
      <c r="F75" s="114" t="str">
        <f aca="false">IF($C75="","",$C75&amp;"  |  "&amp;TEXT($B75,"yyyy-mm-dd"))</f>
        <v/>
      </c>
    </row>
    <row r="76" customFormat="false" ht="15" hidden="false" customHeight="true" outlineLevel="0" collapsed="false">
      <c r="B76" s="115"/>
      <c r="C76" s="19"/>
      <c r="D76" s="21"/>
      <c r="E76" s="19"/>
      <c r="F76" s="114" t="str">
        <f aca="false">IF($C76="","",$C76&amp;"  |  "&amp;TEXT($B76,"yyyy-mm-dd"))</f>
        <v/>
      </c>
    </row>
    <row r="77" customFormat="false" ht="15" hidden="false" customHeight="true" outlineLevel="0" collapsed="false">
      <c r="B77" s="113"/>
      <c r="C77" s="13"/>
      <c r="D77" s="15"/>
      <c r="E77" s="13"/>
      <c r="F77" s="114" t="str">
        <f aca="false">IF($C77="","",$C77&amp;"  |  "&amp;TEXT($B77,"yyyy-mm-dd"))</f>
        <v/>
      </c>
    </row>
    <row r="78" customFormat="false" ht="15" hidden="false" customHeight="true" outlineLevel="0" collapsed="false">
      <c r="B78" s="115"/>
      <c r="C78" s="19"/>
      <c r="D78" s="21"/>
      <c r="E78" s="19"/>
      <c r="F78" s="114" t="str">
        <f aca="false">IF($C78="","",$C78&amp;"  |  "&amp;TEXT($B78,"yyyy-mm-dd"))</f>
        <v/>
      </c>
    </row>
    <row r="79" customFormat="false" ht="15" hidden="false" customHeight="true" outlineLevel="0" collapsed="false">
      <c r="B79" s="113"/>
      <c r="C79" s="13"/>
      <c r="D79" s="15"/>
      <c r="E79" s="13"/>
      <c r="F79" s="114" t="str">
        <f aca="false">IF($C79="","",$C79&amp;"  |  "&amp;TEXT($B79,"yyyy-mm-dd"))</f>
        <v/>
      </c>
    </row>
    <row r="80" customFormat="false" ht="15" hidden="false" customHeight="true" outlineLevel="0" collapsed="false">
      <c r="B80" s="115"/>
      <c r="C80" s="19"/>
      <c r="D80" s="21"/>
      <c r="E80" s="19"/>
      <c r="F80" s="114" t="str">
        <f aca="false">IF($C80="","",$C80&amp;"  |  "&amp;TEXT($B80,"yyyy-mm-dd"))</f>
        <v/>
      </c>
    </row>
    <row r="81" customFormat="false" ht="15" hidden="false" customHeight="true" outlineLevel="0" collapsed="false">
      <c r="B81" s="113"/>
      <c r="C81" s="13"/>
      <c r="D81" s="15"/>
      <c r="E81" s="13"/>
      <c r="F81" s="114" t="str">
        <f aca="false">IF($C81="","",$C81&amp;"  |  "&amp;TEXT($B81,"yyyy-mm-dd"))</f>
        <v/>
      </c>
    </row>
    <row r="82" customFormat="false" ht="15" hidden="false" customHeight="true" outlineLevel="0" collapsed="false">
      <c r="B82" s="115"/>
      <c r="C82" s="19"/>
      <c r="D82" s="21"/>
      <c r="E82" s="19"/>
      <c r="F82" s="114" t="str">
        <f aca="false">IF($C82="","",$C82&amp;"  |  "&amp;TEXT($B82,"yyyy-mm-dd"))</f>
        <v/>
      </c>
    </row>
    <row r="83" customFormat="false" ht="15" hidden="false" customHeight="true" outlineLevel="0" collapsed="false">
      <c r="B83" s="113"/>
      <c r="C83" s="13"/>
      <c r="D83" s="15"/>
      <c r="E83" s="13"/>
      <c r="F83" s="114" t="str">
        <f aca="false">IF($C83="","",$C83&amp;"  |  "&amp;TEXT($B83,"yyyy-mm-dd"))</f>
        <v/>
      </c>
    </row>
    <row r="84" customFormat="false" ht="15" hidden="false" customHeight="true" outlineLevel="0" collapsed="false">
      <c r="B84" s="115"/>
      <c r="C84" s="19"/>
      <c r="D84" s="21"/>
      <c r="E84" s="19"/>
      <c r="F84" s="114" t="str">
        <f aca="false">IF($C84="","",$C84&amp;"  |  "&amp;TEXT($B84,"yyyy-mm-dd"))</f>
        <v/>
      </c>
    </row>
    <row r="85" customFormat="false" ht="15" hidden="false" customHeight="true" outlineLevel="0" collapsed="false">
      <c r="B85" s="113"/>
      <c r="C85" s="13"/>
      <c r="D85" s="15"/>
      <c r="E85" s="13"/>
      <c r="F85" s="114" t="str">
        <f aca="false">IF($C85="","",$C85&amp;"  |  "&amp;TEXT($B85,"yyyy-mm-dd"))</f>
        <v/>
      </c>
    </row>
    <row r="86" customFormat="false" ht="15" hidden="false" customHeight="true" outlineLevel="0" collapsed="false">
      <c r="B86" s="115"/>
      <c r="C86" s="19"/>
      <c r="D86" s="21"/>
      <c r="E86" s="19"/>
      <c r="F86" s="114" t="str">
        <f aca="false">IF($C86="","",$C86&amp;"  |  "&amp;TEXT($B86,"yyyy-mm-dd"))</f>
        <v/>
      </c>
    </row>
    <row r="87" customFormat="false" ht="15" hidden="false" customHeight="true" outlineLevel="0" collapsed="false">
      <c r="B87" s="113"/>
      <c r="C87" s="13"/>
      <c r="D87" s="15"/>
      <c r="E87" s="13"/>
      <c r="F87" s="114" t="str">
        <f aca="false">IF($C87="","",$C87&amp;"  |  "&amp;TEXT($B87,"yyyy-mm-dd"))</f>
        <v/>
      </c>
    </row>
    <row r="88" customFormat="false" ht="15" hidden="false" customHeight="true" outlineLevel="0" collapsed="false">
      <c r="B88" s="115"/>
      <c r="C88" s="19"/>
      <c r="D88" s="21"/>
      <c r="E88" s="19"/>
      <c r="F88" s="114" t="str">
        <f aca="false">IF($C88="","",$C88&amp;"  |  "&amp;TEXT($B88,"yyyy-mm-dd"))</f>
        <v/>
      </c>
    </row>
    <row r="89" customFormat="false" ht="15" hidden="false" customHeight="true" outlineLevel="0" collapsed="false">
      <c r="B89" s="113"/>
      <c r="C89" s="13"/>
      <c r="D89" s="15"/>
      <c r="E89" s="13"/>
      <c r="F89" s="114" t="str">
        <f aca="false">IF($C89="","",$C89&amp;"  |  "&amp;TEXT($B89,"yyyy-mm-dd"))</f>
        <v/>
      </c>
    </row>
    <row r="90" customFormat="false" ht="15" hidden="false" customHeight="true" outlineLevel="0" collapsed="false">
      <c r="B90" s="115"/>
      <c r="C90" s="19"/>
      <c r="D90" s="21"/>
      <c r="E90" s="19"/>
      <c r="F90" s="114" t="str">
        <f aca="false">IF($C90="","",$C90&amp;"  |  "&amp;TEXT($B90,"yyyy-mm-dd"))</f>
        <v/>
      </c>
    </row>
    <row r="91" customFormat="false" ht="15" hidden="false" customHeight="true" outlineLevel="0" collapsed="false">
      <c r="B91" s="113"/>
      <c r="C91" s="13"/>
      <c r="D91" s="15"/>
      <c r="E91" s="13"/>
      <c r="F91" s="114" t="str">
        <f aca="false">IF($C91="","",$C91&amp;"  |  "&amp;TEXT($B91,"yyyy-mm-dd"))</f>
        <v/>
      </c>
    </row>
    <row r="92" customFormat="false" ht="15" hidden="false" customHeight="true" outlineLevel="0" collapsed="false">
      <c r="B92" s="115"/>
      <c r="C92" s="19"/>
      <c r="D92" s="21"/>
      <c r="E92" s="19"/>
      <c r="F92" s="114" t="str">
        <f aca="false">IF($C92="","",$C92&amp;"  |  "&amp;TEXT($B92,"yyyy-mm-dd"))</f>
        <v/>
      </c>
    </row>
    <row r="93" customFormat="false" ht="15" hidden="false" customHeight="true" outlineLevel="0" collapsed="false">
      <c r="B93" s="113"/>
      <c r="C93" s="13"/>
      <c r="D93" s="15"/>
      <c r="E93" s="13"/>
      <c r="F93" s="114" t="str">
        <f aca="false">IF($C93="","",$C93&amp;"  |  "&amp;TEXT($B93,"yyyy-mm-dd"))</f>
        <v/>
      </c>
    </row>
    <row r="94" customFormat="false" ht="15" hidden="false" customHeight="true" outlineLevel="0" collapsed="false">
      <c r="B94" s="115"/>
      <c r="C94" s="19"/>
      <c r="D94" s="21"/>
      <c r="E94" s="19"/>
      <c r="F94" s="114" t="str">
        <f aca="false">IF($C94="","",$C94&amp;"  |  "&amp;TEXT($B94,"yyyy-mm-dd"))</f>
        <v/>
      </c>
    </row>
    <row r="95" customFormat="false" ht="15" hidden="false" customHeight="true" outlineLevel="0" collapsed="false">
      <c r="B95" s="113"/>
      <c r="C95" s="13"/>
      <c r="D95" s="15"/>
      <c r="E95" s="13"/>
      <c r="F95" s="114" t="str">
        <f aca="false">IF($C95="","",$C95&amp;"  |  "&amp;TEXT($B95,"yyyy-mm-dd"))</f>
        <v/>
      </c>
    </row>
    <row r="96" customFormat="false" ht="15" hidden="false" customHeight="true" outlineLevel="0" collapsed="false">
      <c r="B96" s="115"/>
      <c r="C96" s="19"/>
      <c r="D96" s="21"/>
      <c r="E96" s="19"/>
      <c r="F96" s="114" t="str">
        <f aca="false">IF($C96="","",$C96&amp;"  |  "&amp;TEXT($B96,"yyyy-mm-dd"))</f>
        <v/>
      </c>
    </row>
    <row r="97" customFormat="false" ht="15" hidden="false" customHeight="true" outlineLevel="0" collapsed="false">
      <c r="B97" s="113"/>
      <c r="C97" s="13"/>
      <c r="D97" s="15"/>
      <c r="E97" s="13"/>
      <c r="F97" s="114" t="str">
        <f aca="false">IF($C97="","",$C97&amp;"  |  "&amp;TEXT($B97,"yyyy-mm-dd"))</f>
        <v/>
      </c>
    </row>
    <row r="98" customFormat="false" ht="15" hidden="false" customHeight="true" outlineLevel="0" collapsed="false">
      <c r="B98" s="115"/>
      <c r="C98" s="19"/>
      <c r="D98" s="21"/>
      <c r="E98" s="19"/>
      <c r="F98" s="114" t="str">
        <f aca="false">IF($C98="","",$C98&amp;"  |  "&amp;TEXT($B98,"yyyy-mm-dd"))</f>
        <v/>
      </c>
    </row>
    <row r="99" customFormat="false" ht="15" hidden="false" customHeight="true" outlineLevel="0" collapsed="false">
      <c r="B99" s="113"/>
      <c r="C99" s="13"/>
      <c r="D99" s="15"/>
      <c r="E99" s="13"/>
      <c r="F99" s="114" t="str">
        <f aca="false">IF($C99="","",$C99&amp;"  |  "&amp;TEXT($B99,"yyyy-mm-dd"))</f>
        <v/>
      </c>
    </row>
    <row r="100" customFormat="false" ht="15" hidden="false" customHeight="true" outlineLevel="0" collapsed="false">
      <c r="B100" s="115"/>
      <c r="C100" s="19"/>
      <c r="D100" s="21"/>
      <c r="E100" s="19"/>
      <c r="F100" s="114" t="str">
        <f aca="false">IF($C100="","",$C100&amp;"  |  "&amp;TEXT($B100,"yyyy-mm-dd"))</f>
        <v/>
      </c>
    </row>
    <row r="101" customFormat="false" ht="15" hidden="false" customHeight="true" outlineLevel="0" collapsed="false">
      <c r="B101" s="113"/>
      <c r="C101" s="13"/>
      <c r="D101" s="15"/>
      <c r="E101" s="13"/>
      <c r="F101" s="114" t="str">
        <f aca="false">IF($C101="","",$C101&amp;"  |  "&amp;TEXT($B101,"yyyy-mm-dd"))</f>
        <v/>
      </c>
    </row>
    <row r="102" customFormat="false" ht="15" hidden="false" customHeight="true" outlineLevel="0" collapsed="false">
      <c r="B102" s="115"/>
      <c r="C102" s="19"/>
      <c r="D102" s="21"/>
      <c r="E102" s="19"/>
      <c r="F102" s="114" t="str">
        <f aca="false">IF($C102="","",$C102&amp;"  |  "&amp;TEXT($B102,"yyyy-mm-dd"))</f>
        <v/>
      </c>
    </row>
    <row r="103" customFormat="false" ht="15" hidden="false" customHeight="true" outlineLevel="0" collapsed="false">
      <c r="B103" s="113"/>
      <c r="C103" s="13"/>
      <c r="D103" s="15"/>
      <c r="E103" s="13"/>
      <c r="F103" s="114" t="str">
        <f aca="false">IF($C103="","",$C103&amp;"  |  "&amp;TEXT($B103,"yyyy-mm-dd"))</f>
        <v/>
      </c>
    </row>
    <row r="104" customFormat="false" ht="15" hidden="false" customHeight="true" outlineLevel="0" collapsed="false">
      <c r="B104" s="115"/>
      <c r="C104" s="19"/>
      <c r="D104" s="21"/>
      <c r="E104" s="19"/>
      <c r="F104" s="114" t="str">
        <f aca="false">IF($C104="","",$C104&amp;"  |  "&amp;TEXT($B104,"yyyy-mm-dd"))</f>
        <v/>
      </c>
    </row>
    <row r="105" customFormat="false" ht="15" hidden="false" customHeight="true" outlineLevel="0" collapsed="false">
      <c r="B105" s="113"/>
      <c r="C105" s="13"/>
      <c r="D105" s="15"/>
      <c r="E105" s="13"/>
      <c r="F105" s="114" t="str">
        <f aca="false">IF($C105="","",$C105&amp;"  |  "&amp;TEXT($B105,"yyyy-mm-dd"))</f>
        <v/>
      </c>
    </row>
    <row r="106" customFormat="false" ht="15" hidden="false" customHeight="true" outlineLevel="0" collapsed="false">
      <c r="B106" s="115"/>
      <c r="C106" s="19"/>
      <c r="D106" s="21"/>
      <c r="E106" s="19"/>
      <c r="F106" s="114" t="str">
        <f aca="false">IF($C106="","",$C106&amp;"  |  "&amp;TEXT($B106,"yyyy-mm-dd"))</f>
        <v/>
      </c>
    </row>
    <row r="107" customFormat="false" ht="15" hidden="false" customHeight="true" outlineLevel="0" collapsed="false">
      <c r="B107" s="113"/>
      <c r="C107" s="13"/>
      <c r="D107" s="15"/>
      <c r="E107" s="13"/>
      <c r="F107" s="114" t="str">
        <f aca="false">IF($C107="","",$C107&amp;"  |  "&amp;TEXT($B107,"yyyy-mm-dd"))</f>
        <v/>
      </c>
    </row>
    <row r="108" customFormat="false" ht="15" hidden="false" customHeight="true" outlineLevel="0" collapsed="false">
      <c r="B108" s="115"/>
      <c r="C108" s="19"/>
      <c r="D108" s="21"/>
      <c r="E108" s="19"/>
      <c r="F108" s="114" t="str">
        <f aca="false">IF($C108="","",$C108&amp;"  |  "&amp;TEXT($B108,"yyyy-mm-dd"))</f>
        <v/>
      </c>
    </row>
    <row r="109" customFormat="false" ht="15" hidden="false" customHeight="true" outlineLevel="0" collapsed="false">
      <c r="B109" s="113"/>
      <c r="C109" s="13"/>
      <c r="D109" s="15"/>
      <c r="E109" s="13"/>
      <c r="F109" s="114" t="str">
        <f aca="false">IF($C109="","",$C109&amp;"  |  "&amp;TEXT($B109,"yyyy-mm-dd"))</f>
        <v/>
      </c>
    </row>
    <row r="110" customFormat="false" ht="15" hidden="false" customHeight="true" outlineLevel="0" collapsed="false">
      <c r="B110" s="115"/>
      <c r="C110" s="19"/>
      <c r="D110" s="21"/>
      <c r="E110" s="19"/>
      <c r="F110" s="114" t="str">
        <f aca="false">IF($C110="","",$C110&amp;"  |  "&amp;TEXT($B110,"yyyy-mm-dd"))</f>
        <v/>
      </c>
    </row>
    <row r="111" customFormat="false" ht="15" hidden="false" customHeight="true" outlineLevel="0" collapsed="false">
      <c r="B111" s="113"/>
      <c r="C111" s="13"/>
      <c r="D111" s="15"/>
      <c r="E111" s="13"/>
      <c r="F111" s="114" t="str">
        <f aca="false">IF($C111="","",$C111&amp;"  |  "&amp;TEXT($B111,"yyyy-mm-dd"))</f>
        <v/>
      </c>
    </row>
    <row r="112" customFormat="false" ht="15" hidden="false" customHeight="true" outlineLevel="0" collapsed="false">
      <c r="B112" s="115"/>
      <c r="C112" s="19"/>
      <c r="D112" s="21"/>
      <c r="E112" s="19"/>
      <c r="F112" s="114" t="str">
        <f aca="false">IF($C112="","",$C112&amp;"  |  "&amp;TEXT($B112,"yyyy-mm-dd"))</f>
        <v/>
      </c>
    </row>
    <row r="113" customFormat="false" ht="15" hidden="false" customHeight="true" outlineLevel="0" collapsed="false">
      <c r="B113" s="113"/>
      <c r="C113" s="13"/>
      <c r="D113" s="15"/>
      <c r="E113" s="13"/>
      <c r="F113" s="114" t="str">
        <f aca="false">IF($C113="","",$C113&amp;"  |  "&amp;TEXT($B113,"yyyy-mm-dd"))</f>
        <v/>
      </c>
    </row>
    <row r="114" customFormat="false" ht="15" hidden="false" customHeight="true" outlineLevel="0" collapsed="false">
      <c r="B114" s="115"/>
      <c r="C114" s="19"/>
      <c r="D114" s="21"/>
      <c r="E114" s="19"/>
      <c r="F114" s="114" t="str">
        <f aca="false">IF($C114="","",$C114&amp;"  |  "&amp;TEXT($B114,"yyyy-mm-dd"))</f>
        <v/>
      </c>
    </row>
    <row r="115" customFormat="false" ht="15" hidden="false" customHeight="true" outlineLevel="0" collapsed="false">
      <c r="B115" s="113"/>
      <c r="C115" s="13"/>
      <c r="D115" s="15"/>
      <c r="E115" s="13"/>
      <c r="F115" s="114" t="str">
        <f aca="false">IF($C115="","",$C115&amp;"  |  "&amp;TEXT($B115,"yyyy-mm-dd"))</f>
        <v/>
      </c>
    </row>
    <row r="116" customFormat="false" ht="15" hidden="false" customHeight="true" outlineLevel="0" collapsed="false">
      <c r="B116" s="115"/>
      <c r="C116" s="19"/>
      <c r="D116" s="21"/>
      <c r="E116" s="19"/>
      <c r="F116" s="114" t="str">
        <f aca="false">IF($C116="","",$C116&amp;"  |  "&amp;TEXT($B116,"yyyy-mm-dd"))</f>
        <v/>
      </c>
    </row>
    <row r="117" customFormat="false" ht="15" hidden="false" customHeight="true" outlineLevel="0" collapsed="false">
      <c r="B117" s="113"/>
      <c r="C117" s="13"/>
      <c r="D117" s="15"/>
      <c r="E117" s="13"/>
      <c r="F117" s="114" t="str">
        <f aca="false">IF($C117="","",$C117&amp;"  |  "&amp;TEXT($B117,"yyyy-mm-dd"))</f>
        <v/>
      </c>
    </row>
    <row r="118" customFormat="false" ht="15" hidden="false" customHeight="true" outlineLevel="0" collapsed="false">
      <c r="B118" s="115"/>
      <c r="C118" s="19"/>
      <c r="D118" s="21"/>
      <c r="E118" s="19"/>
      <c r="F118" s="114" t="str">
        <f aca="false">IF($C118="","",$C118&amp;"  |  "&amp;TEXT($B118,"yyyy-mm-dd"))</f>
        <v/>
      </c>
    </row>
    <row r="119" customFormat="false" ht="15" hidden="false" customHeight="true" outlineLevel="0" collapsed="false">
      <c r="B119" s="113"/>
      <c r="C119" s="13"/>
      <c r="D119" s="15"/>
      <c r="E119" s="13"/>
      <c r="F119" s="114" t="str">
        <f aca="false">IF($C119="","",$C119&amp;"  |  "&amp;TEXT($B119,"yyyy-mm-dd"))</f>
        <v/>
      </c>
    </row>
    <row r="120" customFormat="false" ht="15" hidden="false" customHeight="true" outlineLevel="0" collapsed="false">
      <c r="B120" s="115"/>
      <c r="C120" s="19"/>
      <c r="D120" s="21"/>
      <c r="E120" s="19"/>
      <c r="F120" s="114" t="str">
        <f aca="false">IF($C120="","",$C120&amp;"  |  "&amp;TEXT($B120,"yyyy-mm-dd"))</f>
        <v/>
      </c>
    </row>
    <row r="121" customFormat="false" ht="15" hidden="false" customHeight="true" outlineLevel="0" collapsed="false">
      <c r="B121" s="113"/>
      <c r="C121" s="13"/>
      <c r="D121" s="15"/>
      <c r="E121" s="13"/>
      <c r="F121" s="114" t="str">
        <f aca="false">IF($C121="","",$C121&amp;"  |  "&amp;TEXT($B121,"yyyy-mm-dd"))</f>
        <v/>
      </c>
    </row>
    <row r="122" customFormat="false" ht="15" hidden="false" customHeight="true" outlineLevel="0" collapsed="false">
      <c r="B122" s="115"/>
      <c r="C122" s="19"/>
      <c r="D122" s="21"/>
      <c r="E122" s="19"/>
      <c r="F122" s="114" t="str">
        <f aca="false">IF($C122="","",$C122&amp;"  |  "&amp;TEXT($B122,"yyyy-mm-dd"))</f>
        <v/>
      </c>
    </row>
    <row r="123" customFormat="false" ht="15" hidden="false" customHeight="true" outlineLevel="0" collapsed="false">
      <c r="B123" s="113"/>
      <c r="C123" s="13"/>
      <c r="D123" s="15"/>
      <c r="E123" s="13"/>
      <c r="F123" s="114" t="str">
        <f aca="false">IF($C123="","",$C123&amp;"  |  "&amp;TEXT($B123,"yyyy-mm-dd"))</f>
        <v/>
      </c>
    </row>
    <row r="124" customFormat="false" ht="15" hidden="false" customHeight="true" outlineLevel="0" collapsed="false">
      <c r="B124" s="115"/>
      <c r="C124" s="19"/>
      <c r="D124" s="21"/>
      <c r="E124" s="19"/>
      <c r="F124" s="114" t="str">
        <f aca="false">IF($C124="","",$C124&amp;"  |  "&amp;TEXT($B124,"yyyy-mm-dd"))</f>
        <v/>
      </c>
    </row>
    <row r="125" customFormat="false" ht="15" hidden="false" customHeight="true" outlineLevel="0" collapsed="false">
      <c r="B125" s="113"/>
      <c r="C125" s="13"/>
      <c r="D125" s="15"/>
      <c r="E125" s="13"/>
      <c r="F125" s="114" t="str">
        <f aca="false">IF($C125="","",$C125&amp;"  |  "&amp;TEXT($B125,"yyyy-mm-dd"))</f>
        <v/>
      </c>
    </row>
    <row r="126" customFormat="false" ht="15" hidden="false" customHeight="true" outlineLevel="0" collapsed="false">
      <c r="B126" s="115"/>
      <c r="C126" s="19"/>
      <c r="D126" s="21"/>
      <c r="E126" s="19"/>
      <c r="F126" s="114" t="str">
        <f aca="false">IF($C126="","",$C126&amp;"  |  "&amp;TEXT($B126,"yyyy-mm-dd"))</f>
        <v/>
      </c>
    </row>
    <row r="127" customFormat="false" ht="15" hidden="false" customHeight="true" outlineLevel="0" collapsed="false">
      <c r="B127" s="113"/>
      <c r="C127" s="13"/>
      <c r="D127" s="15"/>
      <c r="E127" s="13"/>
      <c r="F127" s="114" t="str">
        <f aca="false">IF($C127="","",$C127&amp;"  |  "&amp;TEXT($B127,"yyyy-mm-dd"))</f>
        <v/>
      </c>
    </row>
    <row r="128" customFormat="false" ht="15" hidden="false" customHeight="true" outlineLevel="0" collapsed="false">
      <c r="B128" s="115"/>
      <c r="C128" s="19"/>
      <c r="D128" s="21"/>
      <c r="E128" s="19"/>
      <c r="F128" s="114" t="str">
        <f aca="false">IF($C128="","",$C128&amp;"  |  "&amp;TEXT($B128,"yyyy-mm-dd"))</f>
        <v/>
      </c>
    </row>
    <row r="129" customFormat="false" ht="15" hidden="false" customHeight="true" outlineLevel="0" collapsed="false">
      <c r="B129" s="113"/>
      <c r="C129" s="13"/>
      <c r="D129" s="15"/>
      <c r="E129" s="13"/>
      <c r="F129" s="114" t="str">
        <f aca="false">IF($C129="","",$C129&amp;"  |  "&amp;TEXT($B129,"yyyy-mm-dd"))</f>
        <v/>
      </c>
    </row>
    <row r="130" customFormat="false" ht="15" hidden="false" customHeight="true" outlineLevel="0" collapsed="false">
      <c r="B130" s="115"/>
      <c r="C130" s="19"/>
      <c r="D130" s="21"/>
      <c r="E130" s="19"/>
      <c r="F130" s="114" t="str">
        <f aca="false">IF($C130="","",$C130&amp;"  |  "&amp;TEXT($B130,"yyyy-mm-dd"))</f>
        <v/>
      </c>
    </row>
    <row r="131" customFormat="false" ht="15" hidden="false" customHeight="true" outlineLevel="0" collapsed="false">
      <c r="B131" s="113"/>
      <c r="C131" s="13"/>
      <c r="D131" s="15"/>
      <c r="E131" s="13"/>
      <c r="F131" s="114" t="str">
        <f aca="false">IF($C131="","",$C131&amp;"  |  "&amp;TEXT($B131,"yyyy-mm-dd"))</f>
        <v/>
      </c>
    </row>
    <row r="132" customFormat="false" ht="15" hidden="false" customHeight="true" outlineLevel="0" collapsed="false">
      <c r="B132" s="115"/>
      <c r="C132" s="19"/>
      <c r="D132" s="21"/>
      <c r="E132" s="19"/>
      <c r="F132" s="114" t="str">
        <f aca="false">IF($C132="","",$C132&amp;"  |  "&amp;TEXT($B132,"yyyy-mm-dd"))</f>
        <v/>
      </c>
    </row>
    <row r="133" customFormat="false" ht="15" hidden="false" customHeight="true" outlineLevel="0" collapsed="false">
      <c r="B133" s="113"/>
      <c r="C133" s="13"/>
      <c r="D133" s="15"/>
      <c r="E133" s="13"/>
      <c r="F133" s="114" t="str">
        <f aca="false">IF($C133="","",$C133&amp;"  |  "&amp;TEXT($B133,"yyyy-mm-dd"))</f>
        <v/>
      </c>
    </row>
    <row r="134" customFormat="false" ht="15" hidden="false" customHeight="true" outlineLevel="0" collapsed="false">
      <c r="B134" s="115"/>
      <c r="C134" s="19"/>
      <c r="D134" s="21"/>
      <c r="E134" s="19"/>
      <c r="F134" s="114" t="str">
        <f aca="false">IF($C134="","",$C134&amp;"  |  "&amp;TEXT($B134,"yyyy-mm-dd"))</f>
        <v/>
      </c>
    </row>
    <row r="135" customFormat="false" ht="15" hidden="false" customHeight="true" outlineLevel="0" collapsed="false">
      <c r="B135" s="113"/>
      <c r="C135" s="13"/>
      <c r="D135" s="15"/>
      <c r="E135" s="13"/>
      <c r="F135" s="114" t="str">
        <f aca="false">IF($C135="","",$C135&amp;"  |  "&amp;TEXT($B135,"yyyy-mm-dd"))</f>
        <v/>
      </c>
    </row>
    <row r="136" customFormat="false" ht="15" hidden="false" customHeight="true" outlineLevel="0" collapsed="false">
      <c r="B136" s="115"/>
      <c r="C136" s="19"/>
      <c r="D136" s="21"/>
      <c r="E136" s="19"/>
      <c r="F136" s="114" t="str">
        <f aca="false">IF($C136="","",$C136&amp;"  |  "&amp;TEXT($B136,"yyyy-mm-dd"))</f>
        <v/>
      </c>
    </row>
    <row r="137" customFormat="false" ht="15" hidden="false" customHeight="true" outlineLevel="0" collapsed="false">
      <c r="B137" s="113"/>
      <c r="C137" s="13"/>
      <c r="D137" s="15"/>
      <c r="E137" s="13"/>
      <c r="F137" s="114" t="str">
        <f aca="false">IF($C137="","",$C137&amp;"  |  "&amp;TEXT($B137,"yyyy-mm-dd"))</f>
        <v/>
      </c>
    </row>
    <row r="138" customFormat="false" ht="15" hidden="false" customHeight="true" outlineLevel="0" collapsed="false">
      <c r="B138" s="115"/>
      <c r="C138" s="19"/>
      <c r="D138" s="21"/>
      <c r="E138" s="19"/>
      <c r="F138" s="114" t="str">
        <f aca="false">IF($C138="","",$C138&amp;"  |  "&amp;TEXT($B138,"yyyy-mm-dd"))</f>
        <v/>
      </c>
    </row>
    <row r="139" customFormat="false" ht="15" hidden="false" customHeight="true" outlineLevel="0" collapsed="false">
      <c r="B139" s="113"/>
      <c r="C139" s="13"/>
      <c r="D139" s="15"/>
      <c r="E139" s="13"/>
      <c r="F139" s="114" t="str">
        <f aca="false">IF($C139="","",$C139&amp;"  |  "&amp;TEXT($B139,"yyyy-mm-dd"))</f>
        <v/>
      </c>
    </row>
    <row r="140" customFormat="false" ht="15" hidden="false" customHeight="true" outlineLevel="0" collapsed="false">
      <c r="B140" s="115"/>
      <c r="C140" s="19"/>
      <c r="D140" s="21"/>
      <c r="E140" s="19"/>
      <c r="F140" s="114" t="str">
        <f aca="false">IF($C140="","",$C140&amp;"  |  "&amp;TEXT($B140,"yyyy-mm-dd"))</f>
        <v/>
      </c>
    </row>
    <row r="141" customFormat="false" ht="15" hidden="false" customHeight="true" outlineLevel="0" collapsed="false">
      <c r="B141" s="113"/>
      <c r="C141" s="13"/>
      <c r="D141" s="15"/>
      <c r="E141" s="13"/>
      <c r="F141" s="114" t="str">
        <f aca="false">IF($C141="","",$C141&amp;"  |  "&amp;TEXT($B141,"yyyy-mm-dd"))</f>
        <v/>
      </c>
    </row>
    <row r="142" customFormat="false" ht="15" hidden="false" customHeight="true" outlineLevel="0" collapsed="false">
      <c r="B142" s="115"/>
      <c r="C142" s="19"/>
      <c r="D142" s="21"/>
      <c r="E142" s="19"/>
      <c r="F142" s="114" t="str">
        <f aca="false">IF($C142="","",$C142&amp;"  |  "&amp;TEXT($B142,"yyyy-mm-dd"))</f>
        <v/>
      </c>
    </row>
    <row r="143" customFormat="false" ht="15" hidden="false" customHeight="true" outlineLevel="0" collapsed="false">
      <c r="B143" s="113"/>
      <c r="C143" s="13"/>
      <c r="D143" s="15"/>
      <c r="E143" s="13"/>
      <c r="F143" s="114" t="str">
        <f aca="false">IF($C143="","",$C143&amp;"  |  "&amp;TEXT($B143,"yyyy-mm-dd"))</f>
        <v/>
      </c>
    </row>
    <row r="144" customFormat="false" ht="15" hidden="false" customHeight="true" outlineLevel="0" collapsed="false">
      <c r="B144" s="115"/>
      <c r="C144" s="19"/>
      <c r="D144" s="21"/>
      <c r="E144" s="19"/>
      <c r="F144" s="114" t="str">
        <f aca="false">IF($C144="","",$C144&amp;"  |  "&amp;TEXT($B144,"yyyy-mm-dd"))</f>
        <v/>
      </c>
    </row>
    <row r="145" customFormat="false" ht="15" hidden="false" customHeight="true" outlineLevel="0" collapsed="false">
      <c r="B145" s="113"/>
      <c r="C145" s="13"/>
      <c r="D145" s="15"/>
      <c r="E145" s="13"/>
      <c r="F145" s="114" t="str">
        <f aca="false">IF($C145="","",$C145&amp;"  |  "&amp;TEXT($B145,"yyyy-mm-dd"))</f>
        <v/>
      </c>
    </row>
    <row r="146" customFormat="false" ht="15" hidden="false" customHeight="true" outlineLevel="0" collapsed="false">
      <c r="B146" s="115"/>
      <c r="C146" s="19"/>
      <c r="D146" s="21"/>
      <c r="E146" s="19"/>
      <c r="F146" s="114" t="str">
        <f aca="false">IF($C146="","",$C146&amp;"  |  "&amp;TEXT($B146,"yyyy-mm-dd"))</f>
        <v/>
      </c>
    </row>
    <row r="147" customFormat="false" ht="15" hidden="false" customHeight="true" outlineLevel="0" collapsed="false">
      <c r="B147" s="113"/>
      <c r="C147" s="13"/>
      <c r="D147" s="15"/>
      <c r="E147" s="13"/>
      <c r="F147" s="114" t="str">
        <f aca="false">IF($C147="","",$C147&amp;"  |  "&amp;TEXT($B147,"yyyy-mm-dd"))</f>
        <v/>
      </c>
    </row>
    <row r="148" customFormat="false" ht="15" hidden="false" customHeight="true" outlineLevel="0" collapsed="false">
      <c r="B148" s="115"/>
      <c r="C148" s="19"/>
      <c r="D148" s="21"/>
      <c r="E148" s="19"/>
      <c r="F148" s="114" t="str">
        <f aca="false">IF($C148="","",$C148&amp;"  |  "&amp;TEXT($B148,"yyyy-mm-dd"))</f>
        <v/>
      </c>
    </row>
    <row r="149" customFormat="false" ht="15" hidden="false" customHeight="true" outlineLevel="0" collapsed="false">
      <c r="B149" s="113"/>
      <c r="C149" s="13"/>
      <c r="D149" s="15"/>
      <c r="E149" s="13"/>
      <c r="F149" s="114" t="str">
        <f aca="false">IF($C149="","",$C149&amp;"  |  "&amp;TEXT($B149,"yyyy-mm-dd"))</f>
        <v/>
      </c>
    </row>
    <row r="150" customFormat="false" ht="15" hidden="false" customHeight="true" outlineLevel="0" collapsed="false">
      <c r="B150" s="115"/>
      <c r="C150" s="19"/>
      <c r="D150" s="21"/>
      <c r="E150" s="19"/>
      <c r="F150" s="114" t="str">
        <f aca="false">IF($C150="","",$C150&amp;"  |  "&amp;TEXT($B150,"yyyy-mm-dd"))</f>
        <v/>
      </c>
    </row>
    <row r="151" customFormat="false" ht="15" hidden="false" customHeight="true" outlineLevel="0" collapsed="false">
      <c r="B151" s="113"/>
      <c r="C151" s="13"/>
      <c r="D151" s="15"/>
      <c r="E151" s="13"/>
      <c r="F151" s="114" t="str">
        <f aca="false">IF($C151="","",$C151&amp;"  |  "&amp;TEXT($B151,"yyyy-mm-dd"))</f>
        <v/>
      </c>
    </row>
    <row r="152" customFormat="false" ht="15" hidden="false" customHeight="true" outlineLevel="0" collapsed="false">
      <c r="B152" s="115"/>
      <c r="C152" s="19"/>
      <c r="D152" s="21"/>
      <c r="E152" s="19"/>
      <c r="F152" s="114" t="str">
        <f aca="false">IF($C152="","",$C152&amp;"  |  "&amp;TEXT($B152,"yyyy-mm-dd"))</f>
        <v/>
      </c>
    </row>
    <row r="153" customFormat="false" ht="15" hidden="false" customHeight="true" outlineLevel="0" collapsed="false">
      <c r="B153" s="113"/>
      <c r="C153" s="13"/>
      <c r="D153" s="15"/>
      <c r="E153" s="13"/>
      <c r="F153" s="114" t="str">
        <f aca="false">IF($C153="","",$C153&amp;"  |  "&amp;TEXT($B153,"yyyy-mm-dd"))</f>
        <v/>
      </c>
    </row>
    <row r="154" customFormat="false" ht="15" hidden="false" customHeight="true" outlineLevel="0" collapsed="false">
      <c r="B154" s="115"/>
      <c r="C154" s="19"/>
      <c r="D154" s="21"/>
      <c r="E154" s="19"/>
      <c r="F154" s="114" t="str">
        <f aca="false">IF($C154="","",$C154&amp;"  |  "&amp;TEXT($B154,"yyyy-mm-dd"))</f>
        <v/>
      </c>
    </row>
    <row r="155" customFormat="false" ht="15" hidden="false" customHeight="true" outlineLevel="0" collapsed="false">
      <c r="B155" s="113"/>
      <c r="C155" s="13"/>
      <c r="D155" s="15"/>
      <c r="E155" s="13"/>
      <c r="F155" s="114" t="str">
        <f aca="false">IF($C155="","",$C155&amp;"  |  "&amp;TEXT($B155,"yyyy-mm-dd"))</f>
        <v/>
      </c>
    </row>
    <row r="156" customFormat="false" ht="15" hidden="false" customHeight="true" outlineLevel="0" collapsed="false">
      <c r="B156" s="115"/>
      <c r="C156" s="19"/>
      <c r="D156" s="21"/>
      <c r="E156" s="19"/>
      <c r="F156" s="114" t="str">
        <f aca="false">IF($C156="","",$C156&amp;"  |  "&amp;TEXT($B156,"yyyy-mm-dd"))</f>
        <v/>
      </c>
    </row>
    <row r="157" customFormat="false" ht="15" hidden="false" customHeight="true" outlineLevel="0" collapsed="false">
      <c r="B157" s="113"/>
      <c r="C157" s="13"/>
      <c r="D157" s="15"/>
      <c r="E157" s="13"/>
      <c r="F157" s="114" t="str">
        <f aca="false">IF($C157="","",$C157&amp;"  |  "&amp;TEXT($B157,"yyyy-mm-dd"))</f>
        <v/>
      </c>
    </row>
    <row r="158" customFormat="false" ht="15" hidden="false" customHeight="true" outlineLevel="0" collapsed="false">
      <c r="B158" s="115"/>
      <c r="C158" s="19"/>
      <c r="D158" s="21"/>
      <c r="E158" s="19"/>
      <c r="F158" s="114" t="str">
        <f aca="false">IF($C158="","",$C158&amp;"  |  "&amp;TEXT($B158,"yyyy-mm-dd"))</f>
        <v/>
      </c>
    </row>
    <row r="159" customFormat="false" ht="15" hidden="false" customHeight="true" outlineLevel="0" collapsed="false">
      <c r="B159" s="113"/>
      <c r="C159" s="13"/>
      <c r="D159" s="15"/>
      <c r="E159" s="13"/>
      <c r="F159" s="114" t="str">
        <f aca="false">IF($C159="","",$C159&amp;"  |  "&amp;TEXT($B159,"yyyy-mm-dd"))</f>
        <v/>
      </c>
    </row>
    <row r="160" customFormat="false" ht="15" hidden="false" customHeight="true" outlineLevel="0" collapsed="false">
      <c r="B160" s="115"/>
      <c r="C160" s="19"/>
      <c r="D160" s="21"/>
      <c r="E160" s="19"/>
      <c r="F160" s="114" t="str">
        <f aca="false">IF($C160="","",$C160&amp;"  |  "&amp;TEXT($B160,"yyyy-mm-dd"))</f>
        <v/>
      </c>
    </row>
    <row r="161" customFormat="false" ht="15" hidden="false" customHeight="true" outlineLevel="0" collapsed="false">
      <c r="B161" s="113"/>
      <c r="C161" s="13"/>
      <c r="D161" s="15"/>
      <c r="E161" s="13"/>
      <c r="F161" s="114" t="str">
        <f aca="false">IF($C161="","",$C161&amp;"  |  "&amp;TEXT($B161,"yyyy-mm-dd"))</f>
        <v/>
      </c>
    </row>
    <row r="162" customFormat="false" ht="15" hidden="false" customHeight="true" outlineLevel="0" collapsed="false">
      <c r="B162" s="115"/>
      <c r="C162" s="19"/>
      <c r="D162" s="21"/>
      <c r="E162" s="19"/>
      <c r="F162" s="114" t="str">
        <f aca="false">IF($C162="","",$C162&amp;"  |  "&amp;TEXT($B162,"yyyy-mm-dd"))</f>
        <v/>
      </c>
    </row>
    <row r="163" customFormat="false" ht="15" hidden="false" customHeight="true" outlineLevel="0" collapsed="false">
      <c r="B163" s="113"/>
      <c r="C163" s="13"/>
      <c r="D163" s="15"/>
      <c r="E163" s="13"/>
      <c r="F163" s="114" t="str">
        <f aca="false">IF($C163="","",$C163&amp;"  |  "&amp;TEXT($B163,"yyyy-mm-dd"))</f>
        <v/>
      </c>
    </row>
    <row r="164" customFormat="false" ht="15" hidden="false" customHeight="true" outlineLevel="0" collapsed="false">
      <c r="B164" s="115"/>
      <c r="C164" s="19"/>
      <c r="D164" s="21"/>
      <c r="E164" s="19"/>
      <c r="F164" s="114" t="str">
        <f aca="false">IF($C164="","",$C164&amp;"  |  "&amp;TEXT($B164,"yyyy-mm-dd"))</f>
        <v/>
      </c>
    </row>
    <row r="165" customFormat="false" ht="15" hidden="false" customHeight="true" outlineLevel="0" collapsed="false">
      <c r="B165" s="113"/>
      <c r="C165" s="13"/>
      <c r="D165" s="15"/>
      <c r="E165" s="13"/>
      <c r="F165" s="114" t="str">
        <f aca="false">IF($C165="","",$C165&amp;"  |  "&amp;TEXT($B165,"yyyy-mm-dd"))</f>
        <v/>
      </c>
    </row>
    <row r="166" customFormat="false" ht="15" hidden="false" customHeight="true" outlineLevel="0" collapsed="false">
      <c r="B166" s="115"/>
      <c r="C166" s="19"/>
      <c r="D166" s="21"/>
      <c r="E166" s="19"/>
      <c r="F166" s="114" t="str">
        <f aca="false">IF($C166="","",$C166&amp;"  |  "&amp;TEXT($B166,"yyyy-mm-dd"))</f>
        <v/>
      </c>
    </row>
    <row r="167" customFormat="false" ht="15" hidden="false" customHeight="true" outlineLevel="0" collapsed="false">
      <c r="B167" s="113"/>
      <c r="C167" s="13"/>
      <c r="D167" s="15"/>
      <c r="E167" s="13"/>
      <c r="F167" s="114" t="str">
        <f aca="false">IF($C167="","",$C167&amp;"  |  "&amp;TEXT($B167,"yyyy-mm-dd"))</f>
        <v/>
      </c>
    </row>
    <row r="168" customFormat="false" ht="15" hidden="false" customHeight="true" outlineLevel="0" collapsed="false">
      <c r="B168" s="115"/>
      <c r="C168" s="19"/>
      <c r="D168" s="21"/>
      <c r="E168" s="19"/>
      <c r="F168" s="114" t="str">
        <f aca="false">IF($C168="","",$C168&amp;"  |  "&amp;TEXT($B168,"yyyy-mm-dd"))</f>
        <v/>
      </c>
    </row>
    <row r="169" customFormat="false" ht="15" hidden="false" customHeight="true" outlineLevel="0" collapsed="false">
      <c r="B169" s="113"/>
      <c r="C169" s="13"/>
      <c r="D169" s="15"/>
      <c r="E169" s="13"/>
      <c r="F169" s="114" t="str">
        <f aca="false">IF($C169="","",$C169&amp;"  |  "&amp;TEXT($B169,"yyyy-mm-dd"))</f>
        <v/>
      </c>
    </row>
    <row r="170" customFormat="false" ht="15" hidden="false" customHeight="true" outlineLevel="0" collapsed="false">
      <c r="B170" s="115"/>
      <c r="C170" s="19"/>
      <c r="D170" s="21"/>
      <c r="E170" s="19"/>
      <c r="F170" s="114" t="str">
        <f aca="false">IF($C170="","",$C170&amp;"  |  "&amp;TEXT($B170,"yyyy-mm-dd"))</f>
        <v/>
      </c>
    </row>
    <row r="171" customFormat="false" ht="15" hidden="false" customHeight="true" outlineLevel="0" collapsed="false">
      <c r="B171" s="113"/>
      <c r="C171" s="13"/>
      <c r="D171" s="15"/>
      <c r="E171" s="13"/>
      <c r="F171" s="114" t="str">
        <f aca="false">IF($C171="","",$C171&amp;"  |  "&amp;TEXT($B171,"yyyy-mm-dd"))</f>
        <v/>
      </c>
    </row>
    <row r="172" customFormat="false" ht="15" hidden="false" customHeight="true" outlineLevel="0" collapsed="false">
      <c r="B172" s="115"/>
      <c r="C172" s="19"/>
      <c r="D172" s="21"/>
      <c r="E172" s="19"/>
      <c r="F172" s="114" t="str">
        <f aca="false">IF($C172="","",$C172&amp;"  |  "&amp;TEXT($B172,"yyyy-mm-dd"))</f>
        <v/>
      </c>
    </row>
    <row r="173" customFormat="false" ht="15" hidden="false" customHeight="true" outlineLevel="0" collapsed="false">
      <c r="B173" s="113"/>
      <c r="C173" s="13"/>
      <c r="D173" s="15"/>
      <c r="E173" s="13"/>
      <c r="F173" s="114" t="str">
        <f aca="false">IF($C173="","",$C173&amp;"  |  "&amp;TEXT($B173,"yyyy-mm-dd"))</f>
        <v/>
      </c>
    </row>
    <row r="174" customFormat="false" ht="15" hidden="false" customHeight="true" outlineLevel="0" collapsed="false">
      <c r="B174" s="115"/>
      <c r="C174" s="19"/>
      <c r="D174" s="21"/>
      <c r="E174" s="19"/>
      <c r="F174" s="114" t="str">
        <f aca="false">IF($C174="","",$C174&amp;"  |  "&amp;TEXT($B174,"yyyy-mm-dd"))</f>
        <v/>
      </c>
    </row>
    <row r="175" customFormat="false" ht="15" hidden="false" customHeight="true" outlineLevel="0" collapsed="false">
      <c r="B175" s="113"/>
      <c r="C175" s="13"/>
      <c r="D175" s="15"/>
      <c r="E175" s="13"/>
      <c r="F175" s="114" t="str">
        <f aca="false">IF($C175="","",$C175&amp;"  |  "&amp;TEXT($B175,"yyyy-mm-dd"))</f>
        <v/>
      </c>
    </row>
    <row r="176" customFormat="false" ht="15" hidden="false" customHeight="true" outlineLevel="0" collapsed="false">
      <c r="B176" s="115"/>
      <c r="C176" s="19"/>
      <c r="D176" s="21"/>
      <c r="E176" s="19"/>
      <c r="F176" s="114" t="str">
        <f aca="false">IF($C176="","",$C176&amp;"  |  "&amp;TEXT($B176,"yyyy-mm-dd"))</f>
        <v/>
      </c>
    </row>
    <row r="177" customFormat="false" ht="15" hidden="false" customHeight="true" outlineLevel="0" collapsed="false">
      <c r="B177" s="113"/>
      <c r="C177" s="13"/>
      <c r="D177" s="15"/>
      <c r="E177" s="13"/>
      <c r="F177" s="114" t="str">
        <f aca="false">IF($C177="","",$C177&amp;"  |  "&amp;TEXT($B177,"yyyy-mm-dd"))</f>
        <v/>
      </c>
    </row>
    <row r="178" customFormat="false" ht="15" hidden="false" customHeight="true" outlineLevel="0" collapsed="false">
      <c r="B178" s="115"/>
      <c r="C178" s="19"/>
      <c r="D178" s="21"/>
      <c r="E178" s="19"/>
      <c r="F178" s="114" t="str">
        <f aca="false">IF($C178="","",$C178&amp;"  |  "&amp;TEXT($B178,"yyyy-mm-dd"))</f>
        <v/>
      </c>
    </row>
    <row r="179" customFormat="false" ht="15" hidden="false" customHeight="true" outlineLevel="0" collapsed="false">
      <c r="B179" s="113"/>
      <c r="C179" s="13"/>
      <c r="D179" s="15"/>
      <c r="E179" s="13"/>
      <c r="F179" s="114" t="str">
        <f aca="false">IF($C179="","",$C179&amp;"  |  "&amp;TEXT($B179,"yyyy-mm-dd"))</f>
        <v/>
      </c>
    </row>
    <row r="180" customFormat="false" ht="15" hidden="false" customHeight="true" outlineLevel="0" collapsed="false">
      <c r="B180" s="115"/>
      <c r="C180" s="19"/>
      <c r="D180" s="21"/>
      <c r="E180" s="19"/>
      <c r="F180" s="114" t="str">
        <f aca="false">IF($C180="","",$C180&amp;"  |  "&amp;TEXT($B180,"yyyy-mm-dd"))</f>
        <v/>
      </c>
    </row>
    <row r="181" customFormat="false" ht="15" hidden="false" customHeight="true" outlineLevel="0" collapsed="false">
      <c r="B181" s="113"/>
      <c r="C181" s="13"/>
      <c r="D181" s="15"/>
      <c r="E181" s="13"/>
      <c r="F181" s="114" t="str">
        <f aca="false">IF($C181="","",$C181&amp;"  |  "&amp;TEXT($B181,"yyyy-mm-dd"))</f>
        <v/>
      </c>
    </row>
    <row r="182" customFormat="false" ht="15" hidden="false" customHeight="true" outlineLevel="0" collapsed="false">
      <c r="B182" s="115"/>
      <c r="C182" s="19"/>
      <c r="D182" s="21"/>
      <c r="E182" s="19"/>
      <c r="F182" s="114" t="str">
        <f aca="false">IF($C182="","",$C182&amp;"  |  "&amp;TEXT($B182,"yyyy-mm-dd"))</f>
        <v/>
      </c>
    </row>
    <row r="183" customFormat="false" ht="15" hidden="false" customHeight="true" outlineLevel="0" collapsed="false">
      <c r="B183" s="113"/>
      <c r="C183" s="13"/>
      <c r="D183" s="15"/>
      <c r="E183" s="13"/>
      <c r="F183" s="114" t="str">
        <f aca="false">IF($C183="","",$C183&amp;"  |  "&amp;TEXT($B183,"yyyy-mm-dd"))</f>
        <v/>
      </c>
    </row>
    <row r="184" customFormat="false" ht="15" hidden="false" customHeight="true" outlineLevel="0" collapsed="false">
      <c r="B184" s="115"/>
      <c r="C184" s="19"/>
      <c r="D184" s="21"/>
      <c r="E184" s="19"/>
      <c r="F184" s="114" t="str">
        <f aca="false">IF($C184="","",$C184&amp;"  |  "&amp;TEXT($B184,"yyyy-mm-dd"))</f>
        <v/>
      </c>
    </row>
    <row r="185" customFormat="false" ht="15" hidden="false" customHeight="true" outlineLevel="0" collapsed="false">
      <c r="B185" s="113"/>
      <c r="C185" s="13"/>
      <c r="D185" s="15"/>
      <c r="E185" s="13"/>
      <c r="F185" s="114" t="str">
        <f aca="false">IF($C185="","",$C185&amp;"  |  "&amp;TEXT($B185,"yyyy-mm-dd"))</f>
        <v/>
      </c>
    </row>
    <row r="186" customFormat="false" ht="15" hidden="false" customHeight="true" outlineLevel="0" collapsed="false">
      <c r="B186" s="115"/>
      <c r="C186" s="19"/>
      <c r="D186" s="21"/>
      <c r="E186" s="19"/>
      <c r="F186" s="114" t="str">
        <f aca="false">IF($C186="","",$C186&amp;"  |  "&amp;TEXT($B186,"yyyy-mm-dd"))</f>
        <v/>
      </c>
    </row>
    <row r="187" customFormat="false" ht="15" hidden="false" customHeight="true" outlineLevel="0" collapsed="false">
      <c r="B187" s="113"/>
      <c r="C187" s="13"/>
      <c r="D187" s="15"/>
      <c r="E187" s="13"/>
      <c r="F187" s="114" t="str">
        <f aca="false">IF($C187="","",$C187&amp;"  |  "&amp;TEXT($B187,"yyyy-mm-dd"))</f>
        <v/>
      </c>
    </row>
    <row r="188" customFormat="false" ht="15" hidden="false" customHeight="true" outlineLevel="0" collapsed="false">
      <c r="B188" s="115"/>
      <c r="C188" s="19"/>
      <c r="D188" s="21"/>
      <c r="E188" s="19"/>
      <c r="F188" s="114" t="str">
        <f aca="false">IF($C188="","",$C188&amp;"  |  "&amp;TEXT($B188,"yyyy-mm-dd"))</f>
        <v/>
      </c>
    </row>
    <row r="189" customFormat="false" ht="15" hidden="false" customHeight="true" outlineLevel="0" collapsed="false">
      <c r="B189" s="113"/>
      <c r="C189" s="13"/>
      <c r="D189" s="15"/>
      <c r="E189" s="13"/>
      <c r="F189" s="114" t="str">
        <f aca="false">IF($C189="","",$C189&amp;"  |  "&amp;TEXT($B189,"yyyy-mm-dd"))</f>
        <v/>
      </c>
    </row>
    <row r="190" customFormat="false" ht="15" hidden="false" customHeight="true" outlineLevel="0" collapsed="false">
      <c r="B190" s="115"/>
      <c r="C190" s="19"/>
      <c r="D190" s="21"/>
      <c r="E190" s="19"/>
      <c r="F190" s="114" t="str">
        <f aca="false">IF($C190="","",$C190&amp;"  |  "&amp;TEXT($B190,"yyyy-mm-dd"))</f>
        <v/>
      </c>
    </row>
    <row r="191" customFormat="false" ht="15" hidden="false" customHeight="true" outlineLevel="0" collapsed="false">
      <c r="B191" s="113"/>
      <c r="C191" s="13"/>
      <c r="D191" s="15"/>
      <c r="E191" s="13"/>
      <c r="F191" s="114" t="str">
        <f aca="false">IF($C191="","",$C191&amp;"  |  "&amp;TEXT($B191,"yyyy-mm-dd"))</f>
        <v/>
      </c>
    </row>
    <row r="192" customFormat="false" ht="15" hidden="false" customHeight="true" outlineLevel="0" collapsed="false">
      <c r="B192" s="115"/>
      <c r="C192" s="19"/>
      <c r="D192" s="21"/>
      <c r="E192" s="19"/>
      <c r="F192" s="114" t="str">
        <f aca="false">IF($C192="","",$C192&amp;"  |  "&amp;TEXT($B192,"yyyy-mm-dd"))</f>
        <v/>
      </c>
    </row>
    <row r="193" customFormat="false" ht="15" hidden="false" customHeight="true" outlineLevel="0" collapsed="false">
      <c r="B193" s="113"/>
      <c r="C193" s="13"/>
      <c r="D193" s="15"/>
      <c r="E193" s="13"/>
      <c r="F193" s="114" t="str">
        <f aca="false">IF($C193="","",$C193&amp;"  |  "&amp;TEXT($B193,"yyyy-mm-dd"))</f>
        <v/>
      </c>
    </row>
    <row r="194" customFormat="false" ht="15" hidden="false" customHeight="true" outlineLevel="0" collapsed="false">
      <c r="B194" s="115"/>
      <c r="C194" s="19"/>
      <c r="D194" s="21"/>
      <c r="E194" s="19"/>
      <c r="F194" s="114" t="str">
        <f aca="false">IF($C194="","",$C194&amp;"  |  "&amp;TEXT($B194,"yyyy-mm-dd"))</f>
        <v/>
      </c>
    </row>
    <row r="195" customFormat="false" ht="15" hidden="false" customHeight="true" outlineLevel="0" collapsed="false">
      <c r="B195" s="113"/>
      <c r="C195" s="13"/>
      <c r="D195" s="15"/>
      <c r="E195" s="13"/>
      <c r="F195" s="114" t="str">
        <f aca="false">IF($C195="","",$C195&amp;"  |  "&amp;TEXT($B195,"yyyy-mm-dd"))</f>
        <v/>
      </c>
    </row>
    <row r="196" customFormat="false" ht="15" hidden="false" customHeight="true" outlineLevel="0" collapsed="false">
      <c r="B196" s="115"/>
      <c r="C196" s="19"/>
      <c r="D196" s="21"/>
      <c r="E196" s="19"/>
      <c r="F196" s="114" t="str">
        <f aca="false">IF($C196="","",$C196&amp;"  |  "&amp;TEXT($B196,"yyyy-mm-dd"))</f>
        <v/>
      </c>
    </row>
    <row r="197" customFormat="false" ht="15" hidden="false" customHeight="true" outlineLevel="0" collapsed="false">
      <c r="B197" s="113"/>
      <c r="C197" s="13"/>
      <c r="D197" s="15"/>
      <c r="E197" s="13"/>
      <c r="F197" s="114" t="str">
        <f aca="false">IF($C197="","",$C197&amp;"  |  "&amp;TEXT($B197,"yyyy-mm-dd"))</f>
        <v/>
      </c>
    </row>
    <row r="198" customFormat="false" ht="15" hidden="false" customHeight="true" outlineLevel="0" collapsed="false">
      <c r="B198" s="115"/>
      <c r="C198" s="19"/>
      <c r="D198" s="21"/>
      <c r="E198" s="19"/>
      <c r="F198" s="114" t="str">
        <f aca="false">IF($C198="","",$C198&amp;"  |  "&amp;TEXT($B198,"yyyy-mm-dd"))</f>
        <v/>
      </c>
    </row>
    <row r="199" customFormat="false" ht="15" hidden="false" customHeight="true" outlineLevel="0" collapsed="false">
      <c r="B199" s="113"/>
      <c r="C199" s="13"/>
      <c r="D199" s="15"/>
      <c r="E199" s="13"/>
      <c r="F199" s="114" t="str">
        <f aca="false">IF($C199="","",$C199&amp;"  |  "&amp;TEXT($B199,"yyyy-mm-dd"))</f>
        <v/>
      </c>
    </row>
    <row r="200" customFormat="false" ht="15" hidden="false" customHeight="true" outlineLevel="0" collapsed="false">
      <c r="B200" s="115"/>
      <c r="C200" s="19"/>
      <c r="D200" s="21"/>
      <c r="E200" s="19"/>
      <c r="F200" s="114" t="str">
        <f aca="false">IF($C200="","",$C200&amp;"  |  "&amp;TEXT($B200,"yyyy-mm-dd"))</f>
        <v/>
      </c>
    </row>
    <row r="201" customFormat="false" ht="15" hidden="false" customHeight="true" outlineLevel="0" collapsed="false">
      <c r="B201" s="113"/>
      <c r="C201" s="13"/>
      <c r="D201" s="15"/>
      <c r="E201" s="13"/>
      <c r="F201" s="114" t="str">
        <f aca="false">IF($C201="","",$C201&amp;"  |  "&amp;TEXT($B201,"yyyy-mm-dd"))</f>
        <v/>
      </c>
    </row>
    <row r="202" customFormat="false" ht="15" hidden="false" customHeight="true" outlineLevel="0" collapsed="false">
      <c r="B202" s="115"/>
      <c r="C202" s="19"/>
      <c r="D202" s="21"/>
      <c r="E202" s="19"/>
      <c r="F202" s="114" t="str">
        <f aca="false">IF($C202="","",$C202&amp;"  |  "&amp;TEXT($B202,"yyyy-mm-dd"))</f>
        <v/>
      </c>
    </row>
    <row r="203" customFormat="false" ht="15" hidden="false" customHeight="true" outlineLevel="0" collapsed="false">
      <c r="B203" s="113"/>
      <c r="C203" s="13"/>
      <c r="D203" s="15"/>
      <c r="E203" s="13"/>
      <c r="F203" s="114" t="str">
        <f aca="false">IF($C203="","",$C203&amp;"  |  "&amp;TEXT($B203,"yyyy-mm-dd"))</f>
        <v/>
      </c>
    </row>
    <row r="204" customFormat="false" ht="15" hidden="false" customHeight="true" outlineLevel="0" collapsed="false">
      <c r="B204" s="115"/>
      <c r="C204" s="19"/>
      <c r="D204" s="21"/>
      <c r="E204" s="19"/>
      <c r="F204" s="114" t="str">
        <f aca="false">IF($C204="","",$C204&amp;"  |  "&amp;TEXT($B204,"yyyy-mm-dd"))</f>
        <v/>
      </c>
    </row>
    <row r="205" customFormat="false" ht="15" hidden="false" customHeight="true" outlineLevel="0" collapsed="false">
      <c r="B205" s="113"/>
      <c r="C205" s="13"/>
      <c r="D205" s="15"/>
      <c r="E205" s="13"/>
      <c r="F205" s="114" t="str">
        <f aca="false">IF($C205="","",$C205&amp;"  |  "&amp;TEXT($B205,"yyyy-mm-dd"))</f>
        <v/>
      </c>
    </row>
    <row r="206" customFormat="false" ht="15" hidden="false" customHeight="true" outlineLevel="0" collapsed="false">
      <c r="B206" s="115"/>
      <c r="C206" s="19"/>
      <c r="D206" s="21"/>
      <c r="E206" s="19"/>
      <c r="F206" s="114" t="str">
        <f aca="false">IF($C206="","",$C206&amp;"  |  "&amp;TEXT($B206,"yyyy-mm-dd"))</f>
        <v/>
      </c>
    </row>
    <row r="207" customFormat="false" ht="15" hidden="false" customHeight="true" outlineLevel="0" collapsed="false">
      <c r="B207" s="113"/>
      <c r="C207" s="13"/>
      <c r="D207" s="15"/>
      <c r="E207" s="13"/>
      <c r="F207" s="114" t="str">
        <f aca="false">IF($C207="","",$C207&amp;"  |  "&amp;TEXT($B207,"yyyy-mm-dd"))</f>
        <v/>
      </c>
    </row>
    <row r="208" customFormat="false" ht="15" hidden="false" customHeight="true" outlineLevel="0" collapsed="false">
      <c r="B208" s="115"/>
      <c r="C208" s="19"/>
      <c r="D208" s="21"/>
      <c r="E208" s="19"/>
      <c r="F208" s="114" t="str">
        <f aca="false">IF($C208="","",$C208&amp;"  |  "&amp;TEXT($B208,"yyyy-mm-dd"))</f>
        <v/>
      </c>
    </row>
    <row r="209" customFormat="false" ht="15" hidden="false" customHeight="true" outlineLevel="0" collapsed="false">
      <c r="B209" s="113"/>
      <c r="C209" s="13"/>
      <c r="D209" s="15"/>
      <c r="E209" s="13"/>
      <c r="F209" s="114" t="str">
        <f aca="false">IF($C209="","",$C209&amp;"  |  "&amp;TEXT($B209,"yyyy-mm-dd"))</f>
        <v/>
      </c>
    </row>
    <row r="210" customFormat="false" ht="15" hidden="false" customHeight="true" outlineLevel="0" collapsed="false">
      <c r="B210" s="115"/>
      <c r="C210" s="19"/>
      <c r="D210" s="21"/>
      <c r="E210" s="19"/>
      <c r="F210" s="114" t="str">
        <f aca="false">IF($C210="","",$C210&amp;"  |  "&amp;TEXT($B210,"yyyy-mm-dd"))</f>
        <v/>
      </c>
    </row>
    <row r="211" customFormat="false" ht="15" hidden="false" customHeight="true" outlineLevel="0" collapsed="false">
      <c r="B211" s="113"/>
      <c r="C211" s="13"/>
      <c r="D211" s="15"/>
      <c r="E211" s="13"/>
      <c r="F211" s="114" t="str">
        <f aca="false">IF($C211="","",$C211&amp;"  |  "&amp;TEXT($B211,"yyyy-mm-dd"))</f>
        <v/>
      </c>
    </row>
    <row r="212" customFormat="false" ht="15" hidden="false" customHeight="true" outlineLevel="0" collapsed="false">
      <c r="B212" s="115"/>
      <c r="C212" s="19"/>
      <c r="D212" s="21"/>
      <c r="E212" s="19"/>
      <c r="F212" s="114" t="str">
        <f aca="false">IF($C212="","",$C212&amp;"  |  "&amp;TEXT($B212,"yyyy-mm-dd"))</f>
        <v/>
      </c>
    </row>
    <row r="213" customFormat="false" ht="15" hidden="false" customHeight="true" outlineLevel="0" collapsed="false">
      <c r="B213" s="113"/>
      <c r="C213" s="13"/>
      <c r="D213" s="15"/>
      <c r="E213" s="13"/>
      <c r="F213" s="114" t="str">
        <f aca="false">IF($C213="","",$C213&amp;"  |  "&amp;TEXT($B213,"yyyy-mm-dd"))</f>
        <v/>
      </c>
    </row>
    <row r="214" customFormat="false" ht="15" hidden="false" customHeight="true" outlineLevel="0" collapsed="false">
      <c r="B214" s="115"/>
      <c r="C214" s="19"/>
      <c r="D214" s="21"/>
      <c r="E214" s="19"/>
      <c r="F214" s="114" t="str">
        <f aca="false">IF($C214="","",$C214&amp;"  |  "&amp;TEXT($B214,"yyyy-mm-dd"))</f>
        <v/>
      </c>
    </row>
    <row r="215" customFormat="false" ht="15" hidden="false" customHeight="true" outlineLevel="0" collapsed="false">
      <c r="B215" s="113"/>
      <c r="C215" s="13"/>
      <c r="D215" s="15"/>
      <c r="E215" s="13"/>
      <c r="F215" s="114" t="str">
        <f aca="false">IF($C215="","",$C215&amp;"  |  "&amp;TEXT($B215,"yyyy-mm-dd"))</f>
        <v/>
      </c>
    </row>
    <row r="216" customFormat="false" ht="15" hidden="false" customHeight="true" outlineLevel="0" collapsed="false">
      <c r="B216" s="115"/>
      <c r="C216" s="19"/>
      <c r="D216" s="21"/>
      <c r="E216" s="19"/>
      <c r="F216" s="114" t="str">
        <f aca="false">IF($C216="","",$C216&amp;"  |  "&amp;TEXT($B216,"yyyy-mm-dd"))</f>
        <v/>
      </c>
    </row>
    <row r="217" customFormat="false" ht="15" hidden="false" customHeight="true" outlineLevel="0" collapsed="false">
      <c r="B217" s="113"/>
      <c r="C217" s="13"/>
      <c r="D217" s="15"/>
      <c r="E217" s="13"/>
      <c r="F217" s="114" t="str">
        <f aca="false">IF($C217="","",$C217&amp;"  |  "&amp;TEXT($B217,"yyyy-mm-dd"))</f>
        <v/>
      </c>
    </row>
    <row r="218" customFormat="false" ht="15" hidden="false" customHeight="true" outlineLevel="0" collapsed="false">
      <c r="B218" s="115"/>
      <c r="C218" s="19"/>
      <c r="D218" s="21"/>
      <c r="E218" s="19"/>
      <c r="F218" s="114" t="str">
        <f aca="false">IF($C218="","",$C218&amp;"  |  "&amp;TEXT($B218,"yyyy-mm-dd"))</f>
        <v/>
      </c>
    </row>
    <row r="219" customFormat="false" ht="15" hidden="false" customHeight="true" outlineLevel="0" collapsed="false">
      <c r="B219" s="113"/>
      <c r="C219" s="13"/>
      <c r="D219" s="15"/>
      <c r="E219" s="13"/>
      <c r="F219" s="114" t="str">
        <f aca="false">IF($C219="","",$C219&amp;"  |  "&amp;TEXT($B219,"yyyy-mm-dd"))</f>
        <v/>
      </c>
    </row>
    <row r="220" customFormat="false" ht="15" hidden="false" customHeight="true" outlineLevel="0" collapsed="false">
      <c r="B220" s="115"/>
      <c r="C220" s="19"/>
      <c r="D220" s="21"/>
      <c r="E220" s="19"/>
      <c r="F220" s="114" t="str">
        <f aca="false">IF($C220="","",$C220&amp;"  |  "&amp;TEXT($B220,"yyyy-mm-dd"))</f>
        <v/>
      </c>
    </row>
    <row r="221" customFormat="false" ht="15" hidden="false" customHeight="true" outlineLevel="0" collapsed="false">
      <c r="B221" s="113"/>
      <c r="C221" s="13"/>
      <c r="D221" s="15"/>
      <c r="E221" s="13"/>
      <c r="F221" s="114" t="str">
        <f aca="false">IF($C221="","",$C221&amp;"  |  "&amp;TEXT($B221,"yyyy-mm-dd"))</f>
        <v/>
      </c>
    </row>
    <row r="222" customFormat="false" ht="15" hidden="false" customHeight="true" outlineLevel="0" collapsed="false">
      <c r="B222" s="115"/>
      <c r="C222" s="19"/>
      <c r="D222" s="21"/>
      <c r="E222" s="19"/>
      <c r="F222" s="114" t="str">
        <f aca="false">IF($C222="","",$C222&amp;"  |  "&amp;TEXT($B222,"yyyy-mm-dd"))</f>
        <v/>
      </c>
    </row>
    <row r="223" customFormat="false" ht="15" hidden="false" customHeight="true" outlineLevel="0" collapsed="false">
      <c r="B223" s="113"/>
      <c r="C223" s="13"/>
      <c r="D223" s="15"/>
      <c r="E223" s="13"/>
      <c r="F223" s="114" t="str">
        <f aca="false">IF($C223="","",$C223&amp;"  |  "&amp;TEXT($B223,"yyyy-mm-dd"))</f>
        <v/>
      </c>
    </row>
    <row r="224" customFormat="false" ht="15" hidden="false" customHeight="true" outlineLevel="0" collapsed="false">
      <c r="B224" s="115"/>
      <c r="C224" s="19"/>
      <c r="D224" s="21"/>
      <c r="E224" s="19"/>
      <c r="F224" s="114" t="str">
        <f aca="false">IF($C224="","",$C224&amp;"  |  "&amp;TEXT($B224,"yyyy-mm-dd"))</f>
        <v/>
      </c>
    </row>
    <row r="225" customFormat="false" ht="15" hidden="false" customHeight="true" outlineLevel="0" collapsed="false">
      <c r="B225" s="113"/>
      <c r="C225" s="13"/>
      <c r="D225" s="15"/>
      <c r="E225" s="13"/>
      <c r="F225" s="114" t="str">
        <f aca="false">IF($C225="","",$C225&amp;"  |  "&amp;TEXT($B225,"yyyy-mm-dd"))</f>
        <v/>
      </c>
    </row>
    <row r="226" customFormat="false" ht="15" hidden="false" customHeight="true" outlineLevel="0" collapsed="false">
      <c r="B226" s="115"/>
      <c r="C226" s="19"/>
      <c r="D226" s="21"/>
      <c r="E226" s="19"/>
      <c r="F226" s="114" t="str">
        <f aca="false">IF($C226="","",$C226&amp;"  |  "&amp;TEXT($B226,"yyyy-mm-dd"))</f>
        <v/>
      </c>
    </row>
    <row r="227" customFormat="false" ht="15" hidden="false" customHeight="true" outlineLevel="0" collapsed="false">
      <c r="B227" s="113"/>
      <c r="C227" s="13"/>
      <c r="D227" s="15"/>
      <c r="E227" s="13"/>
      <c r="F227" s="114" t="str">
        <f aca="false">IF($C227="","",$C227&amp;"  |  "&amp;TEXT($B227,"yyyy-mm-dd"))</f>
        <v/>
      </c>
    </row>
    <row r="228" customFormat="false" ht="15" hidden="false" customHeight="true" outlineLevel="0" collapsed="false">
      <c r="B228" s="115"/>
      <c r="C228" s="19"/>
      <c r="D228" s="21"/>
      <c r="E228" s="19"/>
      <c r="F228" s="114" t="str">
        <f aca="false">IF($C228="","",$C228&amp;"  |  "&amp;TEXT($B228,"yyyy-mm-dd"))</f>
        <v/>
      </c>
    </row>
    <row r="229" customFormat="false" ht="15" hidden="false" customHeight="true" outlineLevel="0" collapsed="false">
      <c r="B229" s="113"/>
      <c r="C229" s="13"/>
      <c r="D229" s="15"/>
      <c r="E229" s="13"/>
      <c r="F229" s="114" t="str">
        <f aca="false">IF($C229="","",$C229&amp;"  |  "&amp;TEXT($B229,"yyyy-mm-dd"))</f>
        <v/>
      </c>
    </row>
    <row r="230" customFormat="false" ht="15" hidden="false" customHeight="true" outlineLevel="0" collapsed="false">
      <c r="B230" s="115"/>
      <c r="C230" s="19"/>
      <c r="D230" s="21"/>
      <c r="E230" s="19"/>
      <c r="F230" s="114" t="str">
        <f aca="false">IF($C230="","",$C230&amp;"  |  "&amp;TEXT($B230,"yyyy-mm-dd"))</f>
        <v/>
      </c>
    </row>
    <row r="231" customFormat="false" ht="15" hidden="false" customHeight="true" outlineLevel="0" collapsed="false">
      <c r="B231" s="113"/>
      <c r="C231" s="13"/>
      <c r="D231" s="15"/>
      <c r="E231" s="13"/>
      <c r="F231" s="114" t="str">
        <f aca="false">IF($C231="","",$C231&amp;"  |  "&amp;TEXT($B231,"yyyy-mm-dd"))</f>
        <v/>
      </c>
    </row>
    <row r="232" customFormat="false" ht="15" hidden="false" customHeight="true" outlineLevel="0" collapsed="false">
      <c r="B232" s="115"/>
      <c r="C232" s="19"/>
      <c r="D232" s="21"/>
      <c r="E232" s="19"/>
      <c r="F232" s="114" t="str">
        <f aca="false">IF($C232="","",$C232&amp;"  |  "&amp;TEXT($B232,"yyyy-mm-dd"))</f>
        <v/>
      </c>
    </row>
    <row r="233" customFormat="false" ht="15" hidden="false" customHeight="true" outlineLevel="0" collapsed="false">
      <c r="B233" s="113"/>
      <c r="C233" s="13"/>
      <c r="D233" s="15"/>
      <c r="E233" s="13"/>
      <c r="F233" s="114" t="str">
        <f aca="false">IF($C233="","",$C233&amp;"  |  "&amp;TEXT($B233,"yyyy-mm-dd"))</f>
        <v/>
      </c>
    </row>
    <row r="234" customFormat="false" ht="15" hidden="false" customHeight="true" outlineLevel="0" collapsed="false">
      <c r="B234" s="115"/>
      <c r="C234" s="19"/>
      <c r="D234" s="21"/>
      <c r="E234" s="19"/>
      <c r="F234" s="114" t="str">
        <f aca="false">IF($C234="","",$C234&amp;"  |  "&amp;TEXT($B234,"yyyy-mm-dd"))</f>
        <v/>
      </c>
    </row>
    <row r="235" customFormat="false" ht="15" hidden="false" customHeight="true" outlineLevel="0" collapsed="false">
      <c r="B235" s="113"/>
      <c r="C235" s="13"/>
      <c r="D235" s="15"/>
      <c r="E235" s="13"/>
      <c r="F235" s="114" t="str">
        <f aca="false">IF($C235="","",$C235&amp;"  |  "&amp;TEXT($B235,"yyyy-mm-dd"))</f>
        <v/>
      </c>
    </row>
    <row r="236" customFormat="false" ht="15" hidden="false" customHeight="true" outlineLevel="0" collapsed="false">
      <c r="B236" s="115"/>
      <c r="C236" s="19"/>
      <c r="D236" s="21"/>
      <c r="E236" s="19"/>
      <c r="F236" s="114" t="str">
        <f aca="false">IF($C236="","",$C236&amp;"  |  "&amp;TEXT($B236,"yyyy-mm-dd"))</f>
        <v/>
      </c>
    </row>
    <row r="237" customFormat="false" ht="15" hidden="false" customHeight="true" outlineLevel="0" collapsed="false">
      <c r="B237" s="113"/>
      <c r="C237" s="13"/>
      <c r="D237" s="15"/>
      <c r="E237" s="13"/>
      <c r="F237" s="114" t="str">
        <f aca="false">IF($C237="","",$C237&amp;"  |  "&amp;TEXT($B237,"yyyy-mm-dd"))</f>
        <v/>
      </c>
    </row>
    <row r="238" customFormat="false" ht="15" hidden="false" customHeight="true" outlineLevel="0" collapsed="false">
      <c r="B238" s="115"/>
      <c r="C238" s="19"/>
      <c r="D238" s="21"/>
      <c r="E238" s="19"/>
      <c r="F238" s="114" t="str">
        <f aca="false">IF($C238="","",$C238&amp;"  |  "&amp;TEXT($B238,"yyyy-mm-dd"))</f>
        <v/>
      </c>
    </row>
    <row r="239" customFormat="false" ht="15" hidden="false" customHeight="true" outlineLevel="0" collapsed="false">
      <c r="B239" s="113"/>
      <c r="C239" s="13"/>
      <c r="D239" s="15"/>
      <c r="E239" s="13"/>
      <c r="F239" s="114" t="str">
        <f aca="false">IF($C239="","",$C239&amp;"  |  "&amp;TEXT($B239,"yyyy-mm-dd"))</f>
        <v/>
      </c>
    </row>
    <row r="240" customFormat="false" ht="15" hidden="false" customHeight="true" outlineLevel="0" collapsed="false">
      <c r="B240" s="115"/>
      <c r="C240" s="19"/>
      <c r="D240" s="21"/>
      <c r="E240" s="19"/>
      <c r="F240" s="114" t="str">
        <f aca="false">IF($C240="","",$C240&amp;"  |  "&amp;TEXT($B240,"yyyy-mm-dd"))</f>
        <v/>
      </c>
    </row>
    <row r="241" customFormat="false" ht="15" hidden="false" customHeight="true" outlineLevel="0" collapsed="false">
      <c r="B241" s="113"/>
      <c r="C241" s="13"/>
      <c r="D241" s="15"/>
      <c r="E241" s="13"/>
      <c r="F241" s="114" t="str">
        <f aca="false">IF($C241="","",$C241&amp;"  |  "&amp;TEXT($B241,"yyyy-mm-dd"))</f>
        <v/>
      </c>
    </row>
    <row r="242" customFormat="false" ht="15" hidden="false" customHeight="true" outlineLevel="0" collapsed="false">
      <c r="B242" s="115"/>
      <c r="C242" s="19"/>
      <c r="D242" s="21"/>
      <c r="E242" s="19"/>
      <c r="F242" s="114" t="str">
        <f aca="false">IF($C242="","",$C242&amp;"  |  "&amp;TEXT($B242,"yyyy-mm-dd"))</f>
        <v/>
      </c>
    </row>
    <row r="243" customFormat="false" ht="15" hidden="false" customHeight="true" outlineLevel="0" collapsed="false">
      <c r="B243" s="113"/>
      <c r="C243" s="13"/>
      <c r="D243" s="15"/>
      <c r="E243" s="13"/>
      <c r="F243" s="114" t="str">
        <f aca="false">IF($C243="","",$C243&amp;"  |  "&amp;TEXT($B243,"yyyy-mm-dd"))</f>
        <v/>
      </c>
    </row>
    <row r="244" customFormat="false" ht="15" hidden="false" customHeight="true" outlineLevel="0" collapsed="false">
      <c r="B244" s="115"/>
      <c r="C244" s="19"/>
      <c r="D244" s="21"/>
      <c r="E244" s="19"/>
      <c r="F244" s="114" t="str">
        <f aca="false">IF($C244="","",$C244&amp;"  |  "&amp;TEXT($B244,"yyyy-mm-dd"))</f>
        <v/>
      </c>
    </row>
    <row r="245" customFormat="false" ht="15" hidden="false" customHeight="true" outlineLevel="0" collapsed="false">
      <c r="B245" s="113"/>
      <c r="C245" s="13"/>
      <c r="D245" s="15"/>
      <c r="E245" s="13"/>
      <c r="F245" s="114" t="str">
        <f aca="false">IF($C245="","",$C245&amp;"  |  "&amp;TEXT($B245,"yyyy-mm-dd"))</f>
        <v/>
      </c>
    </row>
    <row r="246" customFormat="false" ht="15" hidden="false" customHeight="true" outlineLevel="0" collapsed="false">
      <c r="B246" s="115"/>
      <c r="C246" s="19"/>
      <c r="D246" s="21"/>
      <c r="E246" s="19"/>
      <c r="F246" s="114" t="str">
        <f aca="false">IF($C246="","",$C246&amp;"  |  "&amp;TEXT($B246,"yyyy-mm-dd"))</f>
        <v/>
      </c>
    </row>
    <row r="247" customFormat="false" ht="15" hidden="false" customHeight="true" outlineLevel="0" collapsed="false">
      <c r="B247" s="113"/>
      <c r="C247" s="13"/>
      <c r="D247" s="15"/>
      <c r="E247" s="13"/>
      <c r="F247" s="114" t="str">
        <f aca="false">IF($C247="","",$C247&amp;"  |  "&amp;TEXT($B247,"yyyy-mm-dd"))</f>
        <v/>
      </c>
    </row>
    <row r="248" customFormat="false" ht="15" hidden="false" customHeight="true" outlineLevel="0" collapsed="false">
      <c r="B248" s="115"/>
      <c r="C248" s="19"/>
      <c r="D248" s="21"/>
      <c r="E248" s="19"/>
      <c r="F248" s="114" t="str">
        <f aca="false">IF($C248="","",$C248&amp;"  |  "&amp;TEXT($B248,"yyyy-mm-dd"))</f>
        <v/>
      </c>
    </row>
    <row r="249" customFormat="false" ht="15" hidden="false" customHeight="true" outlineLevel="0" collapsed="false">
      <c r="B249" s="113"/>
      <c r="C249" s="13"/>
      <c r="D249" s="15"/>
      <c r="E249" s="13"/>
      <c r="F249" s="114" t="str">
        <f aca="false">IF($C249="","",$C249&amp;"  |  "&amp;TEXT($B249,"yyyy-mm-dd"))</f>
        <v/>
      </c>
    </row>
    <row r="250" customFormat="false" ht="15" hidden="false" customHeight="true" outlineLevel="0" collapsed="false">
      <c r="B250" s="115"/>
      <c r="C250" s="19"/>
      <c r="D250" s="21"/>
      <c r="E250" s="19"/>
      <c r="F250" s="114" t="str">
        <f aca="false">IF($C250="","",$C250&amp;"  |  "&amp;TEXT($B250,"yyyy-mm-dd"))</f>
        <v/>
      </c>
    </row>
    <row r="251" customFormat="false" ht="15" hidden="false" customHeight="true" outlineLevel="0" collapsed="false">
      <c r="B251" s="113"/>
      <c r="C251" s="13"/>
      <c r="D251" s="15"/>
      <c r="E251" s="13"/>
      <c r="F251" s="114" t="str">
        <f aca="false">IF($C251="","",$C251&amp;"  |  "&amp;TEXT($B251,"yyyy-mm-dd"))</f>
        <v/>
      </c>
    </row>
    <row r="252" customFormat="false" ht="15" hidden="false" customHeight="true" outlineLevel="0" collapsed="false">
      <c r="B252" s="115"/>
      <c r="C252" s="19"/>
      <c r="D252" s="21"/>
      <c r="E252" s="19"/>
      <c r="F252" s="114" t="str">
        <f aca="false">IF($C252="","",$C252&amp;"  |  "&amp;TEXT($B252,"yyyy-mm-dd"))</f>
        <v/>
      </c>
    </row>
    <row r="253" customFormat="false" ht="15" hidden="false" customHeight="true" outlineLevel="0" collapsed="false">
      <c r="B253" s="113"/>
      <c r="C253" s="13"/>
      <c r="D253" s="15"/>
      <c r="E253" s="13"/>
      <c r="F253" s="114" t="str">
        <f aca="false">IF($C253="","",$C253&amp;"  |  "&amp;TEXT($B253,"yyyy-mm-dd"))</f>
        <v/>
      </c>
    </row>
    <row r="254" customFormat="false" ht="15" hidden="false" customHeight="true" outlineLevel="0" collapsed="false">
      <c r="B254" s="115"/>
      <c r="C254" s="19"/>
      <c r="D254" s="21"/>
      <c r="E254" s="19"/>
      <c r="F254" s="114" t="str">
        <f aca="false">IF($C254="","",$C254&amp;"  |  "&amp;TEXT($B254,"yyyy-mm-dd"))</f>
        <v/>
      </c>
    </row>
    <row r="255" customFormat="false" ht="15" hidden="false" customHeight="true" outlineLevel="0" collapsed="false">
      <c r="B255" s="113"/>
      <c r="C255" s="13"/>
      <c r="D255" s="15"/>
      <c r="E255" s="13"/>
      <c r="F255" s="114" t="str">
        <f aca="false">IF($C255="","",$C255&amp;"  |  "&amp;TEXT($B255,"yyyy-mm-dd"))</f>
        <v/>
      </c>
    </row>
    <row r="256" customFormat="false" ht="15" hidden="false" customHeight="true" outlineLevel="0" collapsed="false">
      <c r="B256" s="115"/>
      <c r="C256" s="19"/>
      <c r="D256" s="21"/>
      <c r="E256" s="19"/>
      <c r="F256" s="114" t="str">
        <f aca="false">IF($C256="","",$C256&amp;"  |  "&amp;TEXT($B256,"yyyy-mm-dd"))</f>
        <v/>
      </c>
    </row>
    <row r="257" customFormat="false" ht="15" hidden="false" customHeight="true" outlineLevel="0" collapsed="false">
      <c r="B257" s="113"/>
      <c r="C257" s="13"/>
      <c r="D257" s="15"/>
      <c r="E257" s="13"/>
      <c r="F257" s="114" t="str">
        <f aca="false">IF($C257="","",$C257&amp;"  |  "&amp;TEXT($B257,"yyyy-mm-dd"))</f>
        <v/>
      </c>
    </row>
    <row r="258" customFormat="false" ht="15" hidden="false" customHeight="true" outlineLevel="0" collapsed="false">
      <c r="B258" s="115"/>
      <c r="C258" s="19"/>
      <c r="D258" s="21"/>
      <c r="E258" s="19"/>
      <c r="F258" s="114" t="str">
        <f aca="false">IF($C258="","",$C258&amp;"  |  "&amp;TEXT($B258,"yyyy-mm-dd"))</f>
        <v/>
      </c>
    </row>
    <row r="259" customFormat="false" ht="15" hidden="false" customHeight="true" outlineLevel="0" collapsed="false">
      <c r="B259" s="113"/>
      <c r="C259" s="13"/>
      <c r="D259" s="15"/>
      <c r="E259" s="13"/>
      <c r="F259" s="114" t="str">
        <f aca="false">IF($C259="","",$C259&amp;"  |  "&amp;TEXT($B259,"yyyy-mm-dd"))</f>
        <v/>
      </c>
    </row>
    <row r="260" customFormat="false" ht="15" hidden="false" customHeight="true" outlineLevel="0" collapsed="false">
      <c r="B260" s="115"/>
      <c r="C260" s="19"/>
      <c r="D260" s="21"/>
      <c r="E260" s="19"/>
      <c r="F260" s="114" t="str">
        <f aca="false">IF($C260="","",$C260&amp;"  |  "&amp;TEXT($B260,"yyyy-mm-dd"))</f>
        <v/>
      </c>
    </row>
    <row r="261" customFormat="false" ht="15" hidden="false" customHeight="true" outlineLevel="0" collapsed="false">
      <c r="B261" s="113"/>
      <c r="C261" s="13"/>
      <c r="D261" s="15"/>
      <c r="E261" s="13"/>
      <c r="F261" s="114" t="str">
        <f aca="false">IF($C261="","",$C261&amp;"  |  "&amp;TEXT($B261,"yyyy-mm-dd"))</f>
        <v/>
      </c>
    </row>
    <row r="262" customFormat="false" ht="15" hidden="false" customHeight="true" outlineLevel="0" collapsed="false">
      <c r="B262" s="115"/>
      <c r="C262" s="19"/>
      <c r="D262" s="21"/>
      <c r="E262" s="19"/>
      <c r="F262" s="114" t="str">
        <f aca="false">IF($C262="","",$C262&amp;"  |  "&amp;TEXT($B262,"yyyy-mm-dd"))</f>
        <v/>
      </c>
    </row>
    <row r="263" customFormat="false" ht="15" hidden="false" customHeight="true" outlineLevel="0" collapsed="false">
      <c r="B263" s="113"/>
      <c r="C263" s="13"/>
      <c r="D263" s="15"/>
      <c r="E263" s="13"/>
      <c r="F263" s="114" t="str">
        <f aca="false">IF($C263="","",$C263&amp;"  |  "&amp;TEXT($B263,"yyyy-mm-dd"))</f>
        <v/>
      </c>
    </row>
    <row r="264" customFormat="false" ht="15" hidden="false" customHeight="true" outlineLevel="0" collapsed="false">
      <c r="B264" s="115"/>
      <c r="C264" s="19"/>
      <c r="D264" s="21"/>
      <c r="E264" s="19"/>
      <c r="F264" s="114" t="str">
        <f aca="false">IF($C264="","",$C264&amp;"  |  "&amp;TEXT($B264,"yyyy-mm-dd"))</f>
        <v/>
      </c>
    </row>
    <row r="265" customFormat="false" ht="15" hidden="false" customHeight="true" outlineLevel="0" collapsed="false">
      <c r="B265" s="113"/>
      <c r="C265" s="13"/>
      <c r="D265" s="15"/>
      <c r="E265" s="13"/>
      <c r="F265" s="114" t="str">
        <f aca="false">IF($C265="","",$C265&amp;"  |  "&amp;TEXT($B265,"yyyy-mm-dd"))</f>
        <v/>
      </c>
    </row>
    <row r="266" customFormat="false" ht="15" hidden="false" customHeight="true" outlineLevel="0" collapsed="false">
      <c r="B266" s="115"/>
      <c r="C266" s="19"/>
      <c r="D266" s="21"/>
      <c r="E266" s="19"/>
      <c r="F266" s="114" t="str">
        <f aca="false">IF($C266="","",$C266&amp;"  |  "&amp;TEXT($B266,"yyyy-mm-dd"))</f>
        <v/>
      </c>
    </row>
    <row r="267" customFormat="false" ht="15" hidden="false" customHeight="true" outlineLevel="0" collapsed="false">
      <c r="B267" s="113"/>
      <c r="C267" s="13"/>
      <c r="D267" s="15"/>
      <c r="E267" s="13"/>
      <c r="F267" s="114" t="str">
        <f aca="false">IF($C267="","",$C267&amp;"  |  "&amp;TEXT($B267,"yyyy-mm-dd"))</f>
        <v/>
      </c>
    </row>
    <row r="268" customFormat="false" ht="15" hidden="false" customHeight="true" outlineLevel="0" collapsed="false">
      <c r="B268" s="115"/>
      <c r="C268" s="19"/>
      <c r="D268" s="21"/>
      <c r="E268" s="19"/>
      <c r="F268" s="114" t="str">
        <f aca="false">IF($C268="","",$C268&amp;"  |  "&amp;TEXT($B268,"yyyy-mm-dd"))</f>
        <v/>
      </c>
    </row>
    <row r="269" customFormat="false" ht="15" hidden="false" customHeight="true" outlineLevel="0" collapsed="false">
      <c r="B269" s="113"/>
      <c r="C269" s="13"/>
      <c r="D269" s="15"/>
      <c r="E269" s="13"/>
      <c r="F269" s="114" t="str">
        <f aca="false">IF($C269="","",$C269&amp;"  |  "&amp;TEXT($B269,"yyyy-mm-dd"))</f>
        <v/>
      </c>
    </row>
    <row r="270" customFormat="false" ht="15" hidden="false" customHeight="true" outlineLevel="0" collapsed="false">
      <c r="B270" s="115"/>
      <c r="C270" s="19"/>
      <c r="D270" s="21"/>
      <c r="E270" s="19"/>
      <c r="F270" s="114" t="str">
        <f aca="false">IF($C270="","",$C270&amp;"  |  "&amp;TEXT($B270,"yyyy-mm-dd"))</f>
        <v/>
      </c>
    </row>
    <row r="271" customFormat="false" ht="15" hidden="false" customHeight="true" outlineLevel="0" collapsed="false">
      <c r="B271" s="113"/>
      <c r="C271" s="13"/>
      <c r="D271" s="15"/>
      <c r="E271" s="13"/>
      <c r="F271" s="114" t="str">
        <f aca="false">IF($C271="","",$C271&amp;"  |  "&amp;TEXT($B271,"yyyy-mm-dd"))</f>
        <v/>
      </c>
    </row>
    <row r="272" customFormat="false" ht="15" hidden="false" customHeight="true" outlineLevel="0" collapsed="false">
      <c r="B272" s="115"/>
      <c r="C272" s="19"/>
      <c r="D272" s="21"/>
      <c r="E272" s="19"/>
      <c r="F272" s="114" t="str">
        <f aca="false">IF($C272="","",$C272&amp;"  |  "&amp;TEXT($B272,"yyyy-mm-dd"))</f>
        <v/>
      </c>
    </row>
    <row r="273" customFormat="false" ht="15" hidden="false" customHeight="true" outlineLevel="0" collapsed="false">
      <c r="B273" s="113"/>
      <c r="C273" s="13"/>
      <c r="D273" s="15"/>
      <c r="E273" s="13"/>
      <c r="F273" s="114" t="str">
        <f aca="false">IF($C273="","",$C273&amp;"  |  "&amp;TEXT($B273,"yyyy-mm-dd"))</f>
        <v/>
      </c>
    </row>
    <row r="274" customFormat="false" ht="15" hidden="false" customHeight="true" outlineLevel="0" collapsed="false">
      <c r="B274" s="115"/>
      <c r="C274" s="19"/>
      <c r="D274" s="21"/>
      <c r="E274" s="19"/>
      <c r="F274" s="114" t="str">
        <f aca="false">IF($C274="","",$C274&amp;"  |  "&amp;TEXT($B274,"yyyy-mm-dd"))</f>
        <v/>
      </c>
    </row>
    <row r="275" customFormat="false" ht="15" hidden="false" customHeight="true" outlineLevel="0" collapsed="false">
      <c r="B275" s="113"/>
      <c r="C275" s="13"/>
      <c r="D275" s="15"/>
      <c r="E275" s="13"/>
      <c r="F275" s="114" t="str">
        <f aca="false">IF($C275="","",$C275&amp;"  |  "&amp;TEXT($B275,"yyyy-mm-dd"))</f>
        <v/>
      </c>
    </row>
    <row r="276" customFormat="false" ht="15" hidden="false" customHeight="true" outlineLevel="0" collapsed="false">
      <c r="B276" s="115"/>
      <c r="C276" s="19"/>
      <c r="D276" s="21"/>
      <c r="E276" s="19"/>
      <c r="F276" s="114" t="str">
        <f aca="false">IF($C276="","",$C276&amp;"  |  "&amp;TEXT($B276,"yyyy-mm-dd"))</f>
        <v/>
      </c>
    </row>
    <row r="277" customFormat="false" ht="15" hidden="false" customHeight="true" outlineLevel="0" collapsed="false">
      <c r="B277" s="113"/>
      <c r="C277" s="13"/>
      <c r="D277" s="15"/>
      <c r="E277" s="13"/>
      <c r="F277" s="114" t="str">
        <f aca="false">IF($C277="","",$C277&amp;"  |  "&amp;TEXT($B277,"yyyy-mm-dd"))</f>
        <v/>
      </c>
    </row>
    <row r="278" customFormat="false" ht="15" hidden="false" customHeight="true" outlineLevel="0" collapsed="false">
      <c r="B278" s="115"/>
      <c r="C278" s="19"/>
      <c r="D278" s="21"/>
      <c r="E278" s="19"/>
      <c r="F278" s="114" t="str">
        <f aca="false">IF($C278="","",$C278&amp;"  |  "&amp;TEXT($B278,"yyyy-mm-dd"))</f>
        <v/>
      </c>
    </row>
    <row r="279" customFormat="false" ht="15" hidden="false" customHeight="true" outlineLevel="0" collapsed="false">
      <c r="B279" s="113"/>
      <c r="C279" s="13"/>
      <c r="D279" s="15"/>
      <c r="E279" s="13"/>
      <c r="F279" s="114" t="str">
        <f aca="false">IF($C279="","",$C279&amp;"  |  "&amp;TEXT($B279,"yyyy-mm-dd"))</f>
        <v/>
      </c>
    </row>
    <row r="280" customFormat="false" ht="15" hidden="false" customHeight="true" outlineLevel="0" collapsed="false">
      <c r="B280" s="115"/>
      <c r="C280" s="19"/>
      <c r="D280" s="21"/>
      <c r="E280" s="19"/>
      <c r="F280" s="114" t="str">
        <f aca="false">IF($C280="","",$C280&amp;"  |  "&amp;TEXT($B280,"yyyy-mm-dd"))</f>
        <v/>
      </c>
    </row>
    <row r="281" customFormat="false" ht="15" hidden="false" customHeight="true" outlineLevel="0" collapsed="false">
      <c r="B281" s="113"/>
      <c r="C281" s="13"/>
      <c r="D281" s="15"/>
      <c r="E281" s="13"/>
      <c r="F281" s="114" t="str">
        <f aca="false">IF($C281="","",$C281&amp;"  |  "&amp;TEXT($B281,"yyyy-mm-dd"))</f>
        <v/>
      </c>
    </row>
    <row r="282" customFormat="false" ht="15" hidden="false" customHeight="true" outlineLevel="0" collapsed="false">
      <c r="B282" s="115"/>
      <c r="C282" s="19"/>
      <c r="D282" s="21"/>
      <c r="E282" s="19"/>
      <c r="F282" s="114" t="str">
        <f aca="false">IF($C282="","",$C282&amp;"  |  "&amp;TEXT($B282,"yyyy-mm-dd"))</f>
        <v/>
      </c>
    </row>
    <row r="283" customFormat="false" ht="15" hidden="false" customHeight="true" outlineLevel="0" collapsed="false">
      <c r="B283" s="113"/>
      <c r="C283" s="13"/>
      <c r="D283" s="15"/>
      <c r="E283" s="13"/>
      <c r="F283" s="114" t="str">
        <f aca="false">IF($C283="","",$C283&amp;"  |  "&amp;TEXT($B283,"yyyy-mm-dd"))</f>
        <v/>
      </c>
    </row>
    <row r="284" customFormat="false" ht="15" hidden="false" customHeight="true" outlineLevel="0" collapsed="false">
      <c r="B284" s="115"/>
      <c r="C284" s="19"/>
      <c r="D284" s="21"/>
      <c r="E284" s="19"/>
      <c r="F284" s="114" t="str">
        <f aca="false">IF($C284="","",$C284&amp;"  |  "&amp;TEXT($B284,"yyyy-mm-dd"))</f>
        <v/>
      </c>
    </row>
    <row r="285" customFormat="false" ht="15" hidden="false" customHeight="true" outlineLevel="0" collapsed="false">
      <c r="B285" s="113"/>
      <c r="C285" s="13"/>
      <c r="D285" s="15"/>
      <c r="E285" s="13"/>
      <c r="F285" s="114" t="str">
        <f aca="false">IF($C285="","",$C285&amp;"  |  "&amp;TEXT($B285,"yyyy-mm-dd"))</f>
        <v/>
      </c>
    </row>
    <row r="286" customFormat="false" ht="15" hidden="false" customHeight="true" outlineLevel="0" collapsed="false">
      <c r="B286" s="115"/>
      <c r="C286" s="19"/>
      <c r="D286" s="21"/>
      <c r="E286" s="19"/>
      <c r="F286" s="114" t="str">
        <f aca="false">IF($C286="","",$C286&amp;"  |  "&amp;TEXT($B286,"yyyy-mm-dd"))</f>
        <v/>
      </c>
    </row>
    <row r="287" customFormat="false" ht="15" hidden="false" customHeight="true" outlineLevel="0" collapsed="false">
      <c r="B287" s="113"/>
      <c r="C287" s="13"/>
      <c r="D287" s="15"/>
      <c r="E287" s="13"/>
      <c r="F287" s="114" t="str">
        <f aca="false">IF($C287="","",$C287&amp;"  |  "&amp;TEXT($B287,"yyyy-mm-dd"))</f>
        <v/>
      </c>
    </row>
    <row r="288" customFormat="false" ht="15" hidden="false" customHeight="true" outlineLevel="0" collapsed="false">
      <c r="B288" s="115"/>
      <c r="C288" s="19"/>
      <c r="D288" s="21"/>
      <c r="E288" s="19"/>
      <c r="F288" s="114" t="str">
        <f aca="false">IF($C288="","",$C288&amp;"  |  "&amp;TEXT($B288,"yyyy-mm-dd"))</f>
        <v/>
      </c>
    </row>
    <row r="289" customFormat="false" ht="15" hidden="false" customHeight="true" outlineLevel="0" collapsed="false">
      <c r="B289" s="113"/>
      <c r="C289" s="13"/>
      <c r="D289" s="15"/>
      <c r="E289" s="13"/>
      <c r="F289" s="114" t="str">
        <f aca="false">IF($C289="","",$C289&amp;"  |  "&amp;TEXT($B289,"yyyy-mm-dd"))</f>
        <v/>
      </c>
    </row>
    <row r="290" customFormat="false" ht="15" hidden="false" customHeight="true" outlineLevel="0" collapsed="false">
      <c r="B290" s="115"/>
      <c r="C290" s="19"/>
      <c r="D290" s="21"/>
      <c r="E290" s="19"/>
      <c r="F290" s="114" t="str">
        <f aca="false">IF($C290="","",$C290&amp;"  |  "&amp;TEXT($B290,"yyyy-mm-dd"))</f>
        <v/>
      </c>
    </row>
    <row r="291" customFormat="false" ht="15" hidden="false" customHeight="true" outlineLevel="0" collapsed="false">
      <c r="B291" s="113"/>
      <c r="C291" s="13"/>
      <c r="D291" s="15"/>
      <c r="E291" s="13"/>
      <c r="F291" s="114" t="str">
        <f aca="false">IF($C291="","",$C291&amp;"  |  "&amp;TEXT($B291,"yyyy-mm-dd"))</f>
        <v/>
      </c>
    </row>
    <row r="292" customFormat="false" ht="15" hidden="false" customHeight="true" outlineLevel="0" collapsed="false">
      <c r="B292" s="115"/>
      <c r="C292" s="19"/>
      <c r="D292" s="21"/>
      <c r="E292" s="19"/>
      <c r="F292" s="114" t="str">
        <f aca="false">IF($C292="","",$C292&amp;"  |  "&amp;TEXT($B292,"yyyy-mm-dd"))</f>
        <v/>
      </c>
    </row>
    <row r="293" customFormat="false" ht="15" hidden="false" customHeight="true" outlineLevel="0" collapsed="false">
      <c r="B293" s="113"/>
      <c r="C293" s="13"/>
      <c r="D293" s="15"/>
      <c r="E293" s="13"/>
      <c r="F293" s="114" t="str">
        <f aca="false">IF($C293="","",$C293&amp;"  |  "&amp;TEXT($B293,"yyyy-mm-dd"))</f>
        <v/>
      </c>
    </row>
    <row r="294" customFormat="false" ht="15" hidden="false" customHeight="true" outlineLevel="0" collapsed="false">
      <c r="B294" s="115"/>
      <c r="C294" s="19"/>
      <c r="D294" s="21"/>
      <c r="E294" s="19"/>
      <c r="F294" s="114" t="str">
        <f aca="false">IF($C294="","",$C294&amp;"  |  "&amp;TEXT($B294,"yyyy-mm-dd"))</f>
        <v/>
      </c>
    </row>
    <row r="295" customFormat="false" ht="15" hidden="false" customHeight="true" outlineLevel="0" collapsed="false">
      <c r="B295" s="113"/>
      <c r="C295" s="13"/>
      <c r="D295" s="15"/>
      <c r="E295" s="13"/>
      <c r="F295" s="114" t="str">
        <f aca="false">IF($C295="","",$C295&amp;"  |  "&amp;TEXT($B295,"yyyy-mm-dd"))</f>
        <v/>
      </c>
    </row>
    <row r="296" customFormat="false" ht="15" hidden="false" customHeight="true" outlineLevel="0" collapsed="false">
      <c r="B296" s="115"/>
      <c r="C296" s="19"/>
      <c r="D296" s="21"/>
      <c r="E296" s="19"/>
      <c r="F296" s="114" t="str">
        <f aca="false">IF($C296="","",$C296&amp;"  |  "&amp;TEXT($B296,"yyyy-mm-dd"))</f>
        <v/>
      </c>
    </row>
    <row r="297" customFormat="false" ht="15" hidden="false" customHeight="true" outlineLevel="0" collapsed="false">
      <c r="B297" s="113"/>
      <c r="C297" s="13"/>
      <c r="D297" s="15"/>
      <c r="E297" s="13"/>
      <c r="F297" s="114" t="str">
        <f aca="false">IF($C297="","",$C297&amp;"  |  "&amp;TEXT($B297,"yyyy-mm-dd"))</f>
        <v/>
      </c>
    </row>
    <row r="298" customFormat="false" ht="15" hidden="false" customHeight="true" outlineLevel="0" collapsed="false">
      <c r="B298" s="115"/>
      <c r="C298" s="19"/>
      <c r="D298" s="21"/>
      <c r="E298" s="19"/>
      <c r="F298" s="114" t="str">
        <f aca="false">IF($C298="","",$C298&amp;"  |  "&amp;TEXT($B298,"yyyy-mm-dd"))</f>
        <v/>
      </c>
    </row>
    <row r="299" customFormat="false" ht="15" hidden="false" customHeight="true" outlineLevel="0" collapsed="false">
      <c r="B299" s="113"/>
      <c r="C299" s="13"/>
      <c r="D299" s="15"/>
      <c r="E299" s="13"/>
      <c r="F299" s="114" t="str">
        <f aca="false">IF($C299="","",$C299&amp;"  |  "&amp;TEXT($B299,"yyyy-mm-dd"))</f>
        <v/>
      </c>
    </row>
    <row r="300" customFormat="false" ht="15" hidden="false" customHeight="true" outlineLevel="0" collapsed="false">
      <c r="B300" s="115"/>
      <c r="C300" s="19"/>
      <c r="D300" s="21"/>
      <c r="E300" s="19"/>
      <c r="F300" s="114" t="str">
        <f aca="false">IF($C300="","",$C300&amp;"  |  "&amp;TEXT($B300,"yyyy-mm-dd"))</f>
        <v/>
      </c>
    </row>
    <row r="301" customFormat="false" ht="15" hidden="false" customHeight="true" outlineLevel="0" collapsed="false">
      <c r="B301" s="113"/>
      <c r="C301" s="13"/>
      <c r="D301" s="15"/>
      <c r="E301" s="13"/>
      <c r="F301" s="114" t="str">
        <f aca="false">IF($C301="","",$C301&amp;"  |  "&amp;TEXT($B301,"yyyy-mm-dd"))</f>
        <v/>
      </c>
    </row>
    <row r="302" customFormat="false" ht="15" hidden="false" customHeight="true" outlineLevel="0" collapsed="false">
      <c r="B302" s="115"/>
      <c r="C302" s="19"/>
      <c r="D302" s="21"/>
      <c r="E302" s="19"/>
      <c r="F302" s="114" t="str">
        <f aca="false">IF($C302="","",$C302&amp;"  |  "&amp;TEXT($B302,"yyyy-mm-dd"))</f>
        <v/>
      </c>
    </row>
    <row r="303" customFormat="false" ht="15" hidden="false" customHeight="true" outlineLevel="0" collapsed="false">
      <c r="B303" s="113"/>
      <c r="C303" s="13"/>
      <c r="D303" s="15"/>
      <c r="E303" s="13"/>
      <c r="F303" s="114" t="str">
        <f aca="false">IF($C303="","",$C303&amp;"  |  "&amp;TEXT($B303,"yyyy-mm-dd"))</f>
        <v/>
      </c>
    </row>
    <row r="304" customFormat="false" ht="15" hidden="false" customHeight="true" outlineLevel="0" collapsed="false">
      <c r="B304" s="115"/>
      <c r="C304" s="19"/>
      <c r="D304" s="21"/>
      <c r="E304" s="19"/>
      <c r="F304" s="114" t="str">
        <f aca="false">IF($C304="","",$C304&amp;"  |  "&amp;TEXT($B304,"yyyy-mm-dd"))</f>
        <v/>
      </c>
    </row>
    <row r="305" customFormat="false" ht="15" hidden="false" customHeight="true" outlineLevel="0" collapsed="false">
      <c r="B305" s="113"/>
      <c r="C305" s="13"/>
      <c r="D305" s="15"/>
      <c r="E305" s="13"/>
      <c r="F305" s="114" t="str">
        <f aca="false">IF($C305="","",$C305&amp;"  |  "&amp;TEXT($B305,"yyyy-mm-dd"))</f>
        <v/>
      </c>
    </row>
    <row r="306" customFormat="false" ht="15" hidden="false" customHeight="true" outlineLevel="0" collapsed="false">
      <c r="B306" s="115"/>
      <c r="C306" s="19"/>
      <c r="D306" s="21"/>
      <c r="E306" s="19"/>
      <c r="F306" s="114" t="str">
        <f aca="false">IF($C306="","",$C306&amp;"  |  "&amp;TEXT($B306,"yyyy-mm-dd"))</f>
        <v/>
      </c>
    </row>
    <row r="307" customFormat="false" ht="15" hidden="false" customHeight="true" outlineLevel="0" collapsed="false">
      <c r="B307" s="113"/>
      <c r="C307" s="13"/>
      <c r="D307" s="15"/>
      <c r="E307" s="13"/>
      <c r="F307" s="114" t="str">
        <f aca="false">IF($C307="","",$C307&amp;"  |  "&amp;TEXT($B307,"yyyy-mm-dd"))</f>
        <v/>
      </c>
    </row>
    <row r="308" customFormat="false" ht="15" hidden="false" customHeight="true" outlineLevel="0" collapsed="false">
      <c r="B308" s="115"/>
      <c r="C308" s="19"/>
      <c r="D308" s="21"/>
      <c r="E308" s="19"/>
      <c r="F308" s="114"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4.03"/>
    <col collapsed="false" customWidth="true" hidden="false" outlineLevel="0" max="3" min="3" style="1" width="16.95"/>
    <col collapsed="false" customWidth="true" hidden="false" outlineLevel="0" max="4" min="4" style="1" width="23.68"/>
    <col collapsed="false" customWidth="true" hidden="false" outlineLevel="0" max="5" min="5" style="1" width="18.43"/>
    <col collapsed="false" customWidth="true" hidden="false" outlineLevel="0" max="6" min="6" style="1" width="39.95"/>
  </cols>
  <sheetData>
    <row r="1" customFormat="false" ht="19.5" hidden="false" customHeight="true" outlineLevel="0" collapsed="false">
      <c r="B1" s="2" t="s">
        <v>224</v>
      </c>
    </row>
    <row r="2" customFormat="false" ht="15" hidden="false" customHeight="true" outlineLevel="0" collapsed="false">
      <c r="B2" s="3" t="s">
        <v>225</v>
      </c>
    </row>
    <row r="4" customFormat="false" ht="24" hidden="false" customHeight="true" outlineLevel="0" collapsed="false">
      <c r="B4" s="36" t="s">
        <v>226</v>
      </c>
      <c r="C4" s="36"/>
      <c r="D4" s="36"/>
      <c r="E4" s="36"/>
      <c r="F4" s="36"/>
    </row>
    <row r="5" customFormat="false" ht="24" hidden="false" customHeight="true" outlineLevel="0" collapsed="false">
      <c r="B5" s="36" t="s">
        <v>227</v>
      </c>
      <c r="C5" s="36"/>
      <c r="D5" s="36"/>
      <c r="E5" s="36"/>
      <c r="F5" s="36"/>
    </row>
    <row r="6" customFormat="false" ht="24" hidden="false" customHeight="true" outlineLevel="0" collapsed="false">
      <c r="B6" s="36" t="s">
        <v>228</v>
      </c>
      <c r="C6" s="36"/>
      <c r="D6" s="36"/>
      <c r="E6" s="36"/>
      <c r="F6" s="36"/>
    </row>
    <row r="8" customFormat="false" ht="15" hidden="false" customHeight="true" outlineLevel="0" collapsed="false">
      <c r="B8" s="112" t="s">
        <v>229</v>
      </c>
      <c r="C8" s="112" t="s">
        <v>149</v>
      </c>
      <c r="D8" s="112" t="s">
        <v>230</v>
      </c>
      <c r="E8" s="112" t="s">
        <v>231</v>
      </c>
      <c r="F8" s="112" t="s">
        <v>232</v>
      </c>
    </row>
    <row r="9" customFormat="false" ht="15" hidden="false" customHeight="true" outlineLevel="0" collapsed="false">
      <c r="B9" s="13" t="s">
        <v>66</v>
      </c>
      <c r="C9" s="113" t="n">
        <v>46273</v>
      </c>
      <c r="D9" s="113"/>
      <c r="E9" s="15" t="n">
        <v>183.69</v>
      </c>
      <c r="F9" s="13" t="s">
        <v>233</v>
      </c>
    </row>
    <row r="10" customFormat="false" ht="15" hidden="false" customHeight="true" outlineLevel="0" collapsed="false">
      <c r="B10" s="19" t="s">
        <v>234</v>
      </c>
      <c r="C10" s="115" t="n">
        <v>46283</v>
      </c>
      <c r="D10" s="115"/>
      <c r="E10" s="21" t="n">
        <v>642.12</v>
      </c>
      <c r="F10" s="19" t="s">
        <v>235</v>
      </c>
    </row>
    <row r="11" customFormat="false" ht="15" hidden="false" customHeight="true" outlineLevel="0" collapsed="false">
      <c r="B11" s="13"/>
      <c r="C11" s="113"/>
      <c r="D11" s="113"/>
      <c r="E11" s="15"/>
      <c r="F11" s="13"/>
    </row>
    <row r="12" customFormat="false" ht="15" hidden="false" customHeight="true" outlineLevel="0" collapsed="false">
      <c r="B12" s="19"/>
      <c r="C12" s="115"/>
      <c r="D12" s="115"/>
      <c r="E12" s="21"/>
      <c r="F12" s="19"/>
    </row>
    <row r="13" customFormat="false" ht="15" hidden="false" customHeight="true" outlineLevel="0" collapsed="false">
      <c r="B13" s="13"/>
      <c r="C13" s="113"/>
      <c r="D13" s="113"/>
      <c r="E13" s="15"/>
      <c r="F13" s="13"/>
    </row>
    <row r="14" customFormat="false" ht="15" hidden="false" customHeight="true" outlineLevel="0" collapsed="false">
      <c r="B14" s="19"/>
      <c r="C14" s="115"/>
      <c r="D14" s="115"/>
      <c r="E14" s="21"/>
      <c r="F14" s="19"/>
    </row>
    <row r="15" customFormat="false" ht="15" hidden="false" customHeight="true" outlineLevel="0" collapsed="false">
      <c r="B15" s="13"/>
      <c r="C15" s="113"/>
      <c r="D15" s="113"/>
      <c r="E15" s="15"/>
      <c r="F15" s="13"/>
    </row>
    <row r="16" customFormat="false" ht="15" hidden="false" customHeight="true" outlineLevel="0" collapsed="false">
      <c r="B16" s="19"/>
      <c r="C16" s="115"/>
      <c r="D16" s="115"/>
      <c r="E16" s="21"/>
      <c r="F16" s="19"/>
    </row>
    <row r="17" customFormat="false" ht="15" hidden="false" customHeight="true" outlineLevel="0" collapsed="false">
      <c r="B17" s="13"/>
      <c r="C17" s="113"/>
      <c r="D17" s="113"/>
      <c r="E17" s="15"/>
      <c r="F17" s="13"/>
    </row>
    <row r="18" customFormat="false" ht="15" hidden="false" customHeight="true" outlineLevel="0" collapsed="false">
      <c r="B18" s="19"/>
      <c r="C18" s="115"/>
      <c r="D18" s="115"/>
      <c r="E18" s="21"/>
      <c r="F18" s="19"/>
    </row>
    <row r="19" customFormat="false" ht="15" hidden="false" customHeight="true" outlineLevel="0" collapsed="false">
      <c r="B19" s="13"/>
      <c r="C19" s="113"/>
      <c r="D19" s="113"/>
      <c r="E19" s="15"/>
      <c r="F19" s="13"/>
    </row>
    <row r="20" customFormat="false" ht="15" hidden="false" customHeight="true" outlineLevel="0" collapsed="false">
      <c r="B20" s="19"/>
      <c r="C20" s="115" t="s">
        <v>236</v>
      </c>
      <c r="D20" s="115"/>
      <c r="E20" s="21"/>
      <c r="F20" s="19"/>
    </row>
    <row r="21" customFormat="false" ht="15" hidden="false" customHeight="true" outlineLevel="0" collapsed="false">
      <c r="B21" s="13"/>
      <c r="C21" s="113"/>
      <c r="D21" s="113"/>
      <c r="E21" s="15"/>
      <c r="F21" s="13"/>
    </row>
    <row r="22" customFormat="false" ht="15" hidden="false" customHeight="true" outlineLevel="0" collapsed="false">
      <c r="B22" s="19"/>
      <c r="C22" s="115"/>
      <c r="D22" s="115"/>
      <c r="E22" s="21"/>
      <c r="F22" s="19"/>
    </row>
    <row r="23" customFormat="false" ht="15" hidden="false" customHeight="true" outlineLevel="0" collapsed="false">
      <c r="B23" s="13"/>
      <c r="C23" s="113"/>
      <c r="D23" s="113"/>
      <c r="E23" s="15"/>
      <c r="F23" s="13"/>
    </row>
    <row r="24" customFormat="false" ht="15" hidden="false" customHeight="true" outlineLevel="0" collapsed="false">
      <c r="B24" s="19"/>
      <c r="C24" s="115"/>
      <c r="D24" s="115"/>
      <c r="E24" s="21"/>
      <c r="F24" s="19"/>
    </row>
    <row r="25" customFormat="false" ht="15" hidden="false" customHeight="true" outlineLevel="0" collapsed="false">
      <c r="B25" s="13"/>
      <c r="C25" s="113"/>
      <c r="D25" s="113"/>
      <c r="E25" s="15"/>
      <c r="F25" s="13"/>
    </row>
    <row r="26" customFormat="false" ht="15" hidden="false" customHeight="true" outlineLevel="0" collapsed="false">
      <c r="B26" s="19"/>
      <c r="C26" s="115"/>
      <c r="D26" s="115"/>
      <c r="E26" s="21"/>
      <c r="F26" s="19"/>
    </row>
    <row r="27" customFormat="false" ht="15" hidden="false" customHeight="true" outlineLevel="0" collapsed="false">
      <c r="B27" s="13"/>
      <c r="C27" s="113"/>
      <c r="D27" s="113"/>
      <c r="E27" s="15"/>
      <c r="F27" s="13"/>
    </row>
    <row r="28" customFormat="false" ht="15" hidden="false" customHeight="true" outlineLevel="0" collapsed="false">
      <c r="B28" s="19"/>
      <c r="C28" s="115"/>
      <c r="D28" s="115"/>
      <c r="E28" s="21"/>
      <c r="F28" s="19"/>
    </row>
    <row r="29" customFormat="false" ht="15" hidden="false" customHeight="true" outlineLevel="0" collapsed="false">
      <c r="B29" s="13"/>
      <c r="C29" s="113"/>
      <c r="D29" s="113"/>
      <c r="E29" s="15"/>
      <c r="F29" s="13"/>
    </row>
    <row r="30" customFormat="false" ht="15" hidden="false" customHeight="true" outlineLevel="0" collapsed="false">
      <c r="B30" s="19"/>
      <c r="C30" s="115"/>
      <c r="D30" s="115"/>
      <c r="E30" s="21"/>
      <c r="F30" s="19"/>
    </row>
    <row r="31" customFormat="false" ht="15" hidden="false" customHeight="true" outlineLevel="0" collapsed="false">
      <c r="B31" s="13"/>
      <c r="C31" s="113"/>
      <c r="D31" s="113"/>
      <c r="E31" s="15"/>
      <c r="F31" s="13"/>
    </row>
    <row r="32" customFormat="false" ht="15" hidden="false" customHeight="true" outlineLevel="0" collapsed="false">
      <c r="B32" s="19"/>
      <c r="C32" s="115"/>
      <c r="D32" s="115"/>
      <c r="E32" s="21"/>
      <c r="F32" s="19"/>
    </row>
    <row r="33" customFormat="false" ht="15" hidden="false" customHeight="true" outlineLevel="0" collapsed="false">
      <c r="B33" s="13"/>
      <c r="C33" s="113"/>
      <c r="D33" s="113"/>
      <c r="E33" s="15"/>
      <c r="F33" s="13"/>
    </row>
    <row r="34" customFormat="false" ht="15" hidden="false" customHeight="true" outlineLevel="0" collapsed="false">
      <c r="B34" s="19"/>
      <c r="C34" s="115"/>
      <c r="D34" s="115"/>
      <c r="E34" s="21"/>
      <c r="F34" s="19"/>
    </row>
    <row r="35" customFormat="false" ht="15" hidden="false" customHeight="true" outlineLevel="0" collapsed="false">
      <c r="B35" s="13"/>
      <c r="C35" s="113"/>
      <c r="D35" s="113"/>
      <c r="E35" s="15"/>
      <c r="F35" s="13"/>
    </row>
    <row r="36" customFormat="false" ht="15" hidden="false" customHeight="true" outlineLevel="0" collapsed="false">
      <c r="B36" s="19"/>
      <c r="C36" s="115"/>
      <c r="D36" s="115"/>
      <c r="E36" s="21"/>
      <c r="F36" s="19"/>
    </row>
    <row r="37" customFormat="false" ht="15" hidden="false" customHeight="true" outlineLevel="0" collapsed="false">
      <c r="B37" s="13"/>
      <c r="C37" s="113"/>
      <c r="D37" s="113"/>
      <c r="E37" s="15"/>
      <c r="F37" s="13"/>
    </row>
    <row r="38" customFormat="false" ht="15" hidden="false" customHeight="true" outlineLevel="0" collapsed="false">
      <c r="B38" s="19"/>
      <c r="C38" s="115"/>
      <c r="D38" s="115"/>
      <c r="E38" s="21"/>
      <c r="F38" s="19"/>
    </row>
    <row r="39" customFormat="false" ht="15" hidden="false" customHeight="true" outlineLevel="0" collapsed="false">
      <c r="B39" s="13"/>
      <c r="C39" s="113"/>
      <c r="D39" s="113"/>
      <c r="E39" s="15"/>
      <c r="F39" s="13"/>
    </row>
    <row r="40" customFormat="false" ht="15" hidden="false" customHeight="true" outlineLevel="0" collapsed="false">
      <c r="B40" s="19"/>
      <c r="C40" s="115"/>
      <c r="D40" s="115"/>
      <c r="E40" s="21"/>
      <c r="F40" s="19"/>
    </row>
    <row r="41" customFormat="false" ht="15" hidden="false" customHeight="true" outlineLevel="0" collapsed="false">
      <c r="B41" s="13"/>
      <c r="C41" s="113"/>
      <c r="D41" s="113"/>
      <c r="E41" s="15"/>
      <c r="F41" s="13"/>
    </row>
    <row r="42" customFormat="false" ht="15" hidden="false" customHeight="true" outlineLevel="0" collapsed="false">
      <c r="B42" s="19"/>
      <c r="C42" s="115"/>
      <c r="D42" s="115"/>
      <c r="E42" s="21"/>
      <c r="F42" s="19"/>
    </row>
    <row r="43" customFormat="false" ht="15" hidden="false" customHeight="true" outlineLevel="0" collapsed="false">
      <c r="B43" s="13"/>
      <c r="C43" s="113"/>
      <c r="D43" s="113"/>
      <c r="E43" s="15"/>
      <c r="F43" s="13"/>
    </row>
    <row r="44" customFormat="false" ht="15" hidden="false" customHeight="true" outlineLevel="0" collapsed="false">
      <c r="B44" s="19"/>
      <c r="C44" s="115"/>
      <c r="D44" s="115"/>
      <c r="E44" s="21"/>
      <c r="F44" s="19"/>
    </row>
    <row r="45" customFormat="false" ht="15" hidden="false" customHeight="true" outlineLevel="0" collapsed="false">
      <c r="B45" s="13"/>
      <c r="C45" s="113"/>
      <c r="D45" s="113"/>
      <c r="E45" s="15"/>
      <c r="F45" s="13"/>
    </row>
    <row r="46" customFormat="false" ht="15" hidden="false" customHeight="true" outlineLevel="0" collapsed="false">
      <c r="B46" s="19"/>
      <c r="C46" s="115"/>
      <c r="D46" s="115"/>
      <c r="E46" s="21"/>
      <c r="F46" s="19"/>
    </row>
    <row r="47" customFormat="false" ht="15" hidden="false" customHeight="true" outlineLevel="0" collapsed="false">
      <c r="B47" s="13"/>
      <c r="C47" s="113"/>
      <c r="D47" s="113"/>
      <c r="E47" s="15"/>
      <c r="F47" s="13"/>
    </row>
    <row r="48" customFormat="false" ht="15" hidden="false" customHeight="true" outlineLevel="0" collapsed="false">
      <c r="B48" s="19"/>
      <c r="C48" s="115"/>
      <c r="D48" s="115"/>
      <c r="E48" s="21"/>
      <c r="F48" s="19"/>
    </row>
    <row r="49" customFormat="false" ht="15" hidden="false" customHeight="true" outlineLevel="0" collapsed="false">
      <c r="B49" s="13"/>
      <c r="C49" s="113"/>
      <c r="D49" s="113"/>
      <c r="E49" s="15"/>
      <c r="F49" s="13"/>
    </row>
    <row r="50" customFormat="false" ht="15" hidden="false" customHeight="true" outlineLevel="0" collapsed="false">
      <c r="B50" s="19"/>
      <c r="C50" s="115"/>
      <c r="D50" s="115"/>
      <c r="E50" s="21"/>
      <c r="F50" s="19"/>
    </row>
    <row r="51" customFormat="false" ht="15" hidden="false" customHeight="true" outlineLevel="0" collapsed="false">
      <c r="B51" s="13"/>
      <c r="C51" s="113"/>
      <c r="D51" s="113"/>
      <c r="E51" s="15"/>
      <c r="F51" s="13"/>
    </row>
    <row r="52" customFormat="false" ht="15" hidden="false" customHeight="true" outlineLevel="0" collapsed="false">
      <c r="B52" s="19"/>
      <c r="C52" s="115"/>
      <c r="D52" s="115"/>
      <c r="E52" s="21"/>
      <c r="F52" s="19"/>
    </row>
    <row r="53" customFormat="false" ht="15" hidden="false" customHeight="true" outlineLevel="0" collapsed="false">
      <c r="B53" s="13"/>
      <c r="C53" s="113"/>
      <c r="D53" s="113"/>
      <c r="E53" s="15"/>
      <c r="F53" s="13"/>
    </row>
    <row r="54" customFormat="false" ht="15" hidden="false" customHeight="true" outlineLevel="0" collapsed="false">
      <c r="B54" s="19"/>
      <c r="C54" s="115"/>
      <c r="D54" s="115"/>
      <c r="E54" s="21"/>
      <c r="F54" s="19"/>
    </row>
    <row r="55" customFormat="false" ht="15" hidden="false" customHeight="true" outlineLevel="0" collapsed="false">
      <c r="B55" s="13"/>
      <c r="C55" s="113"/>
      <c r="D55" s="113"/>
      <c r="E55" s="15"/>
      <c r="F55" s="13"/>
    </row>
    <row r="56" customFormat="false" ht="15" hidden="false" customHeight="true" outlineLevel="0" collapsed="false">
      <c r="B56" s="19"/>
      <c r="C56" s="115"/>
      <c r="D56" s="115"/>
      <c r="E56" s="21"/>
      <c r="F56" s="19"/>
    </row>
    <row r="57" customFormat="false" ht="15" hidden="false" customHeight="true" outlineLevel="0" collapsed="false">
      <c r="B57" s="13"/>
      <c r="C57" s="113"/>
      <c r="D57" s="113"/>
      <c r="E57" s="15"/>
      <c r="F57" s="13"/>
    </row>
    <row r="58" customFormat="false" ht="15" hidden="false" customHeight="true" outlineLevel="0" collapsed="false">
      <c r="B58" s="19"/>
      <c r="C58" s="115"/>
      <c r="D58" s="115"/>
      <c r="E58" s="21"/>
      <c r="F58" s="19"/>
    </row>
    <row r="59" customFormat="false" ht="15" hidden="false" customHeight="true" outlineLevel="0" collapsed="false">
      <c r="B59" s="13"/>
      <c r="C59" s="113"/>
      <c r="D59" s="113"/>
      <c r="E59" s="15"/>
      <c r="F59" s="13"/>
    </row>
    <row r="60" customFormat="false" ht="15" hidden="false" customHeight="true" outlineLevel="0" collapsed="false">
      <c r="B60" s="19"/>
      <c r="C60" s="115"/>
      <c r="D60" s="115"/>
      <c r="E60" s="21"/>
      <c r="F60" s="19"/>
    </row>
    <row r="61" customFormat="false" ht="15" hidden="false" customHeight="true" outlineLevel="0" collapsed="false">
      <c r="B61" s="13"/>
      <c r="C61" s="113"/>
      <c r="D61" s="113"/>
      <c r="E61" s="15"/>
      <c r="F61" s="13"/>
    </row>
    <row r="62" customFormat="false" ht="15" hidden="false" customHeight="true" outlineLevel="0" collapsed="false">
      <c r="B62" s="19"/>
      <c r="C62" s="115"/>
      <c r="D62" s="115"/>
      <c r="E62" s="21"/>
      <c r="F62" s="19"/>
    </row>
    <row r="63" customFormat="false" ht="15" hidden="false" customHeight="true" outlineLevel="0" collapsed="false">
      <c r="B63" s="13"/>
      <c r="C63" s="113"/>
      <c r="D63" s="113"/>
      <c r="E63" s="15"/>
      <c r="F63" s="13"/>
    </row>
    <row r="64" customFormat="false" ht="15" hidden="false" customHeight="true" outlineLevel="0" collapsed="false">
      <c r="B64" s="19"/>
      <c r="C64" s="115"/>
      <c r="D64" s="115"/>
      <c r="E64" s="21"/>
      <c r="F64" s="19"/>
    </row>
    <row r="65" customFormat="false" ht="15" hidden="false" customHeight="true" outlineLevel="0" collapsed="false">
      <c r="B65" s="13"/>
      <c r="C65" s="113"/>
      <c r="D65" s="113"/>
      <c r="E65" s="15"/>
      <c r="F65" s="13"/>
    </row>
    <row r="66" customFormat="false" ht="15" hidden="false" customHeight="true" outlineLevel="0" collapsed="false">
      <c r="B66" s="19"/>
      <c r="C66" s="115"/>
      <c r="D66" s="115"/>
      <c r="E66" s="21"/>
      <c r="F66" s="19"/>
    </row>
    <row r="67" customFormat="false" ht="15" hidden="false" customHeight="true" outlineLevel="0" collapsed="false">
      <c r="B67" s="13"/>
      <c r="C67" s="113"/>
      <c r="D67" s="113"/>
      <c r="E67" s="15"/>
      <c r="F67" s="13"/>
    </row>
    <row r="68" customFormat="false" ht="15" hidden="false" customHeight="true" outlineLevel="0" collapsed="false">
      <c r="B68" s="19"/>
      <c r="C68" s="115"/>
      <c r="D68" s="115"/>
      <c r="E68" s="21"/>
      <c r="F68" s="19"/>
    </row>
    <row r="69" customFormat="false" ht="15" hidden="false" customHeight="true" outlineLevel="0" collapsed="false">
      <c r="B69" s="13"/>
      <c r="C69" s="113"/>
      <c r="D69" s="113"/>
      <c r="E69" s="15"/>
      <c r="F69" s="13"/>
    </row>
    <row r="70" customFormat="false" ht="15" hidden="false" customHeight="true" outlineLevel="0" collapsed="false">
      <c r="B70" s="19"/>
      <c r="C70" s="115"/>
      <c r="D70" s="115"/>
      <c r="E70" s="21"/>
      <c r="F70" s="19"/>
    </row>
    <row r="71" customFormat="false" ht="15" hidden="false" customHeight="true" outlineLevel="0" collapsed="false">
      <c r="B71" s="13"/>
      <c r="C71" s="113"/>
      <c r="D71" s="113"/>
      <c r="E71" s="15"/>
      <c r="F71" s="13"/>
    </row>
    <row r="72" customFormat="false" ht="15" hidden="false" customHeight="true" outlineLevel="0" collapsed="false">
      <c r="B72" s="19"/>
      <c r="C72" s="115"/>
      <c r="D72" s="115"/>
      <c r="E72" s="21"/>
      <c r="F72" s="19"/>
    </row>
    <row r="73" customFormat="false" ht="15" hidden="false" customHeight="true" outlineLevel="0" collapsed="false">
      <c r="B73" s="13"/>
      <c r="C73" s="113"/>
      <c r="D73" s="113"/>
      <c r="E73" s="15"/>
      <c r="F73" s="13"/>
    </row>
    <row r="74" customFormat="false" ht="15" hidden="false" customHeight="true" outlineLevel="0" collapsed="false">
      <c r="B74" s="19"/>
      <c r="C74" s="115"/>
      <c r="D74" s="115"/>
      <c r="E74" s="21"/>
      <c r="F74" s="19"/>
    </row>
    <row r="75" customFormat="false" ht="15" hidden="false" customHeight="true" outlineLevel="0" collapsed="false">
      <c r="B75" s="13"/>
      <c r="C75" s="113"/>
      <c r="D75" s="113"/>
      <c r="E75" s="15"/>
      <c r="F75" s="13"/>
    </row>
    <row r="76" customFormat="false" ht="15" hidden="false" customHeight="true" outlineLevel="0" collapsed="false">
      <c r="B76" s="19"/>
      <c r="C76" s="115"/>
      <c r="D76" s="115"/>
      <c r="E76" s="21"/>
      <c r="F76" s="19"/>
    </row>
    <row r="77" customFormat="false" ht="15" hidden="false" customHeight="true" outlineLevel="0" collapsed="false">
      <c r="B77" s="13"/>
      <c r="C77" s="113"/>
      <c r="D77" s="113"/>
      <c r="E77" s="15"/>
      <c r="F77" s="13"/>
    </row>
    <row r="78" customFormat="false" ht="15" hidden="false" customHeight="true" outlineLevel="0" collapsed="false">
      <c r="B78" s="19"/>
      <c r="C78" s="115"/>
      <c r="D78" s="115"/>
      <c r="E78" s="21"/>
      <c r="F78" s="19"/>
    </row>
    <row r="79" customFormat="false" ht="15" hidden="false" customHeight="true" outlineLevel="0" collapsed="false">
      <c r="B79" s="13"/>
      <c r="C79" s="113"/>
      <c r="D79" s="113"/>
      <c r="E79" s="15"/>
      <c r="F79" s="13"/>
    </row>
    <row r="80" customFormat="false" ht="15" hidden="false" customHeight="true" outlineLevel="0" collapsed="false">
      <c r="B80" s="19"/>
      <c r="C80" s="115"/>
      <c r="D80" s="115"/>
      <c r="E80" s="21"/>
      <c r="F80" s="19"/>
    </row>
    <row r="81" customFormat="false" ht="15" hidden="false" customHeight="true" outlineLevel="0" collapsed="false">
      <c r="B81" s="13"/>
      <c r="C81" s="113"/>
      <c r="D81" s="113"/>
      <c r="E81" s="15"/>
      <c r="F81" s="13"/>
    </row>
    <row r="82" customFormat="false" ht="15" hidden="false" customHeight="true" outlineLevel="0" collapsed="false">
      <c r="B82" s="19"/>
      <c r="C82" s="115"/>
      <c r="D82" s="115"/>
      <c r="E82" s="21"/>
      <c r="F82" s="19"/>
    </row>
    <row r="83" customFormat="false" ht="15" hidden="false" customHeight="true" outlineLevel="0" collapsed="false">
      <c r="B83" s="13"/>
      <c r="C83" s="113"/>
      <c r="D83" s="113"/>
      <c r="E83" s="15"/>
      <c r="F83" s="13"/>
    </row>
    <row r="84" customFormat="false" ht="15" hidden="false" customHeight="true" outlineLevel="0" collapsed="false">
      <c r="B84" s="19"/>
      <c r="C84" s="115"/>
      <c r="D84" s="115"/>
      <c r="E84" s="21"/>
      <c r="F84" s="19"/>
    </row>
    <row r="85" customFormat="false" ht="15" hidden="false" customHeight="true" outlineLevel="0" collapsed="false">
      <c r="B85" s="13"/>
      <c r="C85" s="113"/>
      <c r="D85" s="113"/>
      <c r="E85" s="15"/>
      <c r="F85" s="13"/>
    </row>
    <row r="86" customFormat="false" ht="15" hidden="false" customHeight="true" outlineLevel="0" collapsed="false">
      <c r="B86" s="19"/>
      <c r="C86" s="115"/>
      <c r="D86" s="115"/>
      <c r="E86" s="21"/>
      <c r="F86" s="19"/>
    </row>
    <row r="87" customFormat="false" ht="15" hidden="false" customHeight="true" outlineLevel="0" collapsed="false">
      <c r="B87" s="13"/>
      <c r="C87" s="113"/>
      <c r="D87" s="113"/>
      <c r="E87" s="15"/>
      <c r="F87" s="13"/>
    </row>
    <row r="88" customFormat="false" ht="15" hidden="false" customHeight="true" outlineLevel="0" collapsed="false">
      <c r="B88" s="19"/>
      <c r="C88" s="115"/>
      <c r="D88" s="115"/>
      <c r="E88" s="21"/>
      <c r="F88" s="19"/>
    </row>
    <row r="89" customFormat="false" ht="15" hidden="false" customHeight="true" outlineLevel="0" collapsed="false">
      <c r="B89" s="13"/>
      <c r="C89" s="113"/>
      <c r="D89" s="113"/>
      <c r="E89" s="15"/>
      <c r="F89" s="13"/>
    </row>
    <row r="90" customFormat="false" ht="15" hidden="false" customHeight="true" outlineLevel="0" collapsed="false">
      <c r="B90" s="19"/>
      <c r="C90" s="115"/>
      <c r="D90" s="115"/>
      <c r="E90" s="21"/>
      <c r="F90" s="19"/>
    </row>
    <row r="91" customFormat="false" ht="15" hidden="false" customHeight="true" outlineLevel="0" collapsed="false">
      <c r="B91" s="13"/>
      <c r="C91" s="113"/>
      <c r="D91" s="113"/>
      <c r="E91" s="15"/>
      <c r="F91" s="13"/>
    </row>
    <row r="92" customFormat="false" ht="15" hidden="false" customHeight="true" outlineLevel="0" collapsed="false">
      <c r="B92" s="19"/>
      <c r="C92" s="115"/>
      <c r="D92" s="115"/>
      <c r="E92" s="21"/>
      <c r="F92" s="19"/>
    </row>
    <row r="93" customFormat="false" ht="15" hidden="false" customHeight="true" outlineLevel="0" collapsed="false">
      <c r="B93" s="13"/>
      <c r="C93" s="113"/>
      <c r="D93" s="113"/>
      <c r="E93" s="15"/>
      <c r="F93" s="13"/>
    </row>
    <row r="94" customFormat="false" ht="15" hidden="false" customHeight="true" outlineLevel="0" collapsed="false">
      <c r="B94" s="19"/>
      <c r="C94" s="115"/>
      <c r="D94" s="115"/>
      <c r="E94" s="21"/>
      <c r="F94" s="19"/>
    </row>
    <row r="95" customFormat="false" ht="15" hidden="false" customHeight="true" outlineLevel="0" collapsed="false">
      <c r="B95" s="13"/>
      <c r="C95" s="113"/>
      <c r="D95" s="113"/>
      <c r="E95" s="15"/>
      <c r="F95" s="13"/>
    </row>
    <row r="96" customFormat="false" ht="15" hidden="false" customHeight="true" outlineLevel="0" collapsed="false">
      <c r="B96" s="19"/>
      <c r="C96" s="115"/>
      <c r="D96" s="115"/>
      <c r="E96" s="21"/>
      <c r="F96" s="19"/>
    </row>
    <row r="97" customFormat="false" ht="15" hidden="false" customHeight="true" outlineLevel="0" collapsed="false">
      <c r="B97" s="13"/>
      <c r="C97" s="113"/>
      <c r="D97" s="113"/>
      <c r="E97" s="15"/>
      <c r="F97" s="13"/>
    </row>
    <row r="98" customFormat="false" ht="15" hidden="false" customHeight="true" outlineLevel="0" collapsed="false">
      <c r="B98" s="19"/>
      <c r="C98" s="115"/>
      <c r="D98" s="115"/>
      <c r="E98" s="21"/>
      <c r="F98" s="19"/>
    </row>
    <row r="99" customFormat="false" ht="15" hidden="false" customHeight="true" outlineLevel="0" collapsed="false">
      <c r="B99" s="13"/>
      <c r="C99" s="113"/>
      <c r="D99" s="113"/>
      <c r="E99" s="15"/>
      <c r="F99" s="13"/>
    </row>
    <row r="100" customFormat="false" ht="15" hidden="false" customHeight="true" outlineLevel="0" collapsed="false">
      <c r="B100" s="19"/>
      <c r="C100" s="115"/>
      <c r="D100" s="115"/>
      <c r="E100" s="21"/>
      <c r="F100" s="19"/>
    </row>
    <row r="101" customFormat="false" ht="15" hidden="false" customHeight="true" outlineLevel="0" collapsed="false">
      <c r="B101" s="13"/>
      <c r="C101" s="113"/>
      <c r="D101" s="113"/>
      <c r="E101" s="15"/>
      <c r="F101" s="13"/>
    </row>
    <row r="102" customFormat="false" ht="15" hidden="false" customHeight="true" outlineLevel="0" collapsed="false">
      <c r="B102" s="19"/>
      <c r="C102" s="115"/>
      <c r="D102" s="115"/>
      <c r="E102" s="21"/>
      <c r="F102" s="19"/>
    </row>
    <row r="103" customFormat="false" ht="15" hidden="false" customHeight="true" outlineLevel="0" collapsed="false">
      <c r="B103" s="13"/>
      <c r="C103" s="113"/>
      <c r="D103" s="113"/>
      <c r="E103" s="15"/>
      <c r="F103" s="13"/>
    </row>
    <row r="104" customFormat="false" ht="15" hidden="false" customHeight="true" outlineLevel="0" collapsed="false">
      <c r="B104" s="19"/>
      <c r="C104" s="115"/>
      <c r="D104" s="115"/>
      <c r="E104" s="21"/>
      <c r="F104" s="19"/>
    </row>
    <row r="105" customFormat="false" ht="15" hidden="false" customHeight="true" outlineLevel="0" collapsed="false">
      <c r="B105" s="13"/>
      <c r="C105" s="113"/>
      <c r="D105" s="113"/>
      <c r="E105" s="15"/>
      <c r="F105" s="13"/>
    </row>
    <row r="106" customFormat="false" ht="15" hidden="false" customHeight="true" outlineLevel="0" collapsed="false">
      <c r="B106" s="19"/>
      <c r="C106" s="115"/>
      <c r="D106" s="115"/>
      <c r="E106" s="21"/>
      <c r="F106" s="19"/>
    </row>
    <row r="107" customFormat="false" ht="15" hidden="false" customHeight="true" outlineLevel="0" collapsed="false">
      <c r="B107" s="13"/>
      <c r="C107" s="113"/>
      <c r="D107" s="113"/>
      <c r="E107" s="15"/>
      <c r="F107" s="13"/>
    </row>
    <row r="108" customFormat="false" ht="15" hidden="false" customHeight="true" outlineLevel="0" collapsed="false">
      <c r="B108" s="19"/>
      <c r="C108" s="115"/>
      <c r="D108" s="115"/>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09375" defaultRowHeight="15" zeroHeight="false" outlineLevelRow="0" outlineLevelCol="1"/>
  <cols>
    <col collapsed="false" customWidth="true" hidden="false" outlineLevel="0" max="2" min="1" style="1" width="6.99"/>
    <col collapsed="false" customWidth="true" hidden="false" outlineLevel="0" max="3" min="3" style="1" width="29.99"/>
    <col collapsed="false" customWidth="true" hidden="false" outlineLevel="0" max="4" min="4" style="1" width="11.03"/>
    <col collapsed="false" customWidth="true" hidden="false" outlineLevel="0" max="5" min="5" style="1" width="11.97"/>
    <col collapsed="false" customWidth="true" hidden="false" outlineLevel="0" max="7" min="6" style="1" width="13.99"/>
    <col collapsed="false" customWidth="true" hidden="false" outlineLevel="1" max="8" min="8" style="1" width="9.01"/>
    <col collapsed="false" customWidth="true" hidden="false" outlineLevel="1" max="9" min="9" style="1" width="7.94"/>
    <col collapsed="false" customWidth="true" hidden="false" outlineLevel="1" max="10" min="10" style="1" width="16.01"/>
    <col collapsed="false" customWidth="true" hidden="false" outlineLevel="1" max="11" min="11" style="1" width="11.97"/>
    <col collapsed="false" customWidth="true" hidden="false" outlineLevel="1" max="12" min="12" style="1" width="14.93"/>
    <col collapsed="false" customWidth="true" hidden="false" outlineLevel="1" max="14" min="13" style="1" width="13.99"/>
  </cols>
  <sheetData>
    <row r="1" customFormat="false" ht="17.25" hidden="false" customHeight="true" outlineLevel="0" collapsed="false">
      <c r="A1" s="116" t="s">
        <v>237</v>
      </c>
    </row>
    <row r="2" customFormat="false" ht="15" hidden="false" customHeight="true" outlineLevel="0" collapsed="false">
      <c r="A2" s="3" t="s">
        <v>238</v>
      </c>
    </row>
    <row r="3" customFormat="false" ht="15" hidden="false" customHeight="true" outlineLevel="0" collapsed="false">
      <c r="A3" s="112" t="s">
        <v>239</v>
      </c>
      <c r="B3" s="112" t="s">
        <v>240</v>
      </c>
      <c r="C3" s="112" t="s">
        <v>41</v>
      </c>
      <c r="D3" s="112" t="s">
        <v>42</v>
      </c>
      <c r="E3" s="112" t="s">
        <v>43</v>
      </c>
      <c r="F3" s="112" t="s">
        <v>241</v>
      </c>
      <c r="G3" s="112" t="s">
        <v>242</v>
      </c>
      <c r="H3" s="112" t="s">
        <v>243</v>
      </c>
      <c r="I3" s="112" t="s">
        <v>244</v>
      </c>
      <c r="J3" s="112" t="s">
        <v>245</v>
      </c>
      <c r="K3" s="112" t="s">
        <v>246</v>
      </c>
      <c r="L3" s="112" t="s">
        <v>247</v>
      </c>
      <c r="M3" s="112" t="s">
        <v>248</v>
      </c>
      <c r="N3" s="112" t="s">
        <v>249</v>
      </c>
    </row>
    <row r="4" customFormat="false" ht="15" hidden="false" customHeight="true" outlineLevel="0" collapsed="false">
      <c r="A4" s="117" t="n">
        <v>1</v>
      </c>
      <c r="B4" s="117" t="n">
        <v>1</v>
      </c>
      <c r="C4" s="8" t="str">
        <f aca="false">IF(OR(Recurring!$B$5="",Recurring!$H$5&lt;&gt;"Yes",Recurring!$D$5=""),"",Recurring!$B$5)</f>
        <v>Bruno's Restaurant (paycheck)</v>
      </c>
      <c r="D4" s="8" t="str">
        <f aca="false">IF($C4="","",Recurring!$C$5)</f>
        <v>Income</v>
      </c>
      <c r="E4" s="118" t="n">
        <f aca="false">IF($C4="","",IF(SUMIFS(Overrides!$E$9:$E$108,Overrides!$B$9:$B$108,$C4,Overrides!$C$9:$C$108,$L4)&gt;0,SUMIFS(Overrides!$E$9:$E$108,Overrides!$B$9:$B$108,$C4,Overrides!$C$9:$C$108,$L4),Recurring!$D$5))</f>
        <v>90</v>
      </c>
      <c r="F4" s="119"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19" t="n">
        <f aca="false">IF($L4="","",IF(SUMIFS(Overrides!$D$9:$D$108,Overrides!$B$9:$B$108,$C4,Overrides!$C$9:$C$108,$L4)&gt;0,SUMIFS(Overrides!$D$9:$D$108,Overrides!$B$9:$B$108,$C4,Overrides!$C$9:$C$108,$L4),$L4))</f>
        <v>46253</v>
      </c>
      <c r="H4" s="120" t="n">
        <f aca="false">IF($G4="",0,IF(AND($G4&gt;='Cash Flow'!$E$6-90,$G4&lt;'Cash Flow'!$E$6+91),1,0))</f>
        <v>1</v>
      </c>
      <c r="I4" s="120" t="n">
        <f aca="false">IF($H4=1,MAX(1,INT(($G4-'Cash Flow'!$E$6)/7)+1),"")</f>
        <v>1</v>
      </c>
      <c r="J4" s="8" t="n">
        <f aca="false">IF($H4=1,$G4*10000+ROW(),"")</f>
        <v>462530004</v>
      </c>
      <c r="K4" s="8" t="n">
        <f aca="false">IF($H4=1,$I4*1000+COUNTIFS($I$4:$I$483,$I4,$J$4:$J$483,"&lt;"&amp;$J4)+1,"")</f>
        <v>1002</v>
      </c>
      <c r="L4" s="121"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17" t="n">
        <v>1</v>
      </c>
      <c r="B5" s="117" t="n">
        <v>2</v>
      </c>
      <c r="C5" s="8" t="str">
        <f aca="false">IF(OR(Recurring!$B$5="",Recurring!$H$5&lt;&gt;"Yes",Recurring!$D$5=""),"",Recurring!$B$5)</f>
        <v>Bruno's Restaurant (paycheck)</v>
      </c>
      <c r="D5" s="8" t="str">
        <f aca="false">IF($C5="","",Recurring!$C$5)</f>
        <v>Income</v>
      </c>
      <c r="E5" s="118" t="n">
        <f aca="false">IF($C5="","",IF(SUMIFS(Overrides!$E$9:$E$108,Overrides!$B$9:$B$108,$C5,Overrides!$C$9:$C$108,$L5)&gt;0,SUMIFS(Overrides!$E$9:$E$108,Overrides!$B$9:$B$108,$C5,Overrides!$C$9:$C$108,$L5),Recurring!$D$5))</f>
        <v>90</v>
      </c>
      <c r="F5" s="119"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19" t="n">
        <f aca="false">IF($L5="","",IF(SUMIFS(Overrides!$D$9:$D$108,Overrides!$B$9:$B$108,$C5,Overrides!$C$9:$C$108,$L5)&gt;0,SUMIFS(Overrides!$D$9:$D$108,Overrides!$B$9:$B$108,$C5,Overrides!$C$9:$C$108,$L5),$L5))</f>
        <v>46260</v>
      </c>
      <c r="H5" s="120" t="n">
        <f aca="false">IF($G5="",0,IF(AND($G5&gt;='Cash Flow'!$E$6,$G5&lt;'Cash Flow'!$E$6+91),1,0))</f>
        <v>1</v>
      </c>
      <c r="I5" s="120" t="n">
        <f aca="false">IF($H5=1,MAX(1,INT(($G5-'Cash Flow'!$E$6)/7)+1),"")</f>
        <v>2</v>
      </c>
      <c r="J5" s="8" t="n">
        <f aca="false">IF($H5=1,$G5*10000+ROW(),"")</f>
        <v>462600005</v>
      </c>
      <c r="K5" s="8" t="n">
        <f aca="false">IF($H5=1,$I5*1000+COUNTIFS($I$4:$I$483,$I5,$J$4:$J$483,"&lt;"&amp;$J5)+1,"")</f>
        <v>2005</v>
      </c>
      <c r="L5" s="121" t="n">
        <f aca="false">IF($F5="","",IF(Recurring!$G$5="Move Before",IF(WEEKDAY($F5,2)=6,$F5-1,IF(WEEKDAY($F5,2)=7,$F5-2,$F5)),IF(Recurring!$G$5="Move After",IF(WEEKDAY($F5,2)=6,$F5+2,IF(WEEKDAY($F5,2)=7,$F5+1,$F5)),$F5)))</f>
        <v>46260</v>
      </c>
      <c r="M5" s="1" t="str">
        <f aca="true">IF(AND($H5=1,$D5="Expense",$G5&gt;TODAY(),$E5&gt;=100),$G5*100000+ROW(),"")</f>
        <v/>
      </c>
      <c r="N5" s="1" t="str">
        <f aca="true">IF(AND($H5=1,$D5="Income",$G5&gt;TODAY()),$G5*100000+ROW(),"")</f>
        <v/>
      </c>
    </row>
    <row r="6" customFormat="false" ht="15" hidden="false" customHeight="true" outlineLevel="0" collapsed="false">
      <c r="A6" s="117" t="n">
        <v>1</v>
      </c>
      <c r="B6" s="117" t="n">
        <v>3</v>
      </c>
      <c r="C6" s="8" t="str">
        <f aca="false">IF(OR(Recurring!$B$5="",Recurring!$H$5&lt;&gt;"Yes",Recurring!$D$5=""),"",Recurring!$B$5)</f>
        <v>Bruno's Restaurant (paycheck)</v>
      </c>
      <c r="D6" s="8" t="str">
        <f aca="false">IF($C6="","",Recurring!$C$5)</f>
        <v>Income</v>
      </c>
      <c r="E6" s="118" t="n">
        <f aca="false">IF($C6="","",IF(SUMIFS(Overrides!$E$9:$E$108,Overrides!$B$9:$B$108,$C6,Overrides!$C$9:$C$108,$L6)&gt;0,SUMIFS(Overrides!$E$9:$E$108,Overrides!$B$9:$B$108,$C6,Overrides!$C$9:$C$108,$L6),Recurring!$D$5))</f>
        <v>90</v>
      </c>
      <c r="F6" s="119"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19" t="n">
        <f aca="false">IF($L6="","",IF(SUMIFS(Overrides!$D$9:$D$108,Overrides!$B$9:$B$108,$C6,Overrides!$C$9:$C$108,$L6)&gt;0,SUMIFS(Overrides!$D$9:$D$108,Overrides!$B$9:$B$108,$C6,Overrides!$C$9:$C$108,$L6),$L6))</f>
        <v>46267</v>
      </c>
      <c r="H6" s="120" t="n">
        <f aca="false">IF($G6="",0,IF(AND($G6&gt;='Cash Flow'!$E$6,$G6&lt;'Cash Flow'!$E$6+91),1,0))</f>
        <v>1</v>
      </c>
      <c r="I6" s="120" t="n">
        <f aca="false">IF($H6=1,MAX(1,INT(($G6-'Cash Flow'!$E$6)/7)+1),"")</f>
        <v>3</v>
      </c>
      <c r="J6" s="8" t="n">
        <f aca="false">IF($H6=1,$G6*10000+ROW(),"")</f>
        <v>462670006</v>
      </c>
      <c r="K6" s="8" t="n">
        <f aca="false">IF($H6=1,$I6*1000+COUNTIFS($I$4:$I$483,$I6,$J$4:$J$483,"&lt;"&amp;$J6)+1,"")</f>
        <v>3005</v>
      </c>
      <c r="L6" s="121"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17" t="n">
        <v>1</v>
      </c>
      <c r="B7" s="117" t="n">
        <v>4</v>
      </c>
      <c r="C7" s="8" t="str">
        <f aca="false">IF(OR(Recurring!$B$5="",Recurring!$H$5&lt;&gt;"Yes",Recurring!$D$5=""),"",Recurring!$B$5)</f>
        <v>Bruno's Restaurant (paycheck)</v>
      </c>
      <c r="D7" s="8" t="str">
        <f aca="false">IF($C7="","",Recurring!$C$5)</f>
        <v>Income</v>
      </c>
      <c r="E7" s="118" t="n">
        <f aca="false">IF($C7="","",IF(SUMIFS(Overrides!$E$9:$E$108,Overrides!$B$9:$B$108,$C7,Overrides!$C$9:$C$108,$L7)&gt;0,SUMIFS(Overrides!$E$9:$E$108,Overrides!$B$9:$B$108,$C7,Overrides!$C$9:$C$108,$L7),Recurring!$D$5))</f>
        <v>90</v>
      </c>
      <c r="F7" s="119"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19" t="n">
        <f aca="false">IF($L7="","",IF(SUMIFS(Overrides!$D$9:$D$108,Overrides!$B$9:$B$108,$C7,Overrides!$C$9:$C$108,$L7)&gt;0,SUMIFS(Overrides!$D$9:$D$108,Overrides!$B$9:$B$108,$C7,Overrides!$C$9:$C$108,$L7),$L7))</f>
        <v>46274</v>
      </c>
      <c r="H7" s="120" t="n">
        <f aca="false">IF($G7="",0,IF(AND($G7&gt;='Cash Flow'!$E$6,$G7&lt;'Cash Flow'!$E$6+91),1,0))</f>
        <v>1</v>
      </c>
      <c r="I7" s="120" t="n">
        <f aca="false">IF($H7=1,MAX(1,INT(($G7-'Cash Flow'!$E$6)/7)+1),"")</f>
        <v>4</v>
      </c>
      <c r="J7" s="8" t="n">
        <f aca="false">IF($H7=1,$G7*10000+ROW(),"")</f>
        <v>462740007</v>
      </c>
      <c r="K7" s="8" t="n">
        <f aca="false">IF($H7=1,$I7*1000+COUNTIFS($I$4:$I$483,$I7,$J$4:$J$483,"&lt;"&amp;$J7)+1,"")</f>
        <v>4006</v>
      </c>
      <c r="L7" s="121"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17" t="n">
        <v>1</v>
      </c>
      <c r="B8" s="117" t="n">
        <v>5</v>
      </c>
      <c r="C8" s="8" t="str">
        <f aca="false">IF(OR(Recurring!$B$5="",Recurring!$H$5&lt;&gt;"Yes",Recurring!$D$5=""),"",Recurring!$B$5)</f>
        <v>Bruno's Restaurant (paycheck)</v>
      </c>
      <c r="D8" s="8" t="str">
        <f aca="false">IF($C8="","",Recurring!$C$5)</f>
        <v>Income</v>
      </c>
      <c r="E8" s="118" t="n">
        <f aca="false">IF($C8="","",IF(SUMIFS(Overrides!$E$9:$E$108,Overrides!$B$9:$B$108,$C8,Overrides!$C$9:$C$108,$L8)&gt;0,SUMIFS(Overrides!$E$9:$E$108,Overrides!$B$9:$B$108,$C8,Overrides!$C$9:$C$108,$L8),Recurring!$D$5))</f>
        <v>90</v>
      </c>
      <c r="F8" s="119"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19" t="n">
        <f aca="false">IF($L8="","",IF(SUMIFS(Overrides!$D$9:$D$108,Overrides!$B$9:$B$108,$C8,Overrides!$C$9:$C$108,$L8)&gt;0,SUMIFS(Overrides!$D$9:$D$108,Overrides!$B$9:$B$108,$C8,Overrides!$C$9:$C$108,$L8),$L8))</f>
        <v>46281</v>
      </c>
      <c r="H8" s="120" t="n">
        <f aca="false">IF($G8="",0,IF(AND($G8&gt;='Cash Flow'!$E$6,$G8&lt;'Cash Flow'!$E$6+91),1,0))</f>
        <v>1</v>
      </c>
      <c r="I8" s="120" t="n">
        <f aca="false">IF($H8=1,MAX(1,INT(($G8-'Cash Flow'!$E$6)/7)+1),"")</f>
        <v>5</v>
      </c>
      <c r="J8" s="8" t="n">
        <f aca="false">IF($H8=1,$G8*10000+ROW(),"")</f>
        <v>462810008</v>
      </c>
      <c r="K8" s="8" t="n">
        <f aca="false">IF($H8=1,$I8*1000+COUNTIFS($I$4:$I$483,$I8,$J$4:$J$483,"&lt;"&amp;$J8)+1,"")</f>
        <v>5003</v>
      </c>
      <c r="L8" s="121"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17" t="n">
        <v>1</v>
      </c>
      <c r="B9" s="117" t="n">
        <v>6</v>
      </c>
      <c r="C9" s="8" t="str">
        <f aca="false">IF(OR(Recurring!$B$5="",Recurring!$H$5&lt;&gt;"Yes",Recurring!$D$5=""),"",Recurring!$B$5)</f>
        <v>Bruno's Restaurant (paycheck)</v>
      </c>
      <c r="D9" s="8" t="str">
        <f aca="false">IF($C9="","",Recurring!$C$5)</f>
        <v>Income</v>
      </c>
      <c r="E9" s="118" t="n">
        <f aca="false">IF($C9="","",IF(SUMIFS(Overrides!$E$9:$E$108,Overrides!$B$9:$B$108,$C9,Overrides!$C$9:$C$108,$L9)&gt;0,SUMIFS(Overrides!$E$9:$E$108,Overrides!$B$9:$B$108,$C9,Overrides!$C$9:$C$108,$L9),Recurring!$D$5))</f>
        <v>90</v>
      </c>
      <c r="F9" s="119"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19" t="n">
        <f aca="false">IF($L9="","",IF(SUMIFS(Overrides!$D$9:$D$108,Overrides!$B$9:$B$108,$C9,Overrides!$C$9:$C$108,$L9)&gt;0,SUMIFS(Overrides!$D$9:$D$108,Overrides!$B$9:$B$108,$C9,Overrides!$C$9:$C$108,$L9),$L9))</f>
        <v>46288</v>
      </c>
      <c r="H9" s="120" t="n">
        <f aca="false">IF($G9="",0,IF(AND($G9&gt;='Cash Flow'!$E$6,$G9&lt;'Cash Flow'!$E$6+91),1,0))</f>
        <v>1</v>
      </c>
      <c r="I9" s="120" t="n">
        <f aca="false">IF($H9=1,MAX(1,INT(($G9-'Cash Flow'!$E$6)/7)+1),"")</f>
        <v>6</v>
      </c>
      <c r="J9" s="8" t="n">
        <f aca="false">IF($H9=1,$G9*10000+ROW(),"")</f>
        <v>462880009</v>
      </c>
      <c r="K9" s="8" t="n">
        <f aca="false">IF($H9=1,$I9*1000+COUNTIFS($I$4:$I$483,$I9,$J$4:$J$483,"&lt;"&amp;$J9)+1,"")</f>
        <v>6003</v>
      </c>
      <c r="L9" s="121"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17" t="n">
        <v>1</v>
      </c>
      <c r="B10" s="117" t="n">
        <v>7</v>
      </c>
      <c r="C10" s="8" t="str">
        <f aca="false">IF(OR(Recurring!$B$5="",Recurring!$H$5&lt;&gt;"Yes",Recurring!$D$5=""),"",Recurring!$B$5)</f>
        <v>Bruno's Restaurant (paycheck)</v>
      </c>
      <c r="D10" s="8" t="str">
        <f aca="false">IF($C10="","",Recurring!$C$5)</f>
        <v>Income</v>
      </c>
      <c r="E10" s="118" t="n">
        <f aca="false">IF($C10="","",IF(SUMIFS(Overrides!$E$9:$E$108,Overrides!$B$9:$B$108,$C10,Overrides!$C$9:$C$108,$L10)&gt;0,SUMIFS(Overrides!$E$9:$E$108,Overrides!$B$9:$B$108,$C10,Overrides!$C$9:$C$108,$L10),Recurring!$D$5))</f>
        <v>90</v>
      </c>
      <c r="F10" s="119"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19" t="n">
        <f aca="false">IF($L10="","",IF(SUMIFS(Overrides!$D$9:$D$108,Overrides!$B$9:$B$108,$C10,Overrides!$C$9:$C$108,$L10)&gt;0,SUMIFS(Overrides!$D$9:$D$108,Overrides!$B$9:$B$108,$C10,Overrides!$C$9:$C$108,$L10),$L10))</f>
        <v>46295</v>
      </c>
      <c r="H10" s="120" t="n">
        <f aca="false">IF($G10="",0,IF(AND($G10&gt;='Cash Flow'!$E$6,$G10&lt;'Cash Flow'!$E$6+91),1,0))</f>
        <v>1</v>
      </c>
      <c r="I10" s="120" t="n">
        <f aca="false">IF($H10=1,MAX(1,INT(($G10-'Cash Flow'!$E$6)/7)+1),"")</f>
        <v>7</v>
      </c>
      <c r="J10" s="8" t="n">
        <f aca="false">IF($H10=1,$G10*10000+ROW(),"")</f>
        <v>462950010</v>
      </c>
      <c r="K10" s="8" t="n">
        <f aca="false">IF($H10=1,$I10*1000+COUNTIFS($I$4:$I$483,$I10,$J$4:$J$483,"&lt;"&amp;$J10)+1,"")</f>
        <v>7001</v>
      </c>
      <c r="L10" s="121"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17" t="n">
        <v>1</v>
      </c>
      <c r="B11" s="117" t="n">
        <v>8</v>
      </c>
      <c r="C11" s="8" t="str">
        <f aca="false">IF(OR(Recurring!$B$5="",Recurring!$H$5&lt;&gt;"Yes",Recurring!$D$5=""),"",Recurring!$B$5)</f>
        <v>Bruno's Restaurant (paycheck)</v>
      </c>
      <c r="D11" s="8" t="str">
        <f aca="false">IF($C11="","",Recurring!$C$5)</f>
        <v>Income</v>
      </c>
      <c r="E11" s="118" t="n">
        <f aca="false">IF($C11="","",IF(SUMIFS(Overrides!$E$9:$E$108,Overrides!$B$9:$B$108,$C11,Overrides!$C$9:$C$108,$L11)&gt;0,SUMIFS(Overrides!$E$9:$E$108,Overrides!$B$9:$B$108,$C11,Overrides!$C$9:$C$108,$L11),Recurring!$D$5))</f>
        <v>90</v>
      </c>
      <c r="F11" s="119"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19" t="n">
        <f aca="false">IF($L11="","",IF(SUMIFS(Overrides!$D$9:$D$108,Overrides!$B$9:$B$108,$C11,Overrides!$C$9:$C$108,$L11)&gt;0,SUMIFS(Overrides!$D$9:$D$108,Overrides!$B$9:$B$108,$C11,Overrides!$C$9:$C$108,$L11),$L11))</f>
        <v>46302</v>
      </c>
      <c r="H11" s="120" t="n">
        <f aca="false">IF($G11="",0,IF(AND($G11&gt;='Cash Flow'!$E$6,$G11&lt;'Cash Flow'!$E$6+91),1,0))</f>
        <v>1</v>
      </c>
      <c r="I11" s="120" t="n">
        <f aca="false">IF($H11=1,MAX(1,INT(($G11-'Cash Flow'!$E$6)/7)+1),"")</f>
        <v>8</v>
      </c>
      <c r="J11" s="8" t="n">
        <f aca="false">IF($H11=1,$G11*10000+ROW(),"")</f>
        <v>463020011</v>
      </c>
      <c r="K11" s="8" t="n">
        <f aca="false">IF($H11=1,$I11*1000+COUNTIFS($I$4:$I$483,$I11,$J$4:$J$483,"&lt;"&amp;$J11)+1,"")</f>
        <v>8004</v>
      </c>
      <c r="L11" s="121"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17" t="n">
        <v>1</v>
      </c>
      <c r="B12" s="117" t="n">
        <v>9</v>
      </c>
      <c r="C12" s="8" t="str">
        <f aca="false">IF(OR(Recurring!$B$5="",Recurring!$H$5&lt;&gt;"Yes",Recurring!$D$5=""),"",Recurring!$B$5)</f>
        <v>Bruno's Restaurant (paycheck)</v>
      </c>
      <c r="D12" s="8" t="str">
        <f aca="false">IF($C12="","",Recurring!$C$5)</f>
        <v>Income</v>
      </c>
      <c r="E12" s="118" t="n">
        <f aca="false">IF($C12="","",IF(SUMIFS(Overrides!$E$9:$E$108,Overrides!$B$9:$B$108,$C12,Overrides!$C$9:$C$108,$L12)&gt;0,SUMIFS(Overrides!$E$9:$E$108,Overrides!$B$9:$B$108,$C12,Overrides!$C$9:$C$108,$L12),Recurring!$D$5))</f>
        <v>90</v>
      </c>
      <c r="F12" s="119"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19" t="n">
        <f aca="false">IF($L12="","",IF(SUMIFS(Overrides!$D$9:$D$108,Overrides!$B$9:$B$108,$C12,Overrides!$C$9:$C$108,$L12)&gt;0,SUMIFS(Overrides!$D$9:$D$108,Overrides!$B$9:$B$108,$C12,Overrides!$C$9:$C$108,$L12),$L12))</f>
        <v>46309</v>
      </c>
      <c r="H12" s="120" t="n">
        <f aca="false">IF($G12="",0,IF(AND($G12&gt;='Cash Flow'!$E$6,$G12&lt;'Cash Flow'!$E$6+91),1,0))</f>
        <v>1</v>
      </c>
      <c r="I12" s="120" t="n">
        <f aca="false">IF($H12=1,MAX(1,INT(($G12-'Cash Flow'!$E$6)/7)+1),"")</f>
        <v>9</v>
      </c>
      <c r="J12" s="8" t="n">
        <f aca="false">IF($H12=1,$G12*10000+ROW(),"")</f>
        <v>463090012</v>
      </c>
      <c r="K12" s="8" t="n">
        <f aca="false">IF($H12=1,$I12*1000+COUNTIFS($I$4:$I$483,$I12,$J$4:$J$483,"&lt;"&amp;$J12)+1,"")</f>
        <v>9002</v>
      </c>
      <c r="L12" s="121"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17" t="n">
        <v>1</v>
      </c>
      <c r="B13" s="117" t="n">
        <v>10</v>
      </c>
      <c r="C13" s="8" t="str">
        <f aca="false">IF(OR(Recurring!$B$5="",Recurring!$H$5&lt;&gt;"Yes",Recurring!$D$5=""),"",Recurring!$B$5)</f>
        <v>Bruno's Restaurant (paycheck)</v>
      </c>
      <c r="D13" s="8" t="str">
        <f aca="false">IF($C13="","",Recurring!$C$5)</f>
        <v>Income</v>
      </c>
      <c r="E13" s="118" t="n">
        <f aca="false">IF($C13="","",IF(SUMIFS(Overrides!$E$9:$E$108,Overrides!$B$9:$B$108,$C13,Overrides!$C$9:$C$108,$L13)&gt;0,SUMIFS(Overrides!$E$9:$E$108,Overrides!$B$9:$B$108,$C13,Overrides!$C$9:$C$108,$L13),Recurring!$D$5))</f>
        <v>90</v>
      </c>
      <c r="F13" s="119"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19" t="n">
        <f aca="false">IF($L13="","",IF(SUMIFS(Overrides!$D$9:$D$108,Overrides!$B$9:$B$108,$C13,Overrides!$C$9:$C$108,$L13)&gt;0,SUMIFS(Overrides!$D$9:$D$108,Overrides!$B$9:$B$108,$C13,Overrides!$C$9:$C$108,$L13),$L13))</f>
        <v>46316</v>
      </c>
      <c r="H13" s="120" t="n">
        <f aca="false">IF($G13="",0,IF(AND($G13&gt;='Cash Flow'!$E$6,$G13&lt;'Cash Flow'!$E$6+91),1,0))</f>
        <v>1</v>
      </c>
      <c r="I13" s="120" t="n">
        <f aca="false">IF($H13=1,MAX(1,INT(($G13-'Cash Flow'!$E$6)/7)+1),"")</f>
        <v>10</v>
      </c>
      <c r="J13" s="8" t="n">
        <f aca="false">IF($H13=1,$G13*10000+ROW(),"")</f>
        <v>463160013</v>
      </c>
      <c r="K13" s="8" t="n">
        <f aca="false">IF($H13=1,$I13*1000+COUNTIFS($I$4:$I$483,$I13,$J$4:$J$483,"&lt;"&amp;$J13)+1,"")</f>
        <v>10001</v>
      </c>
      <c r="L13" s="121"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17" t="n">
        <v>1</v>
      </c>
      <c r="B14" s="117" t="n">
        <v>11</v>
      </c>
      <c r="C14" s="8" t="str">
        <f aca="false">IF(OR(Recurring!$B$5="",Recurring!$H$5&lt;&gt;"Yes",Recurring!$D$5=""),"",Recurring!$B$5)</f>
        <v>Bruno's Restaurant (paycheck)</v>
      </c>
      <c r="D14" s="8" t="str">
        <f aca="false">IF($C14="","",Recurring!$C$5)</f>
        <v>Income</v>
      </c>
      <c r="E14" s="118" t="n">
        <f aca="false">IF($C14="","",IF(SUMIFS(Overrides!$E$9:$E$108,Overrides!$B$9:$B$108,$C14,Overrides!$C$9:$C$108,$L14)&gt;0,SUMIFS(Overrides!$E$9:$E$108,Overrides!$B$9:$B$108,$C14,Overrides!$C$9:$C$108,$L14),Recurring!$D$5))</f>
        <v>90</v>
      </c>
      <c r="F14" s="119"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19" t="n">
        <f aca="false">IF($L14="","",IF(SUMIFS(Overrides!$D$9:$D$108,Overrides!$B$9:$B$108,$C14,Overrides!$C$9:$C$108,$L14)&gt;0,SUMIFS(Overrides!$D$9:$D$108,Overrides!$B$9:$B$108,$C14,Overrides!$C$9:$C$108,$L14),$L14))</f>
        <v>46323</v>
      </c>
      <c r="H14" s="120" t="n">
        <f aca="false">IF($G14="",0,IF(AND($G14&gt;='Cash Flow'!$E$6,$G14&lt;'Cash Flow'!$E$6+91),1,0))</f>
        <v>1</v>
      </c>
      <c r="I14" s="120" t="n">
        <f aca="false">IF($H14=1,MAX(1,INT(($G14-'Cash Flow'!$E$6)/7)+1),"")</f>
        <v>11</v>
      </c>
      <c r="J14" s="8" t="n">
        <f aca="false">IF($H14=1,$G14*10000+ROW(),"")</f>
        <v>463230014</v>
      </c>
      <c r="K14" s="8" t="n">
        <f aca="false">IF($H14=1,$I14*1000+COUNTIFS($I$4:$I$483,$I14,$J$4:$J$483,"&lt;"&amp;$J14)+1,"")</f>
        <v>11001</v>
      </c>
      <c r="L14" s="121"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17" t="n">
        <v>1</v>
      </c>
      <c r="B15" s="117" t="n">
        <v>12</v>
      </c>
      <c r="C15" s="8" t="str">
        <f aca="false">IF(OR(Recurring!$B$5="",Recurring!$H$5&lt;&gt;"Yes",Recurring!$D$5=""),"",Recurring!$B$5)</f>
        <v>Bruno's Restaurant (paycheck)</v>
      </c>
      <c r="D15" s="8" t="str">
        <f aca="false">IF($C15="","",Recurring!$C$5)</f>
        <v>Income</v>
      </c>
      <c r="E15" s="118" t="n">
        <f aca="false">IF($C15="","",IF(SUMIFS(Overrides!$E$9:$E$108,Overrides!$B$9:$B$108,$C15,Overrides!$C$9:$C$108,$L15)&gt;0,SUMIFS(Overrides!$E$9:$E$108,Overrides!$B$9:$B$108,$C15,Overrides!$C$9:$C$108,$L15),Recurring!$D$5))</f>
        <v>90</v>
      </c>
      <c r="F15" s="119"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19" t="n">
        <f aca="false">IF($L15="","",IF(SUMIFS(Overrides!$D$9:$D$108,Overrides!$B$9:$B$108,$C15,Overrides!$C$9:$C$108,$L15)&gt;0,SUMIFS(Overrides!$D$9:$D$108,Overrides!$B$9:$B$108,$C15,Overrides!$C$9:$C$108,$L15),$L15))</f>
        <v>46330</v>
      </c>
      <c r="H15" s="120" t="n">
        <f aca="false">IF($G15="",0,IF(AND($G15&gt;='Cash Flow'!$E$6,$G15&lt;'Cash Flow'!$E$6+91),1,0))</f>
        <v>1</v>
      </c>
      <c r="I15" s="120" t="n">
        <f aca="false">IF($H15=1,MAX(1,INT(($G15-'Cash Flow'!$E$6)/7)+1),"")</f>
        <v>12</v>
      </c>
      <c r="J15" s="8" t="n">
        <f aca="false">IF($H15=1,$G15*10000+ROW(),"")</f>
        <v>463300015</v>
      </c>
      <c r="K15" s="8" t="n">
        <f aca="false">IF($H15=1,$I15*1000+COUNTIFS($I$4:$I$483,$I15,$J$4:$J$483,"&lt;"&amp;$J15)+1,"")</f>
        <v>12002</v>
      </c>
      <c r="L15" s="121"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17" t="n">
        <v>1</v>
      </c>
      <c r="B16" s="117" t="n">
        <v>13</v>
      </c>
      <c r="C16" s="8" t="str">
        <f aca="false">IF(OR(Recurring!$B$5="",Recurring!$H$5&lt;&gt;"Yes",Recurring!$D$5=""),"",Recurring!$B$5)</f>
        <v>Bruno's Restaurant (paycheck)</v>
      </c>
      <c r="D16" s="8" t="str">
        <f aca="false">IF($C16="","",Recurring!$C$5)</f>
        <v>Income</v>
      </c>
      <c r="E16" s="118" t="n">
        <f aca="false">IF($C16="","",IF(SUMIFS(Overrides!$E$9:$E$108,Overrides!$B$9:$B$108,$C16,Overrides!$C$9:$C$108,$L16)&gt;0,SUMIFS(Overrides!$E$9:$E$108,Overrides!$B$9:$B$108,$C16,Overrides!$C$9:$C$108,$L16),Recurring!$D$5))</f>
        <v>90</v>
      </c>
      <c r="F16" s="119"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19" t="n">
        <f aca="false">IF($L16="","",IF(SUMIFS(Overrides!$D$9:$D$108,Overrides!$B$9:$B$108,$C16,Overrides!$C$9:$C$108,$L16)&gt;0,SUMIFS(Overrides!$D$9:$D$108,Overrides!$B$9:$B$108,$C16,Overrides!$C$9:$C$108,$L16),$L16))</f>
        <v>46337</v>
      </c>
      <c r="H16" s="120" t="n">
        <f aca="false">IF($G16="",0,IF(AND($G16&gt;='Cash Flow'!$E$6,$G16&lt;'Cash Flow'!$E$6+91),1,0))</f>
        <v>1</v>
      </c>
      <c r="I16" s="120" t="n">
        <f aca="false">IF($H16=1,MAX(1,INT(($G16-'Cash Flow'!$E$6)/7)+1),"")</f>
        <v>13</v>
      </c>
      <c r="J16" s="8" t="n">
        <f aca="false">IF($H16=1,$G16*10000+ROW(),"")</f>
        <v>463370016</v>
      </c>
      <c r="K16" s="8" t="n">
        <f aca="false">IF($H16=1,$I16*1000+COUNTIFS($I$4:$I$483,$I16,$J$4:$J$483,"&lt;"&amp;$J16)+1,"")</f>
        <v>13004</v>
      </c>
      <c r="L16" s="121"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17" t="n">
        <v>1</v>
      </c>
      <c r="B17" s="117" t="n">
        <v>14</v>
      </c>
      <c r="C17" s="8" t="str">
        <f aca="false">IF(OR(Recurring!$B$5="",Recurring!$H$5&lt;&gt;"Yes",Recurring!$D$5=""),"",Recurring!$B$5)</f>
        <v>Bruno's Restaurant (paycheck)</v>
      </c>
      <c r="D17" s="8" t="str">
        <f aca="false">IF($C17="","",Recurring!$C$5)</f>
        <v>Income</v>
      </c>
      <c r="E17" s="118" t="n">
        <f aca="false">IF($C17="","",IF(SUMIFS(Overrides!$E$9:$E$108,Overrides!$B$9:$B$108,$C17,Overrides!$C$9:$C$108,$L17)&gt;0,SUMIFS(Overrides!$E$9:$E$108,Overrides!$B$9:$B$108,$C17,Overrides!$C$9:$C$108,$L17),Recurring!$D$5))</f>
        <v>90</v>
      </c>
      <c r="F17" s="119"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19" t="n">
        <f aca="false">IF($L17="","",IF(SUMIFS(Overrides!$D$9:$D$108,Overrides!$B$9:$B$108,$C17,Overrides!$C$9:$C$108,$L17)&gt;0,SUMIFS(Overrides!$D$9:$D$108,Overrides!$B$9:$B$108,$C17,Overrides!$C$9:$C$108,$L17),$L17))</f>
        <v>46344</v>
      </c>
      <c r="H17" s="120" t="n">
        <f aca="false">IF($G17="",0,IF(AND($G17&gt;='Cash Flow'!$E$6,$G17&lt;'Cash Flow'!$E$6+91),1,0))</f>
        <v>0</v>
      </c>
      <c r="I17" s="120" t="str">
        <f aca="false">IF($H17=1,MAX(1,INT(($G17-'Cash Flow'!$E$6)/7)+1),"")</f>
        <v/>
      </c>
      <c r="J17" s="8" t="str">
        <f aca="false">IF($H17=1,$G17*10000+ROW(),"")</f>
        <v/>
      </c>
      <c r="K17" s="8" t="str">
        <f aca="false">IF($H17=1,$I17*1000+COUNTIFS($I$4:$I$483,$I17,$J$4:$J$483,"&lt;"&amp;$J17)+1,"")</f>
        <v/>
      </c>
      <c r="L17" s="121"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17" t="n">
        <v>1</v>
      </c>
      <c r="B18" s="117" t="n">
        <v>15</v>
      </c>
      <c r="C18" s="8" t="str">
        <f aca="false">IF(OR(Recurring!$B$5="",Recurring!$H$5&lt;&gt;"Yes",Recurring!$D$5=""),"",Recurring!$B$5)</f>
        <v>Bruno's Restaurant (paycheck)</v>
      </c>
      <c r="D18" s="8" t="str">
        <f aca="false">IF($C18="","",Recurring!$C$5)</f>
        <v>Income</v>
      </c>
      <c r="E18" s="118" t="n">
        <f aca="false">IF($C18="","",IF(SUMIFS(Overrides!$E$9:$E$108,Overrides!$B$9:$B$108,$C18,Overrides!$C$9:$C$108,$L18)&gt;0,SUMIFS(Overrides!$E$9:$E$108,Overrides!$B$9:$B$108,$C18,Overrides!$C$9:$C$108,$L18),Recurring!$D$5))</f>
        <v>90</v>
      </c>
      <c r="F18" s="119"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19" t="n">
        <f aca="false">IF($L18="","",IF(SUMIFS(Overrides!$D$9:$D$108,Overrides!$B$9:$B$108,$C18,Overrides!$C$9:$C$108,$L18)&gt;0,SUMIFS(Overrides!$D$9:$D$108,Overrides!$B$9:$B$108,$C18,Overrides!$C$9:$C$108,$L18),$L18))</f>
        <v>46351</v>
      </c>
      <c r="H18" s="120" t="n">
        <f aca="false">IF($G18="",0,IF(AND($G18&gt;='Cash Flow'!$E$6,$G18&lt;'Cash Flow'!$E$6+91),1,0))</f>
        <v>0</v>
      </c>
      <c r="I18" s="120" t="str">
        <f aca="false">IF($H18=1,MAX(1,INT(($G18-'Cash Flow'!$E$6)/7)+1),"")</f>
        <v/>
      </c>
      <c r="J18" s="8" t="str">
        <f aca="false">IF($H18=1,$G18*10000+ROW(),"")</f>
        <v/>
      </c>
      <c r="K18" s="8" t="str">
        <f aca="false">IF($H18=1,$I18*1000+COUNTIFS($I$4:$I$483,$I18,$J$4:$J$483,"&lt;"&amp;$J18)+1,"")</f>
        <v/>
      </c>
      <c r="L18" s="121"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17" t="n">
        <v>1</v>
      </c>
      <c r="B19" s="117" t="n">
        <v>16</v>
      </c>
      <c r="C19" s="8" t="str">
        <f aca="false">IF(OR(Recurring!$B$5="",Recurring!$H$5&lt;&gt;"Yes",Recurring!$D$5=""),"",Recurring!$B$5)</f>
        <v>Bruno's Restaurant (paycheck)</v>
      </c>
      <c r="D19" s="8" t="str">
        <f aca="false">IF($C19="","",Recurring!$C$5)</f>
        <v>Income</v>
      </c>
      <c r="E19" s="118" t="n">
        <f aca="false">IF($C19="","",IF(SUMIFS(Overrides!$E$9:$E$108,Overrides!$B$9:$B$108,$C19,Overrides!$C$9:$C$108,$L19)&gt;0,SUMIFS(Overrides!$E$9:$E$108,Overrides!$B$9:$B$108,$C19,Overrides!$C$9:$C$108,$L19),Recurring!$D$5))</f>
        <v>90</v>
      </c>
      <c r="F19" s="119"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19" t="n">
        <f aca="false">IF($L19="","",IF(SUMIFS(Overrides!$D$9:$D$108,Overrides!$B$9:$B$108,$C19,Overrides!$C$9:$C$108,$L19)&gt;0,SUMIFS(Overrides!$D$9:$D$108,Overrides!$B$9:$B$108,$C19,Overrides!$C$9:$C$108,$L19),$L19))</f>
        <v>46358</v>
      </c>
      <c r="H19" s="120" t="n">
        <f aca="false">IF($G19="",0,IF(AND($G19&gt;='Cash Flow'!$E$6,$G19&lt;'Cash Flow'!$E$6+91),1,0))</f>
        <v>0</v>
      </c>
      <c r="I19" s="120" t="str">
        <f aca="false">IF($H19=1,MAX(1,INT(($G19-'Cash Flow'!$E$6)/7)+1),"")</f>
        <v/>
      </c>
      <c r="J19" s="8" t="str">
        <f aca="false">IF($H19=1,$G19*10000+ROW(),"")</f>
        <v/>
      </c>
      <c r="K19" s="8" t="str">
        <f aca="false">IF($H19=1,$I19*1000+COUNTIFS($I$4:$I$483,$I19,$J$4:$J$483,"&lt;"&amp;$J19)+1,"")</f>
        <v/>
      </c>
      <c r="L19" s="121"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17" t="n">
        <v>2</v>
      </c>
      <c r="B20" s="117" t="n">
        <v>1</v>
      </c>
      <c r="C20" s="8" t="str">
        <f aca="false">IF(OR(Recurring!$B$6="",Recurring!$H$6&lt;&gt;"Yes",Recurring!$D$6=""),"",Recurring!$B$6)</f>
        <v>Compunnel Software (paycheck)</v>
      </c>
      <c r="D20" s="8" t="str">
        <f aca="false">IF($C20="","",Recurring!$C$6)</f>
        <v>Income</v>
      </c>
      <c r="E20" s="118" t="n">
        <f aca="false">IF($C20="","",IF(SUMIFS(Overrides!$E$9:$E$108,Overrides!$B$9:$B$108,$C20,Overrides!$C$9:$C$108,$L20)&gt;0,SUMIFS(Overrides!$E$9:$E$108,Overrides!$B$9:$B$108,$C20,Overrides!$C$9:$C$108,$L20),Recurring!$D$6))</f>
        <v>802.65</v>
      </c>
      <c r="F20" s="119"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19" t="n">
        <f aca="false">IF($L20="","",IF(SUMIFS(Overrides!$D$9:$D$108,Overrides!$B$9:$B$108,$C20,Overrides!$C$9:$C$108,$L20)&gt;0,SUMIFS(Overrides!$D$9:$D$108,Overrides!$B$9:$B$108,$C20,Overrides!$C$9:$C$108,$L20),$L20))</f>
        <v>46255</v>
      </c>
      <c r="H20" s="120" t="n">
        <f aca="false">IF($G20="",0,IF(AND($G20&gt;='Cash Flow'!$E$6-90,$G20&lt;'Cash Flow'!$E$6+91),1,0))</f>
        <v>1</v>
      </c>
      <c r="I20" s="120" t="n">
        <f aca="false">IF($H20=1,MAX(1,INT(($G20-'Cash Flow'!$E$6)/7)+1),"")</f>
        <v>1</v>
      </c>
      <c r="J20" s="8" t="n">
        <f aca="false">IF($H20=1,$G20*10000+ROW(),"")</f>
        <v>462550020</v>
      </c>
      <c r="K20" s="8" t="n">
        <f aca="false">IF($H20=1,$I20*1000+COUNTIFS($I$4:$I$483,$I20,$J$4:$J$483,"&lt;"&amp;$J20)+1,"")</f>
        <v>1003</v>
      </c>
      <c r="L20" s="121"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17" t="n">
        <v>2</v>
      </c>
      <c r="B21" s="117" t="n">
        <v>2</v>
      </c>
      <c r="C21" s="8" t="str">
        <f aca="false">IF(OR(Recurring!$B$6="",Recurring!$H$6&lt;&gt;"Yes",Recurring!$D$6=""),"",Recurring!$B$6)</f>
        <v>Compunnel Software (paycheck)</v>
      </c>
      <c r="D21" s="8" t="str">
        <f aca="false">IF($C21="","",Recurring!$C$6)</f>
        <v>Income</v>
      </c>
      <c r="E21" s="118" t="n">
        <f aca="false">IF($C21="","",IF(SUMIFS(Overrides!$E$9:$E$108,Overrides!$B$9:$B$108,$C21,Overrides!$C$9:$C$108,$L21)&gt;0,SUMIFS(Overrides!$E$9:$E$108,Overrides!$B$9:$B$108,$C21,Overrides!$C$9:$C$108,$L21),Recurring!$D$6))</f>
        <v>802.65</v>
      </c>
      <c r="F21" s="119"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19" t="n">
        <f aca="false">IF($L21="","",IF(SUMIFS(Overrides!$D$9:$D$108,Overrides!$B$9:$B$108,$C21,Overrides!$C$9:$C$108,$L21)&gt;0,SUMIFS(Overrides!$D$9:$D$108,Overrides!$B$9:$B$108,$C21,Overrides!$C$9:$C$108,$L21),$L21))</f>
        <v>46262</v>
      </c>
      <c r="H21" s="120" t="n">
        <f aca="false">IF($G21="",0,IF(AND($G21&gt;='Cash Flow'!$E$6,$G21&lt;'Cash Flow'!$E$6+91),1,0))</f>
        <v>1</v>
      </c>
      <c r="I21" s="120" t="n">
        <f aca="false">IF($H21=1,MAX(1,INT(($G21-'Cash Flow'!$E$6)/7)+1),"")</f>
        <v>2</v>
      </c>
      <c r="J21" s="8" t="n">
        <f aca="false">IF($H21=1,$G21*10000+ROW(),"")</f>
        <v>462620021</v>
      </c>
      <c r="K21" s="8" t="n">
        <f aca="false">IF($H21=1,$I21*1000+COUNTIFS($I$4:$I$483,$I21,$J$4:$J$483,"&lt;"&amp;$J21)+1,"")</f>
        <v>2007</v>
      </c>
      <c r="L21" s="121" t="n">
        <f aca="false">IF($F21="","",IF(Recurring!$G$6="Move Before",IF(WEEKDAY($F21,2)=6,$F21-1,IF(WEEKDAY($F21,2)=7,$F21-2,$F21)),IF(Recurring!$G$6="Move After",IF(WEEKDAY($F21,2)=6,$F21+2,IF(WEEKDAY($F21,2)=7,$F21+1,$F21)),$F21)))</f>
        <v>46262</v>
      </c>
      <c r="M21" s="1" t="str">
        <f aca="true">IF(AND($H21=1,$D21="Expense",$G21&gt;TODAY(),$E21&gt;=100),$G21*100000+ROW(),"")</f>
        <v/>
      </c>
      <c r="N21" s="1" t="str">
        <f aca="true">IF(AND($H21=1,$D21="Income",$G21&gt;TODAY()),$G21*100000+ROW(),"")</f>
        <v/>
      </c>
    </row>
    <row r="22" customFormat="false" ht="15" hidden="false" customHeight="true" outlineLevel="0" collapsed="false">
      <c r="A22" s="117" t="n">
        <v>2</v>
      </c>
      <c r="B22" s="117" t="n">
        <v>3</v>
      </c>
      <c r="C22" s="8" t="str">
        <f aca="false">IF(OR(Recurring!$B$6="",Recurring!$H$6&lt;&gt;"Yes",Recurring!$D$6=""),"",Recurring!$B$6)</f>
        <v>Compunnel Software (paycheck)</v>
      </c>
      <c r="D22" s="8" t="str">
        <f aca="false">IF($C22="","",Recurring!$C$6)</f>
        <v>Income</v>
      </c>
      <c r="E22" s="118" t="n">
        <f aca="false">IF($C22="","",IF(SUMIFS(Overrides!$E$9:$E$108,Overrides!$B$9:$B$108,$C22,Overrides!$C$9:$C$108,$L22)&gt;0,SUMIFS(Overrides!$E$9:$E$108,Overrides!$B$9:$B$108,$C22,Overrides!$C$9:$C$108,$L22),Recurring!$D$6))</f>
        <v>802.65</v>
      </c>
      <c r="F22" s="119"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19" t="n">
        <f aca="false">IF($L22="","",IF(SUMIFS(Overrides!$D$9:$D$108,Overrides!$B$9:$B$108,$C22,Overrides!$C$9:$C$108,$L22)&gt;0,SUMIFS(Overrides!$D$9:$D$108,Overrides!$B$9:$B$108,$C22,Overrides!$C$9:$C$108,$L22),$L22))</f>
        <v>46269</v>
      </c>
      <c r="H22" s="120" t="n">
        <f aca="false">IF($G22="",0,IF(AND($G22&gt;='Cash Flow'!$E$6,$G22&lt;'Cash Flow'!$E$6+91),1,0))</f>
        <v>1</v>
      </c>
      <c r="I22" s="120" t="n">
        <f aca="false">IF($H22=1,MAX(1,INT(($G22-'Cash Flow'!$E$6)/7)+1),"")</f>
        <v>3</v>
      </c>
      <c r="J22" s="8" t="n">
        <f aca="false">IF($H22=1,$G22*10000+ROW(),"")</f>
        <v>462690022</v>
      </c>
      <c r="K22" s="8" t="n">
        <f aca="false">IF($H22=1,$I22*1000+COUNTIFS($I$4:$I$483,$I22,$J$4:$J$483,"&lt;"&amp;$J22)+1,"")</f>
        <v>3006</v>
      </c>
      <c r="L22" s="121"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17" t="n">
        <v>2</v>
      </c>
      <c r="B23" s="117" t="n">
        <v>4</v>
      </c>
      <c r="C23" s="8" t="str">
        <f aca="false">IF(OR(Recurring!$B$6="",Recurring!$H$6&lt;&gt;"Yes",Recurring!$D$6=""),"",Recurring!$B$6)</f>
        <v>Compunnel Software (paycheck)</v>
      </c>
      <c r="D23" s="8" t="str">
        <f aca="false">IF($C23="","",Recurring!$C$6)</f>
        <v>Income</v>
      </c>
      <c r="E23" s="118" t="n">
        <f aca="false">IF($C23="","",IF(SUMIFS(Overrides!$E$9:$E$108,Overrides!$B$9:$B$108,$C23,Overrides!$C$9:$C$108,$L23)&gt;0,SUMIFS(Overrides!$E$9:$E$108,Overrides!$B$9:$B$108,$C23,Overrides!$C$9:$C$108,$L23),Recurring!$D$6))</f>
        <v>802.65</v>
      </c>
      <c r="F23" s="119"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19" t="n">
        <f aca="false">IF($L23="","",IF(SUMIFS(Overrides!$D$9:$D$108,Overrides!$B$9:$B$108,$C23,Overrides!$C$9:$C$108,$L23)&gt;0,SUMIFS(Overrides!$D$9:$D$108,Overrides!$B$9:$B$108,$C23,Overrides!$C$9:$C$108,$L23),$L23))</f>
        <v>46276</v>
      </c>
      <c r="H23" s="120" t="n">
        <f aca="false">IF($G23="",0,IF(AND($G23&gt;='Cash Flow'!$E$6,$G23&lt;'Cash Flow'!$E$6+91),1,0))</f>
        <v>1</v>
      </c>
      <c r="I23" s="120" t="n">
        <f aca="false">IF($H23=1,MAX(1,INT(($G23-'Cash Flow'!$E$6)/7)+1),"")</f>
        <v>4</v>
      </c>
      <c r="J23" s="8" t="n">
        <f aca="false">IF($H23=1,$G23*10000+ROW(),"")</f>
        <v>462760023</v>
      </c>
      <c r="K23" s="8" t="n">
        <f aca="false">IF($H23=1,$I23*1000+COUNTIFS($I$4:$I$483,$I23,$J$4:$J$483,"&lt;"&amp;$J23)+1,"")</f>
        <v>4007</v>
      </c>
      <c r="L23" s="121"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17" t="n">
        <v>2</v>
      </c>
      <c r="B24" s="117" t="n">
        <v>5</v>
      </c>
      <c r="C24" s="8" t="str">
        <f aca="false">IF(OR(Recurring!$B$6="",Recurring!$H$6&lt;&gt;"Yes",Recurring!$D$6=""),"",Recurring!$B$6)</f>
        <v>Compunnel Software (paycheck)</v>
      </c>
      <c r="D24" s="8" t="str">
        <f aca="false">IF($C24="","",Recurring!$C$6)</f>
        <v>Income</v>
      </c>
      <c r="E24" s="118" t="n">
        <f aca="false">IF($C24="","",IF(SUMIFS(Overrides!$E$9:$E$108,Overrides!$B$9:$B$108,$C24,Overrides!$C$9:$C$108,$L24)&gt;0,SUMIFS(Overrides!$E$9:$E$108,Overrides!$B$9:$B$108,$C24,Overrides!$C$9:$C$108,$L24),Recurring!$D$6))</f>
        <v>642.12</v>
      </c>
      <c r="F24" s="119"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19" t="n">
        <f aca="false">IF($L24="","",IF(SUMIFS(Overrides!$D$9:$D$108,Overrides!$B$9:$B$108,$C24,Overrides!$C$9:$C$108,$L24)&gt;0,SUMIFS(Overrides!$D$9:$D$108,Overrides!$B$9:$B$108,$C24,Overrides!$C$9:$C$108,$L24),$L24))</f>
        <v>46283</v>
      </c>
      <c r="H24" s="120" t="n">
        <f aca="false">IF($G24="",0,IF(AND($G24&gt;='Cash Flow'!$E$6,$G24&lt;'Cash Flow'!$E$6+91),1,0))</f>
        <v>1</v>
      </c>
      <c r="I24" s="120" t="n">
        <f aca="false">IF($H24=1,MAX(1,INT(($G24-'Cash Flow'!$E$6)/7)+1),"")</f>
        <v>5</v>
      </c>
      <c r="J24" s="8" t="n">
        <f aca="false">IF($H24=1,$G24*10000+ROW(),"")</f>
        <v>462830024</v>
      </c>
      <c r="K24" s="8" t="n">
        <f aca="false">IF($H24=1,$I24*1000+COUNTIFS($I$4:$I$483,$I24,$J$4:$J$483,"&lt;"&amp;$J24)+1,"")</f>
        <v>5005</v>
      </c>
      <c r="L24" s="121"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17" t="n">
        <v>2</v>
      </c>
      <c r="B25" s="117" t="n">
        <v>6</v>
      </c>
      <c r="C25" s="8" t="str">
        <f aca="false">IF(OR(Recurring!$B$6="",Recurring!$H$6&lt;&gt;"Yes",Recurring!$D$6=""),"",Recurring!$B$6)</f>
        <v>Compunnel Software (paycheck)</v>
      </c>
      <c r="D25" s="8" t="str">
        <f aca="false">IF($C25="","",Recurring!$C$6)</f>
        <v>Income</v>
      </c>
      <c r="E25" s="118" t="n">
        <f aca="false">IF($C25="","",IF(SUMIFS(Overrides!$E$9:$E$108,Overrides!$B$9:$B$108,$C25,Overrides!$C$9:$C$108,$L25)&gt;0,SUMIFS(Overrides!$E$9:$E$108,Overrides!$B$9:$B$108,$C25,Overrides!$C$9:$C$108,$L25),Recurring!$D$6))</f>
        <v>802.65</v>
      </c>
      <c r="F25" s="119"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19" t="n">
        <f aca="false">IF($L25="","",IF(SUMIFS(Overrides!$D$9:$D$108,Overrides!$B$9:$B$108,$C25,Overrides!$C$9:$C$108,$L25)&gt;0,SUMIFS(Overrides!$D$9:$D$108,Overrides!$B$9:$B$108,$C25,Overrides!$C$9:$C$108,$L25),$L25))</f>
        <v>46290</v>
      </c>
      <c r="H25" s="120" t="n">
        <f aca="false">IF($G25="",0,IF(AND($G25&gt;='Cash Flow'!$E$6,$G25&lt;'Cash Flow'!$E$6+91),1,0))</f>
        <v>1</v>
      </c>
      <c r="I25" s="120" t="n">
        <f aca="false">IF($H25=1,MAX(1,INT(($G25-'Cash Flow'!$E$6)/7)+1),"")</f>
        <v>6</v>
      </c>
      <c r="J25" s="8" t="n">
        <f aca="false">IF($H25=1,$G25*10000+ROW(),"")</f>
        <v>462900025</v>
      </c>
      <c r="K25" s="8" t="n">
        <f aca="false">IF($H25=1,$I25*1000+COUNTIFS($I$4:$I$483,$I25,$J$4:$J$483,"&lt;"&amp;$J25)+1,"")</f>
        <v>6005</v>
      </c>
      <c r="L25" s="121"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17" t="n">
        <v>2</v>
      </c>
      <c r="B26" s="117" t="n">
        <v>7</v>
      </c>
      <c r="C26" s="8" t="str">
        <f aca="false">IF(OR(Recurring!$B$6="",Recurring!$H$6&lt;&gt;"Yes",Recurring!$D$6=""),"",Recurring!$B$6)</f>
        <v>Compunnel Software (paycheck)</v>
      </c>
      <c r="D26" s="8" t="str">
        <f aca="false">IF($C26="","",Recurring!$C$6)</f>
        <v>Income</v>
      </c>
      <c r="E26" s="118" t="n">
        <f aca="false">IF($C26="","",IF(SUMIFS(Overrides!$E$9:$E$108,Overrides!$B$9:$B$108,$C26,Overrides!$C$9:$C$108,$L26)&gt;0,SUMIFS(Overrides!$E$9:$E$108,Overrides!$B$9:$B$108,$C26,Overrides!$C$9:$C$108,$L26),Recurring!$D$6))</f>
        <v>802.65</v>
      </c>
      <c r="F26" s="119"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19" t="n">
        <f aca="false">IF($L26="","",IF(SUMIFS(Overrides!$D$9:$D$108,Overrides!$B$9:$B$108,$C26,Overrides!$C$9:$C$108,$L26)&gt;0,SUMIFS(Overrides!$D$9:$D$108,Overrides!$B$9:$B$108,$C26,Overrides!$C$9:$C$108,$L26),$L26))</f>
        <v>46297</v>
      </c>
      <c r="H26" s="120" t="n">
        <f aca="false">IF($G26="",0,IF(AND($G26&gt;='Cash Flow'!$E$6,$G26&lt;'Cash Flow'!$E$6+91),1,0))</f>
        <v>1</v>
      </c>
      <c r="I26" s="120" t="n">
        <f aca="false">IF($H26=1,MAX(1,INT(($G26-'Cash Flow'!$E$6)/7)+1),"")</f>
        <v>7</v>
      </c>
      <c r="J26" s="8" t="n">
        <f aca="false">IF($H26=1,$G26*10000+ROW(),"")</f>
        <v>462970026</v>
      </c>
      <c r="K26" s="8" t="n">
        <f aca="false">IF($H26=1,$I26*1000+COUNTIFS($I$4:$I$483,$I26,$J$4:$J$483,"&lt;"&amp;$J26)+1,"")</f>
        <v>7005</v>
      </c>
      <c r="L26" s="121"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17" t="n">
        <v>2</v>
      </c>
      <c r="B27" s="117" t="n">
        <v>8</v>
      </c>
      <c r="C27" s="8" t="str">
        <f aca="false">IF(OR(Recurring!$B$6="",Recurring!$H$6&lt;&gt;"Yes",Recurring!$D$6=""),"",Recurring!$B$6)</f>
        <v>Compunnel Software (paycheck)</v>
      </c>
      <c r="D27" s="8" t="str">
        <f aca="false">IF($C27="","",Recurring!$C$6)</f>
        <v>Income</v>
      </c>
      <c r="E27" s="118" t="n">
        <f aca="false">IF($C27="","",IF(SUMIFS(Overrides!$E$9:$E$108,Overrides!$B$9:$B$108,$C27,Overrides!$C$9:$C$108,$L27)&gt;0,SUMIFS(Overrides!$E$9:$E$108,Overrides!$B$9:$B$108,$C27,Overrides!$C$9:$C$108,$L27),Recurring!$D$6))</f>
        <v>802.65</v>
      </c>
      <c r="F27" s="119"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19" t="n">
        <f aca="false">IF($L27="","",IF(SUMIFS(Overrides!$D$9:$D$108,Overrides!$B$9:$B$108,$C27,Overrides!$C$9:$C$108,$L27)&gt;0,SUMIFS(Overrides!$D$9:$D$108,Overrides!$B$9:$B$108,$C27,Overrides!$C$9:$C$108,$L27),$L27))</f>
        <v>46304</v>
      </c>
      <c r="H27" s="120" t="n">
        <f aca="false">IF($G27="",0,IF(AND($G27&gt;='Cash Flow'!$E$6,$G27&lt;'Cash Flow'!$E$6+91),1,0))</f>
        <v>1</v>
      </c>
      <c r="I27" s="120" t="n">
        <f aca="false">IF($H27=1,MAX(1,INT(($G27-'Cash Flow'!$E$6)/7)+1),"")</f>
        <v>8</v>
      </c>
      <c r="J27" s="8" t="n">
        <f aca="false">IF($H27=1,$G27*10000+ROW(),"")</f>
        <v>463040027</v>
      </c>
      <c r="K27" s="8" t="n">
        <f aca="false">IF($H27=1,$I27*1000+COUNTIFS($I$4:$I$483,$I27,$J$4:$J$483,"&lt;"&amp;$J27)+1,"")</f>
        <v>8008</v>
      </c>
      <c r="L27" s="121"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17" t="n">
        <v>2</v>
      </c>
      <c r="B28" s="117" t="n">
        <v>9</v>
      </c>
      <c r="C28" s="8" t="str">
        <f aca="false">IF(OR(Recurring!$B$6="",Recurring!$H$6&lt;&gt;"Yes",Recurring!$D$6=""),"",Recurring!$B$6)</f>
        <v>Compunnel Software (paycheck)</v>
      </c>
      <c r="D28" s="8" t="str">
        <f aca="false">IF($C28="","",Recurring!$C$6)</f>
        <v>Income</v>
      </c>
      <c r="E28" s="118" t="n">
        <f aca="false">IF($C28="","",IF(SUMIFS(Overrides!$E$9:$E$108,Overrides!$B$9:$B$108,$C28,Overrides!$C$9:$C$108,$L28)&gt;0,SUMIFS(Overrides!$E$9:$E$108,Overrides!$B$9:$B$108,$C28,Overrides!$C$9:$C$108,$L28),Recurring!$D$6))</f>
        <v>802.65</v>
      </c>
      <c r="F28" s="119"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19" t="n">
        <f aca="false">IF($L28="","",IF(SUMIFS(Overrides!$D$9:$D$108,Overrides!$B$9:$B$108,$C28,Overrides!$C$9:$C$108,$L28)&gt;0,SUMIFS(Overrides!$D$9:$D$108,Overrides!$B$9:$B$108,$C28,Overrides!$C$9:$C$108,$L28),$L28))</f>
        <v>46311</v>
      </c>
      <c r="H28" s="120" t="n">
        <f aca="false">IF($G28="",0,IF(AND($G28&gt;='Cash Flow'!$E$6,$G28&lt;'Cash Flow'!$E$6+91),1,0))</f>
        <v>1</v>
      </c>
      <c r="I28" s="120" t="n">
        <f aca="false">IF($H28=1,MAX(1,INT(($G28-'Cash Flow'!$E$6)/7)+1),"")</f>
        <v>9</v>
      </c>
      <c r="J28" s="8" t="n">
        <f aca="false">IF($H28=1,$G28*10000+ROW(),"")</f>
        <v>463110028</v>
      </c>
      <c r="K28" s="8" t="n">
        <f aca="false">IF($H28=1,$I28*1000+COUNTIFS($I$4:$I$483,$I28,$J$4:$J$483,"&lt;"&amp;$J28)+1,"")</f>
        <v>9004</v>
      </c>
      <c r="L28" s="121"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17" t="n">
        <v>2</v>
      </c>
      <c r="B29" s="117" t="n">
        <v>10</v>
      </c>
      <c r="C29" s="8" t="str">
        <f aca="false">IF(OR(Recurring!$B$6="",Recurring!$H$6&lt;&gt;"Yes",Recurring!$D$6=""),"",Recurring!$B$6)</f>
        <v>Compunnel Software (paycheck)</v>
      </c>
      <c r="D29" s="8" t="str">
        <f aca="false">IF($C29="","",Recurring!$C$6)</f>
        <v>Income</v>
      </c>
      <c r="E29" s="118" t="n">
        <f aca="false">IF($C29="","",IF(SUMIFS(Overrides!$E$9:$E$108,Overrides!$B$9:$B$108,$C29,Overrides!$C$9:$C$108,$L29)&gt;0,SUMIFS(Overrides!$E$9:$E$108,Overrides!$B$9:$B$108,$C29,Overrides!$C$9:$C$108,$L29),Recurring!$D$6))</f>
        <v>802.65</v>
      </c>
      <c r="F29" s="119"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19" t="n">
        <f aca="false">IF($L29="","",IF(SUMIFS(Overrides!$D$9:$D$108,Overrides!$B$9:$B$108,$C29,Overrides!$C$9:$C$108,$L29)&gt;0,SUMIFS(Overrides!$D$9:$D$108,Overrides!$B$9:$B$108,$C29,Overrides!$C$9:$C$108,$L29),$L29))</f>
        <v>46318</v>
      </c>
      <c r="H29" s="120" t="n">
        <f aca="false">IF($G29="",0,IF(AND($G29&gt;='Cash Flow'!$E$6,$G29&lt;'Cash Flow'!$E$6+91),1,0))</f>
        <v>1</v>
      </c>
      <c r="I29" s="120" t="n">
        <f aca="false">IF($H29=1,MAX(1,INT(($G29-'Cash Flow'!$E$6)/7)+1),"")</f>
        <v>10</v>
      </c>
      <c r="J29" s="8" t="n">
        <f aca="false">IF($H29=1,$G29*10000+ROW(),"")</f>
        <v>463180029</v>
      </c>
      <c r="K29" s="8" t="n">
        <f aca="false">IF($H29=1,$I29*1000+COUNTIFS($I$4:$I$483,$I29,$J$4:$J$483,"&lt;"&amp;$J29)+1,"")</f>
        <v>10004</v>
      </c>
      <c r="L29" s="121"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17" t="n">
        <v>2</v>
      </c>
      <c r="B30" s="117" t="n">
        <v>11</v>
      </c>
      <c r="C30" s="8" t="str">
        <f aca="false">IF(OR(Recurring!$B$6="",Recurring!$H$6&lt;&gt;"Yes",Recurring!$D$6=""),"",Recurring!$B$6)</f>
        <v>Compunnel Software (paycheck)</v>
      </c>
      <c r="D30" s="8" t="str">
        <f aca="false">IF($C30="","",Recurring!$C$6)</f>
        <v>Income</v>
      </c>
      <c r="E30" s="118" t="n">
        <f aca="false">IF($C30="","",IF(SUMIFS(Overrides!$E$9:$E$108,Overrides!$B$9:$B$108,$C30,Overrides!$C$9:$C$108,$L30)&gt;0,SUMIFS(Overrides!$E$9:$E$108,Overrides!$B$9:$B$108,$C30,Overrides!$C$9:$C$108,$L30),Recurring!$D$6))</f>
        <v>802.65</v>
      </c>
      <c r="F30" s="119"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19" t="n">
        <f aca="false">IF($L30="","",IF(SUMIFS(Overrides!$D$9:$D$108,Overrides!$B$9:$B$108,$C30,Overrides!$C$9:$C$108,$L30)&gt;0,SUMIFS(Overrides!$D$9:$D$108,Overrides!$B$9:$B$108,$C30,Overrides!$C$9:$C$108,$L30),$L30))</f>
        <v>46325</v>
      </c>
      <c r="H30" s="120" t="n">
        <f aca="false">IF($G30="",0,IF(AND($G30&gt;='Cash Flow'!$E$6,$G30&lt;'Cash Flow'!$E$6+91),1,0))</f>
        <v>1</v>
      </c>
      <c r="I30" s="120" t="n">
        <f aca="false">IF($H30=1,MAX(1,INT(($G30-'Cash Flow'!$E$6)/7)+1),"")</f>
        <v>11</v>
      </c>
      <c r="J30" s="8" t="n">
        <f aca="false">IF($H30=1,$G30*10000+ROW(),"")</f>
        <v>463250030</v>
      </c>
      <c r="K30" s="8" t="n">
        <f aca="false">IF($H30=1,$I30*1000+COUNTIFS($I$4:$I$483,$I30,$J$4:$J$483,"&lt;"&amp;$J30)+1,"")</f>
        <v>11002</v>
      </c>
      <c r="L30" s="121"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17" t="n">
        <v>2</v>
      </c>
      <c r="B31" s="117" t="n">
        <v>12</v>
      </c>
      <c r="C31" s="8" t="str">
        <f aca="false">IF(OR(Recurring!$B$6="",Recurring!$H$6&lt;&gt;"Yes",Recurring!$D$6=""),"",Recurring!$B$6)</f>
        <v>Compunnel Software (paycheck)</v>
      </c>
      <c r="D31" s="8" t="str">
        <f aca="false">IF($C31="","",Recurring!$C$6)</f>
        <v>Income</v>
      </c>
      <c r="E31" s="118" t="n">
        <f aca="false">IF($C31="","",IF(SUMIFS(Overrides!$E$9:$E$108,Overrides!$B$9:$B$108,$C31,Overrides!$C$9:$C$108,$L31)&gt;0,SUMIFS(Overrides!$E$9:$E$108,Overrides!$B$9:$B$108,$C31,Overrides!$C$9:$C$108,$L31),Recurring!$D$6))</f>
        <v>802.65</v>
      </c>
      <c r="F31" s="119"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19" t="n">
        <f aca="false">IF($L31="","",IF(SUMIFS(Overrides!$D$9:$D$108,Overrides!$B$9:$B$108,$C31,Overrides!$C$9:$C$108,$L31)&gt;0,SUMIFS(Overrides!$D$9:$D$108,Overrides!$B$9:$B$108,$C31,Overrides!$C$9:$C$108,$L31),$L31))</f>
        <v>46332</v>
      </c>
      <c r="H31" s="120" t="n">
        <f aca="false">IF($G31="",0,IF(AND($G31&gt;='Cash Flow'!$E$6,$G31&lt;'Cash Flow'!$E$6+91),1,0))</f>
        <v>1</v>
      </c>
      <c r="I31" s="120" t="n">
        <f aca="false">IF($H31=1,MAX(1,INT(($G31-'Cash Flow'!$E$6)/7)+1),"")</f>
        <v>12</v>
      </c>
      <c r="J31" s="8" t="n">
        <f aca="false">IF($H31=1,$G31*10000+ROW(),"")</f>
        <v>463320031</v>
      </c>
      <c r="K31" s="8" t="n">
        <f aca="false">IF($H31=1,$I31*1000+COUNTIFS($I$4:$I$483,$I31,$J$4:$J$483,"&lt;"&amp;$J31)+1,"")</f>
        <v>12006</v>
      </c>
      <c r="L31" s="121"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17" t="n">
        <v>2</v>
      </c>
      <c r="B32" s="117" t="n">
        <v>13</v>
      </c>
      <c r="C32" s="8" t="str">
        <f aca="false">IF(OR(Recurring!$B$6="",Recurring!$H$6&lt;&gt;"Yes",Recurring!$D$6=""),"",Recurring!$B$6)</f>
        <v>Compunnel Software (paycheck)</v>
      </c>
      <c r="D32" s="8" t="str">
        <f aca="false">IF($C32="","",Recurring!$C$6)</f>
        <v>Income</v>
      </c>
      <c r="E32" s="118" t="n">
        <f aca="false">IF($C32="","",IF(SUMIFS(Overrides!$E$9:$E$108,Overrides!$B$9:$B$108,$C32,Overrides!$C$9:$C$108,$L32)&gt;0,SUMIFS(Overrides!$E$9:$E$108,Overrides!$B$9:$B$108,$C32,Overrides!$C$9:$C$108,$L32),Recurring!$D$6))</f>
        <v>802.65</v>
      </c>
      <c r="F32" s="119"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19" t="n">
        <f aca="false">IF($L32="","",IF(SUMIFS(Overrides!$D$9:$D$108,Overrides!$B$9:$B$108,$C32,Overrides!$C$9:$C$108,$L32)&gt;0,SUMIFS(Overrides!$D$9:$D$108,Overrides!$B$9:$B$108,$C32,Overrides!$C$9:$C$108,$L32),$L32))</f>
        <v>46339</v>
      </c>
      <c r="H32" s="120" t="n">
        <f aca="false">IF($G32="",0,IF(AND($G32&gt;='Cash Flow'!$E$6,$G32&lt;'Cash Flow'!$E$6+91),1,0))</f>
        <v>1</v>
      </c>
      <c r="I32" s="120" t="n">
        <f aca="false">IF($H32=1,MAX(1,INT(($G32-'Cash Flow'!$E$6)/7)+1),"")</f>
        <v>13</v>
      </c>
      <c r="J32" s="8" t="n">
        <f aca="false">IF($H32=1,$G32*10000+ROW(),"")</f>
        <v>463390032</v>
      </c>
      <c r="K32" s="8" t="n">
        <f aca="false">IF($H32=1,$I32*1000+COUNTIFS($I$4:$I$483,$I32,$J$4:$J$483,"&lt;"&amp;$J32)+1,"")</f>
        <v>13005</v>
      </c>
      <c r="L32" s="121"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17" t="n">
        <v>2</v>
      </c>
      <c r="B33" s="117" t="n">
        <v>14</v>
      </c>
      <c r="C33" s="8" t="str">
        <f aca="false">IF(OR(Recurring!$B$6="",Recurring!$H$6&lt;&gt;"Yes",Recurring!$D$6=""),"",Recurring!$B$6)</f>
        <v>Compunnel Software (paycheck)</v>
      </c>
      <c r="D33" s="8" t="str">
        <f aca="false">IF($C33="","",Recurring!$C$6)</f>
        <v>Income</v>
      </c>
      <c r="E33" s="118" t="n">
        <f aca="false">IF($C33="","",IF(SUMIFS(Overrides!$E$9:$E$108,Overrides!$B$9:$B$108,$C33,Overrides!$C$9:$C$108,$L33)&gt;0,SUMIFS(Overrides!$E$9:$E$108,Overrides!$B$9:$B$108,$C33,Overrides!$C$9:$C$108,$L33),Recurring!$D$6))</f>
        <v>802.65</v>
      </c>
      <c r="F33" s="119"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19" t="n">
        <f aca="false">IF($L33="","",IF(SUMIFS(Overrides!$D$9:$D$108,Overrides!$B$9:$B$108,$C33,Overrides!$C$9:$C$108,$L33)&gt;0,SUMIFS(Overrides!$D$9:$D$108,Overrides!$B$9:$B$108,$C33,Overrides!$C$9:$C$108,$L33),$L33))</f>
        <v>46346</v>
      </c>
      <c r="H33" s="120" t="n">
        <f aca="false">IF($G33="",0,IF(AND($G33&gt;='Cash Flow'!$E$6,$G33&lt;'Cash Flow'!$E$6+91),1,0))</f>
        <v>0</v>
      </c>
      <c r="I33" s="120" t="str">
        <f aca="false">IF($H33=1,MAX(1,INT(($G33-'Cash Flow'!$E$6)/7)+1),"")</f>
        <v/>
      </c>
      <c r="J33" s="8" t="str">
        <f aca="false">IF($H33=1,$G33*10000+ROW(),"")</f>
        <v/>
      </c>
      <c r="K33" s="8" t="str">
        <f aca="false">IF($H33=1,$I33*1000+COUNTIFS($I$4:$I$483,$I33,$J$4:$J$483,"&lt;"&amp;$J33)+1,"")</f>
        <v/>
      </c>
      <c r="L33" s="121"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17" t="n">
        <v>2</v>
      </c>
      <c r="B34" s="117" t="n">
        <v>15</v>
      </c>
      <c r="C34" s="8" t="str">
        <f aca="false">IF(OR(Recurring!$B$6="",Recurring!$H$6&lt;&gt;"Yes",Recurring!$D$6=""),"",Recurring!$B$6)</f>
        <v>Compunnel Software (paycheck)</v>
      </c>
      <c r="D34" s="8" t="str">
        <f aca="false">IF($C34="","",Recurring!$C$6)</f>
        <v>Income</v>
      </c>
      <c r="E34" s="118" t="n">
        <f aca="false">IF($C34="","",IF(SUMIFS(Overrides!$E$9:$E$108,Overrides!$B$9:$B$108,$C34,Overrides!$C$9:$C$108,$L34)&gt;0,SUMIFS(Overrides!$E$9:$E$108,Overrides!$B$9:$B$108,$C34,Overrides!$C$9:$C$108,$L34),Recurring!$D$6))</f>
        <v>802.65</v>
      </c>
      <c r="F34" s="119"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19" t="n">
        <f aca="false">IF($L34="","",IF(SUMIFS(Overrides!$D$9:$D$108,Overrides!$B$9:$B$108,$C34,Overrides!$C$9:$C$108,$L34)&gt;0,SUMIFS(Overrides!$D$9:$D$108,Overrides!$B$9:$B$108,$C34,Overrides!$C$9:$C$108,$L34),$L34))</f>
        <v>46353</v>
      </c>
      <c r="H34" s="120" t="n">
        <f aca="false">IF($G34="",0,IF(AND($G34&gt;='Cash Flow'!$E$6,$G34&lt;'Cash Flow'!$E$6+91),1,0))</f>
        <v>0</v>
      </c>
      <c r="I34" s="120" t="str">
        <f aca="false">IF($H34=1,MAX(1,INT(($G34-'Cash Flow'!$E$6)/7)+1),"")</f>
        <v/>
      </c>
      <c r="J34" s="8" t="str">
        <f aca="false">IF($H34=1,$G34*10000+ROW(),"")</f>
        <v/>
      </c>
      <c r="K34" s="8" t="str">
        <f aca="false">IF($H34=1,$I34*1000+COUNTIFS($I$4:$I$483,$I34,$J$4:$J$483,"&lt;"&amp;$J34)+1,"")</f>
        <v/>
      </c>
      <c r="L34" s="121"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17" t="n">
        <v>2</v>
      </c>
      <c r="B35" s="117" t="n">
        <v>16</v>
      </c>
      <c r="C35" s="8" t="str">
        <f aca="false">IF(OR(Recurring!$B$6="",Recurring!$H$6&lt;&gt;"Yes",Recurring!$D$6=""),"",Recurring!$B$6)</f>
        <v>Compunnel Software (paycheck)</v>
      </c>
      <c r="D35" s="8" t="str">
        <f aca="false">IF($C35="","",Recurring!$C$6)</f>
        <v>Income</v>
      </c>
      <c r="E35" s="118" t="n">
        <f aca="false">IF($C35="","",IF(SUMIFS(Overrides!$E$9:$E$108,Overrides!$B$9:$B$108,$C35,Overrides!$C$9:$C$108,$L35)&gt;0,SUMIFS(Overrides!$E$9:$E$108,Overrides!$B$9:$B$108,$C35,Overrides!$C$9:$C$108,$L35),Recurring!$D$6))</f>
        <v>802.65</v>
      </c>
      <c r="F35" s="119"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19" t="n">
        <f aca="false">IF($L35="","",IF(SUMIFS(Overrides!$D$9:$D$108,Overrides!$B$9:$B$108,$C35,Overrides!$C$9:$C$108,$L35)&gt;0,SUMIFS(Overrides!$D$9:$D$108,Overrides!$B$9:$B$108,$C35,Overrides!$C$9:$C$108,$L35),$L35))</f>
        <v>46360</v>
      </c>
      <c r="H35" s="120" t="n">
        <f aca="false">IF($G35="",0,IF(AND($G35&gt;='Cash Flow'!$E$6,$G35&lt;'Cash Flow'!$E$6+91),1,0))</f>
        <v>0</v>
      </c>
      <c r="I35" s="120" t="str">
        <f aca="false">IF($H35=1,MAX(1,INT(($G35-'Cash Flow'!$E$6)/7)+1),"")</f>
        <v/>
      </c>
      <c r="J35" s="8" t="str">
        <f aca="false">IF($H35=1,$G35*10000+ROW(),"")</f>
        <v/>
      </c>
      <c r="K35" s="8" t="str">
        <f aca="false">IF($H35=1,$I35*1000+COUNTIFS($I$4:$I$483,$I35,$J$4:$J$483,"&lt;"&amp;$J35)+1,"")</f>
        <v/>
      </c>
      <c r="L35" s="121"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17" t="n">
        <v>3</v>
      </c>
      <c r="B36" s="117" t="n">
        <v>1</v>
      </c>
      <c r="C36" s="8" t="str">
        <f aca="false">IF(OR(Recurring!$B$7="",Recurring!$H$7&lt;&gt;"Yes",Recurring!$D$7=""),"",Recurring!$B$7)</f>
        <v>Apple: Claude</v>
      </c>
      <c r="D36" s="8" t="str">
        <f aca="false">IF($C36="","",Recurring!$C$7)</f>
        <v>Expense</v>
      </c>
      <c r="E36" s="118" t="n">
        <f aca="false">IF($C36="","",IF(SUMIFS(Overrides!$E$9:$E$108,Overrides!$B$9:$B$108,$C36,Overrides!$C$9:$C$108,$L36)&gt;0,SUMIFS(Overrides!$E$9:$E$108,Overrides!$B$9:$B$108,$C36,Overrides!$C$9:$C$108,$L36),Recurring!$D$7))</f>
        <v>21.1</v>
      </c>
      <c r="F36" s="119"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19" t="n">
        <f aca="false">IF($L36="","",IF(SUMIFS(Overrides!$D$9:$D$108,Overrides!$B$9:$B$108,$C36,Overrides!$C$9:$C$108,$L36)&gt;0,SUMIFS(Overrides!$D$9:$D$108,Overrides!$B$9:$B$108,$C36,Overrides!$C$9:$C$108,$L36),$L36))</f>
        <v>46269</v>
      </c>
      <c r="H36" s="120" t="n">
        <f aca="false">IF($G36="",0,IF(AND($G36&gt;='Cash Flow'!$E$6-90,$G36&lt;'Cash Flow'!$E$6+91),1,0))</f>
        <v>1</v>
      </c>
      <c r="I36" s="120" t="n">
        <f aca="false">IF($H36=1,MAX(1,INT(($G36-'Cash Flow'!$E$6)/7)+1),"")</f>
        <v>3</v>
      </c>
      <c r="J36" s="8" t="n">
        <f aca="false">IF($H36=1,$G36*10000+ROW(),"")</f>
        <v>462690036</v>
      </c>
      <c r="K36" s="8" t="n">
        <f aca="false">IF($H36=1,$I36*1000+COUNTIFS($I$4:$I$483,$I36,$J$4:$J$483,"&lt;"&amp;$J36)+1,"")</f>
        <v>3007</v>
      </c>
      <c r="L36" s="121"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17" t="n">
        <v>3</v>
      </c>
      <c r="B37" s="117" t="n">
        <v>2</v>
      </c>
      <c r="C37" s="8" t="str">
        <f aca="false">IF(OR(Recurring!$B$7="",Recurring!$H$7&lt;&gt;"Yes",Recurring!$D$7=""),"",Recurring!$B$7)</f>
        <v>Apple: Claude</v>
      </c>
      <c r="D37" s="8" t="str">
        <f aca="false">IF($C37="","",Recurring!$C$7)</f>
        <v>Expense</v>
      </c>
      <c r="E37" s="118" t="n">
        <f aca="false">IF($C37="","",IF(SUMIFS(Overrides!$E$9:$E$108,Overrides!$B$9:$B$108,$C37,Overrides!$C$9:$C$108,$L37)&gt;0,SUMIFS(Overrides!$E$9:$E$108,Overrides!$B$9:$B$108,$C37,Overrides!$C$9:$C$108,$L37),Recurring!$D$7))</f>
        <v>21.1</v>
      </c>
      <c r="F37" s="119"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19" t="n">
        <f aca="false">IF($L37="","",IF(SUMIFS(Overrides!$D$9:$D$108,Overrides!$B$9:$B$108,$C37,Overrides!$C$9:$C$108,$L37)&gt;0,SUMIFS(Overrides!$D$9:$D$108,Overrides!$B$9:$B$108,$C37,Overrides!$C$9:$C$108,$L37),$L37))</f>
        <v>46299</v>
      </c>
      <c r="H37" s="120" t="n">
        <f aca="false">IF($G37="",0,IF(AND($G37&gt;='Cash Flow'!$E$6,$G37&lt;'Cash Flow'!$E$6+91),1,0))</f>
        <v>1</v>
      </c>
      <c r="I37" s="120" t="n">
        <f aca="false">IF($H37=1,MAX(1,INT(($G37-'Cash Flow'!$E$6)/7)+1),"")</f>
        <v>8</v>
      </c>
      <c r="J37" s="8" t="n">
        <f aca="false">IF($H37=1,$G37*10000+ROW(),"")</f>
        <v>462990037</v>
      </c>
      <c r="K37" s="8" t="n">
        <f aca="false">IF($H37=1,$I37*1000+COUNTIFS($I$4:$I$483,$I37,$J$4:$J$483,"&lt;"&amp;$J37)+1,"")</f>
        <v>8001</v>
      </c>
      <c r="L37" s="121"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17" t="n">
        <v>3</v>
      </c>
      <c r="B38" s="117" t="n">
        <v>3</v>
      </c>
      <c r="C38" s="8" t="str">
        <f aca="false">IF(OR(Recurring!$B$7="",Recurring!$H$7&lt;&gt;"Yes",Recurring!$D$7=""),"",Recurring!$B$7)</f>
        <v>Apple: Claude</v>
      </c>
      <c r="D38" s="8" t="str">
        <f aca="false">IF($C38="","",Recurring!$C$7)</f>
        <v>Expense</v>
      </c>
      <c r="E38" s="118" t="n">
        <f aca="false">IF($C38="","",IF(SUMIFS(Overrides!$E$9:$E$108,Overrides!$B$9:$B$108,$C38,Overrides!$C$9:$C$108,$L38)&gt;0,SUMIFS(Overrides!$E$9:$E$108,Overrides!$B$9:$B$108,$C38,Overrides!$C$9:$C$108,$L38),Recurring!$D$7))</f>
        <v>21.1</v>
      </c>
      <c r="F38" s="119"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19" t="n">
        <f aca="false">IF($L38="","",IF(SUMIFS(Overrides!$D$9:$D$108,Overrides!$B$9:$B$108,$C38,Overrides!$C$9:$C$108,$L38)&gt;0,SUMIFS(Overrides!$D$9:$D$108,Overrides!$B$9:$B$108,$C38,Overrides!$C$9:$C$108,$L38),$L38))</f>
        <v>46330</v>
      </c>
      <c r="H38" s="120" t="n">
        <f aca="false">IF($G38="",0,IF(AND($G38&gt;='Cash Flow'!$E$6,$G38&lt;'Cash Flow'!$E$6+91),1,0))</f>
        <v>1</v>
      </c>
      <c r="I38" s="120" t="n">
        <f aca="false">IF($H38=1,MAX(1,INT(($G38-'Cash Flow'!$E$6)/7)+1),"")</f>
        <v>12</v>
      </c>
      <c r="J38" s="8" t="n">
        <f aca="false">IF($H38=1,$G38*10000+ROW(),"")</f>
        <v>463300038</v>
      </c>
      <c r="K38" s="8" t="n">
        <f aca="false">IF($H38=1,$I38*1000+COUNTIFS($I$4:$I$483,$I38,$J$4:$J$483,"&lt;"&amp;$J38)+1,"")</f>
        <v>12003</v>
      </c>
      <c r="L38" s="121"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17" t="n">
        <v>3</v>
      </c>
      <c r="B39" s="117" t="n">
        <v>4</v>
      </c>
      <c r="C39" s="8" t="str">
        <f aca="false">IF(OR(Recurring!$B$7="",Recurring!$H$7&lt;&gt;"Yes",Recurring!$D$7=""),"",Recurring!$B$7)</f>
        <v>Apple: Claude</v>
      </c>
      <c r="D39" s="8" t="str">
        <f aca="false">IF($C39="","",Recurring!$C$7)</f>
        <v>Expense</v>
      </c>
      <c r="E39" s="118" t="n">
        <f aca="false">IF($C39="","",IF(SUMIFS(Overrides!$E$9:$E$108,Overrides!$B$9:$B$108,$C39,Overrides!$C$9:$C$108,$L39)&gt;0,SUMIFS(Overrides!$E$9:$E$108,Overrides!$B$9:$B$108,$C39,Overrides!$C$9:$C$108,$L39),Recurring!$D$7))</f>
        <v>21.1</v>
      </c>
      <c r="F39" s="119"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19" t="n">
        <f aca="false">IF($L39="","",IF(SUMIFS(Overrides!$D$9:$D$108,Overrides!$B$9:$B$108,$C39,Overrides!$C$9:$C$108,$L39)&gt;0,SUMIFS(Overrides!$D$9:$D$108,Overrides!$B$9:$B$108,$C39,Overrides!$C$9:$C$108,$L39),$L39))</f>
        <v>46360</v>
      </c>
      <c r="H39" s="120" t="n">
        <f aca="false">IF($G39="",0,IF(AND($G39&gt;='Cash Flow'!$E$6,$G39&lt;'Cash Flow'!$E$6+91),1,0))</f>
        <v>0</v>
      </c>
      <c r="I39" s="120" t="str">
        <f aca="false">IF($H39=1,MAX(1,INT(($G39-'Cash Flow'!$E$6)/7)+1),"")</f>
        <v/>
      </c>
      <c r="J39" s="8" t="str">
        <f aca="false">IF($H39=1,$G39*10000+ROW(),"")</f>
        <v/>
      </c>
      <c r="K39" s="8" t="str">
        <f aca="false">IF($H39=1,$I39*1000+COUNTIFS($I$4:$I$483,$I39,$J$4:$J$483,"&lt;"&amp;$J39)+1,"")</f>
        <v/>
      </c>
      <c r="L39" s="121"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17" t="n">
        <v>3</v>
      </c>
      <c r="B40" s="117" t="n">
        <v>5</v>
      </c>
      <c r="C40" s="8" t="str">
        <f aca="false">IF(OR(Recurring!$B$7="",Recurring!$H$7&lt;&gt;"Yes",Recurring!$D$7=""),"",Recurring!$B$7)</f>
        <v>Apple: Claude</v>
      </c>
      <c r="D40" s="8" t="str">
        <f aca="false">IF($C40="","",Recurring!$C$7)</f>
        <v>Expense</v>
      </c>
      <c r="E40" s="118" t="n">
        <f aca="false">IF($C40="","",IF(SUMIFS(Overrides!$E$9:$E$108,Overrides!$B$9:$B$108,$C40,Overrides!$C$9:$C$108,$L40)&gt;0,SUMIFS(Overrides!$E$9:$E$108,Overrides!$B$9:$B$108,$C40,Overrides!$C$9:$C$108,$L40),Recurring!$D$7))</f>
        <v>21.1</v>
      </c>
      <c r="F40" s="119"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19" t="n">
        <f aca="false">IF($L40="","",IF(SUMIFS(Overrides!$D$9:$D$108,Overrides!$B$9:$B$108,$C40,Overrides!$C$9:$C$108,$L40)&gt;0,SUMIFS(Overrides!$D$9:$D$108,Overrides!$B$9:$B$108,$C40,Overrides!$C$9:$C$108,$L40),$L40))</f>
        <v>46391</v>
      </c>
      <c r="H40" s="120" t="n">
        <f aca="false">IF($G40="",0,IF(AND($G40&gt;='Cash Flow'!$E$6,$G40&lt;'Cash Flow'!$E$6+91),1,0))</f>
        <v>0</v>
      </c>
      <c r="I40" s="120" t="str">
        <f aca="false">IF($H40=1,MAX(1,INT(($G40-'Cash Flow'!$E$6)/7)+1),"")</f>
        <v/>
      </c>
      <c r="J40" s="8" t="str">
        <f aca="false">IF($H40=1,$G40*10000+ROW(),"")</f>
        <v/>
      </c>
      <c r="K40" s="8" t="str">
        <f aca="false">IF($H40=1,$I40*1000+COUNTIFS($I$4:$I$483,$I40,$J$4:$J$483,"&lt;"&amp;$J40)+1,"")</f>
        <v/>
      </c>
      <c r="L40" s="121"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17" t="n">
        <v>3</v>
      </c>
      <c r="B41" s="117" t="n">
        <v>6</v>
      </c>
      <c r="C41" s="8" t="str">
        <f aca="false">IF(OR(Recurring!$B$7="",Recurring!$H$7&lt;&gt;"Yes",Recurring!$D$7=""),"",Recurring!$B$7)</f>
        <v>Apple: Claude</v>
      </c>
      <c r="D41" s="8" t="str">
        <f aca="false">IF($C41="","",Recurring!$C$7)</f>
        <v>Expense</v>
      </c>
      <c r="E41" s="118" t="n">
        <f aca="false">IF($C41="","",IF(SUMIFS(Overrides!$E$9:$E$108,Overrides!$B$9:$B$108,$C41,Overrides!$C$9:$C$108,$L41)&gt;0,SUMIFS(Overrides!$E$9:$E$108,Overrides!$B$9:$B$108,$C41,Overrides!$C$9:$C$108,$L41),Recurring!$D$7))</f>
        <v>21.1</v>
      </c>
      <c r="F41" s="119"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19" t="n">
        <f aca="false">IF($L41="","",IF(SUMIFS(Overrides!$D$9:$D$108,Overrides!$B$9:$B$108,$C41,Overrides!$C$9:$C$108,$L41)&gt;0,SUMIFS(Overrides!$D$9:$D$108,Overrides!$B$9:$B$108,$C41,Overrides!$C$9:$C$108,$L41),$L41))</f>
        <v>46422</v>
      </c>
      <c r="H41" s="120" t="n">
        <f aca="false">IF($G41="",0,IF(AND($G41&gt;='Cash Flow'!$E$6,$G41&lt;'Cash Flow'!$E$6+91),1,0))</f>
        <v>0</v>
      </c>
      <c r="I41" s="120" t="str">
        <f aca="false">IF($H41=1,MAX(1,INT(($G41-'Cash Flow'!$E$6)/7)+1),"")</f>
        <v/>
      </c>
      <c r="J41" s="8" t="str">
        <f aca="false">IF($H41=1,$G41*10000+ROW(),"")</f>
        <v/>
      </c>
      <c r="K41" s="8" t="str">
        <f aca="false">IF($H41=1,$I41*1000+COUNTIFS($I$4:$I$483,$I41,$J$4:$J$483,"&lt;"&amp;$J41)+1,"")</f>
        <v/>
      </c>
      <c r="L41" s="121"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17" t="n">
        <v>3</v>
      </c>
      <c r="B42" s="117" t="n">
        <v>7</v>
      </c>
      <c r="C42" s="8" t="str">
        <f aca="false">IF(OR(Recurring!$B$7="",Recurring!$H$7&lt;&gt;"Yes",Recurring!$D$7=""),"",Recurring!$B$7)</f>
        <v>Apple: Claude</v>
      </c>
      <c r="D42" s="8" t="str">
        <f aca="false">IF($C42="","",Recurring!$C$7)</f>
        <v>Expense</v>
      </c>
      <c r="E42" s="118" t="n">
        <f aca="false">IF($C42="","",IF(SUMIFS(Overrides!$E$9:$E$108,Overrides!$B$9:$B$108,$C42,Overrides!$C$9:$C$108,$L42)&gt;0,SUMIFS(Overrides!$E$9:$E$108,Overrides!$B$9:$B$108,$C42,Overrides!$C$9:$C$108,$L42),Recurring!$D$7))</f>
        <v>21.1</v>
      </c>
      <c r="F42" s="119"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19" t="n">
        <f aca="false">IF($L42="","",IF(SUMIFS(Overrides!$D$9:$D$108,Overrides!$B$9:$B$108,$C42,Overrides!$C$9:$C$108,$L42)&gt;0,SUMIFS(Overrides!$D$9:$D$108,Overrides!$B$9:$B$108,$C42,Overrides!$C$9:$C$108,$L42),$L42))</f>
        <v>46450</v>
      </c>
      <c r="H42" s="120" t="n">
        <f aca="false">IF($G42="",0,IF(AND($G42&gt;='Cash Flow'!$E$6,$G42&lt;'Cash Flow'!$E$6+91),1,0))</f>
        <v>0</v>
      </c>
      <c r="I42" s="120" t="str">
        <f aca="false">IF($H42=1,MAX(1,INT(($G42-'Cash Flow'!$E$6)/7)+1),"")</f>
        <v/>
      </c>
      <c r="J42" s="8" t="str">
        <f aca="false">IF($H42=1,$G42*10000+ROW(),"")</f>
        <v/>
      </c>
      <c r="K42" s="8" t="str">
        <f aca="false">IF($H42=1,$I42*1000+COUNTIFS($I$4:$I$483,$I42,$J$4:$J$483,"&lt;"&amp;$J42)+1,"")</f>
        <v/>
      </c>
      <c r="L42" s="121"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17" t="n">
        <v>3</v>
      </c>
      <c r="B43" s="117" t="n">
        <v>8</v>
      </c>
      <c r="C43" s="8" t="str">
        <f aca="false">IF(OR(Recurring!$B$7="",Recurring!$H$7&lt;&gt;"Yes",Recurring!$D$7=""),"",Recurring!$B$7)</f>
        <v>Apple: Claude</v>
      </c>
      <c r="D43" s="8" t="str">
        <f aca="false">IF($C43="","",Recurring!$C$7)</f>
        <v>Expense</v>
      </c>
      <c r="E43" s="118" t="n">
        <f aca="false">IF($C43="","",IF(SUMIFS(Overrides!$E$9:$E$108,Overrides!$B$9:$B$108,$C43,Overrides!$C$9:$C$108,$L43)&gt;0,SUMIFS(Overrides!$E$9:$E$108,Overrides!$B$9:$B$108,$C43,Overrides!$C$9:$C$108,$L43),Recurring!$D$7))</f>
        <v>21.1</v>
      </c>
      <c r="F43" s="119"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19" t="n">
        <f aca="false">IF($L43="","",IF(SUMIFS(Overrides!$D$9:$D$108,Overrides!$B$9:$B$108,$C43,Overrides!$C$9:$C$108,$L43)&gt;0,SUMIFS(Overrides!$D$9:$D$108,Overrides!$B$9:$B$108,$C43,Overrides!$C$9:$C$108,$L43),$L43))</f>
        <v>46481</v>
      </c>
      <c r="H43" s="120" t="n">
        <f aca="false">IF($G43="",0,IF(AND($G43&gt;='Cash Flow'!$E$6,$G43&lt;'Cash Flow'!$E$6+91),1,0))</f>
        <v>0</v>
      </c>
      <c r="I43" s="120" t="str">
        <f aca="false">IF($H43=1,MAX(1,INT(($G43-'Cash Flow'!$E$6)/7)+1),"")</f>
        <v/>
      </c>
      <c r="J43" s="8" t="str">
        <f aca="false">IF($H43=1,$G43*10000+ROW(),"")</f>
        <v/>
      </c>
      <c r="K43" s="8" t="str">
        <f aca="false">IF($H43=1,$I43*1000+COUNTIFS($I$4:$I$483,$I43,$J$4:$J$483,"&lt;"&amp;$J43)+1,"")</f>
        <v/>
      </c>
      <c r="L43" s="121"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17" t="n">
        <v>3</v>
      </c>
      <c r="B44" s="117" t="n">
        <v>9</v>
      </c>
      <c r="C44" s="8" t="str">
        <f aca="false">IF(OR(Recurring!$B$7="",Recurring!$H$7&lt;&gt;"Yes",Recurring!$D$7=""),"",Recurring!$B$7)</f>
        <v>Apple: Claude</v>
      </c>
      <c r="D44" s="8" t="str">
        <f aca="false">IF($C44="","",Recurring!$C$7)</f>
        <v>Expense</v>
      </c>
      <c r="E44" s="118" t="n">
        <f aca="false">IF($C44="","",IF(SUMIFS(Overrides!$E$9:$E$108,Overrides!$B$9:$B$108,$C44,Overrides!$C$9:$C$108,$L44)&gt;0,SUMIFS(Overrides!$E$9:$E$108,Overrides!$B$9:$B$108,$C44,Overrides!$C$9:$C$108,$L44),Recurring!$D$7))</f>
        <v>21.1</v>
      </c>
      <c r="F44" s="119"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19" t="n">
        <f aca="false">IF($L44="","",IF(SUMIFS(Overrides!$D$9:$D$108,Overrides!$B$9:$B$108,$C44,Overrides!$C$9:$C$108,$L44)&gt;0,SUMIFS(Overrides!$D$9:$D$108,Overrides!$B$9:$B$108,$C44,Overrides!$C$9:$C$108,$L44),$L44))</f>
        <v>46511</v>
      </c>
      <c r="H44" s="120" t="n">
        <f aca="false">IF($G44="",0,IF(AND($G44&gt;='Cash Flow'!$E$6,$G44&lt;'Cash Flow'!$E$6+91),1,0))</f>
        <v>0</v>
      </c>
      <c r="I44" s="120" t="str">
        <f aca="false">IF($H44=1,MAX(1,INT(($G44-'Cash Flow'!$E$6)/7)+1),"")</f>
        <v/>
      </c>
      <c r="J44" s="8" t="str">
        <f aca="false">IF($H44=1,$G44*10000+ROW(),"")</f>
        <v/>
      </c>
      <c r="K44" s="8" t="str">
        <f aca="false">IF($H44=1,$I44*1000+COUNTIFS($I$4:$I$483,$I44,$J$4:$J$483,"&lt;"&amp;$J44)+1,"")</f>
        <v/>
      </c>
      <c r="L44" s="121"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17" t="n">
        <v>3</v>
      </c>
      <c r="B45" s="117" t="n">
        <v>10</v>
      </c>
      <c r="C45" s="8" t="str">
        <f aca="false">IF(OR(Recurring!$B$7="",Recurring!$H$7&lt;&gt;"Yes",Recurring!$D$7=""),"",Recurring!$B$7)</f>
        <v>Apple: Claude</v>
      </c>
      <c r="D45" s="8" t="str">
        <f aca="false">IF($C45="","",Recurring!$C$7)</f>
        <v>Expense</v>
      </c>
      <c r="E45" s="118" t="n">
        <f aca="false">IF($C45="","",IF(SUMIFS(Overrides!$E$9:$E$108,Overrides!$B$9:$B$108,$C45,Overrides!$C$9:$C$108,$L45)&gt;0,SUMIFS(Overrides!$E$9:$E$108,Overrides!$B$9:$B$108,$C45,Overrides!$C$9:$C$108,$L45),Recurring!$D$7))</f>
        <v>21.1</v>
      </c>
      <c r="F45" s="119"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19" t="n">
        <f aca="false">IF($L45="","",IF(SUMIFS(Overrides!$D$9:$D$108,Overrides!$B$9:$B$108,$C45,Overrides!$C$9:$C$108,$L45)&gt;0,SUMIFS(Overrides!$D$9:$D$108,Overrides!$B$9:$B$108,$C45,Overrides!$C$9:$C$108,$L45),$L45))</f>
        <v>46542</v>
      </c>
      <c r="H45" s="120" t="n">
        <f aca="false">IF($G45="",0,IF(AND($G45&gt;='Cash Flow'!$E$6,$G45&lt;'Cash Flow'!$E$6+91),1,0))</f>
        <v>0</v>
      </c>
      <c r="I45" s="120" t="str">
        <f aca="false">IF($H45=1,MAX(1,INT(($G45-'Cash Flow'!$E$6)/7)+1),"")</f>
        <v/>
      </c>
      <c r="J45" s="8" t="str">
        <f aca="false">IF($H45=1,$G45*10000+ROW(),"")</f>
        <v/>
      </c>
      <c r="K45" s="8" t="str">
        <f aca="false">IF($H45=1,$I45*1000+COUNTIFS($I$4:$I$483,$I45,$J$4:$J$483,"&lt;"&amp;$J45)+1,"")</f>
        <v/>
      </c>
      <c r="L45" s="121"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17" t="n">
        <v>3</v>
      </c>
      <c r="B46" s="117" t="n">
        <v>11</v>
      </c>
      <c r="C46" s="8" t="str">
        <f aca="false">IF(OR(Recurring!$B$7="",Recurring!$H$7&lt;&gt;"Yes",Recurring!$D$7=""),"",Recurring!$B$7)</f>
        <v>Apple: Claude</v>
      </c>
      <c r="D46" s="8" t="str">
        <f aca="false">IF($C46="","",Recurring!$C$7)</f>
        <v>Expense</v>
      </c>
      <c r="E46" s="118" t="n">
        <f aca="false">IF($C46="","",IF(SUMIFS(Overrides!$E$9:$E$108,Overrides!$B$9:$B$108,$C46,Overrides!$C$9:$C$108,$L46)&gt;0,SUMIFS(Overrides!$E$9:$E$108,Overrides!$B$9:$B$108,$C46,Overrides!$C$9:$C$108,$L46),Recurring!$D$7))</f>
        <v>21.1</v>
      </c>
      <c r="F46" s="119"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19" t="n">
        <f aca="false">IF($L46="","",IF(SUMIFS(Overrides!$D$9:$D$108,Overrides!$B$9:$B$108,$C46,Overrides!$C$9:$C$108,$L46)&gt;0,SUMIFS(Overrides!$D$9:$D$108,Overrides!$B$9:$B$108,$C46,Overrides!$C$9:$C$108,$L46),$L46))</f>
        <v>46572</v>
      </c>
      <c r="H46" s="120" t="n">
        <f aca="false">IF($G46="",0,IF(AND($G46&gt;='Cash Flow'!$E$6,$G46&lt;'Cash Flow'!$E$6+91),1,0))</f>
        <v>0</v>
      </c>
      <c r="I46" s="120" t="str">
        <f aca="false">IF($H46=1,MAX(1,INT(($G46-'Cash Flow'!$E$6)/7)+1),"")</f>
        <v/>
      </c>
      <c r="J46" s="8" t="str">
        <f aca="false">IF($H46=1,$G46*10000+ROW(),"")</f>
        <v/>
      </c>
      <c r="K46" s="8" t="str">
        <f aca="false">IF($H46=1,$I46*1000+COUNTIFS($I$4:$I$483,$I46,$J$4:$J$483,"&lt;"&amp;$J46)+1,"")</f>
        <v/>
      </c>
      <c r="L46" s="121"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17" t="n">
        <v>3</v>
      </c>
      <c r="B47" s="117" t="n">
        <v>12</v>
      </c>
      <c r="C47" s="8" t="str">
        <f aca="false">IF(OR(Recurring!$B$7="",Recurring!$H$7&lt;&gt;"Yes",Recurring!$D$7=""),"",Recurring!$B$7)</f>
        <v>Apple: Claude</v>
      </c>
      <c r="D47" s="8" t="str">
        <f aca="false">IF($C47="","",Recurring!$C$7)</f>
        <v>Expense</v>
      </c>
      <c r="E47" s="118" t="n">
        <f aca="false">IF($C47="","",IF(SUMIFS(Overrides!$E$9:$E$108,Overrides!$B$9:$B$108,$C47,Overrides!$C$9:$C$108,$L47)&gt;0,SUMIFS(Overrides!$E$9:$E$108,Overrides!$B$9:$B$108,$C47,Overrides!$C$9:$C$108,$L47),Recurring!$D$7))</f>
        <v>21.1</v>
      </c>
      <c r="F47" s="119"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19" t="n">
        <f aca="false">IF($L47="","",IF(SUMIFS(Overrides!$D$9:$D$108,Overrides!$B$9:$B$108,$C47,Overrides!$C$9:$C$108,$L47)&gt;0,SUMIFS(Overrides!$D$9:$D$108,Overrides!$B$9:$B$108,$C47,Overrides!$C$9:$C$108,$L47),$L47))</f>
        <v>46603</v>
      </c>
      <c r="H47" s="120" t="n">
        <f aca="false">IF($G47="",0,IF(AND($G47&gt;='Cash Flow'!$E$6,$G47&lt;'Cash Flow'!$E$6+91),1,0))</f>
        <v>0</v>
      </c>
      <c r="I47" s="120" t="str">
        <f aca="false">IF($H47=1,MAX(1,INT(($G47-'Cash Flow'!$E$6)/7)+1),"")</f>
        <v/>
      </c>
      <c r="J47" s="8" t="str">
        <f aca="false">IF($H47=1,$G47*10000+ROW(),"")</f>
        <v/>
      </c>
      <c r="K47" s="8" t="str">
        <f aca="false">IF($H47=1,$I47*1000+COUNTIFS($I$4:$I$483,$I47,$J$4:$J$483,"&lt;"&amp;$J47)+1,"")</f>
        <v/>
      </c>
      <c r="L47" s="121"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17" t="n">
        <v>3</v>
      </c>
      <c r="B48" s="117" t="n">
        <v>13</v>
      </c>
      <c r="C48" s="8" t="str">
        <f aca="false">IF(OR(Recurring!$B$7="",Recurring!$H$7&lt;&gt;"Yes",Recurring!$D$7=""),"",Recurring!$B$7)</f>
        <v>Apple: Claude</v>
      </c>
      <c r="D48" s="8" t="str">
        <f aca="false">IF($C48="","",Recurring!$C$7)</f>
        <v>Expense</v>
      </c>
      <c r="E48" s="118" t="n">
        <f aca="false">IF($C48="","",IF(SUMIFS(Overrides!$E$9:$E$108,Overrides!$B$9:$B$108,$C48,Overrides!$C$9:$C$108,$L48)&gt;0,SUMIFS(Overrides!$E$9:$E$108,Overrides!$B$9:$B$108,$C48,Overrides!$C$9:$C$108,$L48),Recurring!$D$7))</f>
        <v>21.1</v>
      </c>
      <c r="F48" s="119"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19" t="n">
        <f aca="false">IF($L48="","",IF(SUMIFS(Overrides!$D$9:$D$108,Overrides!$B$9:$B$108,$C48,Overrides!$C$9:$C$108,$L48)&gt;0,SUMIFS(Overrides!$D$9:$D$108,Overrides!$B$9:$B$108,$C48,Overrides!$C$9:$C$108,$L48),$L48))</f>
        <v>46634</v>
      </c>
      <c r="H48" s="120" t="n">
        <f aca="false">IF($G48="",0,IF(AND($G48&gt;='Cash Flow'!$E$6,$G48&lt;'Cash Flow'!$E$6+91),1,0))</f>
        <v>0</v>
      </c>
      <c r="I48" s="120" t="str">
        <f aca="false">IF($H48=1,MAX(1,INT(($G48-'Cash Flow'!$E$6)/7)+1),"")</f>
        <v/>
      </c>
      <c r="J48" s="8" t="str">
        <f aca="false">IF($H48=1,$G48*10000+ROW(),"")</f>
        <v/>
      </c>
      <c r="K48" s="8" t="str">
        <f aca="false">IF($H48=1,$I48*1000+COUNTIFS($I$4:$I$483,$I48,$J$4:$J$483,"&lt;"&amp;$J48)+1,"")</f>
        <v/>
      </c>
      <c r="L48" s="121"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17" t="n">
        <v>3</v>
      </c>
      <c r="B49" s="117" t="n">
        <v>14</v>
      </c>
      <c r="C49" s="8" t="str">
        <f aca="false">IF(OR(Recurring!$B$7="",Recurring!$H$7&lt;&gt;"Yes",Recurring!$D$7=""),"",Recurring!$B$7)</f>
        <v>Apple: Claude</v>
      </c>
      <c r="D49" s="8" t="str">
        <f aca="false">IF($C49="","",Recurring!$C$7)</f>
        <v>Expense</v>
      </c>
      <c r="E49" s="118" t="n">
        <f aca="false">IF($C49="","",IF(SUMIFS(Overrides!$E$9:$E$108,Overrides!$B$9:$B$108,$C49,Overrides!$C$9:$C$108,$L49)&gt;0,SUMIFS(Overrides!$E$9:$E$108,Overrides!$B$9:$B$108,$C49,Overrides!$C$9:$C$108,$L49),Recurring!$D$7))</f>
        <v>21.1</v>
      </c>
      <c r="F49" s="119"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19" t="n">
        <f aca="false">IF($L49="","",IF(SUMIFS(Overrides!$D$9:$D$108,Overrides!$B$9:$B$108,$C49,Overrides!$C$9:$C$108,$L49)&gt;0,SUMIFS(Overrides!$D$9:$D$108,Overrides!$B$9:$B$108,$C49,Overrides!$C$9:$C$108,$L49),$L49))</f>
        <v>46664</v>
      </c>
      <c r="H49" s="120" t="n">
        <f aca="false">IF($G49="",0,IF(AND($G49&gt;='Cash Flow'!$E$6,$G49&lt;'Cash Flow'!$E$6+91),1,0))</f>
        <v>0</v>
      </c>
      <c r="I49" s="120" t="str">
        <f aca="false">IF($H49=1,MAX(1,INT(($G49-'Cash Flow'!$E$6)/7)+1),"")</f>
        <v/>
      </c>
      <c r="J49" s="8" t="str">
        <f aca="false">IF($H49=1,$G49*10000+ROW(),"")</f>
        <v/>
      </c>
      <c r="K49" s="8" t="str">
        <f aca="false">IF($H49=1,$I49*1000+COUNTIFS($I$4:$I$483,$I49,$J$4:$J$483,"&lt;"&amp;$J49)+1,"")</f>
        <v/>
      </c>
      <c r="L49" s="121"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17" t="n">
        <v>3</v>
      </c>
      <c r="B50" s="117" t="n">
        <v>15</v>
      </c>
      <c r="C50" s="8" t="str">
        <f aca="false">IF(OR(Recurring!$B$7="",Recurring!$H$7&lt;&gt;"Yes",Recurring!$D$7=""),"",Recurring!$B$7)</f>
        <v>Apple: Claude</v>
      </c>
      <c r="D50" s="8" t="str">
        <f aca="false">IF($C50="","",Recurring!$C$7)</f>
        <v>Expense</v>
      </c>
      <c r="E50" s="118" t="n">
        <f aca="false">IF($C50="","",IF(SUMIFS(Overrides!$E$9:$E$108,Overrides!$B$9:$B$108,$C50,Overrides!$C$9:$C$108,$L50)&gt;0,SUMIFS(Overrides!$E$9:$E$108,Overrides!$B$9:$B$108,$C50,Overrides!$C$9:$C$108,$L50),Recurring!$D$7))</f>
        <v>21.1</v>
      </c>
      <c r="F50" s="119"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19" t="n">
        <f aca="false">IF($L50="","",IF(SUMIFS(Overrides!$D$9:$D$108,Overrides!$B$9:$B$108,$C50,Overrides!$C$9:$C$108,$L50)&gt;0,SUMIFS(Overrides!$D$9:$D$108,Overrides!$B$9:$B$108,$C50,Overrides!$C$9:$C$108,$L50),$L50))</f>
        <v>46695</v>
      </c>
      <c r="H50" s="120" t="n">
        <f aca="false">IF($G50="",0,IF(AND($G50&gt;='Cash Flow'!$E$6,$G50&lt;'Cash Flow'!$E$6+91),1,0))</f>
        <v>0</v>
      </c>
      <c r="I50" s="120" t="str">
        <f aca="false">IF($H50=1,MAX(1,INT(($G50-'Cash Flow'!$E$6)/7)+1),"")</f>
        <v/>
      </c>
      <c r="J50" s="8" t="str">
        <f aca="false">IF($H50=1,$G50*10000+ROW(),"")</f>
        <v/>
      </c>
      <c r="K50" s="8" t="str">
        <f aca="false">IF($H50=1,$I50*1000+COUNTIFS($I$4:$I$483,$I50,$J$4:$J$483,"&lt;"&amp;$J50)+1,"")</f>
        <v/>
      </c>
      <c r="L50" s="121"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17" t="n">
        <v>3</v>
      </c>
      <c r="B51" s="117" t="n">
        <v>16</v>
      </c>
      <c r="C51" s="8" t="str">
        <f aca="false">IF(OR(Recurring!$B$7="",Recurring!$H$7&lt;&gt;"Yes",Recurring!$D$7=""),"",Recurring!$B$7)</f>
        <v>Apple: Claude</v>
      </c>
      <c r="D51" s="8" t="str">
        <f aca="false">IF($C51="","",Recurring!$C$7)</f>
        <v>Expense</v>
      </c>
      <c r="E51" s="118" t="n">
        <f aca="false">IF($C51="","",IF(SUMIFS(Overrides!$E$9:$E$108,Overrides!$B$9:$B$108,$C51,Overrides!$C$9:$C$108,$L51)&gt;0,SUMIFS(Overrides!$E$9:$E$108,Overrides!$B$9:$B$108,$C51,Overrides!$C$9:$C$108,$L51),Recurring!$D$7))</f>
        <v>21.1</v>
      </c>
      <c r="F51" s="119"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19" t="n">
        <f aca="false">IF($L51="","",IF(SUMIFS(Overrides!$D$9:$D$108,Overrides!$B$9:$B$108,$C51,Overrides!$C$9:$C$108,$L51)&gt;0,SUMIFS(Overrides!$D$9:$D$108,Overrides!$B$9:$B$108,$C51,Overrides!$C$9:$C$108,$L51),$L51))</f>
        <v>46725</v>
      </c>
      <c r="H51" s="120" t="n">
        <f aca="false">IF($G51="",0,IF(AND($G51&gt;='Cash Flow'!$E$6,$G51&lt;'Cash Flow'!$E$6+91),1,0))</f>
        <v>0</v>
      </c>
      <c r="I51" s="120" t="str">
        <f aca="false">IF($H51=1,MAX(1,INT(($G51-'Cash Flow'!$E$6)/7)+1),"")</f>
        <v/>
      </c>
      <c r="J51" s="8" t="str">
        <f aca="false">IF($H51=1,$G51*10000+ROW(),"")</f>
        <v/>
      </c>
      <c r="K51" s="8" t="str">
        <f aca="false">IF($H51=1,$I51*1000+COUNTIFS($I$4:$I$483,$I51,$J$4:$J$483,"&lt;"&amp;$J51)+1,"")</f>
        <v/>
      </c>
      <c r="L51" s="121"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17" t="n">
        <v>4</v>
      </c>
      <c r="B52" s="117" t="n">
        <v>1</v>
      </c>
      <c r="C52" s="8" t="str">
        <f aca="false">IF(OR(Recurring!$B$8="",Recurring!$H$8&lt;&gt;"Yes",Recurring!$D$8=""),"",Recurring!$B$8)</f>
        <v>OpenAI</v>
      </c>
      <c r="D52" s="8" t="str">
        <f aca="false">IF($C52="","",Recurring!$C$8)</f>
        <v>Expense</v>
      </c>
      <c r="E52" s="118" t="n">
        <f aca="false">IF($C52="","",IF(SUMIFS(Overrides!$E$9:$E$108,Overrides!$B$9:$B$108,$C52,Overrides!$C$9:$C$108,$L52)&gt;0,SUMIFS(Overrides!$E$9:$E$108,Overrides!$B$9:$B$108,$C52,Overrides!$C$9:$C$108,$L52),Recurring!$D$8))</f>
        <v>20</v>
      </c>
      <c r="F52" s="119"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19" t="n">
        <f aca="false">IF($L52="","",IF(SUMIFS(Overrides!$D$9:$D$108,Overrides!$B$9:$B$108,$C52,Overrides!$C$9:$C$108,$L52)&gt;0,SUMIFS(Overrides!$D$9:$D$108,Overrides!$B$9:$B$108,$C52,Overrides!$C$9:$C$108,$L52),$L52))</f>
        <v>46270</v>
      </c>
      <c r="H52" s="120" t="n">
        <f aca="false">IF($G52="",0,IF(AND($G52&gt;='Cash Flow'!$E$6-90,$G52&lt;'Cash Flow'!$E$6+91),1,0))</f>
        <v>1</v>
      </c>
      <c r="I52" s="120" t="n">
        <f aca="false">IF($H52=1,MAX(1,INT(($G52-'Cash Flow'!$E$6)/7)+1),"")</f>
        <v>4</v>
      </c>
      <c r="J52" s="8" t="n">
        <f aca="false">IF($H52=1,$G52*10000+ROW(),"")</f>
        <v>462700052</v>
      </c>
      <c r="K52" s="8" t="n">
        <f aca="false">IF($H52=1,$I52*1000+COUNTIFS($I$4:$I$483,$I52,$J$4:$J$483,"&lt;"&amp;$J52)+1,"")</f>
        <v>4001</v>
      </c>
      <c r="L52" s="121"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17" t="n">
        <v>4</v>
      </c>
      <c r="B53" s="117" t="n">
        <v>2</v>
      </c>
      <c r="C53" s="8" t="str">
        <f aca="false">IF(OR(Recurring!$B$8="",Recurring!$H$8&lt;&gt;"Yes",Recurring!$D$8=""),"",Recurring!$B$8)</f>
        <v>OpenAI</v>
      </c>
      <c r="D53" s="8" t="str">
        <f aca="false">IF($C53="","",Recurring!$C$8)</f>
        <v>Expense</v>
      </c>
      <c r="E53" s="118" t="n">
        <f aca="false">IF($C53="","",IF(SUMIFS(Overrides!$E$9:$E$108,Overrides!$B$9:$B$108,$C53,Overrides!$C$9:$C$108,$L53)&gt;0,SUMIFS(Overrides!$E$9:$E$108,Overrides!$B$9:$B$108,$C53,Overrides!$C$9:$C$108,$L53),Recurring!$D$8))</f>
        <v>20</v>
      </c>
      <c r="F53" s="119"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19" t="n">
        <f aca="false">IF($L53="","",IF(SUMIFS(Overrides!$D$9:$D$108,Overrides!$B$9:$B$108,$C53,Overrides!$C$9:$C$108,$L53)&gt;0,SUMIFS(Overrides!$D$9:$D$108,Overrides!$B$9:$B$108,$C53,Overrides!$C$9:$C$108,$L53),$L53))</f>
        <v>46300</v>
      </c>
      <c r="H53" s="120" t="n">
        <f aca="false">IF($G53="",0,IF(AND($G53&gt;='Cash Flow'!$E$6,$G53&lt;'Cash Flow'!$E$6+91),1,0))</f>
        <v>1</v>
      </c>
      <c r="I53" s="120" t="n">
        <f aca="false">IF($H53=1,MAX(1,INT(($G53-'Cash Flow'!$E$6)/7)+1),"")</f>
        <v>8</v>
      </c>
      <c r="J53" s="8" t="n">
        <f aca="false">IF($H53=1,$G53*10000+ROW(),"")</f>
        <v>463000053</v>
      </c>
      <c r="K53" s="8" t="n">
        <f aca="false">IF($H53=1,$I53*1000+COUNTIFS($I$4:$I$483,$I53,$J$4:$J$483,"&lt;"&amp;$J53)+1,"")</f>
        <v>8002</v>
      </c>
      <c r="L53" s="121"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17" t="n">
        <v>4</v>
      </c>
      <c r="B54" s="117" t="n">
        <v>3</v>
      </c>
      <c r="C54" s="8" t="str">
        <f aca="false">IF(OR(Recurring!$B$8="",Recurring!$H$8&lt;&gt;"Yes",Recurring!$D$8=""),"",Recurring!$B$8)</f>
        <v>OpenAI</v>
      </c>
      <c r="D54" s="8" t="str">
        <f aca="false">IF($C54="","",Recurring!$C$8)</f>
        <v>Expense</v>
      </c>
      <c r="E54" s="118" t="n">
        <f aca="false">IF($C54="","",IF(SUMIFS(Overrides!$E$9:$E$108,Overrides!$B$9:$B$108,$C54,Overrides!$C$9:$C$108,$L54)&gt;0,SUMIFS(Overrides!$E$9:$E$108,Overrides!$B$9:$B$108,$C54,Overrides!$C$9:$C$108,$L54),Recurring!$D$8))</f>
        <v>20</v>
      </c>
      <c r="F54" s="119"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19" t="n">
        <f aca="false">IF($L54="","",IF(SUMIFS(Overrides!$D$9:$D$108,Overrides!$B$9:$B$108,$C54,Overrides!$C$9:$C$108,$L54)&gt;0,SUMIFS(Overrides!$D$9:$D$108,Overrides!$B$9:$B$108,$C54,Overrides!$C$9:$C$108,$L54),$L54))</f>
        <v>46331</v>
      </c>
      <c r="H54" s="120" t="n">
        <f aca="false">IF($G54="",0,IF(AND($G54&gt;='Cash Flow'!$E$6,$G54&lt;'Cash Flow'!$E$6+91),1,0))</f>
        <v>1</v>
      </c>
      <c r="I54" s="120" t="n">
        <f aca="false">IF($H54=1,MAX(1,INT(($G54-'Cash Flow'!$E$6)/7)+1),"")</f>
        <v>12</v>
      </c>
      <c r="J54" s="8" t="n">
        <f aca="false">IF($H54=1,$G54*10000+ROW(),"")</f>
        <v>463310054</v>
      </c>
      <c r="K54" s="8" t="n">
        <f aca="false">IF($H54=1,$I54*1000+COUNTIFS($I$4:$I$483,$I54,$J$4:$J$483,"&lt;"&amp;$J54)+1,"")</f>
        <v>12004</v>
      </c>
      <c r="L54" s="121"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17" t="n">
        <v>4</v>
      </c>
      <c r="B55" s="117" t="n">
        <v>4</v>
      </c>
      <c r="C55" s="8" t="str">
        <f aca="false">IF(OR(Recurring!$B$8="",Recurring!$H$8&lt;&gt;"Yes",Recurring!$D$8=""),"",Recurring!$B$8)</f>
        <v>OpenAI</v>
      </c>
      <c r="D55" s="8" t="str">
        <f aca="false">IF($C55="","",Recurring!$C$8)</f>
        <v>Expense</v>
      </c>
      <c r="E55" s="118" t="n">
        <f aca="false">IF($C55="","",IF(SUMIFS(Overrides!$E$9:$E$108,Overrides!$B$9:$B$108,$C55,Overrides!$C$9:$C$108,$L55)&gt;0,SUMIFS(Overrides!$E$9:$E$108,Overrides!$B$9:$B$108,$C55,Overrides!$C$9:$C$108,$L55),Recurring!$D$8))</f>
        <v>20</v>
      </c>
      <c r="F55" s="119"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19" t="n">
        <f aca="false">IF($L55="","",IF(SUMIFS(Overrides!$D$9:$D$108,Overrides!$B$9:$B$108,$C55,Overrides!$C$9:$C$108,$L55)&gt;0,SUMIFS(Overrides!$D$9:$D$108,Overrides!$B$9:$B$108,$C55,Overrides!$C$9:$C$108,$L55),$L55))</f>
        <v>46361</v>
      </c>
      <c r="H55" s="120" t="n">
        <f aca="false">IF($G55="",0,IF(AND($G55&gt;='Cash Flow'!$E$6,$G55&lt;'Cash Flow'!$E$6+91),1,0))</f>
        <v>0</v>
      </c>
      <c r="I55" s="120" t="str">
        <f aca="false">IF($H55=1,MAX(1,INT(($G55-'Cash Flow'!$E$6)/7)+1),"")</f>
        <v/>
      </c>
      <c r="J55" s="8" t="str">
        <f aca="false">IF($H55=1,$G55*10000+ROW(),"")</f>
        <v/>
      </c>
      <c r="K55" s="8" t="str">
        <f aca="false">IF($H55=1,$I55*1000+COUNTIFS($I$4:$I$483,$I55,$J$4:$J$483,"&lt;"&amp;$J55)+1,"")</f>
        <v/>
      </c>
      <c r="L55" s="121"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17" t="n">
        <v>4</v>
      </c>
      <c r="B56" s="117" t="n">
        <v>5</v>
      </c>
      <c r="C56" s="8" t="str">
        <f aca="false">IF(OR(Recurring!$B$8="",Recurring!$H$8&lt;&gt;"Yes",Recurring!$D$8=""),"",Recurring!$B$8)</f>
        <v>OpenAI</v>
      </c>
      <c r="D56" s="8" t="str">
        <f aca="false">IF($C56="","",Recurring!$C$8)</f>
        <v>Expense</v>
      </c>
      <c r="E56" s="118" t="n">
        <f aca="false">IF($C56="","",IF(SUMIFS(Overrides!$E$9:$E$108,Overrides!$B$9:$B$108,$C56,Overrides!$C$9:$C$108,$L56)&gt;0,SUMIFS(Overrides!$E$9:$E$108,Overrides!$B$9:$B$108,$C56,Overrides!$C$9:$C$108,$L56),Recurring!$D$8))</f>
        <v>20</v>
      </c>
      <c r="F56" s="119"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19" t="n">
        <f aca="false">IF($L56="","",IF(SUMIFS(Overrides!$D$9:$D$108,Overrides!$B$9:$B$108,$C56,Overrides!$C$9:$C$108,$L56)&gt;0,SUMIFS(Overrides!$D$9:$D$108,Overrides!$B$9:$B$108,$C56,Overrides!$C$9:$C$108,$L56),$L56))</f>
        <v>46392</v>
      </c>
      <c r="H56" s="120" t="n">
        <f aca="false">IF($G56="",0,IF(AND($G56&gt;='Cash Flow'!$E$6,$G56&lt;'Cash Flow'!$E$6+91),1,0))</f>
        <v>0</v>
      </c>
      <c r="I56" s="120" t="str">
        <f aca="false">IF($H56=1,MAX(1,INT(($G56-'Cash Flow'!$E$6)/7)+1),"")</f>
        <v/>
      </c>
      <c r="J56" s="8" t="str">
        <f aca="false">IF($H56=1,$G56*10000+ROW(),"")</f>
        <v/>
      </c>
      <c r="K56" s="8" t="str">
        <f aca="false">IF($H56=1,$I56*1000+COUNTIFS($I$4:$I$483,$I56,$J$4:$J$483,"&lt;"&amp;$J56)+1,"")</f>
        <v/>
      </c>
      <c r="L56" s="121"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17" t="n">
        <v>4</v>
      </c>
      <c r="B57" s="117" t="n">
        <v>6</v>
      </c>
      <c r="C57" s="8" t="str">
        <f aca="false">IF(OR(Recurring!$B$8="",Recurring!$H$8&lt;&gt;"Yes",Recurring!$D$8=""),"",Recurring!$B$8)</f>
        <v>OpenAI</v>
      </c>
      <c r="D57" s="8" t="str">
        <f aca="false">IF($C57="","",Recurring!$C$8)</f>
        <v>Expense</v>
      </c>
      <c r="E57" s="118" t="n">
        <f aca="false">IF($C57="","",IF(SUMIFS(Overrides!$E$9:$E$108,Overrides!$B$9:$B$108,$C57,Overrides!$C$9:$C$108,$L57)&gt;0,SUMIFS(Overrides!$E$9:$E$108,Overrides!$B$9:$B$108,$C57,Overrides!$C$9:$C$108,$L57),Recurring!$D$8))</f>
        <v>20</v>
      </c>
      <c r="F57" s="119"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19" t="n">
        <f aca="false">IF($L57="","",IF(SUMIFS(Overrides!$D$9:$D$108,Overrides!$B$9:$B$108,$C57,Overrides!$C$9:$C$108,$L57)&gt;0,SUMIFS(Overrides!$D$9:$D$108,Overrides!$B$9:$B$108,$C57,Overrides!$C$9:$C$108,$L57),$L57))</f>
        <v>46423</v>
      </c>
      <c r="H57" s="120" t="n">
        <f aca="false">IF($G57="",0,IF(AND($G57&gt;='Cash Flow'!$E$6,$G57&lt;'Cash Flow'!$E$6+91),1,0))</f>
        <v>0</v>
      </c>
      <c r="I57" s="120" t="str">
        <f aca="false">IF($H57=1,MAX(1,INT(($G57-'Cash Flow'!$E$6)/7)+1),"")</f>
        <v/>
      </c>
      <c r="J57" s="8" t="str">
        <f aca="false">IF($H57=1,$G57*10000+ROW(),"")</f>
        <v/>
      </c>
      <c r="K57" s="8" t="str">
        <f aca="false">IF($H57=1,$I57*1000+COUNTIFS($I$4:$I$483,$I57,$J$4:$J$483,"&lt;"&amp;$J57)+1,"")</f>
        <v/>
      </c>
      <c r="L57" s="121"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17" t="n">
        <v>4</v>
      </c>
      <c r="B58" s="117" t="n">
        <v>7</v>
      </c>
      <c r="C58" s="8" t="str">
        <f aca="false">IF(OR(Recurring!$B$8="",Recurring!$H$8&lt;&gt;"Yes",Recurring!$D$8=""),"",Recurring!$B$8)</f>
        <v>OpenAI</v>
      </c>
      <c r="D58" s="8" t="str">
        <f aca="false">IF($C58="","",Recurring!$C$8)</f>
        <v>Expense</v>
      </c>
      <c r="E58" s="118" t="n">
        <f aca="false">IF($C58="","",IF(SUMIFS(Overrides!$E$9:$E$108,Overrides!$B$9:$B$108,$C58,Overrides!$C$9:$C$108,$L58)&gt;0,SUMIFS(Overrides!$E$9:$E$108,Overrides!$B$9:$B$108,$C58,Overrides!$C$9:$C$108,$L58),Recurring!$D$8))</f>
        <v>20</v>
      </c>
      <c r="F58" s="119"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19" t="n">
        <f aca="false">IF($L58="","",IF(SUMIFS(Overrides!$D$9:$D$108,Overrides!$B$9:$B$108,$C58,Overrides!$C$9:$C$108,$L58)&gt;0,SUMIFS(Overrides!$D$9:$D$108,Overrides!$B$9:$B$108,$C58,Overrides!$C$9:$C$108,$L58),$L58))</f>
        <v>46451</v>
      </c>
      <c r="H58" s="120" t="n">
        <f aca="false">IF($G58="",0,IF(AND($G58&gt;='Cash Flow'!$E$6,$G58&lt;'Cash Flow'!$E$6+91),1,0))</f>
        <v>0</v>
      </c>
      <c r="I58" s="120" t="str">
        <f aca="false">IF($H58=1,MAX(1,INT(($G58-'Cash Flow'!$E$6)/7)+1),"")</f>
        <v/>
      </c>
      <c r="J58" s="8" t="str">
        <f aca="false">IF($H58=1,$G58*10000+ROW(),"")</f>
        <v/>
      </c>
      <c r="K58" s="8" t="str">
        <f aca="false">IF($H58=1,$I58*1000+COUNTIFS($I$4:$I$483,$I58,$J$4:$J$483,"&lt;"&amp;$J58)+1,"")</f>
        <v/>
      </c>
      <c r="L58" s="121"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17" t="n">
        <v>4</v>
      </c>
      <c r="B59" s="117" t="n">
        <v>8</v>
      </c>
      <c r="C59" s="8" t="str">
        <f aca="false">IF(OR(Recurring!$B$8="",Recurring!$H$8&lt;&gt;"Yes",Recurring!$D$8=""),"",Recurring!$B$8)</f>
        <v>OpenAI</v>
      </c>
      <c r="D59" s="8" t="str">
        <f aca="false">IF($C59="","",Recurring!$C$8)</f>
        <v>Expense</v>
      </c>
      <c r="E59" s="118" t="n">
        <f aca="false">IF($C59="","",IF(SUMIFS(Overrides!$E$9:$E$108,Overrides!$B$9:$B$108,$C59,Overrides!$C$9:$C$108,$L59)&gt;0,SUMIFS(Overrides!$E$9:$E$108,Overrides!$B$9:$B$108,$C59,Overrides!$C$9:$C$108,$L59),Recurring!$D$8))</f>
        <v>20</v>
      </c>
      <c r="F59" s="119"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19" t="n">
        <f aca="false">IF($L59="","",IF(SUMIFS(Overrides!$D$9:$D$108,Overrides!$B$9:$B$108,$C59,Overrides!$C$9:$C$108,$L59)&gt;0,SUMIFS(Overrides!$D$9:$D$108,Overrides!$B$9:$B$108,$C59,Overrides!$C$9:$C$108,$L59),$L59))</f>
        <v>46482</v>
      </c>
      <c r="H59" s="120" t="n">
        <f aca="false">IF($G59="",0,IF(AND($G59&gt;='Cash Flow'!$E$6,$G59&lt;'Cash Flow'!$E$6+91),1,0))</f>
        <v>0</v>
      </c>
      <c r="I59" s="120" t="str">
        <f aca="false">IF($H59=1,MAX(1,INT(($G59-'Cash Flow'!$E$6)/7)+1),"")</f>
        <v/>
      </c>
      <c r="J59" s="8" t="str">
        <f aca="false">IF($H59=1,$G59*10000+ROW(),"")</f>
        <v/>
      </c>
      <c r="K59" s="8" t="str">
        <f aca="false">IF($H59=1,$I59*1000+COUNTIFS($I$4:$I$483,$I59,$J$4:$J$483,"&lt;"&amp;$J59)+1,"")</f>
        <v/>
      </c>
      <c r="L59" s="121"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17" t="n">
        <v>4</v>
      </c>
      <c r="B60" s="117" t="n">
        <v>9</v>
      </c>
      <c r="C60" s="8" t="str">
        <f aca="false">IF(OR(Recurring!$B$8="",Recurring!$H$8&lt;&gt;"Yes",Recurring!$D$8=""),"",Recurring!$B$8)</f>
        <v>OpenAI</v>
      </c>
      <c r="D60" s="8" t="str">
        <f aca="false">IF($C60="","",Recurring!$C$8)</f>
        <v>Expense</v>
      </c>
      <c r="E60" s="118" t="n">
        <f aca="false">IF($C60="","",IF(SUMIFS(Overrides!$E$9:$E$108,Overrides!$B$9:$B$108,$C60,Overrides!$C$9:$C$108,$L60)&gt;0,SUMIFS(Overrides!$E$9:$E$108,Overrides!$B$9:$B$108,$C60,Overrides!$C$9:$C$108,$L60),Recurring!$D$8))</f>
        <v>20</v>
      </c>
      <c r="F60" s="119"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19" t="n">
        <f aca="false">IF($L60="","",IF(SUMIFS(Overrides!$D$9:$D$108,Overrides!$B$9:$B$108,$C60,Overrides!$C$9:$C$108,$L60)&gt;0,SUMIFS(Overrides!$D$9:$D$108,Overrides!$B$9:$B$108,$C60,Overrides!$C$9:$C$108,$L60),$L60))</f>
        <v>46512</v>
      </c>
      <c r="H60" s="120" t="n">
        <f aca="false">IF($G60="",0,IF(AND($G60&gt;='Cash Flow'!$E$6,$G60&lt;'Cash Flow'!$E$6+91),1,0))</f>
        <v>0</v>
      </c>
      <c r="I60" s="120" t="str">
        <f aca="false">IF($H60=1,MAX(1,INT(($G60-'Cash Flow'!$E$6)/7)+1),"")</f>
        <v/>
      </c>
      <c r="J60" s="8" t="str">
        <f aca="false">IF($H60=1,$G60*10000+ROW(),"")</f>
        <v/>
      </c>
      <c r="K60" s="8" t="str">
        <f aca="false">IF($H60=1,$I60*1000+COUNTIFS($I$4:$I$483,$I60,$J$4:$J$483,"&lt;"&amp;$J60)+1,"")</f>
        <v/>
      </c>
      <c r="L60" s="121"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17" t="n">
        <v>4</v>
      </c>
      <c r="B61" s="117" t="n">
        <v>10</v>
      </c>
      <c r="C61" s="8" t="str">
        <f aca="false">IF(OR(Recurring!$B$8="",Recurring!$H$8&lt;&gt;"Yes",Recurring!$D$8=""),"",Recurring!$B$8)</f>
        <v>OpenAI</v>
      </c>
      <c r="D61" s="8" t="str">
        <f aca="false">IF($C61="","",Recurring!$C$8)</f>
        <v>Expense</v>
      </c>
      <c r="E61" s="118" t="n">
        <f aca="false">IF($C61="","",IF(SUMIFS(Overrides!$E$9:$E$108,Overrides!$B$9:$B$108,$C61,Overrides!$C$9:$C$108,$L61)&gt;0,SUMIFS(Overrides!$E$9:$E$108,Overrides!$B$9:$B$108,$C61,Overrides!$C$9:$C$108,$L61),Recurring!$D$8))</f>
        <v>20</v>
      </c>
      <c r="F61" s="119"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19" t="n">
        <f aca="false">IF($L61="","",IF(SUMIFS(Overrides!$D$9:$D$108,Overrides!$B$9:$B$108,$C61,Overrides!$C$9:$C$108,$L61)&gt;0,SUMIFS(Overrides!$D$9:$D$108,Overrides!$B$9:$B$108,$C61,Overrides!$C$9:$C$108,$L61),$L61))</f>
        <v>46543</v>
      </c>
      <c r="H61" s="120" t="n">
        <f aca="false">IF($G61="",0,IF(AND($G61&gt;='Cash Flow'!$E$6,$G61&lt;'Cash Flow'!$E$6+91),1,0))</f>
        <v>0</v>
      </c>
      <c r="I61" s="120" t="str">
        <f aca="false">IF($H61=1,MAX(1,INT(($G61-'Cash Flow'!$E$6)/7)+1),"")</f>
        <v/>
      </c>
      <c r="J61" s="8" t="str">
        <f aca="false">IF($H61=1,$G61*10000+ROW(),"")</f>
        <v/>
      </c>
      <c r="K61" s="8" t="str">
        <f aca="false">IF($H61=1,$I61*1000+COUNTIFS($I$4:$I$483,$I61,$J$4:$J$483,"&lt;"&amp;$J61)+1,"")</f>
        <v/>
      </c>
      <c r="L61" s="121"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17" t="n">
        <v>4</v>
      </c>
      <c r="B62" s="117" t="n">
        <v>11</v>
      </c>
      <c r="C62" s="8" t="str">
        <f aca="false">IF(OR(Recurring!$B$8="",Recurring!$H$8&lt;&gt;"Yes",Recurring!$D$8=""),"",Recurring!$B$8)</f>
        <v>OpenAI</v>
      </c>
      <c r="D62" s="8" t="str">
        <f aca="false">IF($C62="","",Recurring!$C$8)</f>
        <v>Expense</v>
      </c>
      <c r="E62" s="118" t="n">
        <f aca="false">IF($C62="","",IF(SUMIFS(Overrides!$E$9:$E$108,Overrides!$B$9:$B$108,$C62,Overrides!$C$9:$C$108,$L62)&gt;0,SUMIFS(Overrides!$E$9:$E$108,Overrides!$B$9:$B$108,$C62,Overrides!$C$9:$C$108,$L62),Recurring!$D$8))</f>
        <v>20</v>
      </c>
      <c r="F62" s="119"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19" t="n">
        <f aca="false">IF($L62="","",IF(SUMIFS(Overrides!$D$9:$D$108,Overrides!$B$9:$B$108,$C62,Overrides!$C$9:$C$108,$L62)&gt;0,SUMIFS(Overrides!$D$9:$D$108,Overrides!$B$9:$B$108,$C62,Overrides!$C$9:$C$108,$L62),$L62))</f>
        <v>46573</v>
      </c>
      <c r="H62" s="120" t="n">
        <f aca="false">IF($G62="",0,IF(AND($G62&gt;='Cash Flow'!$E$6,$G62&lt;'Cash Flow'!$E$6+91),1,0))</f>
        <v>0</v>
      </c>
      <c r="I62" s="120" t="str">
        <f aca="false">IF($H62=1,MAX(1,INT(($G62-'Cash Flow'!$E$6)/7)+1),"")</f>
        <v/>
      </c>
      <c r="J62" s="8" t="str">
        <f aca="false">IF($H62=1,$G62*10000+ROW(),"")</f>
        <v/>
      </c>
      <c r="K62" s="8" t="str">
        <f aca="false">IF($H62=1,$I62*1000+COUNTIFS($I$4:$I$483,$I62,$J$4:$J$483,"&lt;"&amp;$J62)+1,"")</f>
        <v/>
      </c>
      <c r="L62" s="121"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17" t="n">
        <v>4</v>
      </c>
      <c r="B63" s="117" t="n">
        <v>12</v>
      </c>
      <c r="C63" s="8" t="str">
        <f aca="false">IF(OR(Recurring!$B$8="",Recurring!$H$8&lt;&gt;"Yes",Recurring!$D$8=""),"",Recurring!$B$8)</f>
        <v>OpenAI</v>
      </c>
      <c r="D63" s="8" t="str">
        <f aca="false">IF($C63="","",Recurring!$C$8)</f>
        <v>Expense</v>
      </c>
      <c r="E63" s="118" t="n">
        <f aca="false">IF($C63="","",IF(SUMIFS(Overrides!$E$9:$E$108,Overrides!$B$9:$B$108,$C63,Overrides!$C$9:$C$108,$L63)&gt;0,SUMIFS(Overrides!$E$9:$E$108,Overrides!$B$9:$B$108,$C63,Overrides!$C$9:$C$108,$L63),Recurring!$D$8))</f>
        <v>20</v>
      </c>
      <c r="F63" s="119"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19" t="n">
        <f aca="false">IF($L63="","",IF(SUMIFS(Overrides!$D$9:$D$108,Overrides!$B$9:$B$108,$C63,Overrides!$C$9:$C$108,$L63)&gt;0,SUMIFS(Overrides!$D$9:$D$108,Overrides!$B$9:$B$108,$C63,Overrides!$C$9:$C$108,$L63),$L63))</f>
        <v>46604</v>
      </c>
      <c r="H63" s="120" t="n">
        <f aca="false">IF($G63="",0,IF(AND($G63&gt;='Cash Flow'!$E$6,$G63&lt;'Cash Flow'!$E$6+91),1,0))</f>
        <v>0</v>
      </c>
      <c r="I63" s="120" t="str">
        <f aca="false">IF($H63=1,MAX(1,INT(($G63-'Cash Flow'!$E$6)/7)+1),"")</f>
        <v/>
      </c>
      <c r="J63" s="8" t="str">
        <f aca="false">IF($H63=1,$G63*10000+ROW(),"")</f>
        <v/>
      </c>
      <c r="K63" s="8" t="str">
        <f aca="false">IF($H63=1,$I63*1000+COUNTIFS($I$4:$I$483,$I63,$J$4:$J$483,"&lt;"&amp;$J63)+1,"")</f>
        <v/>
      </c>
      <c r="L63" s="121"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17" t="n">
        <v>4</v>
      </c>
      <c r="B64" s="117" t="n">
        <v>13</v>
      </c>
      <c r="C64" s="8" t="str">
        <f aca="false">IF(OR(Recurring!$B$8="",Recurring!$H$8&lt;&gt;"Yes",Recurring!$D$8=""),"",Recurring!$B$8)</f>
        <v>OpenAI</v>
      </c>
      <c r="D64" s="8" t="str">
        <f aca="false">IF($C64="","",Recurring!$C$8)</f>
        <v>Expense</v>
      </c>
      <c r="E64" s="118" t="n">
        <f aca="false">IF($C64="","",IF(SUMIFS(Overrides!$E$9:$E$108,Overrides!$B$9:$B$108,$C64,Overrides!$C$9:$C$108,$L64)&gt;0,SUMIFS(Overrides!$E$9:$E$108,Overrides!$B$9:$B$108,$C64,Overrides!$C$9:$C$108,$L64),Recurring!$D$8))</f>
        <v>20</v>
      </c>
      <c r="F64" s="119"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19" t="n">
        <f aca="false">IF($L64="","",IF(SUMIFS(Overrides!$D$9:$D$108,Overrides!$B$9:$B$108,$C64,Overrides!$C$9:$C$108,$L64)&gt;0,SUMIFS(Overrides!$D$9:$D$108,Overrides!$B$9:$B$108,$C64,Overrides!$C$9:$C$108,$L64),$L64))</f>
        <v>46635</v>
      </c>
      <c r="H64" s="120" t="n">
        <f aca="false">IF($G64="",0,IF(AND($G64&gt;='Cash Flow'!$E$6,$G64&lt;'Cash Flow'!$E$6+91),1,0))</f>
        <v>0</v>
      </c>
      <c r="I64" s="120" t="str">
        <f aca="false">IF($H64=1,MAX(1,INT(($G64-'Cash Flow'!$E$6)/7)+1),"")</f>
        <v/>
      </c>
      <c r="J64" s="8" t="str">
        <f aca="false">IF($H64=1,$G64*10000+ROW(),"")</f>
        <v/>
      </c>
      <c r="K64" s="8" t="str">
        <f aca="false">IF($H64=1,$I64*1000+COUNTIFS($I$4:$I$483,$I64,$J$4:$J$483,"&lt;"&amp;$J64)+1,"")</f>
        <v/>
      </c>
      <c r="L64" s="121"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17" t="n">
        <v>4</v>
      </c>
      <c r="B65" s="117" t="n">
        <v>14</v>
      </c>
      <c r="C65" s="8" t="str">
        <f aca="false">IF(OR(Recurring!$B$8="",Recurring!$H$8&lt;&gt;"Yes",Recurring!$D$8=""),"",Recurring!$B$8)</f>
        <v>OpenAI</v>
      </c>
      <c r="D65" s="8" t="str">
        <f aca="false">IF($C65="","",Recurring!$C$8)</f>
        <v>Expense</v>
      </c>
      <c r="E65" s="118" t="n">
        <f aca="false">IF($C65="","",IF(SUMIFS(Overrides!$E$9:$E$108,Overrides!$B$9:$B$108,$C65,Overrides!$C$9:$C$108,$L65)&gt;0,SUMIFS(Overrides!$E$9:$E$108,Overrides!$B$9:$B$108,$C65,Overrides!$C$9:$C$108,$L65),Recurring!$D$8))</f>
        <v>20</v>
      </c>
      <c r="F65" s="119"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19" t="n">
        <f aca="false">IF($L65="","",IF(SUMIFS(Overrides!$D$9:$D$108,Overrides!$B$9:$B$108,$C65,Overrides!$C$9:$C$108,$L65)&gt;0,SUMIFS(Overrides!$D$9:$D$108,Overrides!$B$9:$B$108,$C65,Overrides!$C$9:$C$108,$L65),$L65))</f>
        <v>46665</v>
      </c>
      <c r="H65" s="120" t="n">
        <f aca="false">IF($G65="",0,IF(AND($G65&gt;='Cash Flow'!$E$6,$G65&lt;'Cash Flow'!$E$6+91),1,0))</f>
        <v>0</v>
      </c>
      <c r="I65" s="120" t="str">
        <f aca="false">IF($H65=1,MAX(1,INT(($G65-'Cash Flow'!$E$6)/7)+1),"")</f>
        <v/>
      </c>
      <c r="J65" s="8" t="str">
        <f aca="false">IF($H65=1,$G65*10000+ROW(),"")</f>
        <v/>
      </c>
      <c r="K65" s="8" t="str">
        <f aca="false">IF($H65=1,$I65*1000+COUNTIFS($I$4:$I$483,$I65,$J$4:$J$483,"&lt;"&amp;$J65)+1,"")</f>
        <v/>
      </c>
      <c r="L65" s="121"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17" t="n">
        <v>4</v>
      </c>
      <c r="B66" s="117" t="n">
        <v>15</v>
      </c>
      <c r="C66" s="8" t="str">
        <f aca="false">IF(OR(Recurring!$B$8="",Recurring!$H$8&lt;&gt;"Yes",Recurring!$D$8=""),"",Recurring!$B$8)</f>
        <v>OpenAI</v>
      </c>
      <c r="D66" s="8" t="str">
        <f aca="false">IF($C66="","",Recurring!$C$8)</f>
        <v>Expense</v>
      </c>
      <c r="E66" s="118" t="n">
        <f aca="false">IF($C66="","",IF(SUMIFS(Overrides!$E$9:$E$108,Overrides!$B$9:$B$108,$C66,Overrides!$C$9:$C$108,$L66)&gt;0,SUMIFS(Overrides!$E$9:$E$108,Overrides!$B$9:$B$108,$C66,Overrides!$C$9:$C$108,$L66),Recurring!$D$8))</f>
        <v>20</v>
      </c>
      <c r="F66" s="119"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19" t="n">
        <f aca="false">IF($L66="","",IF(SUMIFS(Overrides!$D$9:$D$108,Overrides!$B$9:$B$108,$C66,Overrides!$C$9:$C$108,$L66)&gt;0,SUMIFS(Overrides!$D$9:$D$108,Overrides!$B$9:$B$108,$C66,Overrides!$C$9:$C$108,$L66),$L66))</f>
        <v>46696</v>
      </c>
      <c r="H66" s="120" t="n">
        <f aca="false">IF($G66="",0,IF(AND($G66&gt;='Cash Flow'!$E$6,$G66&lt;'Cash Flow'!$E$6+91),1,0))</f>
        <v>0</v>
      </c>
      <c r="I66" s="120" t="str">
        <f aca="false">IF($H66=1,MAX(1,INT(($G66-'Cash Flow'!$E$6)/7)+1),"")</f>
        <v/>
      </c>
      <c r="J66" s="8" t="str">
        <f aca="false">IF($H66=1,$G66*10000+ROW(),"")</f>
        <v/>
      </c>
      <c r="K66" s="8" t="str">
        <f aca="false">IF($H66=1,$I66*1000+COUNTIFS($I$4:$I$483,$I66,$J$4:$J$483,"&lt;"&amp;$J66)+1,"")</f>
        <v/>
      </c>
      <c r="L66" s="121"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17" t="n">
        <v>4</v>
      </c>
      <c r="B67" s="117" t="n">
        <v>16</v>
      </c>
      <c r="C67" s="8" t="str">
        <f aca="false">IF(OR(Recurring!$B$8="",Recurring!$H$8&lt;&gt;"Yes",Recurring!$D$8=""),"",Recurring!$B$8)</f>
        <v>OpenAI</v>
      </c>
      <c r="D67" s="8" t="str">
        <f aca="false">IF($C67="","",Recurring!$C$8)</f>
        <v>Expense</v>
      </c>
      <c r="E67" s="118" t="n">
        <f aca="false">IF($C67="","",IF(SUMIFS(Overrides!$E$9:$E$108,Overrides!$B$9:$B$108,$C67,Overrides!$C$9:$C$108,$L67)&gt;0,SUMIFS(Overrides!$E$9:$E$108,Overrides!$B$9:$B$108,$C67,Overrides!$C$9:$C$108,$L67),Recurring!$D$8))</f>
        <v>20</v>
      </c>
      <c r="F67" s="119"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19" t="n">
        <f aca="false">IF($L67="","",IF(SUMIFS(Overrides!$D$9:$D$108,Overrides!$B$9:$B$108,$C67,Overrides!$C$9:$C$108,$L67)&gt;0,SUMIFS(Overrides!$D$9:$D$108,Overrides!$B$9:$B$108,$C67,Overrides!$C$9:$C$108,$L67),$L67))</f>
        <v>46726</v>
      </c>
      <c r="H67" s="120" t="n">
        <f aca="false">IF($G67="",0,IF(AND($G67&gt;='Cash Flow'!$E$6,$G67&lt;'Cash Flow'!$E$6+91),1,0))</f>
        <v>0</v>
      </c>
      <c r="I67" s="120" t="str">
        <f aca="false">IF($H67=1,MAX(1,INT(($G67-'Cash Flow'!$E$6)/7)+1),"")</f>
        <v/>
      </c>
      <c r="J67" s="8" t="str">
        <f aca="false">IF($H67=1,$G67*10000+ROW(),"")</f>
        <v/>
      </c>
      <c r="K67" s="8" t="str">
        <f aca="false">IF($H67=1,$I67*1000+COUNTIFS($I$4:$I$483,$I67,$J$4:$J$483,"&lt;"&amp;$J67)+1,"")</f>
        <v/>
      </c>
      <c r="L67" s="121"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17" t="n">
        <v>5</v>
      </c>
      <c r="B68" s="117" t="n">
        <v>1</v>
      </c>
      <c r="C68" s="8" t="str">
        <f aca="false">IF(OR(Recurring!$B$9="",Recurring!$H$9&lt;&gt;"Yes",Recurring!$D$9=""),"",Recurring!$B$9)</f>
        <v>Obsidian</v>
      </c>
      <c r="D68" s="8" t="str">
        <f aca="false">IF($C68="","",Recurring!$C$9)</f>
        <v>Expense</v>
      </c>
      <c r="E68" s="118" t="n">
        <f aca="false">IF($C68="","",IF(SUMIFS(Overrides!$E$9:$E$108,Overrides!$B$9:$B$108,$C68,Overrides!$C$9:$C$108,$L68)&gt;0,SUMIFS(Overrides!$E$9:$E$108,Overrides!$B$9:$B$108,$C68,Overrides!$C$9:$C$108,$L68),Recurring!$D$9))</f>
        <v>10</v>
      </c>
      <c r="F68" s="119"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19" t="n">
        <f aca="false">IF($L68="","",IF(SUMIFS(Overrides!$D$9:$D$108,Overrides!$B$9:$B$108,$C68,Overrides!$C$9:$C$108,$L68)&gt;0,SUMIFS(Overrides!$D$9:$D$108,Overrides!$B$9:$B$108,$C68,Overrides!$C$9:$C$108,$L68),$L68))</f>
        <v>46270</v>
      </c>
      <c r="H68" s="120" t="n">
        <f aca="false">IF($G68="",0,IF(AND($G68&gt;='Cash Flow'!$E$6-90,$G68&lt;'Cash Flow'!$E$6+91),1,0))</f>
        <v>1</v>
      </c>
      <c r="I68" s="120" t="n">
        <f aca="false">IF($H68=1,MAX(1,INT(($G68-'Cash Flow'!$E$6)/7)+1),"")</f>
        <v>4</v>
      </c>
      <c r="J68" s="8" t="n">
        <f aca="false">IF($H68=1,$G68*10000+ROW(),"")</f>
        <v>462700068</v>
      </c>
      <c r="K68" s="8" t="n">
        <f aca="false">IF($H68=1,$I68*1000+COUNTIFS($I$4:$I$483,$I68,$J$4:$J$483,"&lt;"&amp;$J68)+1,"")</f>
        <v>4002</v>
      </c>
      <c r="L68" s="121"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17" t="n">
        <v>5</v>
      </c>
      <c r="B69" s="117" t="n">
        <v>2</v>
      </c>
      <c r="C69" s="8" t="str">
        <f aca="false">IF(OR(Recurring!$B$9="",Recurring!$H$9&lt;&gt;"Yes",Recurring!$D$9=""),"",Recurring!$B$9)</f>
        <v>Obsidian</v>
      </c>
      <c r="D69" s="8" t="str">
        <f aca="false">IF($C69="","",Recurring!$C$9)</f>
        <v>Expense</v>
      </c>
      <c r="E69" s="118" t="n">
        <f aca="false">IF($C69="","",IF(SUMIFS(Overrides!$E$9:$E$108,Overrides!$B$9:$B$108,$C69,Overrides!$C$9:$C$108,$L69)&gt;0,SUMIFS(Overrides!$E$9:$E$108,Overrides!$B$9:$B$108,$C69,Overrides!$C$9:$C$108,$L69),Recurring!$D$9))</f>
        <v>10</v>
      </c>
      <c r="F69" s="119"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19" t="n">
        <f aca="false">IF($L69="","",IF(SUMIFS(Overrides!$D$9:$D$108,Overrides!$B$9:$B$108,$C69,Overrides!$C$9:$C$108,$L69)&gt;0,SUMIFS(Overrides!$D$9:$D$108,Overrides!$B$9:$B$108,$C69,Overrides!$C$9:$C$108,$L69),$L69))</f>
        <v>46300</v>
      </c>
      <c r="H69" s="120" t="n">
        <f aca="false">IF($G69="",0,IF(AND($G69&gt;='Cash Flow'!$E$6,$G69&lt;'Cash Flow'!$E$6+91),1,0))</f>
        <v>1</v>
      </c>
      <c r="I69" s="120" t="n">
        <f aca="false">IF($H69=1,MAX(1,INT(($G69-'Cash Flow'!$E$6)/7)+1),"")</f>
        <v>8</v>
      </c>
      <c r="J69" s="8" t="n">
        <f aca="false">IF($H69=1,$G69*10000+ROW(),"")</f>
        <v>463000069</v>
      </c>
      <c r="K69" s="8" t="n">
        <f aca="false">IF($H69=1,$I69*1000+COUNTIFS($I$4:$I$483,$I69,$J$4:$J$483,"&lt;"&amp;$J69)+1,"")</f>
        <v>8003</v>
      </c>
      <c r="L69" s="121"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17" t="n">
        <v>5</v>
      </c>
      <c r="B70" s="117" t="n">
        <v>3</v>
      </c>
      <c r="C70" s="8" t="str">
        <f aca="false">IF(OR(Recurring!$B$9="",Recurring!$H$9&lt;&gt;"Yes",Recurring!$D$9=""),"",Recurring!$B$9)</f>
        <v>Obsidian</v>
      </c>
      <c r="D70" s="8" t="str">
        <f aca="false">IF($C70="","",Recurring!$C$9)</f>
        <v>Expense</v>
      </c>
      <c r="E70" s="118" t="n">
        <f aca="false">IF($C70="","",IF(SUMIFS(Overrides!$E$9:$E$108,Overrides!$B$9:$B$108,$C70,Overrides!$C$9:$C$108,$L70)&gt;0,SUMIFS(Overrides!$E$9:$E$108,Overrides!$B$9:$B$108,$C70,Overrides!$C$9:$C$108,$L70),Recurring!$D$9))</f>
        <v>10</v>
      </c>
      <c r="F70" s="119"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19" t="n">
        <f aca="false">IF($L70="","",IF(SUMIFS(Overrides!$D$9:$D$108,Overrides!$B$9:$B$108,$C70,Overrides!$C$9:$C$108,$L70)&gt;0,SUMIFS(Overrides!$D$9:$D$108,Overrides!$B$9:$B$108,$C70,Overrides!$C$9:$C$108,$L70),$L70))</f>
        <v>46331</v>
      </c>
      <c r="H70" s="120" t="n">
        <f aca="false">IF($G70="",0,IF(AND($G70&gt;='Cash Flow'!$E$6,$G70&lt;'Cash Flow'!$E$6+91),1,0))</f>
        <v>1</v>
      </c>
      <c r="I70" s="120" t="n">
        <f aca="false">IF($H70=1,MAX(1,INT(($G70-'Cash Flow'!$E$6)/7)+1),"")</f>
        <v>12</v>
      </c>
      <c r="J70" s="8" t="n">
        <f aca="false">IF($H70=1,$G70*10000+ROW(),"")</f>
        <v>463310070</v>
      </c>
      <c r="K70" s="8" t="n">
        <f aca="false">IF($H70=1,$I70*1000+COUNTIFS($I$4:$I$483,$I70,$J$4:$J$483,"&lt;"&amp;$J70)+1,"")</f>
        <v>12005</v>
      </c>
      <c r="L70" s="121"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17" t="n">
        <v>5</v>
      </c>
      <c r="B71" s="117" t="n">
        <v>4</v>
      </c>
      <c r="C71" s="8" t="str">
        <f aca="false">IF(OR(Recurring!$B$9="",Recurring!$H$9&lt;&gt;"Yes",Recurring!$D$9=""),"",Recurring!$B$9)</f>
        <v>Obsidian</v>
      </c>
      <c r="D71" s="8" t="str">
        <f aca="false">IF($C71="","",Recurring!$C$9)</f>
        <v>Expense</v>
      </c>
      <c r="E71" s="118" t="n">
        <f aca="false">IF($C71="","",IF(SUMIFS(Overrides!$E$9:$E$108,Overrides!$B$9:$B$108,$C71,Overrides!$C$9:$C$108,$L71)&gt;0,SUMIFS(Overrides!$E$9:$E$108,Overrides!$B$9:$B$108,$C71,Overrides!$C$9:$C$108,$L71),Recurring!$D$9))</f>
        <v>10</v>
      </c>
      <c r="F71" s="119"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19" t="n">
        <f aca="false">IF($L71="","",IF(SUMIFS(Overrides!$D$9:$D$108,Overrides!$B$9:$B$108,$C71,Overrides!$C$9:$C$108,$L71)&gt;0,SUMIFS(Overrides!$D$9:$D$108,Overrides!$B$9:$B$108,$C71,Overrides!$C$9:$C$108,$L71),$L71))</f>
        <v>46361</v>
      </c>
      <c r="H71" s="120" t="n">
        <f aca="false">IF($G71="",0,IF(AND($G71&gt;='Cash Flow'!$E$6,$G71&lt;'Cash Flow'!$E$6+91),1,0))</f>
        <v>0</v>
      </c>
      <c r="I71" s="120" t="str">
        <f aca="false">IF($H71=1,MAX(1,INT(($G71-'Cash Flow'!$E$6)/7)+1),"")</f>
        <v/>
      </c>
      <c r="J71" s="8" t="str">
        <f aca="false">IF($H71=1,$G71*10000+ROW(),"")</f>
        <v/>
      </c>
      <c r="K71" s="8" t="str">
        <f aca="false">IF($H71=1,$I71*1000+COUNTIFS($I$4:$I$483,$I71,$J$4:$J$483,"&lt;"&amp;$J71)+1,"")</f>
        <v/>
      </c>
      <c r="L71" s="121"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17" t="n">
        <v>5</v>
      </c>
      <c r="B72" s="117" t="n">
        <v>5</v>
      </c>
      <c r="C72" s="8" t="str">
        <f aca="false">IF(OR(Recurring!$B$9="",Recurring!$H$9&lt;&gt;"Yes",Recurring!$D$9=""),"",Recurring!$B$9)</f>
        <v>Obsidian</v>
      </c>
      <c r="D72" s="8" t="str">
        <f aca="false">IF($C72="","",Recurring!$C$9)</f>
        <v>Expense</v>
      </c>
      <c r="E72" s="118" t="n">
        <f aca="false">IF($C72="","",IF(SUMIFS(Overrides!$E$9:$E$108,Overrides!$B$9:$B$108,$C72,Overrides!$C$9:$C$108,$L72)&gt;0,SUMIFS(Overrides!$E$9:$E$108,Overrides!$B$9:$B$108,$C72,Overrides!$C$9:$C$108,$L72),Recurring!$D$9))</f>
        <v>10</v>
      </c>
      <c r="F72" s="119"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19" t="n">
        <f aca="false">IF($L72="","",IF(SUMIFS(Overrides!$D$9:$D$108,Overrides!$B$9:$B$108,$C72,Overrides!$C$9:$C$108,$L72)&gt;0,SUMIFS(Overrides!$D$9:$D$108,Overrides!$B$9:$B$108,$C72,Overrides!$C$9:$C$108,$L72),$L72))</f>
        <v>46392</v>
      </c>
      <c r="H72" s="120" t="n">
        <f aca="false">IF($G72="",0,IF(AND($G72&gt;='Cash Flow'!$E$6,$G72&lt;'Cash Flow'!$E$6+91),1,0))</f>
        <v>0</v>
      </c>
      <c r="I72" s="120" t="str">
        <f aca="false">IF($H72=1,MAX(1,INT(($G72-'Cash Flow'!$E$6)/7)+1),"")</f>
        <v/>
      </c>
      <c r="J72" s="8" t="str">
        <f aca="false">IF($H72=1,$G72*10000+ROW(),"")</f>
        <v/>
      </c>
      <c r="K72" s="8" t="str">
        <f aca="false">IF($H72=1,$I72*1000+COUNTIFS($I$4:$I$483,$I72,$J$4:$J$483,"&lt;"&amp;$J72)+1,"")</f>
        <v/>
      </c>
      <c r="L72" s="121"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17" t="n">
        <v>5</v>
      </c>
      <c r="B73" s="117" t="n">
        <v>6</v>
      </c>
      <c r="C73" s="8" t="str">
        <f aca="false">IF(OR(Recurring!$B$9="",Recurring!$H$9&lt;&gt;"Yes",Recurring!$D$9=""),"",Recurring!$B$9)</f>
        <v>Obsidian</v>
      </c>
      <c r="D73" s="8" t="str">
        <f aca="false">IF($C73="","",Recurring!$C$9)</f>
        <v>Expense</v>
      </c>
      <c r="E73" s="118" t="n">
        <f aca="false">IF($C73="","",IF(SUMIFS(Overrides!$E$9:$E$108,Overrides!$B$9:$B$108,$C73,Overrides!$C$9:$C$108,$L73)&gt;0,SUMIFS(Overrides!$E$9:$E$108,Overrides!$B$9:$B$108,$C73,Overrides!$C$9:$C$108,$L73),Recurring!$D$9))</f>
        <v>10</v>
      </c>
      <c r="F73" s="119"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19" t="n">
        <f aca="false">IF($L73="","",IF(SUMIFS(Overrides!$D$9:$D$108,Overrides!$B$9:$B$108,$C73,Overrides!$C$9:$C$108,$L73)&gt;0,SUMIFS(Overrides!$D$9:$D$108,Overrides!$B$9:$B$108,$C73,Overrides!$C$9:$C$108,$L73),$L73))</f>
        <v>46423</v>
      </c>
      <c r="H73" s="120" t="n">
        <f aca="false">IF($G73="",0,IF(AND($G73&gt;='Cash Flow'!$E$6,$G73&lt;'Cash Flow'!$E$6+91),1,0))</f>
        <v>0</v>
      </c>
      <c r="I73" s="120" t="str">
        <f aca="false">IF($H73=1,MAX(1,INT(($G73-'Cash Flow'!$E$6)/7)+1),"")</f>
        <v/>
      </c>
      <c r="J73" s="8" t="str">
        <f aca="false">IF($H73=1,$G73*10000+ROW(),"")</f>
        <v/>
      </c>
      <c r="K73" s="8" t="str">
        <f aca="false">IF($H73=1,$I73*1000+COUNTIFS($I$4:$I$483,$I73,$J$4:$J$483,"&lt;"&amp;$J73)+1,"")</f>
        <v/>
      </c>
      <c r="L73" s="121"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17" t="n">
        <v>5</v>
      </c>
      <c r="B74" s="117" t="n">
        <v>7</v>
      </c>
      <c r="C74" s="8" t="str">
        <f aca="false">IF(OR(Recurring!$B$9="",Recurring!$H$9&lt;&gt;"Yes",Recurring!$D$9=""),"",Recurring!$B$9)</f>
        <v>Obsidian</v>
      </c>
      <c r="D74" s="8" t="str">
        <f aca="false">IF($C74="","",Recurring!$C$9)</f>
        <v>Expense</v>
      </c>
      <c r="E74" s="118" t="n">
        <f aca="false">IF($C74="","",IF(SUMIFS(Overrides!$E$9:$E$108,Overrides!$B$9:$B$108,$C74,Overrides!$C$9:$C$108,$L74)&gt;0,SUMIFS(Overrides!$E$9:$E$108,Overrides!$B$9:$B$108,$C74,Overrides!$C$9:$C$108,$L74),Recurring!$D$9))</f>
        <v>10</v>
      </c>
      <c r="F74" s="119"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19" t="n">
        <f aca="false">IF($L74="","",IF(SUMIFS(Overrides!$D$9:$D$108,Overrides!$B$9:$B$108,$C74,Overrides!$C$9:$C$108,$L74)&gt;0,SUMIFS(Overrides!$D$9:$D$108,Overrides!$B$9:$B$108,$C74,Overrides!$C$9:$C$108,$L74),$L74))</f>
        <v>46451</v>
      </c>
      <c r="H74" s="120" t="n">
        <f aca="false">IF($G74="",0,IF(AND($G74&gt;='Cash Flow'!$E$6,$G74&lt;'Cash Flow'!$E$6+91),1,0))</f>
        <v>0</v>
      </c>
      <c r="I74" s="120" t="str">
        <f aca="false">IF($H74=1,MAX(1,INT(($G74-'Cash Flow'!$E$6)/7)+1),"")</f>
        <v/>
      </c>
      <c r="J74" s="8" t="str">
        <f aca="false">IF($H74=1,$G74*10000+ROW(),"")</f>
        <v/>
      </c>
      <c r="K74" s="8" t="str">
        <f aca="false">IF($H74=1,$I74*1000+COUNTIFS($I$4:$I$483,$I74,$J$4:$J$483,"&lt;"&amp;$J74)+1,"")</f>
        <v/>
      </c>
      <c r="L74" s="121"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17" t="n">
        <v>5</v>
      </c>
      <c r="B75" s="117" t="n">
        <v>8</v>
      </c>
      <c r="C75" s="8" t="str">
        <f aca="false">IF(OR(Recurring!$B$9="",Recurring!$H$9&lt;&gt;"Yes",Recurring!$D$9=""),"",Recurring!$B$9)</f>
        <v>Obsidian</v>
      </c>
      <c r="D75" s="8" t="str">
        <f aca="false">IF($C75="","",Recurring!$C$9)</f>
        <v>Expense</v>
      </c>
      <c r="E75" s="118" t="n">
        <f aca="false">IF($C75="","",IF(SUMIFS(Overrides!$E$9:$E$108,Overrides!$B$9:$B$108,$C75,Overrides!$C$9:$C$108,$L75)&gt;0,SUMIFS(Overrides!$E$9:$E$108,Overrides!$B$9:$B$108,$C75,Overrides!$C$9:$C$108,$L75),Recurring!$D$9))</f>
        <v>10</v>
      </c>
      <c r="F75" s="119"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19" t="n">
        <f aca="false">IF($L75="","",IF(SUMIFS(Overrides!$D$9:$D$108,Overrides!$B$9:$B$108,$C75,Overrides!$C$9:$C$108,$L75)&gt;0,SUMIFS(Overrides!$D$9:$D$108,Overrides!$B$9:$B$108,$C75,Overrides!$C$9:$C$108,$L75),$L75))</f>
        <v>46482</v>
      </c>
      <c r="H75" s="120" t="n">
        <f aca="false">IF($G75="",0,IF(AND($G75&gt;='Cash Flow'!$E$6,$G75&lt;'Cash Flow'!$E$6+91),1,0))</f>
        <v>0</v>
      </c>
      <c r="I75" s="120" t="str">
        <f aca="false">IF($H75=1,MAX(1,INT(($G75-'Cash Flow'!$E$6)/7)+1),"")</f>
        <v/>
      </c>
      <c r="J75" s="8" t="str">
        <f aca="false">IF($H75=1,$G75*10000+ROW(),"")</f>
        <v/>
      </c>
      <c r="K75" s="8" t="str">
        <f aca="false">IF($H75=1,$I75*1000+COUNTIFS($I$4:$I$483,$I75,$J$4:$J$483,"&lt;"&amp;$J75)+1,"")</f>
        <v/>
      </c>
      <c r="L75" s="121"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17" t="n">
        <v>5</v>
      </c>
      <c r="B76" s="117" t="n">
        <v>9</v>
      </c>
      <c r="C76" s="8" t="str">
        <f aca="false">IF(OR(Recurring!$B$9="",Recurring!$H$9&lt;&gt;"Yes",Recurring!$D$9=""),"",Recurring!$B$9)</f>
        <v>Obsidian</v>
      </c>
      <c r="D76" s="8" t="str">
        <f aca="false">IF($C76="","",Recurring!$C$9)</f>
        <v>Expense</v>
      </c>
      <c r="E76" s="118" t="n">
        <f aca="false">IF($C76="","",IF(SUMIFS(Overrides!$E$9:$E$108,Overrides!$B$9:$B$108,$C76,Overrides!$C$9:$C$108,$L76)&gt;0,SUMIFS(Overrides!$E$9:$E$108,Overrides!$B$9:$B$108,$C76,Overrides!$C$9:$C$108,$L76),Recurring!$D$9))</f>
        <v>10</v>
      </c>
      <c r="F76" s="119"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19" t="n">
        <f aca="false">IF($L76="","",IF(SUMIFS(Overrides!$D$9:$D$108,Overrides!$B$9:$B$108,$C76,Overrides!$C$9:$C$108,$L76)&gt;0,SUMIFS(Overrides!$D$9:$D$108,Overrides!$B$9:$B$108,$C76,Overrides!$C$9:$C$108,$L76),$L76))</f>
        <v>46512</v>
      </c>
      <c r="H76" s="120" t="n">
        <f aca="false">IF($G76="",0,IF(AND($G76&gt;='Cash Flow'!$E$6,$G76&lt;'Cash Flow'!$E$6+91),1,0))</f>
        <v>0</v>
      </c>
      <c r="I76" s="120" t="str">
        <f aca="false">IF($H76=1,MAX(1,INT(($G76-'Cash Flow'!$E$6)/7)+1),"")</f>
        <v/>
      </c>
      <c r="J76" s="8" t="str">
        <f aca="false">IF($H76=1,$G76*10000+ROW(),"")</f>
        <v/>
      </c>
      <c r="K76" s="8" t="str">
        <f aca="false">IF($H76=1,$I76*1000+COUNTIFS($I$4:$I$483,$I76,$J$4:$J$483,"&lt;"&amp;$J76)+1,"")</f>
        <v/>
      </c>
      <c r="L76" s="121"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17" t="n">
        <v>5</v>
      </c>
      <c r="B77" s="117" t="n">
        <v>10</v>
      </c>
      <c r="C77" s="8" t="str">
        <f aca="false">IF(OR(Recurring!$B$9="",Recurring!$H$9&lt;&gt;"Yes",Recurring!$D$9=""),"",Recurring!$B$9)</f>
        <v>Obsidian</v>
      </c>
      <c r="D77" s="8" t="str">
        <f aca="false">IF($C77="","",Recurring!$C$9)</f>
        <v>Expense</v>
      </c>
      <c r="E77" s="118" t="n">
        <f aca="false">IF($C77="","",IF(SUMIFS(Overrides!$E$9:$E$108,Overrides!$B$9:$B$108,$C77,Overrides!$C$9:$C$108,$L77)&gt;0,SUMIFS(Overrides!$E$9:$E$108,Overrides!$B$9:$B$108,$C77,Overrides!$C$9:$C$108,$L77),Recurring!$D$9))</f>
        <v>10</v>
      </c>
      <c r="F77" s="119"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19" t="n">
        <f aca="false">IF($L77="","",IF(SUMIFS(Overrides!$D$9:$D$108,Overrides!$B$9:$B$108,$C77,Overrides!$C$9:$C$108,$L77)&gt;0,SUMIFS(Overrides!$D$9:$D$108,Overrides!$B$9:$B$108,$C77,Overrides!$C$9:$C$108,$L77),$L77))</f>
        <v>46543</v>
      </c>
      <c r="H77" s="120" t="n">
        <f aca="false">IF($G77="",0,IF(AND($G77&gt;='Cash Flow'!$E$6,$G77&lt;'Cash Flow'!$E$6+91),1,0))</f>
        <v>0</v>
      </c>
      <c r="I77" s="120" t="str">
        <f aca="false">IF($H77=1,MAX(1,INT(($G77-'Cash Flow'!$E$6)/7)+1),"")</f>
        <v/>
      </c>
      <c r="J77" s="8" t="str">
        <f aca="false">IF($H77=1,$G77*10000+ROW(),"")</f>
        <v/>
      </c>
      <c r="K77" s="8" t="str">
        <f aca="false">IF($H77=1,$I77*1000+COUNTIFS($I$4:$I$483,$I77,$J$4:$J$483,"&lt;"&amp;$J77)+1,"")</f>
        <v/>
      </c>
      <c r="L77" s="121"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17" t="n">
        <v>5</v>
      </c>
      <c r="B78" s="117" t="n">
        <v>11</v>
      </c>
      <c r="C78" s="8" t="str">
        <f aca="false">IF(OR(Recurring!$B$9="",Recurring!$H$9&lt;&gt;"Yes",Recurring!$D$9=""),"",Recurring!$B$9)</f>
        <v>Obsidian</v>
      </c>
      <c r="D78" s="8" t="str">
        <f aca="false">IF($C78="","",Recurring!$C$9)</f>
        <v>Expense</v>
      </c>
      <c r="E78" s="118" t="n">
        <f aca="false">IF($C78="","",IF(SUMIFS(Overrides!$E$9:$E$108,Overrides!$B$9:$B$108,$C78,Overrides!$C$9:$C$108,$L78)&gt;0,SUMIFS(Overrides!$E$9:$E$108,Overrides!$B$9:$B$108,$C78,Overrides!$C$9:$C$108,$L78),Recurring!$D$9))</f>
        <v>10</v>
      </c>
      <c r="F78" s="119"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19" t="n">
        <f aca="false">IF($L78="","",IF(SUMIFS(Overrides!$D$9:$D$108,Overrides!$B$9:$B$108,$C78,Overrides!$C$9:$C$108,$L78)&gt;0,SUMIFS(Overrides!$D$9:$D$108,Overrides!$B$9:$B$108,$C78,Overrides!$C$9:$C$108,$L78),$L78))</f>
        <v>46573</v>
      </c>
      <c r="H78" s="120" t="n">
        <f aca="false">IF($G78="",0,IF(AND($G78&gt;='Cash Flow'!$E$6,$G78&lt;'Cash Flow'!$E$6+91),1,0))</f>
        <v>0</v>
      </c>
      <c r="I78" s="120" t="str">
        <f aca="false">IF($H78=1,MAX(1,INT(($G78-'Cash Flow'!$E$6)/7)+1),"")</f>
        <v/>
      </c>
      <c r="J78" s="8" t="str">
        <f aca="false">IF($H78=1,$G78*10000+ROW(),"")</f>
        <v/>
      </c>
      <c r="K78" s="8" t="str">
        <f aca="false">IF($H78=1,$I78*1000+COUNTIFS($I$4:$I$483,$I78,$J$4:$J$483,"&lt;"&amp;$J78)+1,"")</f>
        <v/>
      </c>
      <c r="L78" s="121"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17" t="n">
        <v>5</v>
      </c>
      <c r="B79" s="117" t="n">
        <v>12</v>
      </c>
      <c r="C79" s="8" t="str">
        <f aca="false">IF(OR(Recurring!$B$9="",Recurring!$H$9&lt;&gt;"Yes",Recurring!$D$9=""),"",Recurring!$B$9)</f>
        <v>Obsidian</v>
      </c>
      <c r="D79" s="8" t="str">
        <f aca="false">IF($C79="","",Recurring!$C$9)</f>
        <v>Expense</v>
      </c>
      <c r="E79" s="118" t="n">
        <f aca="false">IF($C79="","",IF(SUMIFS(Overrides!$E$9:$E$108,Overrides!$B$9:$B$108,$C79,Overrides!$C$9:$C$108,$L79)&gt;0,SUMIFS(Overrides!$E$9:$E$108,Overrides!$B$9:$B$108,$C79,Overrides!$C$9:$C$108,$L79),Recurring!$D$9))</f>
        <v>10</v>
      </c>
      <c r="F79" s="119"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19" t="n">
        <f aca="false">IF($L79="","",IF(SUMIFS(Overrides!$D$9:$D$108,Overrides!$B$9:$B$108,$C79,Overrides!$C$9:$C$108,$L79)&gt;0,SUMIFS(Overrides!$D$9:$D$108,Overrides!$B$9:$B$108,$C79,Overrides!$C$9:$C$108,$L79),$L79))</f>
        <v>46604</v>
      </c>
      <c r="H79" s="120" t="n">
        <f aca="false">IF($G79="",0,IF(AND($G79&gt;='Cash Flow'!$E$6,$G79&lt;'Cash Flow'!$E$6+91),1,0))</f>
        <v>0</v>
      </c>
      <c r="I79" s="120" t="str">
        <f aca="false">IF($H79=1,MAX(1,INT(($G79-'Cash Flow'!$E$6)/7)+1),"")</f>
        <v/>
      </c>
      <c r="J79" s="8" t="str">
        <f aca="false">IF($H79=1,$G79*10000+ROW(),"")</f>
        <v/>
      </c>
      <c r="K79" s="8" t="str">
        <f aca="false">IF($H79=1,$I79*1000+COUNTIFS($I$4:$I$483,$I79,$J$4:$J$483,"&lt;"&amp;$J79)+1,"")</f>
        <v/>
      </c>
      <c r="L79" s="121"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17" t="n">
        <v>5</v>
      </c>
      <c r="B80" s="117" t="n">
        <v>13</v>
      </c>
      <c r="C80" s="8" t="str">
        <f aca="false">IF(OR(Recurring!$B$9="",Recurring!$H$9&lt;&gt;"Yes",Recurring!$D$9=""),"",Recurring!$B$9)</f>
        <v>Obsidian</v>
      </c>
      <c r="D80" s="8" t="str">
        <f aca="false">IF($C80="","",Recurring!$C$9)</f>
        <v>Expense</v>
      </c>
      <c r="E80" s="118" t="n">
        <f aca="false">IF($C80="","",IF(SUMIFS(Overrides!$E$9:$E$108,Overrides!$B$9:$B$108,$C80,Overrides!$C$9:$C$108,$L80)&gt;0,SUMIFS(Overrides!$E$9:$E$108,Overrides!$B$9:$B$108,$C80,Overrides!$C$9:$C$108,$L80),Recurring!$D$9))</f>
        <v>10</v>
      </c>
      <c r="F80" s="119"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19" t="n">
        <f aca="false">IF($L80="","",IF(SUMIFS(Overrides!$D$9:$D$108,Overrides!$B$9:$B$108,$C80,Overrides!$C$9:$C$108,$L80)&gt;0,SUMIFS(Overrides!$D$9:$D$108,Overrides!$B$9:$B$108,$C80,Overrides!$C$9:$C$108,$L80),$L80))</f>
        <v>46635</v>
      </c>
      <c r="H80" s="120" t="n">
        <f aca="false">IF($G80="",0,IF(AND($G80&gt;='Cash Flow'!$E$6,$G80&lt;'Cash Flow'!$E$6+91),1,0))</f>
        <v>0</v>
      </c>
      <c r="I80" s="120" t="str">
        <f aca="false">IF($H80=1,MAX(1,INT(($G80-'Cash Flow'!$E$6)/7)+1),"")</f>
        <v/>
      </c>
      <c r="J80" s="8" t="str">
        <f aca="false">IF($H80=1,$G80*10000+ROW(),"")</f>
        <v/>
      </c>
      <c r="K80" s="8" t="str">
        <f aca="false">IF($H80=1,$I80*1000+COUNTIFS($I$4:$I$483,$I80,$J$4:$J$483,"&lt;"&amp;$J80)+1,"")</f>
        <v/>
      </c>
      <c r="L80" s="121"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17" t="n">
        <v>5</v>
      </c>
      <c r="B81" s="117" t="n">
        <v>14</v>
      </c>
      <c r="C81" s="8" t="str">
        <f aca="false">IF(OR(Recurring!$B$9="",Recurring!$H$9&lt;&gt;"Yes",Recurring!$D$9=""),"",Recurring!$B$9)</f>
        <v>Obsidian</v>
      </c>
      <c r="D81" s="8" t="str">
        <f aca="false">IF($C81="","",Recurring!$C$9)</f>
        <v>Expense</v>
      </c>
      <c r="E81" s="118" t="n">
        <f aca="false">IF($C81="","",IF(SUMIFS(Overrides!$E$9:$E$108,Overrides!$B$9:$B$108,$C81,Overrides!$C$9:$C$108,$L81)&gt;0,SUMIFS(Overrides!$E$9:$E$108,Overrides!$B$9:$B$108,$C81,Overrides!$C$9:$C$108,$L81),Recurring!$D$9))</f>
        <v>10</v>
      </c>
      <c r="F81" s="119"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19" t="n">
        <f aca="false">IF($L81="","",IF(SUMIFS(Overrides!$D$9:$D$108,Overrides!$B$9:$B$108,$C81,Overrides!$C$9:$C$108,$L81)&gt;0,SUMIFS(Overrides!$D$9:$D$108,Overrides!$B$9:$B$108,$C81,Overrides!$C$9:$C$108,$L81),$L81))</f>
        <v>46665</v>
      </c>
      <c r="H81" s="120" t="n">
        <f aca="false">IF($G81="",0,IF(AND($G81&gt;='Cash Flow'!$E$6,$G81&lt;'Cash Flow'!$E$6+91),1,0))</f>
        <v>0</v>
      </c>
      <c r="I81" s="120" t="str">
        <f aca="false">IF($H81=1,MAX(1,INT(($G81-'Cash Flow'!$E$6)/7)+1),"")</f>
        <v/>
      </c>
      <c r="J81" s="8" t="str">
        <f aca="false">IF($H81=1,$G81*10000+ROW(),"")</f>
        <v/>
      </c>
      <c r="K81" s="8" t="str">
        <f aca="false">IF($H81=1,$I81*1000+COUNTIFS($I$4:$I$483,$I81,$J$4:$J$483,"&lt;"&amp;$J81)+1,"")</f>
        <v/>
      </c>
      <c r="L81" s="121"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17" t="n">
        <v>5</v>
      </c>
      <c r="B82" s="117" t="n">
        <v>15</v>
      </c>
      <c r="C82" s="8" t="str">
        <f aca="false">IF(OR(Recurring!$B$9="",Recurring!$H$9&lt;&gt;"Yes",Recurring!$D$9=""),"",Recurring!$B$9)</f>
        <v>Obsidian</v>
      </c>
      <c r="D82" s="8" t="str">
        <f aca="false">IF($C82="","",Recurring!$C$9)</f>
        <v>Expense</v>
      </c>
      <c r="E82" s="118" t="n">
        <f aca="false">IF($C82="","",IF(SUMIFS(Overrides!$E$9:$E$108,Overrides!$B$9:$B$108,$C82,Overrides!$C$9:$C$108,$L82)&gt;0,SUMIFS(Overrides!$E$9:$E$108,Overrides!$B$9:$B$108,$C82,Overrides!$C$9:$C$108,$L82),Recurring!$D$9))</f>
        <v>10</v>
      </c>
      <c r="F82" s="119"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19" t="n">
        <f aca="false">IF($L82="","",IF(SUMIFS(Overrides!$D$9:$D$108,Overrides!$B$9:$B$108,$C82,Overrides!$C$9:$C$108,$L82)&gt;0,SUMIFS(Overrides!$D$9:$D$108,Overrides!$B$9:$B$108,$C82,Overrides!$C$9:$C$108,$L82),$L82))</f>
        <v>46696</v>
      </c>
      <c r="H82" s="120" t="n">
        <f aca="false">IF($G82="",0,IF(AND($G82&gt;='Cash Flow'!$E$6,$G82&lt;'Cash Flow'!$E$6+91),1,0))</f>
        <v>0</v>
      </c>
      <c r="I82" s="120" t="str">
        <f aca="false">IF($H82=1,MAX(1,INT(($G82-'Cash Flow'!$E$6)/7)+1),"")</f>
        <v/>
      </c>
      <c r="J82" s="8" t="str">
        <f aca="false">IF($H82=1,$G82*10000+ROW(),"")</f>
        <v/>
      </c>
      <c r="K82" s="8" t="str">
        <f aca="false">IF($H82=1,$I82*1000+COUNTIFS($I$4:$I$483,$I82,$J$4:$J$483,"&lt;"&amp;$J82)+1,"")</f>
        <v/>
      </c>
      <c r="L82" s="121"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17" t="n">
        <v>5</v>
      </c>
      <c r="B83" s="117" t="n">
        <v>16</v>
      </c>
      <c r="C83" s="8" t="str">
        <f aca="false">IF(OR(Recurring!$B$9="",Recurring!$H$9&lt;&gt;"Yes",Recurring!$D$9=""),"",Recurring!$B$9)</f>
        <v>Obsidian</v>
      </c>
      <c r="D83" s="8" t="str">
        <f aca="false">IF($C83="","",Recurring!$C$9)</f>
        <v>Expense</v>
      </c>
      <c r="E83" s="118" t="n">
        <f aca="false">IF($C83="","",IF(SUMIFS(Overrides!$E$9:$E$108,Overrides!$B$9:$B$108,$C83,Overrides!$C$9:$C$108,$L83)&gt;0,SUMIFS(Overrides!$E$9:$E$108,Overrides!$B$9:$B$108,$C83,Overrides!$C$9:$C$108,$L83),Recurring!$D$9))</f>
        <v>10</v>
      </c>
      <c r="F83" s="119"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19" t="n">
        <f aca="false">IF($L83="","",IF(SUMIFS(Overrides!$D$9:$D$108,Overrides!$B$9:$B$108,$C83,Overrides!$C$9:$C$108,$L83)&gt;0,SUMIFS(Overrides!$D$9:$D$108,Overrides!$B$9:$B$108,$C83,Overrides!$C$9:$C$108,$L83),$L83))</f>
        <v>46726</v>
      </c>
      <c r="H83" s="120" t="n">
        <f aca="false">IF($G83="",0,IF(AND($G83&gt;='Cash Flow'!$E$6,$G83&lt;'Cash Flow'!$E$6+91),1,0))</f>
        <v>0</v>
      </c>
      <c r="I83" s="120" t="str">
        <f aca="false">IF($H83=1,MAX(1,INT(($G83-'Cash Flow'!$E$6)/7)+1),"")</f>
        <v/>
      </c>
      <c r="J83" s="8" t="str">
        <f aca="false">IF($H83=1,$G83*10000+ROW(),"")</f>
        <v/>
      </c>
      <c r="K83" s="8" t="str">
        <f aca="false">IF($H83=1,$I83*1000+COUNTIFS($I$4:$I$483,$I83,$J$4:$J$483,"&lt;"&amp;$J83)+1,"")</f>
        <v/>
      </c>
      <c r="L83" s="121"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17" t="n">
        <v>6</v>
      </c>
      <c r="B84" s="117" t="n">
        <v>1</v>
      </c>
      <c r="C84" s="8" t="str">
        <f aca="false">IF(OR(Recurring!$B$10="",Recurring!$H$10&lt;&gt;"Yes",Recurring!$D$10=""),"",Recurring!$B$10)</f>
        <v>Google One</v>
      </c>
      <c r="D84" s="8" t="str">
        <f aca="false">IF($C84="","",Recurring!$C$10)</f>
        <v>Expense</v>
      </c>
      <c r="E84" s="118" t="n">
        <f aca="false">IF($C84="","",IF(SUMIFS(Overrides!$E$9:$E$108,Overrides!$B$9:$B$108,$C84,Overrides!$C$9:$C$108,$L84)&gt;0,SUMIFS(Overrides!$E$9:$E$108,Overrides!$B$9:$B$108,$C84,Overrides!$C$9:$C$108,$L84),Recurring!$D$10))</f>
        <v>4.99</v>
      </c>
      <c r="F84" s="119"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19" t="n">
        <f aca="false">IF($L84="","",IF(SUMIFS(Overrides!$D$9:$D$108,Overrides!$B$9:$B$108,$C84,Overrides!$C$9:$C$108,$L84)&gt;0,SUMIFS(Overrides!$D$9:$D$108,Overrides!$B$9:$B$108,$C84,Overrides!$C$9:$C$108,$L84),$L84))</f>
        <v>46272</v>
      </c>
      <c r="H84" s="120" t="n">
        <f aca="false">IF($G84="",0,IF(AND($G84&gt;='Cash Flow'!$E$6-90,$G84&lt;'Cash Flow'!$E$6+91),1,0))</f>
        <v>1</v>
      </c>
      <c r="I84" s="120" t="n">
        <f aca="false">IF($H84=1,MAX(1,INT(($G84-'Cash Flow'!$E$6)/7)+1),"")</f>
        <v>4</v>
      </c>
      <c r="J84" s="8" t="n">
        <f aca="false">IF($H84=1,$G84*10000+ROW(),"")</f>
        <v>462720084</v>
      </c>
      <c r="K84" s="8" t="n">
        <f aca="false">IF($H84=1,$I84*1000+COUNTIFS($I$4:$I$483,$I84,$J$4:$J$483,"&lt;"&amp;$J84)+1,"")</f>
        <v>4003</v>
      </c>
      <c r="L84" s="121"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17" t="n">
        <v>6</v>
      </c>
      <c r="B85" s="117" t="n">
        <v>2</v>
      </c>
      <c r="C85" s="8" t="str">
        <f aca="false">IF(OR(Recurring!$B$10="",Recurring!$H$10&lt;&gt;"Yes",Recurring!$D$10=""),"",Recurring!$B$10)</f>
        <v>Google One</v>
      </c>
      <c r="D85" s="8" t="str">
        <f aca="false">IF($C85="","",Recurring!$C$10)</f>
        <v>Expense</v>
      </c>
      <c r="E85" s="118" t="n">
        <f aca="false">IF($C85="","",IF(SUMIFS(Overrides!$E$9:$E$108,Overrides!$B$9:$B$108,$C85,Overrides!$C$9:$C$108,$L85)&gt;0,SUMIFS(Overrides!$E$9:$E$108,Overrides!$B$9:$B$108,$C85,Overrides!$C$9:$C$108,$L85),Recurring!$D$10))</f>
        <v>4.99</v>
      </c>
      <c r="F85" s="119"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19" t="n">
        <f aca="false">IF($L85="","",IF(SUMIFS(Overrides!$D$9:$D$108,Overrides!$B$9:$B$108,$C85,Overrides!$C$9:$C$108,$L85)&gt;0,SUMIFS(Overrides!$D$9:$D$108,Overrides!$B$9:$B$108,$C85,Overrides!$C$9:$C$108,$L85),$L85))</f>
        <v>46302</v>
      </c>
      <c r="H85" s="120" t="n">
        <f aca="false">IF($G85="",0,IF(AND($G85&gt;='Cash Flow'!$E$6,$G85&lt;'Cash Flow'!$E$6+91),1,0))</f>
        <v>1</v>
      </c>
      <c r="I85" s="120" t="n">
        <f aca="false">IF($H85=1,MAX(1,INT(($G85-'Cash Flow'!$E$6)/7)+1),"")</f>
        <v>8</v>
      </c>
      <c r="J85" s="8" t="n">
        <f aca="false">IF($H85=1,$G85*10000+ROW(),"")</f>
        <v>463020085</v>
      </c>
      <c r="K85" s="8" t="n">
        <f aca="false">IF($H85=1,$I85*1000+COUNTIFS($I$4:$I$483,$I85,$J$4:$J$483,"&lt;"&amp;$J85)+1,"")</f>
        <v>8005</v>
      </c>
      <c r="L85" s="121"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17" t="n">
        <v>6</v>
      </c>
      <c r="B86" s="117" t="n">
        <v>3</v>
      </c>
      <c r="C86" s="8" t="str">
        <f aca="false">IF(OR(Recurring!$B$10="",Recurring!$H$10&lt;&gt;"Yes",Recurring!$D$10=""),"",Recurring!$B$10)</f>
        <v>Google One</v>
      </c>
      <c r="D86" s="8" t="str">
        <f aca="false">IF($C86="","",Recurring!$C$10)</f>
        <v>Expense</v>
      </c>
      <c r="E86" s="118" t="n">
        <f aca="false">IF($C86="","",IF(SUMIFS(Overrides!$E$9:$E$108,Overrides!$B$9:$B$108,$C86,Overrides!$C$9:$C$108,$L86)&gt;0,SUMIFS(Overrides!$E$9:$E$108,Overrides!$B$9:$B$108,$C86,Overrides!$C$9:$C$108,$L86),Recurring!$D$10))</f>
        <v>4.99</v>
      </c>
      <c r="F86" s="119"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19" t="n">
        <f aca="false">IF($L86="","",IF(SUMIFS(Overrides!$D$9:$D$108,Overrides!$B$9:$B$108,$C86,Overrides!$C$9:$C$108,$L86)&gt;0,SUMIFS(Overrides!$D$9:$D$108,Overrides!$B$9:$B$108,$C86,Overrides!$C$9:$C$108,$L86),$L86))</f>
        <v>46333</v>
      </c>
      <c r="H86" s="120" t="n">
        <f aca="false">IF($G86="",0,IF(AND($G86&gt;='Cash Flow'!$E$6,$G86&lt;'Cash Flow'!$E$6+91),1,0))</f>
        <v>1</v>
      </c>
      <c r="I86" s="120" t="n">
        <f aca="false">IF($H86=1,MAX(1,INT(($G86-'Cash Flow'!$E$6)/7)+1),"")</f>
        <v>13</v>
      </c>
      <c r="J86" s="8" t="n">
        <f aca="false">IF($H86=1,$G86*10000+ROW(),"")</f>
        <v>463330086</v>
      </c>
      <c r="K86" s="8" t="n">
        <f aca="false">IF($H86=1,$I86*1000+COUNTIFS($I$4:$I$483,$I86,$J$4:$J$483,"&lt;"&amp;$J86)+1,"")</f>
        <v>13001</v>
      </c>
      <c r="L86" s="121"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17" t="n">
        <v>6</v>
      </c>
      <c r="B87" s="117" t="n">
        <v>4</v>
      </c>
      <c r="C87" s="8" t="str">
        <f aca="false">IF(OR(Recurring!$B$10="",Recurring!$H$10&lt;&gt;"Yes",Recurring!$D$10=""),"",Recurring!$B$10)</f>
        <v>Google One</v>
      </c>
      <c r="D87" s="8" t="str">
        <f aca="false">IF($C87="","",Recurring!$C$10)</f>
        <v>Expense</v>
      </c>
      <c r="E87" s="118" t="n">
        <f aca="false">IF($C87="","",IF(SUMIFS(Overrides!$E$9:$E$108,Overrides!$B$9:$B$108,$C87,Overrides!$C$9:$C$108,$L87)&gt;0,SUMIFS(Overrides!$E$9:$E$108,Overrides!$B$9:$B$108,$C87,Overrides!$C$9:$C$108,$L87),Recurring!$D$10))</f>
        <v>4.99</v>
      </c>
      <c r="F87" s="119"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19" t="n">
        <f aca="false">IF($L87="","",IF(SUMIFS(Overrides!$D$9:$D$108,Overrides!$B$9:$B$108,$C87,Overrides!$C$9:$C$108,$L87)&gt;0,SUMIFS(Overrides!$D$9:$D$108,Overrides!$B$9:$B$108,$C87,Overrides!$C$9:$C$108,$L87),$L87))</f>
        <v>46363</v>
      </c>
      <c r="H87" s="120" t="n">
        <f aca="false">IF($G87="",0,IF(AND($G87&gt;='Cash Flow'!$E$6,$G87&lt;'Cash Flow'!$E$6+91),1,0))</f>
        <v>0</v>
      </c>
      <c r="I87" s="120" t="str">
        <f aca="false">IF($H87=1,MAX(1,INT(($G87-'Cash Flow'!$E$6)/7)+1),"")</f>
        <v/>
      </c>
      <c r="J87" s="8" t="str">
        <f aca="false">IF($H87=1,$G87*10000+ROW(),"")</f>
        <v/>
      </c>
      <c r="K87" s="8" t="str">
        <f aca="false">IF($H87=1,$I87*1000+COUNTIFS($I$4:$I$483,$I87,$J$4:$J$483,"&lt;"&amp;$J87)+1,"")</f>
        <v/>
      </c>
      <c r="L87" s="121"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17" t="n">
        <v>6</v>
      </c>
      <c r="B88" s="117" t="n">
        <v>5</v>
      </c>
      <c r="C88" s="8" t="str">
        <f aca="false">IF(OR(Recurring!$B$10="",Recurring!$H$10&lt;&gt;"Yes",Recurring!$D$10=""),"",Recurring!$B$10)</f>
        <v>Google One</v>
      </c>
      <c r="D88" s="8" t="str">
        <f aca="false">IF($C88="","",Recurring!$C$10)</f>
        <v>Expense</v>
      </c>
      <c r="E88" s="118" t="n">
        <f aca="false">IF($C88="","",IF(SUMIFS(Overrides!$E$9:$E$108,Overrides!$B$9:$B$108,$C88,Overrides!$C$9:$C$108,$L88)&gt;0,SUMIFS(Overrides!$E$9:$E$108,Overrides!$B$9:$B$108,$C88,Overrides!$C$9:$C$108,$L88),Recurring!$D$10))</f>
        <v>4.99</v>
      </c>
      <c r="F88" s="119"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19" t="n">
        <f aca="false">IF($L88="","",IF(SUMIFS(Overrides!$D$9:$D$108,Overrides!$B$9:$B$108,$C88,Overrides!$C$9:$C$108,$L88)&gt;0,SUMIFS(Overrides!$D$9:$D$108,Overrides!$B$9:$B$108,$C88,Overrides!$C$9:$C$108,$L88),$L88))</f>
        <v>46394</v>
      </c>
      <c r="H88" s="120" t="n">
        <f aca="false">IF($G88="",0,IF(AND($G88&gt;='Cash Flow'!$E$6,$G88&lt;'Cash Flow'!$E$6+91),1,0))</f>
        <v>0</v>
      </c>
      <c r="I88" s="120" t="str">
        <f aca="false">IF($H88=1,MAX(1,INT(($G88-'Cash Flow'!$E$6)/7)+1),"")</f>
        <v/>
      </c>
      <c r="J88" s="8" t="str">
        <f aca="false">IF($H88=1,$G88*10000+ROW(),"")</f>
        <v/>
      </c>
      <c r="K88" s="8" t="str">
        <f aca="false">IF($H88=1,$I88*1000+COUNTIFS($I$4:$I$483,$I88,$J$4:$J$483,"&lt;"&amp;$J88)+1,"")</f>
        <v/>
      </c>
      <c r="L88" s="121"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17" t="n">
        <v>6</v>
      </c>
      <c r="B89" s="117" t="n">
        <v>6</v>
      </c>
      <c r="C89" s="8" t="str">
        <f aca="false">IF(OR(Recurring!$B$10="",Recurring!$H$10&lt;&gt;"Yes",Recurring!$D$10=""),"",Recurring!$B$10)</f>
        <v>Google One</v>
      </c>
      <c r="D89" s="8" t="str">
        <f aca="false">IF($C89="","",Recurring!$C$10)</f>
        <v>Expense</v>
      </c>
      <c r="E89" s="118" t="n">
        <f aca="false">IF($C89="","",IF(SUMIFS(Overrides!$E$9:$E$108,Overrides!$B$9:$B$108,$C89,Overrides!$C$9:$C$108,$L89)&gt;0,SUMIFS(Overrides!$E$9:$E$108,Overrides!$B$9:$B$108,$C89,Overrides!$C$9:$C$108,$L89),Recurring!$D$10))</f>
        <v>4.99</v>
      </c>
      <c r="F89" s="119"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19" t="n">
        <f aca="false">IF($L89="","",IF(SUMIFS(Overrides!$D$9:$D$108,Overrides!$B$9:$B$108,$C89,Overrides!$C$9:$C$108,$L89)&gt;0,SUMIFS(Overrides!$D$9:$D$108,Overrides!$B$9:$B$108,$C89,Overrides!$C$9:$C$108,$L89),$L89))</f>
        <v>46425</v>
      </c>
      <c r="H89" s="120" t="n">
        <f aca="false">IF($G89="",0,IF(AND($G89&gt;='Cash Flow'!$E$6,$G89&lt;'Cash Flow'!$E$6+91),1,0))</f>
        <v>0</v>
      </c>
      <c r="I89" s="120" t="str">
        <f aca="false">IF($H89=1,MAX(1,INT(($G89-'Cash Flow'!$E$6)/7)+1),"")</f>
        <v/>
      </c>
      <c r="J89" s="8" t="str">
        <f aca="false">IF($H89=1,$G89*10000+ROW(),"")</f>
        <v/>
      </c>
      <c r="K89" s="8" t="str">
        <f aca="false">IF($H89=1,$I89*1000+COUNTIFS($I$4:$I$483,$I89,$J$4:$J$483,"&lt;"&amp;$J89)+1,"")</f>
        <v/>
      </c>
      <c r="L89" s="121"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17" t="n">
        <v>6</v>
      </c>
      <c r="B90" s="117" t="n">
        <v>7</v>
      </c>
      <c r="C90" s="8" t="str">
        <f aca="false">IF(OR(Recurring!$B$10="",Recurring!$H$10&lt;&gt;"Yes",Recurring!$D$10=""),"",Recurring!$B$10)</f>
        <v>Google One</v>
      </c>
      <c r="D90" s="8" t="str">
        <f aca="false">IF($C90="","",Recurring!$C$10)</f>
        <v>Expense</v>
      </c>
      <c r="E90" s="118" t="n">
        <f aca="false">IF($C90="","",IF(SUMIFS(Overrides!$E$9:$E$108,Overrides!$B$9:$B$108,$C90,Overrides!$C$9:$C$108,$L90)&gt;0,SUMIFS(Overrides!$E$9:$E$108,Overrides!$B$9:$B$108,$C90,Overrides!$C$9:$C$108,$L90),Recurring!$D$10))</f>
        <v>4.99</v>
      </c>
      <c r="F90" s="119"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19" t="n">
        <f aca="false">IF($L90="","",IF(SUMIFS(Overrides!$D$9:$D$108,Overrides!$B$9:$B$108,$C90,Overrides!$C$9:$C$108,$L90)&gt;0,SUMIFS(Overrides!$D$9:$D$108,Overrides!$B$9:$B$108,$C90,Overrides!$C$9:$C$108,$L90),$L90))</f>
        <v>46453</v>
      </c>
      <c r="H90" s="120" t="n">
        <f aca="false">IF($G90="",0,IF(AND($G90&gt;='Cash Flow'!$E$6,$G90&lt;'Cash Flow'!$E$6+91),1,0))</f>
        <v>0</v>
      </c>
      <c r="I90" s="120" t="str">
        <f aca="false">IF($H90=1,MAX(1,INT(($G90-'Cash Flow'!$E$6)/7)+1),"")</f>
        <v/>
      </c>
      <c r="J90" s="8" t="str">
        <f aca="false">IF($H90=1,$G90*10000+ROW(),"")</f>
        <v/>
      </c>
      <c r="K90" s="8" t="str">
        <f aca="false">IF($H90=1,$I90*1000+COUNTIFS($I$4:$I$483,$I90,$J$4:$J$483,"&lt;"&amp;$J90)+1,"")</f>
        <v/>
      </c>
      <c r="L90" s="121"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17" t="n">
        <v>6</v>
      </c>
      <c r="B91" s="117" t="n">
        <v>8</v>
      </c>
      <c r="C91" s="8" t="str">
        <f aca="false">IF(OR(Recurring!$B$10="",Recurring!$H$10&lt;&gt;"Yes",Recurring!$D$10=""),"",Recurring!$B$10)</f>
        <v>Google One</v>
      </c>
      <c r="D91" s="8" t="str">
        <f aca="false">IF($C91="","",Recurring!$C$10)</f>
        <v>Expense</v>
      </c>
      <c r="E91" s="118" t="n">
        <f aca="false">IF($C91="","",IF(SUMIFS(Overrides!$E$9:$E$108,Overrides!$B$9:$B$108,$C91,Overrides!$C$9:$C$108,$L91)&gt;0,SUMIFS(Overrides!$E$9:$E$108,Overrides!$B$9:$B$108,$C91,Overrides!$C$9:$C$108,$L91),Recurring!$D$10))</f>
        <v>4.99</v>
      </c>
      <c r="F91" s="119"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19" t="n">
        <f aca="false">IF($L91="","",IF(SUMIFS(Overrides!$D$9:$D$108,Overrides!$B$9:$B$108,$C91,Overrides!$C$9:$C$108,$L91)&gt;0,SUMIFS(Overrides!$D$9:$D$108,Overrides!$B$9:$B$108,$C91,Overrides!$C$9:$C$108,$L91),$L91))</f>
        <v>46484</v>
      </c>
      <c r="H91" s="120" t="n">
        <f aca="false">IF($G91="",0,IF(AND($G91&gt;='Cash Flow'!$E$6,$G91&lt;'Cash Flow'!$E$6+91),1,0))</f>
        <v>0</v>
      </c>
      <c r="I91" s="120" t="str">
        <f aca="false">IF($H91=1,MAX(1,INT(($G91-'Cash Flow'!$E$6)/7)+1),"")</f>
        <v/>
      </c>
      <c r="J91" s="8" t="str">
        <f aca="false">IF($H91=1,$G91*10000+ROW(),"")</f>
        <v/>
      </c>
      <c r="K91" s="8" t="str">
        <f aca="false">IF($H91=1,$I91*1000+COUNTIFS($I$4:$I$483,$I91,$J$4:$J$483,"&lt;"&amp;$J91)+1,"")</f>
        <v/>
      </c>
      <c r="L91" s="121"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17" t="n">
        <v>6</v>
      </c>
      <c r="B92" s="117" t="n">
        <v>9</v>
      </c>
      <c r="C92" s="8" t="str">
        <f aca="false">IF(OR(Recurring!$B$10="",Recurring!$H$10&lt;&gt;"Yes",Recurring!$D$10=""),"",Recurring!$B$10)</f>
        <v>Google One</v>
      </c>
      <c r="D92" s="8" t="str">
        <f aca="false">IF($C92="","",Recurring!$C$10)</f>
        <v>Expense</v>
      </c>
      <c r="E92" s="118" t="n">
        <f aca="false">IF($C92="","",IF(SUMIFS(Overrides!$E$9:$E$108,Overrides!$B$9:$B$108,$C92,Overrides!$C$9:$C$108,$L92)&gt;0,SUMIFS(Overrides!$E$9:$E$108,Overrides!$B$9:$B$108,$C92,Overrides!$C$9:$C$108,$L92),Recurring!$D$10))</f>
        <v>4.99</v>
      </c>
      <c r="F92" s="119"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19" t="n">
        <f aca="false">IF($L92="","",IF(SUMIFS(Overrides!$D$9:$D$108,Overrides!$B$9:$B$108,$C92,Overrides!$C$9:$C$108,$L92)&gt;0,SUMIFS(Overrides!$D$9:$D$108,Overrides!$B$9:$B$108,$C92,Overrides!$C$9:$C$108,$L92),$L92))</f>
        <v>46514</v>
      </c>
      <c r="H92" s="120" t="n">
        <f aca="false">IF($G92="",0,IF(AND($G92&gt;='Cash Flow'!$E$6,$G92&lt;'Cash Flow'!$E$6+91),1,0))</f>
        <v>0</v>
      </c>
      <c r="I92" s="120" t="str">
        <f aca="false">IF($H92=1,MAX(1,INT(($G92-'Cash Flow'!$E$6)/7)+1),"")</f>
        <v/>
      </c>
      <c r="J92" s="8" t="str">
        <f aca="false">IF($H92=1,$G92*10000+ROW(),"")</f>
        <v/>
      </c>
      <c r="K92" s="8" t="str">
        <f aca="false">IF($H92=1,$I92*1000+COUNTIFS($I$4:$I$483,$I92,$J$4:$J$483,"&lt;"&amp;$J92)+1,"")</f>
        <v/>
      </c>
      <c r="L92" s="121"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17" t="n">
        <v>6</v>
      </c>
      <c r="B93" s="117" t="n">
        <v>10</v>
      </c>
      <c r="C93" s="8" t="str">
        <f aca="false">IF(OR(Recurring!$B$10="",Recurring!$H$10&lt;&gt;"Yes",Recurring!$D$10=""),"",Recurring!$B$10)</f>
        <v>Google One</v>
      </c>
      <c r="D93" s="8" t="str">
        <f aca="false">IF($C93="","",Recurring!$C$10)</f>
        <v>Expense</v>
      </c>
      <c r="E93" s="118" t="n">
        <f aca="false">IF($C93="","",IF(SUMIFS(Overrides!$E$9:$E$108,Overrides!$B$9:$B$108,$C93,Overrides!$C$9:$C$108,$L93)&gt;0,SUMIFS(Overrides!$E$9:$E$108,Overrides!$B$9:$B$108,$C93,Overrides!$C$9:$C$108,$L93),Recurring!$D$10))</f>
        <v>4.99</v>
      </c>
      <c r="F93" s="119"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19" t="n">
        <f aca="false">IF($L93="","",IF(SUMIFS(Overrides!$D$9:$D$108,Overrides!$B$9:$B$108,$C93,Overrides!$C$9:$C$108,$L93)&gt;0,SUMIFS(Overrides!$D$9:$D$108,Overrides!$B$9:$B$108,$C93,Overrides!$C$9:$C$108,$L93),$L93))</f>
        <v>46545</v>
      </c>
      <c r="H93" s="120" t="n">
        <f aca="false">IF($G93="",0,IF(AND($G93&gt;='Cash Flow'!$E$6,$G93&lt;'Cash Flow'!$E$6+91),1,0))</f>
        <v>0</v>
      </c>
      <c r="I93" s="120" t="str">
        <f aca="false">IF($H93=1,MAX(1,INT(($G93-'Cash Flow'!$E$6)/7)+1),"")</f>
        <v/>
      </c>
      <c r="J93" s="8" t="str">
        <f aca="false">IF($H93=1,$G93*10000+ROW(),"")</f>
        <v/>
      </c>
      <c r="K93" s="8" t="str">
        <f aca="false">IF($H93=1,$I93*1000+COUNTIFS($I$4:$I$483,$I93,$J$4:$J$483,"&lt;"&amp;$J93)+1,"")</f>
        <v/>
      </c>
      <c r="L93" s="121"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17" t="n">
        <v>6</v>
      </c>
      <c r="B94" s="117" t="n">
        <v>11</v>
      </c>
      <c r="C94" s="8" t="str">
        <f aca="false">IF(OR(Recurring!$B$10="",Recurring!$H$10&lt;&gt;"Yes",Recurring!$D$10=""),"",Recurring!$B$10)</f>
        <v>Google One</v>
      </c>
      <c r="D94" s="8" t="str">
        <f aca="false">IF($C94="","",Recurring!$C$10)</f>
        <v>Expense</v>
      </c>
      <c r="E94" s="118" t="n">
        <f aca="false">IF($C94="","",IF(SUMIFS(Overrides!$E$9:$E$108,Overrides!$B$9:$B$108,$C94,Overrides!$C$9:$C$108,$L94)&gt;0,SUMIFS(Overrides!$E$9:$E$108,Overrides!$B$9:$B$108,$C94,Overrides!$C$9:$C$108,$L94),Recurring!$D$10))</f>
        <v>4.99</v>
      </c>
      <c r="F94" s="119"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19" t="n">
        <f aca="false">IF($L94="","",IF(SUMIFS(Overrides!$D$9:$D$108,Overrides!$B$9:$B$108,$C94,Overrides!$C$9:$C$108,$L94)&gt;0,SUMIFS(Overrides!$D$9:$D$108,Overrides!$B$9:$B$108,$C94,Overrides!$C$9:$C$108,$L94),$L94))</f>
        <v>46575</v>
      </c>
      <c r="H94" s="120" t="n">
        <f aca="false">IF($G94="",0,IF(AND($G94&gt;='Cash Flow'!$E$6,$G94&lt;'Cash Flow'!$E$6+91),1,0))</f>
        <v>0</v>
      </c>
      <c r="I94" s="120" t="str">
        <f aca="false">IF($H94=1,MAX(1,INT(($G94-'Cash Flow'!$E$6)/7)+1),"")</f>
        <v/>
      </c>
      <c r="J94" s="8" t="str">
        <f aca="false">IF($H94=1,$G94*10000+ROW(),"")</f>
        <v/>
      </c>
      <c r="K94" s="8" t="str">
        <f aca="false">IF($H94=1,$I94*1000+COUNTIFS($I$4:$I$483,$I94,$J$4:$J$483,"&lt;"&amp;$J94)+1,"")</f>
        <v/>
      </c>
      <c r="L94" s="121"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17" t="n">
        <v>6</v>
      </c>
      <c r="B95" s="117" t="n">
        <v>12</v>
      </c>
      <c r="C95" s="8" t="str">
        <f aca="false">IF(OR(Recurring!$B$10="",Recurring!$H$10&lt;&gt;"Yes",Recurring!$D$10=""),"",Recurring!$B$10)</f>
        <v>Google One</v>
      </c>
      <c r="D95" s="8" t="str">
        <f aca="false">IF($C95="","",Recurring!$C$10)</f>
        <v>Expense</v>
      </c>
      <c r="E95" s="118" t="n">
        <f aca="false">IF($C95="","",IF(SUMIFS(Overrides!$E$9:$E$108,Overrides!$B$9:$B$108,$C95,Overrides!$C$9:$C$108,$L95)&gt;0,SUMIFS(Overrides!$E$9:$E$108,Overrides!$B$9:$B$108,$C95,Overrides!$C$9:$C$108,$L95),Recurring!$D$10))</f>
        <v>4.99</v>
      </c>
      <c r="F95" s="119"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19" t="n">
        <f aca="false">IF($L95="","",IF(SUMIFS(Overrides!$D$9:$D$108,Overrides!$B$9:$B$108,$C95,Overrides!$C$9:$C$108,$L95)&gt;0,SUMIFS(Overrides!$D$9:$D$108,Overrides!$B$9:$B$108,$C95,Overrides!$C$9:$C$108,$L95),$L95))</f>
        <v>46606</v>
      </c>
      <c r="H95" s="120" t="n">
        <f aca="false">IF($G95="",0,IF(AND($G95&gt;='Cash Flow'!$E$6,$G95&lt;'Cash Flow'!$E$6+91),1,0))</f>
        <v>0</v>
      </c>
      <c r="I95" s="120" t="str">
        <f aca="false">IF($H95=1,MAX(1,INT(($G95-'Cash Flow'!$E$6)/7)+1),"")</f>
        <v/>
      </c>
      <c r="J95" s="8" t="str">
        <f aca="false">IF($H95=1,$G95*10000+ROW(),"")</f>
        <v/>
      </c>
      <c r="K95" s="8" t="str">
        <f aca="false">IF($H95=1,$I95*1000+COUNTIFS($I$4:$I$483,$I95,$J$4:$J$483,"&lt;"&amp;$J95)+1,"")</f>
        <v/>
      </c>
      <c r="L95" s="121"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17" t="n">
        <v>6</v>
      </c>
      <c r="B96" s="117" t="n">
        <v>13</v>
      </c>
      <c r="C96" s="8" t="str">
        <f aca="false">IF(OR(Recurring!$B$10="",Recurring!$H$10&lt;&gt;"Yes",Recurring!$D$10=""),"",Recurring!$B$10)</f>
        <v>Google One</v>
      </c>
      <c r="D96" s="8" t="str">
        <f aca="false">IF($C96="","",Recurring!$C$10)</f>
        <v>Expense</v>
      </c>
      <c r="E96" s="118" t="n">
        <f aca="false">IF($C96="","",IF(SUMIFS(Overrides!$E$9:$E$108,Overrides!$B$9:$B$108,$C96,Overrides!$C$9:$C$108,$L96)&gt;0,SUMIFS(Overrides!$E$9:$E$108,Overrides!$B$9:$B$108,$C96,Overrides!$C$9:$C$108,$L96),Recurring!$D$10))</f>
        <v>4.99</v>
      </c>
      <c r="F96" s="119"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19" t="n">
        <f aca="false">IF($L96="","",IF(SUMIFS(Overrides!$D$9:$D$108,Overrides!$B$9:$B$108,$C96,Overrides!$C$9:$C$108,$L96)&gt;0,SUMIFS(Overrides!$D$9:$D$108,Overrides!$B$9:$B$108,$C96,Overrides!$C$9:$C$108,$L96),$L96))</f>
        <v>46637</v>
      </c>
      <c r="H96" s="120" t="n">
        <f aca="false">IF($G96="",0,IF(AND($G96&gt;='Cash Flow'!$E$6,$G96&lt;'Cash Flow'!$E$6+91),1,0))</f>
        <v>0</v>
      </c>
      <c r="I96" s="120" t="str">
        <f aca="false">IF($H96=1,MAX(1,INT(($G96-'Cash Flow'!$E$6)/7)+1),"")</f>
        <v/>
      </c>
      <c r="J96" s="8" t="str">
        <f aca="false">IF($H96=1,$G96*10000+ROW(),"")</f>
        <v/>
      </c>
      <c r="K96" s="8" t="str">
        <f aca="false">IF($H96=1,$I96*1000+COUNTIFS($I$4:$I$483,$I96,$J$4:$J$483,"&lt;"&amp;$J96)+1,"")</f>
        <v/>
      </c>
      <c r="L96" s="121"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17" t="n">
        <v>6</v>
      </c>
      <c r="B97" s="117" t="n">
        <v>14</v>
      </c>
      <c r="C97" s="8" t="str">
        <f aca="false">IF(OR(Recurring!$B$10="",Recurring!$H$10&lt;&gt;"Yes",Recurring!$D$10=""),"",Recurring!$B$10)</f>
        <v>Google One</v>
      </c>
      <c r="D97" s="8" t="str">
        <f aca="false">IF($C97="","",Recurring!$C$10)</f>
        <v>Expense</v>
      </c>
      <c r="E97" s="118" t="n">
        <f aca="false">IF($C97="","",IF(SUMIFS(Overrides!$E$9:$E$108,Overrides!$B$9:$B$108,$C97,Overrides!$C$9:$C$108,$L97)&gt;0,SUMIFS(Overrides!$E$9:$E$108,Overrides!$B$9:$B$108,$C97,Overrides!$C$9:$C$108,$L97),Recurring!$D$10))</f>
        <v>4.99</v>
      </c>
      <c r="F97" s="119"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19" t="n">
        <f aca="false">IF($L97="","",IF(SUMIFS(Overrides!$D$9:$D$108,Overrides!$B$9:$B$108,$C97,Overrides!$C$9:$C$108,$L97)&gt;0,SUMIFS(Overrides!$D$9:$D$108,Overrides!$B$9:$B$108,$C97,Overrides!$C$9:$C$108,$L97),$L97))</f>
        <v>46667</v>
      </c>
      <c r="H97" s="120" t="n">
        <f aca="false">IF($G97="",0,IF(AND($G97&gt;='Cash Flow'!$E$6,$G97&lt;'Cash Flow'!$E$6+91),1,0))</f>
        <v>0</v>
      </c>
      <c r="I97" s="120" t="str">
        <f aca="false">IF($H97=1,MAX(1,INT(($G97-'Cash Flow'!$E$6)/7)+1),"")</f>
        <v/>
      </c>
      <c r="J97" s="8" t="str">
        <f aca="false">IF($H97=1,$G97*10000+ROW(),"")</f>
        <v/>
      </c>
      <c r="K97" s="8" t="str">
        <f aca="false">IF($H97=1,$I97*1000+COUNTIFS($I$4:$I$483,$I97,$J$4:$J$483,"&lt;"&amp;$J97)+1,"")</f>
        <v/>
      </c>
      <c r="L97" s="121"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17" t="n">
        <v>6</v>
      </c>
      <c r="B98" s="117" t="n">
        <v>15</v>
      </c>
      <c r="C98" s="8" t="str">
        <f aca="false">IF(OR(Recurring!$B$10="",Recurring!$H$10&lt;&gt;"Yes",Recurring!$D$10=""),"",Recurring!$B$10)</f>
        <v>Google One</v>
      </c>
      <c r="D98" s="8" t="str">
        <f aca="false">IF($C98="","",Recurring!$C$10)</f>
        <v>Expense</v>
      </c>
      <c r="E98" s="118" t="n">
        <f aca="false">IF($C98="","",IF(SUMIFS(Overrides!$E$9:$E$108,Overrides!$B$9:$B$108,$C98,Overrides!$C$9:$C$108,$L98)&gt;0,SUMIFS(Overrides!$E$9:$E$108,Overrides!$B$9:$B$108,$C98,Overrides!$C$9:$C$108,$L98),Recurring!$D$10))</f>
        <v>4.99</v>
      </c>
      <c r="F98" s="119"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19" t="n">
        <f aca="false">IF($L98="","",IF(SUMIFS(Overrides!$D$9:$D$108,Overrides!$B$9:$B$108,$C98,Overrides!$C$9:$C$108,$L98)&gt;0,SUMIFS(Overrides!$D$9:$D$108,Overrides!$B$9:$B$108,$C98,Overrides!$C$9:$C$108,$L98),$L98))</f>
        <v>46698</v>
      </c>
      <c r="H98" s="120" t="n">
        <f aca="false">IF($G98="",0,IF(AND($G98&gt;='Cash Flow'!$E$6,$G98&lt;'Cash Flow'!$E$6+91),1,0))</f>
        <v>0</v>
      </c>
      <c r="I98" s="120" t="str">
        <f aca="false">IF($H98=1,MAX(1,INT(($G98-'Cash Flow'!$E$6)/7)+1),"")</f>
        <v/>
      </c>
      <c r="J98" s="8" t="str">
        <f aca="false">IF($H98=1,$G98*10000+ROW(),"")</f>
        <v/>
      </c>
      <c r="K98" s="8" t="str">
        <f aca="false">IF($H98=1,$I98*1000+COUNTIFS($I$4:$I$483,$I98,$J$4:$J$483,"&lt;"&amp;$J98)+1,"")</f>
        <v/>
      </c>
      <c r="L98" s="121"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17" t="n">
        <v>6</v>
      </c>
      <c r="B99" s="117" t="n">
        <v>16</v>
      </c>
      <c r="C99" s="8" t="str">
        <f aca="false">IF(OR(Recurring!$B$10="",Recurring!$H$10&lt;&gt;"Yes",Recurring!$D$10=""),"",Recurring!$B$10)</f>
        <v>Google One</v>
      </c>
      <c r="D99" s="8" t="str">
        <f aca="false">IF($C99="","",Recurring!$C$10)</f>
        <v>Expense</v>
      </c>
      <c r="E99" s="118" t="n">
        <f aca="false">IF($C99="","",IF(SUMIFS(Overrides!$E$9:$E$108,Overrides!$B$9:$B$108,$C99,Overrides!$C$9:$C$108,$L99)&gt;0,SUMIFS(Overrides!$E$9:$E$108,Overrides!$B$9:$B$108,$C99,Overrides!$C$9:$C$108,$L99),Recurring!$D$10))</f>
        <v>4.99</v>
      </c>
      <c r="F99" s="119"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19" t="n">
        <f aca="false">IF($L99="","",IF(SUMIFS(Overrides!$D$9:$D$108,Overrides!$B$9:$B$108,$C99,Overrides!$C$9:$C$108,$L99)&gt;0,SUMIFS(Overrides!$D$9:$D$108,Overrides!$B$9:$B$108,$C99,Overrides!$C$9:$C$108,$L99),$L99))</f>
        <v>46728</v>
      </c>
      <c r="H99" s="120" t="n">
        <f aca="false">IF($G99="",0,IF(AND($G99&gt;='Cash Flow'!$E$6,$G99&lt;'Cash Flow'!$E$6+91),1,0))</f>
        <v>0</v>
      </c>
      <c r="I99" s="120" t="str">
        <f aca="false">IF($H99=1,MAX(1,INT(($G99-'Cash Flow'!$E$6)/7)+1),"")</f>
        <v/>
      </c>
      <c r="J99" s="8" t="str">
        <f aca="false">IF($H99=1,$G99*10000+ROW(),"")</f>
        <v/>
      </c>
      <c r="K99" s="8" t="str">
        <f aca="false">IF($H99=1,$I99*1000+COUNTIFS($I$4:$I$483,$I99,$J$4:$J$483,"&lt;"&amp;$J99)+1,"")</f>
        <v/>
      </c>
      <c r="L99" s="121"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17" t="n">
        <v>7</v>
      </c>
      <c r="B100" s="117" t="n">
        <v>1</v>
      </c>
      <c r="C100" s="8" t="str">
        <f aca="false">IF(OR(Recurring!$B$11="",Recurring!$H$11&lt;&gt;"Yes",Recurring!$D$11=""),"",Recurring!$B$11)</f>
        <v>Upstart (loan)</v>
      </c>
      <c r="D100" s="8" t="str">
        <f aca="false">IF($C100="","",Recurring!$C$11)</f>
        <v>Expense</v>
      </c>
      <c r="E100" s="118" t="n">
        <f aca="false">IF($C100="","",IF(SUMIFS(Overrides!$E$9:$E$108,Overrides!$B$9:$B$108,$C100,Overrides!$C$9:$C$108,$L100)&gt;0,SUMIFS(Overrides!$E$9:$E$108,Overrides!$B$9:$B$108,$C100,Overrides!$C$9:$C$108,$L100),Recurring!$D$11))</f>
        <v>500</v>
      </c>
      <c r="F100" s="119"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19" t="n">
        <f aca="false">IF($L100="","",IF(SUMIFS(Overrides!$D$9:$D$108,Overrides!$B$9:$B$108,$C100,Overrides!$C$9:$C$108,$L100)&gt;0,SUMIFS(Overrides!$D$9:$D$108,Overrides!$B$9:$B$108,$C100,Overrides!$C$9:$C$108,$L100),$L100))</f>
        <v>46272</v>
      </c>
      <c r="H100" s="120" t="n">
        <f aca="false">IF($G100="",0,IF(AND($G100&gt;='Cash Flow'!$E$6-90,$G100&lt;'Cash Flow'!$E$6+91),1,0))</f>
        <v>1</v>
      </c>
      <c r="I100" s="120" t="n">
        <f aca="false">IF($H100=1,MAX(1,INT(($G100-'Cash Flow'!$E$6)/7)+1),"")</f>
        <v>4</v>
      </c>
      <c r="J100" s="8" t="n">
        <f aca="false">IF($H100=1,$G100*10000+ROW(),"")</f>
        <v>462720100</v>
      </c>
      <c r="K100" s="8" t="n">
        <f aca="false">IF($H100=1,$I100*1000+COUNTIFS($I$4:$I$483,$I100,$J$4:$J$483,"&lt;"&amp;$J100)+1,"")</f>
        <v>4004</v>
      </c>
      <c r="L100" s="121"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17" t="n">
        <v>7</v>
      </c>
      <c r="B101" s="117" t="n">
        <v>2</v>
      </c>
      <c r="C101" s="8" t="str">
        <f aca="false">IF(OR(Recurring!$B$11="",Recurring!$H$11&lt;&gt;"Yes",Recurring!$D$11=""),"",Recurring!$B$11)</f>
        <v>Upstart (loan)</v>
      </c>
      <c r="D101" s="8" t="str">
        <f aca="false">IF($C101="","",Recurring!$C$11)</f>
        <v>Expense</v>
      </c>
      <c r="E101" s="118" t="n">
        <f aca="false">IF($C101="","",IF(SUMIFS(Overrides!$E$9:$E$108,Overrides!$B$9:$B$108,$C101,Overrides!$C$9:$C$108,$L101)&gt;0,SUMIFS(Overrides!$E$9:$E$108,Overrides!$B$9:$B$108,$C101,Overrides!$C$9:$C$108,$L101),Recurring!$D$11))</f>
        <v>500</v>
      </c>
      <c r="F101" s="119"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19" t="n">
        <f aca="false">IF($L101="","",IF(SUMIFS(Overrides!$D$9:$D$108,Overrides!$B$9:$B$108,$C101,Overrides!$C$9:$C$108,$L101)&gt;0,SUMIFS(Overrides!$D$9:$D$108,Overrides!$B$9:$B$108,$C101,Overrides!$C$9:$C$108,$L101),$L101))</f>
        <v>46302</v>
      </c>
      <c r="H101" s="120" t="n">
        <f aca="false">IF($G101="",0,IF(AND($G101&gt;='Cash Flow'!$E$6,$G101&lt;'Cash Flow'!$E$6+91),1,0))</f>
        <v>1</v>
      </c>
      <c r="I101" s="120" t="n">
        <f aca="false">IF($H101=1,MAX(1,INT(($G101-'Cash Flow'!$E$6)/7)+1),"")</f>
        <v>8</v>
      </c>
      <c r="J101" s="8" t="n">
        <f aca="false">IF($H101=1,$G101*10000+ROW(),"")</f>
        <v>463020101</v>
      </c>
      <c r="K101" s="8" t="n">
        <f aca="false">IF($H101=1,$I101*1000+COUNTIFS($I$4:$I$483,$I101,$J$4:$J$483,"&lt;"&amp;$J101)+1,"")</f>
        <v>8006</v>
      </c>
      <c r="L101" s="121"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17" t="n">
        <v>7</v>
      </c>
      <c r="B102" s="117" t="n">
        <v>3</v>
      </c>
      <c r="C102" s="8" t="str">
        <f aca="false">IF(OR(Recurring!$B$11="",Recurring!$H$11&lt;&gt;"Yes",Recurring!$D$11=""),"",Recurring!$B$11)</f>
        <v>Upstart (loan)</v>
      </c>
      <c r="D102" s="8" t="str">
        <f aca="false">IF($C102="","",Recurring!$C$11)</f>
        <v>Expense</v>
      </c>
      <c r="E102" s="118" t="n">
        <f aca="false">IF($C102="","",IF(SUMIFS(Overrides!$E$9:$E$108,Overrides!$B$9:$B$108,$C102,Overrides!$C$9:$C$108,$L102)&gt;0,SUMIFS(Overrides!$E$9:$E$108,Overrides!$B$9:$B$108,$C102,Overrides!$C$9:$C$108,$L102),Recurring!$D$11))</f>
        <v>500</v>
      </c>
      <c r="F102" s="119"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19" t="n">
        <f aca="false">IF($L102="","",IF(SUMIFS(Overrides!$D$9:$D$108,Overrides!$B$9:$B$108,$C102,Overrides!$C$9:$C$108,$L102)&gt;0,SUMIFS(Overrides!$D$9:$D$108,Overrides!$B$9:$B$108,$C102,Overrides!$C$9:$C$108,$L102),$L102))</f>
        <v>46333</v>
      </c>
      <c r="H102" s="120" t="n">
        <f aca="false">IF($G102="",0,IF(AND($G102&gt;='Cash Flow'!$E$6,$G102&lt;'Cash Flow'!$E$6+91),1,0))</f>
        <v>1</v>
      </c>
      <c r="I102" s="120" t="n">
        <f aca="false">IF($H102=1,MAX(1,INT(($G102-'Cash Flow'!$E$6)/7)+1),"")</f>
        <v>13</v>
      </c>
      <c r="J102" s="8" t="n">
        <f aca="false">IF($H102=1,$G102*10000+ROW(),"")</f>
        <v>463330102</v>
      </c>
      <c r="K102" s="8" t="n">
        <f aca="false">IF($H102=1,$I102*1000+COUNTIFS($I$4:$I$483,$I102,$J$4:$J$483,"&lt;"&amp;$J102)+1,"")</f>
        <v>13002</v>
      </c>
      <c r="L102" s="121"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17" t="n">
        <v>7</v>
      </c>
      <c r="B103" s="117" t="n">
        <v>4</v>
      </c>
      <c r="C103" s="8" t="str">
        <f aca="false">IF(OR(Recurring!$B$11="",Recurring!$H$11&lt;&gt;"Yes",Recurring!$D$11=""),"",Recurring!$B$11)</f>
        <v>Upstart (loan)</v>
      </c>
      <c r="D103" s="8" t="str">
        <f aca="false">IF($C103="","",Recurring!$C$11)</f>
        <v>Expense</v>
      </c>
      <c r="E103" s="118" t="n">
        <f aca="false">IF($C103="","",IF(SUMIFS(Overrides!$E$9:$E$108,Overrides!$B$9:$B$108,$C103,Overrides!$C$9:$C$108,$L103)&gt;0,SUMIFS(Overrides!$E$9:$E$108,Overrides!$B$9:$B$108,$C103,Overrides!$C$9:$C$108,$L103),Recurring!$D$11))</f>
        <v>500</v>
      </c>
      <c r="F103" s="119"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19" t="n">
        <f aca="false">IF($L103="","",IF(SUMIFS(Overrides!$D$9:$D$108,Overrides!$B$9:$B$108,$C103,Overrides!$C$9:$C$108,$L103)&gt;0,SUMIFS(Overrides!$D$9:$D$108,Overrides!$B$9:$B$108,$C103,Overrides!$C$9:$C$108,$L103),$L103))</f>
        <v>46363</v>
      </c>
      <c r="H103" s="120" t="n">
        <f aca="false">IF($G103="",0,IF(AND($G103&gt;='Cash Flow'!$E$6,$G103&lt;'Cash Flow'!$E$6+91),1,0))</f>
        <v>0</v>
      </c>
      <c r="I103" s="120" t="str">
        <f aca="false">IF($H103=1,MAX(1,INT(($G103-'Cash Flow'!$E$6)/7)+1),"")</f>
        <v/>
      </c>
      <c r="J103" s="8" t="str">
        <f aca="false">IF($H103=1,$G103*10000+ROW(),"")</f>
        <v/>
      </c>
      <c r="K103" s="8" t="str">
        <f aca="false">IF($H103=1,$I103*1000+COUNTIFS($I$4:$I$483,$I103,$J$4:$J$483,"&lt;"&amp;$J103)+1,"")</f>
        <v/>
      </c>
      <c r="L103" s="121"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17" t="n">
        <v>7</v>
      </c>
      <c r="B104" s="117" t="n">
        <v>5</v>
      </c>
      <c r="C104" s="8" t="str">
        <f aca="false">IF(OR(Recurring!$B$11="",Recurring!$H$11&lt;&gt;"Yes",Recurring!$D$11=""),"",Recurring!$B$11)</f>
        <v>Upstart (loan)</v>
      </c>
      <c r="D104" s="8" t="str">
        <f aca="false">IF($C104="","",Recurring!$C$11)</f>
        <v>Expense</v>
      </c>
      <c r="E104" s="118" t="n">
        <f aca="false">IF($C104="","",IF(SUMIFS(Overrides!$E$9:$E$108,Overrides!$B$9:$B$108,$C104,Overrides!$C$9:$C$108,$L104)&gt;0,SUMIFS(Overrides!$E$9:$E$108,Overrides!$B$9:$B$108,$C104,Overrides!$C$9:$C$108,$L104),Recurring!$D$11))</f>
        <v>500</v>
      </c>
      <c r="F104" s="119"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19" t="n">
        <f aca="false">IF($L104="","",IF(SUMIFS(Overrides!$D$9:$D$108,Overrides!$B$9:$B$108,$C104,Overrides!$C$9:$C$108,$L104)&gt;0,SUMIFS(Overrides!$D$9:$D$108,Overrides!$B$9:$B$108,$C104,Overrides!$C$9:$C$108,$L104),$L104))</f>
        <v>46394</v>
      </c>
      <c r="H104" s="120" t="n">
        <f aca="false">IF($G104="",0,IF(AND($G104&gt;='Cash Flow'!$E$6,$G104&lt;'Cash Flow'!$E$6+91),1,0))</f>
        <v>0</v>
      </c>
      <c r="I104" s="120" t="str">
        <f aca="false">IF($H104=1,MAX(1,INT(($G104-'Cash Flow'!$E$6)/7)+1),"")</f>
        <v/>
      </c>
      <c r="J104" s="8" t="str">
        <f aca="false">IF($H104=1,$G104*10000+ROW(),"")</f>
        <v/>
      </c>
      <c r="K104" s="8" t="str">
        <f aca="false">IF($H104=1,$I104*1000+COUNTIFS($I$4:$I$483,$I104,$J$4:$J$483,"&lt;"&amp;$J104)+1,"")</f>
        <v/>
      </c>
      <c r="L104" s="121"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17" t="n">
        <v>7</v>
      </c>
      <c r="B105" s="117" t="n">
        <v>6</v>
      </c>
      <c r="C105" s="8" t="str">
        <f aca="false">IF(OR(Recurring!$B$11="",Recurring!$H$11&lt;&gt;"Yes",Recurring!$D$11=""),"",Recurring!$B$11)</f>
        <v>Upstart (loan)</v>
      </c>
      <c r="D105" s="8" t="str">
        <f aca="false">IF($C105="","",Recurring!$C$11)</f>
        <v>Expense</v>
      </c>
      <c r="E105" s="118" t="n">
        <f aca="false">IF($C105="","",IF(SUMIFS(Overrides!$E$9:$E$108,Overrides!$B$9:$B$108,$C105,Overrides!$C$9:$C$108,$L105)&gt;0,SUMIFS(Overrides!$E$9:$E$108,Overrides!$B$9:$B$108,$C105,Overrides!$C$9:$C$108,$L105),Recurring!$D$11))</f>
        <v>500</v>
      </c>
      <c r="F105" s="119"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19" t="n">
        <f aca="false">IF($L105="","",IF(SUMIFS(Overrides!$D$9:$D$108,Overrides!$B$9:$B$108,$C105,Overrides!$C$9:$C$108,$L105)&gt;0,SUMIFS(Overrides!$D$9:$D$108,Overrides!$B$9:$B$108,$C105,Overrides!$C$9:$C$108,$L105),$L105))</f>
        <v>46425</v>
      </c>
      <c r="H105" s="120" t="n">
        <f aca="false">IF($G105="",0,IF(AND($G105&gt;='Cash Flow'!$E$6,$G105&lt;'Cash Flow'!$E$6+91),1,0))</f>
        <v>0</v>
      </c>
      <c r="I105" s="120" t="str">
        <f aca="false">IF($H105=1,MAX(1,INT(($G105-'Cash Flow'!$E$6)/7)+1),"")</f>
        <v/>
      </c>
      <c r="J105" s="8" t="str">
        <f aca="false">IF($H105=1,$G105*10000+ROW(),"")</f>
        <v/>
      </c>
      <c r="K105" s="8" t="str">
        <f aca="false">IF($H105=1,$I105*1000+COUNTIFS($I$4:$I$483,$I105,$J$4:$J$483,"&lt;"&amp;$J105)+1,"")</f>
        <v/>
      </c>
      <c r="L105" s="121"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17" t="n">
        <v>7</v>
      </c>
      <c r="B106" s="117" t="n">
        <v>7</v>
      </c>
      <c r="C106" s="8" t="str">
        <f aca="false">IF(OR(Recurring!$B$11="",Recurring!$H$11&lt;&gt;"Yes",Recurring!$D$11=""),"",Recurring!$B$11)</f>
        <v>Upstart (loan)</v>
      </c>
      <c r="D106" s="8" t="str">
        <f aca="false">IF($C106="","",Recurring!$C$11)</f>
        <v>Expense</v>
      </c>
      <c r="E106" s="118" t="n">
        <f aca="false">IF($C106="","",IF(SUMIFS(Overrides!$E$9:$E$108,Overrides!$B$9:$B$108,$C106,Overrides!$C$9:$C$108,$L106)&gt;0,SUMIFS(Overrides!$E$9:$E$108,Overrides!$B$9:$B$108,$C106,Overrides!$C$9:$C$108,$L106),Recurring!$D$11))</f>
        <v>500</v>
      </c>
      <c r="F106" s="119"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19" t="n">
        <f aca="false">IF($L106="","",IF(SUMIFS(Overrides!$D$9:$D$108,Overrides!$B$9:$B$108,$C106,Overrides!$C$9:$C$108,$L106)&gt;0,SUMIFS(Overrides!$D$9:$D$108,Overrides!$B$9:$B$108,$C106,Overrides!$C$9:$C$108,$L106),$L106))</f>
        <v>46453</v>
      </c>
      <c r="H106" s="120" t="n">
        <f aca="false">IF($G106="",0,IF(AND($G106&gt;='Cash Flow'!$E$6,$G106&lt;'Cash Flow'!$E$6+91),1,0))</f>
        <v>0</v>
      </c>
      <c r="I106" s="120" t="str">
        <f aca="false">IF($H106=1,MAX(1,INT(($G106-'Cash Flow'!$E$6)/7)+1),"")</f>
        <v/>
      </c>
      <c r="J106" s="8" t="str">
        <f aca="false">IF($H106=1,$G106*10000+ROW(),"")</f>
        <v/>
      </c>
      <c r="K106" s="8" t="str">
        <f aca="false">IF($H106=1,$I106*1000+COUNTIFS($I$4:$I$483,$I106,$J$4:$J$483,"&lt;"&amp;$J106)+1,"")</f>
        <v/>
      </c>
      <c r="L106" s="121"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17" t="n">
        <v>7</v>
      </c>
      <c r="B107" s="117" t="n">
        <v>8</v>
      </c>
      <c r="C107" s="8" t="str">
        <f aca="false">IF(OR(Recurring!$B$11="",Recurring!$H$11&lt;&gt;"Yes",Recurring!$D$11=""),"",Recurring!$B$11)</f>
        <v>Upstart (loan)</v>
      </c>
      <c r="D107" s="8" t="str">
        <f aca="false">IF($C107="","",Recurring!$C$11)</f>
        <v>Expense</v>
      </c>
      <c r="E107" s="118" t="n">
        <f aca="false">IF($C107="","",IF(SUMIFS(Overrides!$E$9:$E$108,Overrides!$B$9:$B$108,$C107,Overrides!$C$9:$C$108,$L107)&gt;0,SUMIFS(Overrides!$E$9:$E$108,Overrides!$B$9:$B$108,$C107,Overrides!$C$9:$C$108,$L107),Recurring!$D$11))</f>
        <v>500</v>
      </c>
      <c r="F107" s="119"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19" t="n">
        <f aca="false">IF($L107="","",IF(SUMIFS(Overrides!$D$9:$D$108,Overrides!$B$9:$B$108,$C107,Overrides!$C$9:$C$108,$L107)&gt;0,SUMIFS(Overrides!$D$9:$D$108,Overrides!$B$9:$B$108,$C107,Overrides!$C$9:$C$108,$L107),$L107))</f>
        <v>46484</v>
      </c>
      <c r="H107" s="120" t="n">
        <f aca="false">IF($G107="",0,IF(AND($G107&gt;='Cash Flow'!$E$6,$G107&lt;'Cash Flow'!$E$6+91),1,0))</f>
        <v>0</v>
      </c>
      <c r="I107" s="120" t="str">
        <f aca="false">IF($H107=1,MAX(1,INT(($G107-'Cash Flow'!$E$6)/7)+1),"")</f>
        <v/>
      </c>
      <c r="J107" s="8" t="str">
        <f aca="false">IF($H107=1,$G107*10000+ROW(),"")</f>
        <v/>
      </c>
      <c r="K107" s="8" t="str">
        <f aca="false">IF($H107=1,$I107*1000+COUNTIFS($I$4:$I$483,$I107,$J$4:$J$483,"&lt;"&amp;$J107)+1,"")</f>
        <v/>
      </c>
      <c r="L107" s="121"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17" t="n">
        <v>7</v>
      </c>
      <c r="B108" s="117" t="n">
        <v>9</v>
      </c>
      <c r="C108" s="8" t="str">
        <f aca="false">IF(OR(Recurring!$B$11="",Recurring!$H$11&lt;&gt;"Yes",Recurring!$D$11=""),"",Recurring!$B$11)</f>
        <v>Upstart (loan)</v>
      </c>
      <c r="D108" s="8" t="str">
        <f aca="false">IF($C108="","",Recurring!$C$11)</f>
        <v>Expense</v>
      </c>
      <c r="E108" s="118" t="n">
        <f aca="false">IF($C108="","",IF(SUMIFS(Overrides!$E$9:$E$108,Overrides!$B$9:$B$108,$C108,Overrides!$C$9:$C$108,$L108)&gt;0,SUMIFS(Overrides!$E$9:$E$108,Overrides!$B$9:$B$108,$C108,Overrides!$C$9:$C$108,$L108),Recurring!$D$11))</f>
        <v>500</v>
      </c>
      <c r="F108" s="119"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19" t="n">
        <f aca="false">IF($L108="","",IF(SUMIFS(Overrides!$D$9:$D$108,Overrides!$B$9:$B$108,$C108,Overrides!$C$9:$C$108,$L108)&gt;0,SUMIFS(Overrides!$D$9:$D$108,Overrides!$B$9:$B$108,$C108,Overrides!$C$9:$C$108,$L108),$L108))</f>
        <v>46514</v>
      </c>
      <c r="H108" s="120" t="n">
        <f aca="false">IF($G108="",0,IF(AND($G108&gt;='Cash Flow'!$E$6,$G108&lt;'Cash Flow'!$E$6+91),1,0))</f>
        <v>0</v>
      </c>
      <c r="I108" s="120" t="str">
        <f aca="false">IF($H108=1,MAX(1,INT(($G108-'Cash Flow'!$E$6)/7)+1),"")</f>
        <v/>
      </c>
      <c r="J108" s="8" t="str">
        <f aca="false">IF($H108=1,$G108*10000+ROW(),"")</f>
        <v/>
      </c>
      <c r="K108" s="8" t="str">
        <f aca="false">IF($H108=1,$I108*1000+COUNTIFS($I$4:$I$483,$I108,$J$4:$J$483,"&lt;"&amp;$J108)+1,"")</f>
        <v/>
      </c>
      <c r="L108" s="121"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17" t="n">
        <v>7</v>
      </c>
      <c r="B109" s="117" t="n">
        <v>10</v>
      </c>
      <c r="C109" s="8" t="str">
        <f aca="false">IF(OR(Recurring!$B$11="",Recurring!$H$11&lt;&gt;"Yes",Recurring!$D$11=""),"",Recurring!$B$11)</f>
        <v>Upstart (loan)</v>
      </c>
      <c r="D109" s="8" t="str">
        <f aca="false">IF($C109="","",Recurring!$C$11)</f>
        <v>Expense</v>
      </c>
      <c r="E109" s="118" t="n">
        <f aca="false">IF($C109="","",IF(SUMIFS(Overrides!$E$9:$E$108,Overrides!$B$9:$B$108,$C109,Overrides!$C$9:$C$108,$L109)&gt;0,SUMIFS(Overrides!$E$9:$E$108,Overrides!$B$9:$B$108,$C109,Overrides!$C$9:$C$108,$L109),Recurring!$D$11))</f>
        <v>500</v>
      </c>
      <c r="F109" s="119"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19" t="n">
        <f aca="false">IF($L109="","",IF(SUMIFS(Overrides!$D$9:$D$108,Overrides!$B$9:$B$108,$C109,Overrides!$C$9:$C$108,$L109)&gt;0,SUMIFS(Overrides!$D$9:$D$108,Overrides!$B$9:$B$108,$C109,Overrides!$C$9:$C$108,$L109),$L109))</f>
        <v>46545</v>
      </c>
      <c r="H109" s="120" t="n">
        <f aca="false">IF($G109="",0,IF(AND($G109&gt;='Cash Flow'!$E$6,$G109&lt;'Cash Flow'!$E$6+91),1,0))</f>
        <v>0</v>
      </c>
      <c r="I109" s="120" t="str">
        <f aca="false">IF($H109=1,MAX(1,INT(($G109-'Cash Flow'!$E$6)/7)+1),"")</f>
        <v/>
      </c>
      <c r="J109" s="8" t="str">
        <f aca="false">IF($H109=1,$G109*10000+ROW(),"")</f>
        <v/>
      </c>
      <c r="K109" s="8" t="str">
        <f aca="false">IF($H109=1,$I109*1000+COUNTIFS($I$4:$I$483,$I109,$J$4:$J$483,"&lt;"&amp;$J109)+1,"")</f>
        <v/>
      </c>
      <c r="L109" s="121"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17" t="n">
        <v>7</v>
      </c>
      <c r="B110" s="117" t="n">
        <v>11</v>
      </c>
      <c r="C110" s="8" t="str">
        <f aca="false">IF(OR(Recurring!$B$11="",Recurring!$H$11&lt;&gt;"Yes",Recurring!$D$11=""),"",Recurring!$B$11)</f>
        <v>Upstart (loan)</v>
      </c>
      <c r="D110" s="8" t="str">
        <f aca="false">IF($C110="","",Recurring!$C$11)</f>
        <v>Expense</v>
      </c>
      <c r="E110" s="118" t="n">
        <f aca="false">IF($C110="","",IF(SUMIFS(Overrides!$E$9:$E$108,Overrides!$B$9:$B$108,$C110,Overrides!$C$9:$C$108,$L110)&gt;0,SUMIFS(Overrides!$E$9:$E$108,Overrides!$B$9:$B$108,$C110,Overrides!$C$9:$C$108,$L110),Recurring!$D$11))</f>
        <v>500</v>
      </c>
      <c r="F110" s="119"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19" t="n">
        <f aca="false">IF($L110="","",IF(SUMIFS(Overrides!$D$9:$D$108,Overrides!$B$9:$B$108,$C110,Overrides!$C$9:$C$108,$L110)&gt;0,SUMIFS(Overrides!$D$9:$D$108,Overrides!$B$9:$B$108,$C110,Overrides!$C$9:$C$108,$L110),$L110))</f>
        <v>46575</v>
      </c>
      <c r="H110" s="120" t="n">
        <f aca="false">IF($G110="",0,IF(AND($G110&gt;='Cash Flow'!$E$6,$G110&lt;'Cash Flow'!$E$6+91),1,0))</f>
        <v>0</v>
      </c>
      <c r="I110" s="120" t="str">
        <f aca="false">IF($H110=1,MAX(1,INT(($G110-'Cash Flow'!$E$6)/7)+1),"")</f>
        <v/>
      </c>
      <c r="J110" s="8" t="str">
        <f aca="false">IF($H110=1,$G110*10000+ROW(),"")</f>
        <v/>
      </c>
      <c r="K110" s="8" t="str">
        <f aca="false">IF($H110=1,$I110*1000+COUNTIFS($I$4:$I$483,$I110,$J$4:$J$483,"&lt;"&amp;$J110)+1,"")</f>
        <v/>
      </c>
      <c r="L110" s="121"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17" t="n">
        <v>7</v>
      </c>
      <c r="B111" s="117" t="n">
        <v>12</v>
      </c>
      <c r="C111" s="8" t="str">
        <f aca="false">IF(OR(Recurring!$B$11="",Recurring!$H$11&lt;&gt;"Yes",Recurring!$D$11=""),"",Recurring!$B$11)</f>
        <v>Upstart (loan)</v>
      </c>
      <c r="D111" s="8" t="str">
        <f aca="false">IF($C111="","",Recurring!$C$11)</f>
        <v>Expense</v>
      </c>
      <c r="E111" s="118" t="n">
        <f aca="false">IF($C111="","",IF(SUMIFS(Overrides!$E$9:$E$108,Overrides!$B$9:$B$108,$C111,Overrides!$C$9:$C$108,$L111)&gt;0,SUMIFS(Overrides!$E$9:$E$108,Overrides!$B$9:$B$108,$C111,Overrides!$C$9:$C$108,$L111),Recurring!$D$11))</f>
        <v>500</v>
      </c>
      <c r="F111" s="119"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19" t="n">
        <f aca="false">IF($L111="","",IF(SUMIFS(Overrides!$D$9:$D$108,Overrides!$B$9:$B$108,$C111,Overrides!$C$9:$C$108,$L111)&gt;0,SUMIFS(Overrides!$D$9:$D$108,Overrides!$B$9:$B$108,$C111,Overrides!$C$9:$C$108,$L111),$L111))</f>
        <v>46606</v>
      </c>
      <c r="H111" s="120" t="n">
        <f aca="false">IF($G111="",0,IF(AND($G111&gt;='Cash Flow'!$E$6,$G111&lt;'Cash Flow'!$E$6+91),1,0))</f>
        <v>0</v>
      </c>
      <c r="I111" s="120" t="str">
        <f aca="false">IF($H111=1,MAX(1,INT(($G111-'Cash Flow'!$E$6)/7)+1),"")</f>
        <v/>
      </c>
      <c r="J111" s="8" t="str">
        <f aca="false">IF($H111=1,$G111*10000+ROW(),"")</f>
        <v/>
      </c>
      <c r="K111" s="8" t="str">
        <f aca="false">IF($H111=1,$I111*1000+COUNTIFS($I$4:$I$483,$I111,$J$4:$J$483,"&lt;"&amp;$J111)+1,"")</f>
        <v/>
      </c>
      <c r="L111" s="121"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17" t="n">
        <v>7</v>
      </c>
      <c r="B112" s="117" t="n">
        <v>13</v>
      </c>
      <c r="C112" s="8" t="str">
        <f aca="false">IF(OR(Recurring!$B$11="",Recurring!$H$11&lt;&gt;"Yes",Recurring!$D$11=""),"",Recurring!$B$11)</f>
        <v>Upstart (loan)</v>
      </c>
      <c r="D112" s="8" t="str">
        <f aca="false">IF($C112="","",Recurring!$C$11)</f>
        <v>Expense</v>
      </c>
      <c r="E112" s="118" t="n">
        <f aca="false">IF($C112="","",IF(SUMIFS(Overrides!$E$9:$E$108,Overrides!$B$9:$B$108,$C112,Overrides!$C$9:$C$108,$L112)&gt;0,SUMIFS(Overrides!$E$9:$E$108,Overrides!$B$9:$B$108,$C112,Overrides!$C$9:$C$108,$L112),Recurring!$D$11))</f>
        <v>500</v>
      </c>
      <c r="F112" s="119"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19" t="n">
        <f aca="false">IF($L112="","",IF(SUMIFS(Overrides!$D$9:$D$108,Overrides!$B$9:$B$108,$C112,Overrides!$C$9:$C$108,$L112)&gt;0,SUMIFS(Overrides!$D$9:$D$108,Overrides!$B$9:$B$108,$C112,Overrides!$C$9:$C$108,$L112),$L112))</f>
        <v>46637</v>
      </c>
      <c r="H112" s="120" t="n">
        <f aca="false">IF($G112="",0,IF(AND($G112&gt;='Cash Flow'!$E$6,$G112&lt;'Cash Flow'!$E$6+91),1,0))</f>
        <v>0</v>
      </c>
      <c r="I112" s="120" t="str">
        <f aca="false">IF($H112=1,MAX(1,INT(($G112-'Cash Flow'!$E$6)/7)+1),"")</f>
        <v/>
      </c>
      <c r="J112" s="8" t="str">
        <f aca="false">IF($H112=1,$G112*10000+ROW(),"")</f>
        <v/>
      </c>
      <c r="K112" s="8" t="str">
        <f aca="false">IF($H112=1,$I112*1000+COUNTIFS($I$4:$I$483,$I112,$J$4:$J$483,"&lt;"&amp;$J112)+1,"")</f>
        <v/>
      </c>
      <c r="L112" s="121"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17" t="n">
        <v>7</v>
      </c>
      <c r="B113" s="117" t="n">
        <v>14</v>
      </c>
      <c r="C113" s="8" t="str">
        <f aca="false">IF(OR(Recurring!$B$11="",Recurring!$H$11&lt;&gt;"Yes",Recurring!$D$11=""),"",Recurring!$B$11)</f>
        <v>Upstart (loan)</v>
      </c>
      <c r="D113" s="8" t="str">
        <f aca="false">IF($C113="","",Recurring!$C$11)</f>
        <v>Expense</v>
      </c>
      <c r="E113" s="118" t="n">
        <f aca="false">IF($C113="","",IF(SUMIFS(Overrides!$E$9:$E$108,Overrides!$B$9:$B$108,$C113,Overrides!$C$9:$C$108,$L113)&gt;0,SUMIFS(Overrides!$E$9:$E$108,Overrides!$B$9:$B$108,$C113,Overrides!$C$9:$C$108,$L113),Recurring!$D$11))</f>
        <v>500</v>
      </c>
      <c r="F113" s="119"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19" t="n">
        <f aca="false">IF($L113="","",IF(SUMIFS(Overrides!$D$9:$D$108,Overrides!$B$9:$B$108,$C113,Overrides!$C$9:$C$108,$L113)&gt;0,SUMIFS(Overrides!$D$9:$D$108,Overrides!$B$9:$B$108,$C113,Overrides!$C$9:$C$108,$L113),$L113))</f>
        <v>46667</v>
      </c>
      <c r="H113" s="120" t="n">
        <f aca="false">IF($G113="",0,IF(AND($G113&gt;='Cash Flow'!$E$6,$G113&lt;'Cash Flow'!$E$6+91),1,0))</f>
        <v>0</v>
      </c>
      <c r="I113" s="120" t="str">
        <f aca="false">IF($H113=1,MAX(1,INT(($G113-'Cash Flow'!$E$6)/7)+1),"")</f>
        <v/>
      </c>
      <c r="J113" s="8" t="str">
        <f aca="false">IF($H113=1,$G113*10000+ROW(),"")</f>
        <v/>
      </c>
      <c r="K113" s="8" t="str">
        <f aca="false">IF($H113=1,$I113*1000+COUNTIFS($I$4:$I$483,$I113,$J$4:$J$483,"&lt;"&amp;$J113)+1,"")</f>
        <v/>
      </c>
      <c r="L113" s="121"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17" t="n">
        <v>7</v>
      </c>
      <c r="B114" s="117" t="n">
        <v>15</v>
      </c>
      <c r="C114" s="8" t="str">
        <f aca="false">IF(OR(Recurring!$B$11="",Recurring!$H$11&lt;&gt;"Yes",Recurring!$D$11=""),"",Recurring!$B$11)</f>
        <v>Upstart (loan)</v>
      </c>
      <c r="D114" s="8" t="str">
        <f aca="false">IF($C114="","",Recurring!$C$11)</f>
        <v>Expense</v>
      </c>
      <c r="E114" s="118" t="n">
        <f aca="false">IF($C114="","",IF(SUMIFS(Overrides!$E$9:$E$108,Overrides!$B$9:$B$108,$C114,Overrides!$C$9:$C$108,$L114)&gt;0,SUMIFS(Overrides!$E$9:$E$108,Overrides!$B$9:$B$108,$C114,Overrides!$C$9:$C$108,$L114),Recurring!$D$11))</f>
        <v>500</v>
      </c>
      <c r="F114" s="119"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19" t="n">
        <f aca="false">IF($L114="","",IF(SUMIFS(Overrides!$D$9:$D$108,Overrides!$B$9:$B$108,$C114,Overrides!$C$9:$C$108,$L114)&gt;0,SUMIFS(Overrides!$D$9:$D$108,Overrides!$B$9:$B$108,$C114,Overrides!$C$9:$C$108,$L114),$L114))</f>
        <v>46698</v>
      </c>
      <c r="H114" s="120" t="n">
        <f aca="false">IF($G114="",0,IF(AND($G114&gt;='Cash Flow'!$E$6,$G114&lt;'Cash Flow'!$E$6+91),1,0))</f>
        <v>0</v>
      </c>
      <c r="I114" s="120" t="str">
        <f aca="false">IF($H114=1,MAX(1,INT(($G114-'Cash Flow'!$E$6)/7)+1),"")</f>
        <v/>
      </c>
      <c r="J114" s="8" t="str">
        <f aca="false">IF($H114=1,$G114*10000+ROW(),"")</f>
        <v/>
      </c>
      <c r="K114" s="8" t="str">
        <f aca="false">IF($H114=1,$I114*1000+COUNTIFS($I$4:$I$483,$I114,$J$4:$J$483,"&lt;"&amp;$J114)+1,"")</f>
        <v/>
      </c>
      <c r="L114" s="121"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17" t="n">
        <v>7</v>
      </c>
      <c r="B115" s="117" t="n">
        <v>16</v>
      </c>
      <c r="C115" s="8" t="str">
        <f aca="false">IF(OR(Recurring!$B$11="",Recurring!$H$11&lt;&gt;"Yes",Recurring!$D$11=""),"",Recurring!$B$11)</f>
        <v>Upstart (loan)</v>
      </c>
      <c r="D115" s="8" t="str">
        <f aca="false">IF($C115="","",Recurring!$C$11)</f>
        <v>Expense</v>
      </c>
      <c r="E115" s="118" t="n">
        <f aca="false">IF($C115="","",IF(SUMIFS(Overrides!$E$9:$E$108,Overrides!$B$9:$B$108,$C115,Overrides!$C$9:$C$108,$L115)&gt;0,SUMIFS(Overrides!$E$9:$E$108,Overrides!$B$9:$B$108,$C115,Overrides!$C$9:$C$108,$L115),Recurring!$D$11))</f>
        <v>500</v>
      </c>
      <c r="F115" s="119"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19" t="n">
        <f aca="false">IF($L115="","",IF(SUMIFS(Overrides!$D$9:$D$108,Overrides!$B$9:$B$108,$C115,Overrides!$C$9:$C$108,$L115)&gt;0,SUMIFS(Overrides!$D$9:$D$108,Overrides!$B$9:$B$108,$C115,Overrides!$C$9:$C$108,$L115),$L115))</f>
        <v>46728</v>
      </c>
      <c r="H115" s="120" t="n">
        <f aca="false">IF($G115="",0,IF(AND($G115&gt;='Cash Flow'!$E$6,$G115&lt;'Cash Flow'!$E$6+91),1,0))</f>
        <v>0</v>
      </c>
      <c r="I115" s="120" t="str">
        <f aca="false">IF($H115=1,MAX(1,INT(($G115-'Cash Flow'!$E$6)/7)+1),"")</f>
        <v/>
      </c>
      <c r="J115" s="8" t="str">
        <f aca="false">IF($H115=1,$G115*10000+ROW(),"")</f>
        <v/>
      </c>
      <c r="K115" s="8" t="str">
        <f aca="false">IF($H115=1,$I115*1000+COUNTIFS($I$4:$I$483,$I115,$J$4:$J$483,"&lt;"&amp;$J115)+1,"")</f>
        <v/>
      </c>
      <c r="L115" s="121"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17" t="n">
        <v>8</v>
      </c>
      <c r="B116" s="117" t="n">
        <v>1</v>
      </c>
      <c r="C116" s="8" t="str">
        <f aca="false">IF(OR(Recurring!$B$12="",Recurring!$H$12&lt;&gt;"Yes",Recurring!$D$12=""),"",Recurring!$B$12)</f>
        <v>Central Maine Power Co.</v>
      </c>
      <c r="D116" s="8" t="str">
        <f aca="false">IF($C116="","",Recurring!$C$12)</f>
        <v>Expense</v>
      </c>
      <c r="E116" s="118" t="n">
        <f aca="false">IF($C116="","",IF(SUMIFS(Overrides!$E$9:$E$108,Overrides!$B$9:$B$108,$C116,Overrides!$C$9:$C$108,$L116)&gt;0,SUMIFS(Overrides!$E$9:$E$108,Overrides!$B$9:$B$108,$C116,Overrides!$C$9:$C$108,$L116),Recurring!$D$12))</f>
        <v>183.69</v>
      </c>
      <c r="F116" s="119"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19" t="n">
        <f aca="false">IF($L116="","",IF(SUMIFS(Overrides!$D$9:$D$108,Overrides!$B$9:$B$108,$C116,Overrides!$C$9:$C$108,$L116)&gt;0,SUMIFS(Overrides!$D$9:$D$108,Overrides!$B$9:$B$108,$C116,Overrides!$C$9:$C$108,$L116),$L116))</f>
        <v>46273</v>
      </c>
      <c r="H116" s="120" t="n">
        <f aca="false">IF($G116="",0,IF(AND($G116&gt;='Cash Flow'!$E$6-90,$G116&lt;'Cash Flow'!$E$6+91),1,0))</f>
        <v>1</v>
      </c>
      <c r="I116" s="120" t="n">
        <f aca="false">IF($H116=1,MAX(1,INT(($G116-'Cash Flow'!$E$6)/7)+1),"")</f>
        <v>4</v>
      </c>
      <c r="J116" s="8" t="n">
        <f aca="false">IF($H116=1,$G116*10000+ROW(),"")</f>
        <v>462730116</v>
      </c>
      <c r="K116" s="8" t="n">
        <f aca="false">IF($H116=1,$I116*1000+COUNTIFS($I$4:$I$483,$I116,$J$4:$J$483,"&lt;"&amp;$J116)+1,"")</f>
        <v>4005</v>
      </c>
      <c r="L116" s="121"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17" t="n">
        <v>8</v>
      </c>
      <c r="B117" s="117" t="n">
        <v>2</v>
      </c>
      <c r="C117" s="8" t="str">
        <f aca="false">IF(OR(Recurring!$B$12="",Recurring!$H$12&lt;&gt;"Yes",Recurring!$D$12=""),"",Recurring!$B$12)</f>
        <v>Central Maine Power Co.</v>
      </c>
      <c r="D117" s="8" t="str">
        <f aca="false">IF($C117="","",Recurring!$C$12)</f>
        <v>Expense</v>
      </c>
      <c r="E117" s="118" t="n">
        <f aca="false">IF($C117="","",IF(SUMIFS(Overrides!$E$9:$E$108,Overrides!$B$9:$B$108,$C117,Overrides!$C$9:$C$108,$L117)&gt;0,SUMIFS(Overrides!$E$9:$E$108,Overrides!$B$9:$B$108,$C117,Overrides!$C$9:$C$108,$L117),Recurring!$D$12))</f>
        <v>163.5</v>
      </c>
      <c r="F117" s="119"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19" t="n">
        <f aca="false">IF($L117="","",IF(SUMIFS(Overrides!$D$9:$D$108,Overrides!$B$9:$B$108,$C117,Overrides!$C$9:$C$108,$L117)&gt;0,SUMIFS(Overrides!$D$9:$D$108,Overrides!$B$9:$B$108,$C117,Overrides!$C$9:$C$108,$L117),$L117))</f>
        <v>46303</v>
      </c>
      <c r="H117" s="120" t="n">
        <f aca="false">IF($G117="",0,IF(AND($G117&gt;='Cash Flow'!$E$6,$G117&lt;'Cash Flow'!$E$6+91),1,0))</f>
        <v>1</v>
      </c>
      <c r="I117" s="120" t="n">
        <f aca="false">IF($H117=1,MAX(1,INT(($G117-'Cash Flow'!$E$6)/7)+1),"")</f>
        <v>8</v>
      </c>
      <c r="J117" s="8" t="n">
        <f aca="false">IF($H117=1,$G117*10000+ROW(),"")</f>
        <v>463030117</v>
      </c>
      <c r="K117" s="8" t="n">
        <f aca="false">IF($H117=1,$I117*1000+COUNTIFS($I$4:$I$483,$I117,$J$4:$J$483,"&lt;"&amp;$J117)+1,"")</f>
        <v>8007</v>
      </c>
      <c r="L117" s="121"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17" t="n">
        <v>8</v>
      </c>
      <c r="B118" s="117" t="n">
        <v>3</v>
      </c>
      <c r="C118" s="8" t="str">
        <f aca="false">IF(OR(Recurring!$B$12="",Recurring!$H$12&lt;&gt;"Yes",Recurring!$D$12=""),"",Recurring!$B$12)</f>
        <v>Central Maine Power Co.</v>
      </c>
      <c r="D118" s="8" t="str">
        <f aca="false">IF($C118="","",Recurring!$C$12)</f>
        <v>Expense</v>
      </c>
      <c r="E118" s="118" t="n">
        <f aca="false">IF($C118="","",IF(SUMIFS(Overrides!$E$9:$E$108,Overrides!$B$9:$B$108,$C118,Overrides!$C$9:$C$108,$L118)&gt;0,SUMIFS(Overrides!$E$9:$E$108,Overrides!$B$9:$B$108,$C118,Overrides!$C$9:$C$108,$L118),Recurring!$D$12))</f>
        <v>163.5</v>
      </c>
      <c r="F118" s="119"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19" t="n">
        <f aca="false">IF($L118="","",IF(SUMIFS(Overrides!$D$9:$D$108,Overrides!$B$9:$B$108,$C118,Overrides!$C$9:$C$108,$L118)&gt;0,SUMIFS(Overrides!$D$9:$D$108,Overrides!$B$9:$B$108,$C118,Overrides!$C$9:$C$108,$L118),$L118))</f>
        <v>46334</v>
      </c>
      <c r="H118" s="120" t="n">
        <f aca="false">IF($G118="",0,IF(AND($G118&gt;='Cash Flow'!$E$6,$G118&lt;'Cash Flow'!$E$6+91),1,0))</f>
        <v>1</v>
      </c>
      <c r="I118" s="120" t="n">
        <f aca="false">IF($H118=1,MAX(1,INT(($G118-'Cash Flow'!$E$6)/7)+1),"")</f>
        <v>13</v>
      </c>
      <c r="J118" s="8" t="n">
        <f aca="false">IF($H118=1,$G118*10000+ROW(),"")</f>
        <v>463340118</v>
      </c>
      <c r="K118" s="8" t="n">
        <f aca="false">IF($H118=1,$I118*1000+COUNTIFS($I$4:$I$483,$I118,$J$4:$J$483,"&lt;"&amp;$J118)+1,"")</f>
        <v>13003</v>
      </c>
      <c r="L118" s="121"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17" t="n">
        <v>8</v>
      </c>
      <c r="B119" s="117" t="n">
        <v>4</v>
      </c>
      <c r="C119" s="8" t="str">
        <f aca="false">IF(OR(Recurring!$B$12="",Recurring!$H$12&lt;&gt;"Yes",Recurring!$D$12=""),"",Recurring!$B$12)</f>
        <v>Central Maine Power Co.</v>
      </c>
      <c r="D119" s="8" t="str">
        <f aca="false">IF($C119="","",Recurring!$C$12)</f>
        <v>Expense</v>
      </c>
      <c r="E119" s="118" t="n">
        <f aca="false">IF($C119="","",IF(SUMIFS(Overrides!$E$9:$E$108,Overrides!$B$9:$B$108,$C119,Overrides!$C$9:$C$108,$L119)&gt;0,SUMIFS(Overrides!$E$9:$E$108,Overrides!$B$9:$B$108,$C119,Overrides!$C$9:$C$108,$L119),Recurring!$D$12))</f>
        <v>163.5</v>
      </c>
      <c r="F119" s="119"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19" t="n">
        <f aca="false">IF($L119="","",IF(SUMIFS(Overrides!$D$9:$D$108,Overrides!$B$9:$B$108,$C119,Overrides!$C$9:$C$108,$L119)&gt;0,SUMIFS(Overrides!$D$9:$D$108,Overrides!$B$9:$B$108,$C119,Overrides!$C$9:$C$108,$L119),$L119))</f>
        <v>46364</v>
      </c>
      <c r="H119" s="120" t="n">
        <f aca="false">IF($G119="",0,IF(AND($G119&gt;='Cash Flow'!$E$6,$G119&lt;'Cash Flow'!$E$6+91),1,0))</f>
        <v>0</v>
      </c>
      <c r="I119" s="120" t="str">
        <f aca="false">IF($H119=1,MAX(1,INT(($G119-'Cash Flow'!$E$6)/7)+1),"")</f>
        <v/>
      </c>
      <c r="J119" s="8" t="str">
        <f aca="false">IF($H119=1,$G119*10000+ROW(),"")</f>
        <v/>
      </c>
      <c r="K119" s="8" t="str">
        <f aca="false">IF($H119=1,$I119*1000+COUNTIFS($I$4:$I$483,$I119,$J$4:$J$483,"&lt;"&amp;$J119)+1,"")</f>
        <v/>
      </c>
      <c r="L119" s="121"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17" t="n">
        <v>8</v>
      </c>
      <c r="B120" s="117" t="n">
        <v>5</v>
      </c>
      <c r="C120" s="8" t="str">
        <f aca="false">IF(OR(Recurring!$B$12="",Recurring!$H$12&lt;&gt;"Yes",Recurring!$D$12=""),"",Recurring!$B$12)</f>
        <v>Central Maine Power Co.</v>
      </c>
      <c r="D120" s="8" t="str">
        <f aca="false">IF($C120="","",Recurring!$C$12)</f>
        <v>Expense</v>
      </c>
      <c r="E120" s="118" t="n">
        <f aca="false">IF($C120="","",IF(SUMIFS(Overrides!$E$9:$E$108,Overrides!$B$9:$B$108,$C120,Overrides!$C$9:$C$108,$L120)&gt;0,SUMIFS(Overrides!$E$9:$E$108,Overrides!$B$9:$B$108,$C120,Overrides!$C$9:$C$108,$L120),Recurring!$D$12))</f>
        <v>163.5</v>
      </c>
      <c r="F120" s="119"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19" t="n">
        <f aca="false">IF($L120="","",IF(SUMIFS(Overrides!$D$9:$D$108,Overrides!$B$9:$B$108,$C120,Overrides!$C$9:$C$108,$L120)&gt;0,SUMIFS(Overrides!$D$9:$D$108,Overrides!$B$9:$B$108,$C120,Overrides!$C$9:$C$108,$L120),$L120))</f>
        <v>46395</v>
      </c>
      <c r="H120" s="120" t="n">
        <f aca="false">IF($G120="",0,IF(AND($G120&gt;='Cash Flow'!$E$6,$G120&lt;'Cash Flow'!$E$6+91),1,0))</f>
        <v>0</v>
      </c>
      <c r="I120" s="120" t="str">
        <f aca="false">IF($H120=1,MAX(1,INT(($G120-'Cash Flow'!$E$6)/7)+1),"")</f>
        <v/>
      </c>
      <c r="J120" s="8" t="str">
        <f aca="false">IF($H120=1,$G120*10000+ROW(),"")</f>
        <v/>
      </c>
      <c r="K120" s="8" t="str">
        <f aca="false">IF($H120=1,$I120*1000+COUNTIFS($I$4:$I$483,$I120,$J$4:$J$483,"&lt;"&amp;$J120)+1,"")</f>
        <v/>
      </c>
      <c r="L120" s="121"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17" t="n">
        <v>8</v>
      </c>
      <c r="B121" s="117" t="n">
        <v>6</v>
      </c>
      <c r="C121" s="8" t="str">
        <f aca="false">IF(OR(Recurring!$B$12="",Recurring!$H$12&lt;&gt;"Yes",Recurring!$D$12=""),"",Recurring!$B$12)</f>
        <v>Central Maine Power Co.</v>
      </c>
      <c r="D121" s="8" t="str">
        <f aca="false">IF($C121="","",Recurring!$C$12)</f>
        <v>Expense</v>
      </c>
      <c r="E121" s="118" t="n">
        <f aca="false">IF($C121="","",IF(SUMIFS(Overrides!$E$9:$E$108,Overrides!$B$9:$B$108,$C121,Overrides!$C$9:$C$108,$L121)&gt;0,SUMIFS(Overrides!$E$9:$E$108,Overrides!$B$9:$B$108,$C121,Overrides!$C$9:$C$108,$L121),Recurring!$D$12))</f>
        <v>163.5</v>
      </c>
      <c r="F121" s="119"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19" t="n">
        <f aca="false">IF($L121="","",IF(SUMIFS(Overrides!$D$9:$D$108,Overrides!$B$9:$B$108,$C121,Overrides!$C$9:$C$108,$L121)&gt;0,SUMIFS(Overrides!$D$9:$D$108,Overrides!$B$9:$B$108,$C121,Overrides!$C$9:$C$108,$L121),$L121))</f>
        <v>46426</v>
      </c>
      <c r="H121" s="120" t="n">
        <f aca="false">IF($G121="",0,IF(AND($G121&gt;='Cash Flow'!$E$6,$G121&lt;'Cash Flow'!$E$6+91),1,0))</f>
        <v>0</v>
      </c>
      <c r="I121" s="120" t="str">
        <f aca="false">IF($H121=1,MAX(1,INT(($G121-'Cash Flow'!$E$6)/7)+1),"")</f>
        <v/>
      </c>
      <c r="J121" s="8" t="str">
        <f aca="false">IF($H121=1,$G121*10000+ROW(),"")</f>
        <v/>
      </c>
      <c r="K121" s="8" t="str">
        <f aca="false">IF($H121=1,$I121*1000+COUNTIFS($I$4:$I$483,$I121,$J$4:$J$483,"&lt;"&amp;$J121)+1,"")</f>
        <v/>
      </c>
      <c r="L121" s="121"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17" t="n">
        <v>8</v>
      </c>
      <c r="B122" s="117" t="n">
        <v>7</v>
      </c>
      <c r="C122" s="8" t="str">
        <f aca="false">IF(OR(Recurring!$B$12="",Recurring!$H$12&lt;&gt;"Yes",Recurring!$D$12=""),"",Recurring!$B$12)</f>
        <v>Central Maine Power Co.</v>
      </c>
      <c r="D122" s="8" t="str">
        <f aca="false">IF($C122="","",Recurring!$C$12)</f>
        <v>Expense</v>
      </c>
      <c r="E122" s="118" t="n">
        <f aca="false">IF($C122="","",IF(SUMIFS(Overrides!$E$9:$E$108,Overrides!$B$9:$B$108,$C122,Overrides!$C$9:$C$108,$L122)&gt;0,SUMIFS(Overrides!$E$9:$E$108,Overrides!$B$9:$B$108,$C122,Overrides!$C$9:$C$108,$L122),Recurring!$D$12))</f>
        <v>163.5</v>
      </c>
      <c r="F122" s="119"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19" t="n">
        <f aca="false">IF($L122="","",IF(SUMIFS(Overrides!$D$9:$D$108,Overrides!$B$9:$B$108,$C122,Overrides!$C$9:$C$108,$L122)&gt;0,SUMIFS(Overrides!$D$9:$D$108,Overrides!$B$9:$B$108,$C122,Overrides!$C$9:$C$108,$L122),$L122))</f>
        <v>46454</v>
      </c>
      <c r="H122" s="120" t="n">
        <f aca="false">IF($G122="",0,IF(AND($G122&gt;='Cash Flow'!$E$6,$G122&lt;'Cash Flow'!$E$6+91),1,0))</f>
        <v>0</v>
      </c>
      <c r="I122" s="120" t="str">
        <f aca="false">IF($H122=1,MAX(1,INT(($G122-'Cash Flow'!$E$6)/7)+1),"")</f>
        <v/>
      </c>
      <c r="J122" s="8" t="str">
        <f aca="false">IF($H122=1,$G122*10000+ROW(),"")</f>
        <v/>
      </c>
      <c r="K122" s="8" t="str">
        <f aca="false">IF($H122=1,$I122*1000+COUNTIFS($I$4:$I$483,$I122,$J$4:$J$483,"&lt;"&amp;$J122)+1,"")</f>
        <v/>
      </c>
      <c r="L122" s="121"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17" t="n">
        <v>8</v>
      </c>
      <c r="B123" s="117" t="n">
        <v>8</v>
      </c>
      <c r="C123" s="8" t="str">
        <f aca="false">IF(OR(Recurring!$B$12="",Recurring!$H$12&lt;&gt;"Yes",Recurring!$D$12=""),"",Recurring!$B$12)</f>
        <v>Central Maine Power Co.</v>
      </c>
      <c r="D123" s="8" t="str">
        <f aca="false">IF($C123="","",Recurring!$C$12)</f>
        <v>Expense</v>
      </c>
      <c r="E123" s="118" t="n">
        <f aca="false">IF($C123="","",IF(SUMIFS(Overrides!$E$9:$E$108,Overrides!$B$9:$B$108,$C123,Overrides!$C$9:$C$108,$L123)&gt;0,SUMIFS(Overrides!$E$9:$E$108,Overrides!$B$9:$B$108,$C123,Overrides!$C$9:$C$108,$L123),Recurring!$D$12))</f>
        <v>163.5</v>
      </c>
      <c r="F123" s="119"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19" t="n">
        <f aca="false">IF($L123="","",IF(SUMIFS(Overrides!$D$9:$D$108,Overrides!$B$9:$B$108,$C123,Overrides!$C$9:$C$108,$L123)&gt;0,SUMIFS(Overrides!$D$9:$D$108,Overrides!$B$9:$B$108,$C123,Overrides!$C$9:$C$108,$L123),$L123))</f>
        <v>46485</v>
      </c>
      <c r="H123" s="120" t="n">
        <f aca="false">IF($G123="",0,IF(AND($G123&gt;='Cash Flow'!$E$6,$G123&lt;'Cash Flow'!$E$6+91),1,0))</f>
        <v>0</v>
      </c>
      <c r="I123" s="120" t="str">
        <f aca="false">IF($H123=1,MAX(1,INT(($G123-'Cash Flow'!$E$6)/7)+1),"")</f>
        <v/>
      </c>
      <c r="J123" s="8" t="str">
        <f aca="false">IF($H123=1,$G123*10000+ROW(),"")</f>
        <v/>
      </c>
      <c r="K123" s="8" t="str">
        <f aca="false">IF($H123=1,$I123*1000+COUNTIFS($I$4:$I$483,$I123,$J$4:$J$483,"&lt;"&amp;$J123)+1,"")</f>
        <v/>
      </c>
      <c r="L123" s="121"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17" t="n">
        <v>8</v>
      </c>
      <c r="B124" s="117" t="n">
        <v>9</v>
      </c>
      <c r="C124" s="8" t="str">
        <f aca="false">IF(OR(Recurring!$B$12="",Recurring!$H$12&lt;&gt;"Yes",Recurring!$D$12=""),"",Recurring!$B$12)</f>
        <v>Central Maine Power Co.</v>
      </c>
      <c r="D124" s="8" t="str">
        <f aca="false">IF($C124="","",Recurring!$C$12)</f>
        <v>Expense</v>
      </c>
      <c r="E124" s="118" t="n">
        <f aca="false">IF($C124="","",IF(SUMIFS(Overrides!$E$9:$E$108,Overrides!$B$9:$B$108,$C124,Overrides!$C$9:$C$108,$L124)&gt;0,SUMIFS(Overrides!$E$9:$E$108,Overrides!$B$9:$B$108,$C124,Overrides!$C$9:$C$108,$L124),Recurring!$D$12))</f>
        <v>163.5</v>
      </c>
      <c r="F124" s="119"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19" t="n">
        <f aca="false">IF($L124="","",IF(SUMIFS(Overrides!$D$9:$D$108,Overrides!$B$9:$B$108,$C124,Overrides!$C$9:$C$108,$L124)&gt;0,SUMIFS(Overrides!$D$9:$D$108,Overrides!$B$9:$B$108,$C124,Overrides!$C$9:$C$108,$L124),$L124))</f>
        <v>46515</v>
      </c>
      <c r="H124" s="120" t="n">
        <f aca="false">IF($G124="",0,IF(AND($G124&gt;='Cash Flow'!$E$6,$G124&lt;'Cash Flow'!$E$6+91),1,0))</f>
        <v>0</v>
      </c>
      <c r="I124" s="120" t="str">
        <f aca="false">IF($H124=1,MAX(1,INT(($G124-'Cash Flow'!$E$6)/7)+1),"")</f>
        <v/>
      </c>
      <c r="J124" s="8" t="str">
        <f aca="false">IF($H124=1,$G124*10000+ROW(),"")</f>
        <v/>
      </c>
      <c r="K124" s="8" t="str">
        <f aca="false">IF($H124=1,$I124*1000+COUNTIFS($I$4:$I$483,$I124,$J$4:$J$483,"&lt;"&amp;$J124)+1,"")</f>
        <v/>
      </c>
      <c r="L124" s="121"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17" t="n">
        <v>8</v>
      </c>
      <c r="B125" s="117" t="n">
        <v>10</v>
      </c>
      <c r="C125" s="8" t="str">
        <f aca="false">IF(OR(Recurring!$B$12="",Recurring!$H$12&lt;&gt;"Yes",Recurring!$D$12=""),"",Recurring!$B$12)</f>
        <v>Central Maine Power Co.</v>
      </c>
      <c r="D125" s="8" t="str">
        <f aca="false">IF($C125="","",Recurring!$C$12)</f>
        <v>Expense</v>
      </c>
      <c r="E125" s="118" t="n">
        <f aca="false">IF($C125="","",IF(SUMIFS(Overrides!$E$9:$E$108,Overrides!$B$9:$B$108,$C125,Overrides!$C$9:$C$108,$L125)&gt;0,SUMIFS(Overrides!$E$9:$E$108,Overrides!$B$9:$B$108,$C125,Overrides!$C$9:$C$108,$L125),Recurring!$D$12))</f>
        <v>163.5</v>
      </c>
      <c r="F125" s="119"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19" t="n">
        <f aca="false">IF($L125="","",IF(SUMIFS(Overrides!$D$9:$D$108,Overrides!$B$9:$B$108,$C125,Overrides!$C$9:$C$108,$L125)&gt;0,SUMIFS(Overrides!$D$9:$D$108,Overrides!$B$9:$B$108,$C125,Overrides!$C$9:$C$108,$L125),$L125))</f>
        <v>46546</v>
      </c>
      <c r="H125" s="120" t="n">
        <f aca="false">IF($G125="",0,IF(AND($G125&gt;='Cash Flow'!$E$6,$G125&lt;'Cash Flow'!$E$6+91),1,0))</f>
        <v>0</v>
      </c>
      <c r="I125" s="120" t="str">
        <f aca="false">IF($H125=1,MAX(1,INT(($G125-'Cash Flow'!$E$6)/7)+1),"")</f>
        <v/>
      </c>
      <c r="J125" s="8" t="str">
        <f aca="false">IF($H125=1,$G125*10000+ROW(),"")</f>
        <v/>
      </c>
      <c r="K125" s="8" t="str">
        <f aca="false">IF($H125=1,$I125*1000+COUNTIFS($I$4:$I$483,$I125,$J$4:$J$483,"&lt;"&amp;$J125)+1,"")</f>
        <v/>
      </c>
      <c r="L125" s="121"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17" t="n">
        <v>8</v>
      </c>
      <c r="B126" s="117" t="n">
        <v>11</v>
      </c>
      <c r="C126" s="8" t="str">
        <f aca="false">IF(OR(Recurring!$B$12="",Recurring!$H$12&lt;&gt;"Yes",Recurring!$D$12=""),"",Recurring!$B$12)</f>
        <v>Central Maine Power Co.</v>
      </c>
      <c r="D126" s="8" t="str">
        <f aca="false">IF($C126="","",Recurring!$C$12)</f>
        <v>Expense</v>
      </c>
      <c r="E126" s="118" t="n">
        <f aca="false">IF($C126="","",IF(SUMIFS(Overrides!$E$9:$E$108,Overrides!$B$9:$B$108,$C126,Overrides!$C$9:$C$108,$L126)&gt;0,SUMIFS(Overrides!$E$9:$E$108,Overrides!$B$9:$B$108,$C126,Overrides!$C$9:$C$108,$L126),Recurring!$D$12))</f>
        <v>163.5</v>
      </c>
      <c r="F126" s="119"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19" t="n">
        <f aca="false">IF($L126="","",IF(SUMIFS(Overrides!$D$9:$D$108,Overrides!$B$9:$B$108,$C126,Overrides!$C$9:$C$108,$L126)&gt;0,SUMIFS(Overrides!$D$9:$D$108,Overrides!$B$9:$B$108,$C126,Overrides!$C$9:$C$108,$L126),$L126))</f>
        <v>46576</v>
      </c>
      <c r="H126" s="120" t="n">
        <f aca="false">IF($G126="",0,IF(AND($G126&gt;='Cash Flow'!$E$6,$G126&lt;'Cash Flow'!$E$6+91),1,0))</f>
        <v>0</v>
      </c>
      <c r="I126" s="120" t="str">
        <f aca="false">IF($H126=1,MAX(1,INT(($G126-'Cash Flow'!$E$6)/7)+1),"")</f>
        <v/>
      </c>
      <c r="J126" s="8" t="str">
        <f aca="false">IF($H126=1,$G126*10000+ROW(),"")</f>
        <v/>
      </c>
      <c r="K126" s="8" t="str">
        <f aca="false">IF($H126=1,$I126*1000+COUNTIFS($I$4:$I$483,$I126,$J$4:$J$483,"&lt;"&amp;$J126)+1,"")</f>
        <v/>
      </c>
      <c r="L126" s="121"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17" t="n">
        <v>8</v>
      </c>
      <c r="B127" s="117" t="n">
        <v>12</v>
      </c>
      <c r="C127" s="8" t="str">
        <f aca="false">IF(OR(Recurring!$B$12="",Recurring!$H$12&lt;&gt;"Yes",Recurring!$D$12=""),"",Recurring!$B$12)</f>
        <v>Central Maine Power Co.</v>
      </c>
      <c r="D127" s="8" t="str">
        <f aca="false">IF($C127="","",Recurring!$C$12)</f>
        <v>Expense</v>
      </c>
      <c r="E127" s="118" t="n">
        <f aca="false">IF($C127="","",IF(SUMIFS(Overrides!$E$9:$E$108,Overrides!$B$9:$B$108,$C127,Overrides!$C$9:$C$108,$L127)&gt;0,SUMIFS(Overrides!$E$9:$E$108,Overrides!$B$9:$B$108,$C127,Overrides!$C$9:$C$108,$L127),Recurring!$D$12))</f>
        <v>163.5</v>
      </c>
      <c r="F127" s="119"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19" t="n">
        <f aca="false">IF($L127="","",IF(SUMIFS(Overrides!$D$9:$D$108,Overrides!$B$9:$B$108,$C127,Overrides!$C$9:$C$108,$L127)&gt;0,SUMIFS(Overrides!$D$9:$D$108,Overrides!$B$9:$B$108,$C127,Overrides!$C$9:$C$108,$L127),$L127))</f>
        <v>46607</v>
      </c>
      <c r="H127" s="120" t="n">
        <f aca="false">IF($G127="",0,IF(AND($G127&gt;='Cash Flow'!$E$6,$G127&lt;'Cash Flow'!$E$6+91),1,0))</f>
        <v>0</v>
      </c>
      <c r="I127" s="120" t="str">
        <f aca="false">IF($H127=1,MAX(1,INT(($G127-'Cash Flow'!$E$6)/7)+1),"")</f>
        <v/>
      </c>
      <c r="J127" s="8" t="str">
        <f aca="false">IF($H127=1,$G127*10000+ROW(),"")</f>
        <v/>
      </c>
      <c r="K127" s="8" t="str">
        <f aca="false">IF($H127=1,$I127*1000+COUNTIFS($I$4:$I$483,$I127,$J$4:$J$483,"&lt;"&amp;$J127)+1,"")</f>
        <v/>
      </c>
      <c r="L127" s="121"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17" t="n">
        <v>8</v>
      </c>
      <c r="B128" s="117" t="n">
        <v>13</v>
      </c>
      <c r="C128" s="8" t="str">
        <f aca="false">IF(OR(Recurring!$B$12="",Recurring!$H$12&lt;&gt;"Yes",Recurring!$D$12=""),"",Recurring!$B$12)</f>
        <v>Central Maine Power Co.</v>
      </c>
      <c r="D128" s="8" t="str">
        <f aca="false">IF($C128="","",Recurring!$C$12)</f>
        <v>Expense</v>
      </c>
      <c r="E128" s="118" t="n">
        <f aca="false">IF($C128="","",IF(SUMIFS(Overrides!$E$9:$E$108,Overrides!$B$9:$B$108,$C128,Overrides!$C$9:$C$108,$L128)&gt;0,SUMIFS(Overrides!$E$9:$E$108,Overrides!$B$9:$B$108,$C128,Overrides!$C$9:$C$108,$L128),Recurring!$D$12))</f>
        <v>163.5</v>
      </c>
      <c r="F128" s="119"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19" t="n">
        <f aca="false">IF($L128="","",IF(SUMIFS(Overrides!$D$9:$D$108,Overrides!$B$9:$B$108,$C128,Overrides!$C$9:$C$108,$L128)&gt;0,SUMIFS(Overrides!$D$9:$D$108,Overrides!$B$9:$B$108,$C128,Overrides!$C$9:$C$108,$L128),$L128))</f>
        <v>46638</v>
      </c>
      <c r="H128" s="120" t="n">
        <f aca="false">IF($G128="",0,IF(AND($G128&gt;='Cash Flow'!$E$6,$G128&lt;'Cash Flow'!$E$6+91),1,0))</f>
        <v>0</v>
      </c>
      <c r="I128" s="120" t="str">
        <f aca="false">IF($H128=1,MAX(1,INT(($G128-'Cash Flow'!$E$6)/7)+1),"")</f>
        <v/>
      </c>
      <c r="J128" s="8" t="str">
        <f aca="false">IF($H128=1,$G128*10000+ROW(),"")</f>
        <v/>
      </c>
      <c r="K128" s="8" t="str">
        <f aca="false">IF($H128=1,$I128*1000+COUNTIFS($I$4:$I$483,$I128,$J$4:$J$483,"&lt;"&amp;$J128)+1,"")</f>
        <v/>
      </c>
      <c r="L128" s="121"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17" t="n">
        <v>8</v>
      </c>
      <c r="B129" s="117" t="n">
        <v>14</v>
      </c>
      <c r="C129" s="8" t="str">
        <f aca="false">IF(OR(Recurring!$B$12="",Recurring!$H$12&lt;&gt;"Yes",Recurring!$D$12=""),"",Recurring!$B$12)</f>
        <v>Central Maine Power Co.</v>
      </c>
      <c r="D129" s="8" t="str">
        <f aca="false">IF($C129="","",Recurring!$C$12)</f>
        <v>Expense</v>
      </c>
      <c r="E129" s="118" t="n">
        <f aca="false">IF($C129="","",IF(SUMIFS(Overrides!$E$9:$E$108,Overrides!$B$9:$B$108,$C129,Overrides!$C$9:$C$108,$L129)&gt;0,SUMIFS(Overrides!$E$9:$E$108,Overrides!$B$9:$B$108,$C129,Overrides!$C$9:$C$108,$L129),Recurring!$D$12))</f>
        <v>163.5</v>
      </c>
      <c r="F129" s="119"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19" t="n">
        <f aca="false">IF($L129="","",IF(SUMIFS(Overrides!$D$9:$D$108,Overrides!$B$9:$B$108,$C129,Overrides!$C$9:$C$108,$L129)&gt;0,SUMIFS(Overrides!$D$9:$D$108,Overrides!$B$9:$B$108,$C129,Overrides!$C$9:$C$108,$L129),$L129))</f>
        <v>46668</v>
      </c>
      <c r="H129" s="120" t="n">
        <f aca="false">IF($G129="",0,IF(AND($G129&gt;='Cash Flow'!$E$6,$G129&lt;'Cash Flow'!$E$6+91),1,0))</f>
        <v>0</v>
      </c>
      <c r="I129" s="120" t="str">
        <f aca="false">IF($H129=1,MAX(1,INT(($G129-'Cash Flow'!$E$6)/7)+1),"")</f>
        <v/>
      </c>
      <c r="J129" s="8" t="str">
        <f aca="false">IF($H129=1,$G129*10000+ROW(),"")</f>
        <v/>
      </c>
      <c r="K129" s="8" t="str">
        <f aca="false">IF($H129=1,$I129*1000+COUNTIFS($I$4:$I$483,$I129,$J$4:$J$483,"&lt;"&amp;$J129)+1,"")</f>
        <v/>
      </c>
      <c r="L129" s="121"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17" t="n">
        <v>8</v>
      </c>
      <c r="B130" s="117" t="n">
        <v>15</v>
      </c>
      <c r="C130" s="8" t="str">
        <f aca="false">IF(OR(Recurring!$B$12="",Recurring!$H$12&lt;&gt;"Yes",Recurring!$D$12=""),"",Recurring!$B$12)</f>
        <v>Central Maine Power Co.</v>
      </c>
      <c r="D130" s="8" t="str">
        <f aca="false">IF($C130="","",Recurring!$C$12)</f>
        <v>Expense</v>
      </c>
      <c r="E130" s="118" t="n">
        <f aca="false">IF($C130="","",IF(SUMIFS(Overrides!$E$9:$E$108,Overrides!$B$9:$B$108,$C130,Overrides!$C$9:$C$108,$L130)&gt;0,SUMIFS(Overrides!$E$9:$E$108,Overrides!$B$9:$B$108,$C130,Overrides!$C$9:$C$108,$L130),Recurring!$D$12))</f>
        <v>163.5</v>
      </c>
      <c r="F130" s="119"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19" t="n">
        <f aca="false">IF($L130="","",IF(SUMIFS(Overrides!$D$9:$D$108,Overrides!$B$9:$B$108,$C130,Overrides!$C$9:$C$108,$L130)&gt;0,SUMIFS(Overrides!$D$9:$D$108,Overrides!$B$9:$B$108,$C130,Overrides!$C$9:$C$108,$L130),$L130))</f>
        <v>46699</v>
      </c>
      <c r="H130" s="120" t="n">
        <f aca="false">IF($G130="",0,IF(AND($G130&gt;='Cash Flow'!$E$6,$G130&lt;'Cash Flow'!$E$6+91),1,0))</f>
        <v>0</v>
      </c>
      <c r="I130" s="120" t="str">
        <f aca="false">IF($H130=1,MAX(1,INT(($G130-'Cash Flow'!$E$6)/7)+1),"")</f>
        <v/>
      </c>
      <c r="J130" s="8" t="str">
        <f aca="false">IF($H130=1,$G130*10000+ROW(),"")</f>
        <v/>
      </c>
      <c r="K130" s="8" t="str">
        <f aca="false">IF($H130=1,$I130*1000+COUNTIFS($I$4:$I$483,$I130,$J$4:$J$483,"&lt;"&amp;$J130)+1,"")</f>
        <v/>
      </c>
      <c r="L130" s="121"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17" t="n">
        <v>8</v>
      </c>
      <c r="B131" s="117" t="n">
        <v>16</v>
      </c>
      <c r="C131" s="8" t="str">
        <f aca="false">IF(OR(Recurring!$B$12="",Recurring!$H$12&lt;&gt;"Yes",Recurring!$D$12=""),"",Recurring!$B$12)</f>
        <v>Central Maine Power Co.</v>
      </c>
      <c r="D131" s="8" t="str">
        <f aca="false">IF($C131="","",Recurring!$C$12)</f>
        <v>Expense</v>
      </c>
      <c r="E131" s="118" t="n">
        <f aca="false">IF($C131="","",IF(SUMIFS(Overrides!$E$9:$E$108,Overrides!$B$9:$B$108,$C131,Overrides!$C$9:$C$108,$L131)&gt;0,SUMIFS(Overrides!$E$9:$E$108,Overrides!$B$9:$B$108,$C131,Overrides!$C$9:$C$108,$L131),Recurring!$D$12))</f>
        <v>163.5</v>
      </c>
      <c r="F131" s="119"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19" t="n">
        <f aca="false">IF($L131="","",IF(SUMIFS(Overrides!$D$9:$D$108,Overrides!$B$9:$B$108,$C131,Overrides!$C$9:$C$108,$L131)&gt;0,SUMIFS(Overrides!$D$9:$D$108,Overrides!$B$9:$B$108,$C131,Overrides!$C$9:$C$108,$L131),$L131))</f>
        <v>46729</v>
      </c>
      <c r="H131" s="120" t="n">
        <f aca="false">IF($G131="",0,IF(AND($G131&gt;='Cash Flow'!$E$6,$G131&lt;'Cash Flow'!$E$6+91),1,0))</f>
        <v>0</v>
      </c>
      <c r="I131" s="120" t="str">
        <f aca="false">IF($H131=1,MAX(1,INT(($G131-'Cash Flow'!$E$6)/7)+1),"")</f>
        <v/>
      </c>
      <c r="J131" s="8" t="str">
        <f aca="false">IF($H131=1,$G131*10000+ROW(),"")</f>
        <v/>
      </c>
      <c r="K131" s="8" t="str">
        <f aca="false">IF($H131=1,$I131*1000+COUNTIFS($I$4:$I$483,$I131,$J$4:$J$483,"&lt;"&amp;$J131)+1,"")</f>
        <v/>
      </c>
      <c r="L131" s="121"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17" t="n">
        <v>9</v>
      </c>
      <c r="B132" s="117" t="n">
        <v>1</v>
      </c>
      <c r="C132" s="8" t="str">
        <f aca="false">IF(OR(Recurring!$B$13="",Recurring!$H$13&lt;&gt;"Yes",Recurring!$D$13=""),"",Recurring!$B$13)</f>
        <v>Apple: iCloud</v>
      </c>
      <c r="D132" s="8" t="str">
        <f aca="false">IF($C132="","",Recurring!$C$13)</f>
        <v>Expense</v>
      </c>
      <c r="E132" s="118" t="n">
        <f aca="false">IF($C132="","",IF(SUMIFS(Overrides!$E$9:$E$108,Overrides!$B$9:$B$108,$C132,Overrides!$C$9:$C$108,$L132)&gt;0,SUMIFS(Overrides!$E$9:$E$108,Overrides!$B$9:$B$108,$C132,Overrides!$C$9:$C$108,$L132),Recurring!$D$13))</f>
        <v>2.99</v>
      </c>
      <c r="F132" s="119"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19" t="n">
        <f aca="false">IF($L132="","",IF(SUMIFS(Overrides!$D$9:$D$108,Overrides!$B$9:$B$108,$C132,Overrides!$C$9:$C$108,$L132)&gt;0,SUMIFS(Overrides!$D$9:$D$108,Overrides!$B$9:$B$108,$C132,Overrides!$C$9:$C$108,$L132),$L132))</f>
        <v>46278</v>
      </c>
      <c r="H132" s="120" t="n">
        <f aca="false">IF($G132="",0,IF(AND($G132&gt;='Cash Flow'!$E$6-90,$G132&lt;'Cash Flow'!$E$6+91),1,0))</f>
        <v>1</v>
      </c>
      <c r="I132" s="120" t="n">
        <f aca="false">IF($H132=1,MAX(1,INT(($G132-'Cash Flow'!$E$6)/7)+1),"")</f>
        <v>5</v>
      </c>
      <c r="J132" s="8" t="n">
        <f aca="false">IF($H132=1,$G132*10000+ROW(),"")</f>
        <v>462780132</v>
      </c>
      <c r="K132" s="8" t="n">
        <f aca="false">IF($H132=1,$I132*1000+COUNTIFS($I$4:$I$483,$I132,$J$4:$J$483,"&lt;"&amp;$J132)+1,"")</f>
        <v>5001</v>
      </c>
      <c r="L132" s="121"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17" t="n">
        <v>9</v>
      </c>
      <c r="B133" s="117" t="n">
        <v>2</v>
      </c>
      <c r="C133" s="8" t="str">
        <f aca="false">IF(OR(Recurring!$B$13="",Recurring!$H$13&lt;&gt;"Yes",Recurring!$D$13=""),"",Recurring!$B$13)</f>
        <v>Apple: iCloud</v>
      </c>
      <c r="D133" s="8" t="str">
        <f aca="false">IF($C133="","",Recurring!$C$13)</f>
        <v>Expense</v>
      </c>
      <c r="E133" s="118" t="n">
        <f aca="false">IF($C133="","",IF(SUMIFS(Overrides!$E$9:$E$108,Overrides!$B$9:$B$108,$C133,Overrides!$C$9:$C$108,$L133)&gt;0,SUMIFS(Overrides!$E$9:$E$108,Overrides!$B$9:$B$108,$C133,Overrides!$C$9:$C$108,$L133),Recurring!$D$13))</f>
        <v>2.99</v>
      </c>
      <c r="F133" s="119"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19" t="n">
        <f aca="false">IF($L133="","",IF(SUMIFS(Overrides!$D$9:$D$108,Overrides!$B$9:$B$108,$C133,Overrides!$C$9:$C$108,$L133)&gt;0,SUMIFS(Overrides!$D$9:$D$108,Overrides!$B$9:$B$108,$C133,Overrides!$C$9:$C$108,$L133),$L133))</f>
        <v>46308</v>
      </c>
      <c r="H133" s="120" t="n">
        <f aca="false">IF($G133="",0,IF(AND($G133&gt;='Cash Flow'!$E$6,$G133&lt;'Cash Flow'!$E$6+91),1,0))</f>
        <v>1</v>
      </c>
      <c r="I133" s="120" t="n">
        <f aca="false">IF($H133=1,MAX(1,INT(($G133-'Cash Flow'!$E$6)/7)+1),"")</f>
        <v>9</v>
      </c>
      <c r="J133" s="8" t="n">
        <f aca="false">IF($H133=1,$G133*10000+ROW(),"")</f>
        <v>463080133</v>
      </c>
      <c r="K133" s="8" t="n">
        <f aca="false">IF($H133=1,$I133*1000+COUNTIFS($I$4:$I$483,$I133,$J$4:$J$483,"&lt;"&amp;$J133)+1,"")</f>
        <v>9001</v>
      </c>
      <c r="L133" s="121"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17" t="n">
        <v>9</v>
      </c>
      <c r="B134" s="117" t="n">
        <v>3</v>
      </c>
      <c r="C134" s="8" t="str">
        <f aca="false">IF(OR(Recurring!$B$13="",Recurring!$H$13&lt;&gt;"Yes",Recurring!$D$13=""),"",Recurring!$B$13)</f>
        <v>Apple: iCloud</v>
      </c>
      <c r="D134" s="8" t="str">
        <f aca="false">IF($C134="","",Recurring!$C$13)</f>
        <v>Expense</v>
      </c>
      <c r="E134" s="118" t="n">
        <f aca="false">IF($C134="","",IF(SUMIFS(Overrides!$E$9:$E$108,Overrides!$B$9:$B$108,$C134,Overrides!$C$9:$C$108,$L134)&gt;0,SUMIFS(Overrides!$E$9:$E$108,Overrides!$B$9:$B$108,$C134,Overrides!$C$9:$C$108,$L134),Recurring!$D$13))</f>
        <v>2.99</v>
      </c>
      <c r="F134" s="119"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19" t="n">
        <f aca="false">IF($L134="","",IF(SUMIFS(Overrides!$D$9:$D$108,Overrides!$B$9:$B$108,$C134,Overrides!$C$9:$C$108,$L134)&gt;0,SUMIFS(Overrides!$D$9:$D$108,Overrides!$B$9:$B$108,$C134,Overrides!$C$9:$C$108,$L134),$L134))</f>
        <v>46339</v>
      </c>
      <c r="H134" s="120" t="n">
        <f aca="false">IF($G134="",0,IF(AND($G134&gt;='Cash Flow'!$E$6,$G134&lt;'Cash Flow'!$E$6+91),1,0))</f>
        <v>1</v>
      </c>
      <c r="I134" s="120" t="n">
        <f aca="false">IF($H134=1,MAX(1,INT(($G134-'Cash Flow'!$E$6)/7)+1),"")</f>
        <v>13</v>
      </c>
      <c r="J134" s="8" t="n">
        <f aca="false">IF($H134=1,$G134*10000+ROW(),"")</f>
        <v>463390134</v>
      </c>
      <c r="K134" s="8" t="n">
        <f aca="false">IF($H134=1,$I134*1000+COUNTIFS($I$4:$I$483,$I134,$J$4:$J$483,"&lt;"&amp;$J134)+1,"")</f>
        <v>13006</v>
      </c>
      <c r="L134" s="121"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17" t="n">
        <v>9</v>
      </c>
      <c r="B135" s="117" t="n">
        <v>4</v>
      </c>
      <c r="C135" s="8" t="str">
        <f aca="false">IF(OR(Recurring!$B$13="",Recurring!$H$13&lt;&gt;"Yes",Recurring!$D$13=""),"",Recurring!$B$13)</f>
        <v>Apple: iCloud</v>
      </c>
      <c r="D135" s="8" t="str">
        <f aca="false">IF($C135="","",Recurring!$C$13)</f>
        <v>Expense</v>
      </c>
      <c r="E135" s="118" t="n">
        <f aca="false">IF($C135="","",IF(SUMIFS(Overrides!$E$9:$E$108,Overrides!$B$9:$B$108,$C135,Overrides!$C$9:$C$108,$L135)&gt;0,SUMIFS(Overrides!$E$9:$E$108,Overrides!$B$9:$B$108,$C135,Overrides!$C$9:$C$108,$L135),Recurring!$D$13))</f>
        <v>2.99</v>
      </c>
      <c r="F135" s="119"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19" t="n">
        <f aca="false">IF($L135="","",IF(SUMIFS(Overrides!$D$9:$D$108,Overrides!$B$9:$B$108,$C135,Overrides!$C$9:$C$108,$L135)&gt;0,SUMIFS(Overrides!$D$9:$D$108,Overrides!$B$9:$B$108,$C135,Overrides!$C$9:$C$108,$L135),$L135))</f>
        <v>46369</v>
      </c>
      <c r="H135" s="120" t="n">
        <f aca="false">IF($G135="",0,IF(AND($G135&gt;='Cash Flow'!$E$6,$G135&lt;'Cash Flow'!$E$6+91),1,0))</f>
        <v>0</v>
      </c>
      <c r="I135" s="120" t="str">
        <f aca="false">IF($H135=1,MAX(1,INT(($G135-'Cash Flow'!$E$6)/7)+1),"")</f>
        <v/>
      </c>
      <c r="J135" s="8" t="str">
        <f aca="false">IF($H135=1,$G135*10000+ROW(),"")</f>
        <v/>
      </c>
      <c r="K135" s="8" t="str">
        <f aca="false">IF($H135=1,$I135*1000+COUNTIFS($I$4:$I$483,$I135,$J$4:$J$483,"&lt;"&amp;$J135)+1,"")</f>
        <v/>
      </c>
      <c r="L135" s="121"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17" t="n">
        <v>9</v>
      </c>
      <c r="B136" s="117" t="n">
        <v>5</v>
      </c>
      <c r="C136" s="8" t="str">
        <f aca="false">IF(OR(Recurring!$B$13="",Recurring!$H$13&lt;&gt;"Yes",Recurring!$D$13=""),"",Recurring!$B$13)</f>
        <v>Apple: iCloud</v>
      </c>
      <c r="D136" s="8" t="str">
        <f aca="false">IF($C136="","",Recurring!$C$13)</f>
        <v>Expense</v>
      </c>
      <c r="E136" s="118" t="n">
        <f aca="false">IF($C136="","",IF(SUMIFS(Overrides!$E$9:$E$108,Overrides!$B$9:$B$108,$C136,Overrides!$C$9:$C$108,$L136)&gt;0,SUMIFS(Overrides!$E$9:$E$108,Overrides!$B$9:$B$108,$C136,Overrides!$C$9:$C$108,$L136),Recurring!$D$13))</f>
        <v>2.99</v>
      </c>
      <c r="F136" s="119"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19" t="n">
        <f aca="false">IF($L136="","",IF(SUMIFS(Overrides!$D$9:$D$108,Overrides!$B$9:$B$108,$C136,Overrides!$C$9:$C$108,$L136)&gt;0,SUMIFS(Overrides!$D$9:$D$108,Overrides!$B$9:$B$108,$C136,Overrides!$C$9:$C$108,$L136),$L136))</f>
        <v>46400</v>
      </c>
      <c r="H136" s="120" t="n">
        <f aca="false">IF($G136="",0,IF(AND($G136&gt;='Cash Flow'!$E$6,$G136&lt;'Cash Flow'!$E$6+91),1,0))</f>
        <v>0</v>
      </c>
      <c r="I136" s="120" t="str">
        <f aca="false">IF($H136=1,MAX(1,INT(($G136-'Cash Flow'!$E$6)/7)+1),"")</f>
        <v/>
      </c>
      <c r="J136" s="8" t="str">
        <f aca="false">IF($H136=1,$G136*10000+ROW(),"")</f>
        <v/>
      </c>
      <c r="K136" s="8" t="str">
        <f aca="false">IF($H136=1,$I136*1000+COUNTIFS($I$4:$I$483,$I136,$J$4:$J$483,"&lt;"&amp;$J136)+1,"")</f>
        <v/>
      </c>
      <c r="L136" s="121"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17" t="n">
        <v>9</v>
      </c>
      <c r="B137" s="117" t="n">
        <v>6</v>
      </c>
      <c r="C137" s="8" t="str">
        <f aca="false">IF(OR(Recurring!$B$13="",Recurring!$H$13&lt;&gt;"Yes",Recurring!$D$13=""),"",Recurring!$B$13)</f>
        <v>Apple: iCloud</v>
      </c>
      <c r="D137" s="8" t="str">
        <f aca="false">IF($C137="","",Recurring!$C$13)</f>
        <v>Expense</v>
      </c>
      <c r="E137" s="118" t="n">
        <f aca="false">IF($C137="","",IF(SUMIFS(Overrides!$E$9:$E$108,Overrides!$B$9:$B$108,$C137,Overrides!$C$9:$C$108,$L137)&gt;0,SUMIFS(Overrides!$E$9:$E$108,Overrides!$B$9:$B$108,$C137,Overrides!$C$9:$C$108,$L137),Recurring!$D$13))</f>
        <v>2.99</v>
      </c>
      <c r="F137" s="119"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19" t="n">
        <f aca="false">IF($L137="","",IF(SUMIFS(Overrides!$D$9:$D$108,Overrides!$B$9:$B$108,$C137,Overrides!$C$9:$C$108,$L137)&gt;0,SUMIFS(Overrides!$D$9:$D$108,Overrides!$B$9:$B$108,$C137,Overrides!$C$9:$C$108,$L137),$L137))</f>
        <v>46431</v>
      </c>
      <c r="H137" s="120" t="n">
        <f aca="false">IF($G137="",0,IF(AND($G137&gt;='Cash Flow'!$E$6,$G137&lt;'Cash Flow'!$E$6+91),1,0))</f>
        <v>0</v>
      </c>
      <c r="I137" s="120" t="str">
        <f aca="false">IF($H137=1,MAX(1,INT(($G137-'Cash Flow'!$E$6)/7)+1),"")</f>
        <v/>
      </c>
      <c r="J137" s="8" t="str">
        <f aca="false">IF($H137=1,$G137*10000+ROW(),"")</f>
        <v/>
      </c>
      <c r="K137" s="8" t="str">
        <f aca="false">IF($H137=1,$I137*1000+COUNTIFS($I$4:$I$483,$I137,$J$4:$J$483,"&lt;"&amp;$J137)+1,"")</f>
        <v/>
      </c>
      <c r="L137" s="121"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17" t="n">
        <v>9</v>
      </c>
      <c r="B138" s="117" t="n">
        <v>7</v>
      </c>
      <c r="C138" s="8" t="str">
        <f aca="false">IF(OR(Recurring!$B$13="",Recurring!$H$13&lt;&gt;"Yes",Recurring!$D$13=""),"",Recurring!$B$13)</f>
        <v>Apple: iCloud</v>
      </c>
      <c r="D138" s="8" t="str">
        <f aca="false">IF($C138="","",Recurring!$C$13)</f>
        <v>Expense</v>
      </c>
      <c r="E138" s="118" t="n">
        <f aca="false">IF($C138="","",IF(SUMIFS(Overrides!$E$9:$E$108,Overrides!$B$9:$B$108,$C138,Overrides!$C$9:$C$108,$L138)&gt;0,SUMIFS(Overrides!$E$9:$E$108,Overrides!$B$9:$B$108,$C138,Overrides!$C$9:$C$108,$L138),Recurring!$D$13))</f>
        <v>2.99</v>
      </c>
      <c r="F138" s="119"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19" t="n">
        <f aca="false">IF($L138="","",IF(SUMIFS(Overrides!$D$9:$D$108,Overrides!$B$9:$B$108,$C138,Overrides!$C$9:$C$108,$L138)&gt;0,SUMIFS(Overrides!$D$9:$D$108,Overrides!$B$9:$B$108,$C138,Overrides!$C$9:$C$108,$L138),$L138))</f>
        <v>46459</v>
      </c>
      <c r="H138" s="120" t="n">
        <f aca="false">IF($G138="",0,IF(AND($G138&gt;='Cash Flow'!$E$6,$G138&lt;'Cash Flow'!$E$6+91),1,0))</f>
        <v>0</v>
      </c>
      <c r="I138" s="120" t="str">
        <f aca="false">IF($H138=1,MAX(1,INT(($G138-'Cash Flow'!$E$6)/7)+1),"")</f>
        <v/>
      </c>
      <c r="J138" s="8" t="str">
        <f aca="false">IF($H138=1,$G138*10000+ROW(),"")</f>
        <v/>
      </c>
      <c r="K138" s="8" t="str">
        <f aca="false">IF($H138=1,$I138*1000+COUNTIFS($I$4:$I$483,$I138,$J$4:$J$483,"&lt;"&amp;$J138)+1,"")</f>
        <v/>
      </c>
      <c r="L138" s="121"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17" t="n">
        <v>9</v>
      </c>
      <c r="B139" s="117" t="n">
        <v>8</v>
      </c>
      <c r="C139" s="8" t="str">
        <f aca="false">IF(OR(Recurring!$B$13="",Recurring!$H$13&lt;&gt;"Yes",Recurring!$D$13=""),"",Recurring!$B$13)</f>
        <v>Apple: iCloud</v>
      </c>
      <c r="D139" s="8" t="str">
        <f aca="false">IF($C139="","",Recurring!$C$13)</f>
        <v>Expense</v>
      </c>
      <c r="E139" s="118" t="n">
        <f aca="false">IF($C139="","",IF(SUMIFS(Overrides!$E$9:$E$108,Overrides!$B$9:$B$108,$C139,Overrides!$C$9:$C$108,$L139)&gt;0,SUMIFS(Overrides!$E$9:$E$108,Overrides!$B$9:$B$108,$C139,Overrides!$C$9:$C$108,$L139),Recurring!$D$13))</f>
        <v>2.99</v>
      </c>
      <c r="F139" s="119"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19" t="n">
        <f aca="false">IF($L139="","",IF(SUMIFS(Overrides!$D$9:$D$108,Overrides!$B$9:$B$108,$C139,Overrides!$C$9:$C$108,$L139)&gt;0,SUMIFS(Overrides!$D$9:$D$108,Overrides!$B$9:$B$108,$C139,Overrides!$C$9:$C$108,$L139),$L139))</f>
        <v>46490</v>
      </c>
      <c r="H139" s="120" t="n">
        <f aca="false">IF($G139="",0,IF(AND($G139&gt;='Cash Flow'!$E$6,$G139&lt;'Cash Flow'!$E$6+91),1,0))</f>
        <v>0</v>
      </c>
      <c r="I139" s="120" t="str">
        <f aca="false">IF($H139=1,MAX(1,INT(($G139-'Cash Flow'!$E$6)/7)+1),"")</f>
        <v/>
      </c>
      <c r="J139" s="8" t="str">
        <f aca="false">IF($H139=1,$G139*10000+ROW(),"")</f>
        <v/>
      </c>
      <c r="K139" s="8" t="str">
        <f aca="false">IF($H139=1,$I139*1000+COUNTIFS($I$4:$I$483,$I139,$J$4:$J$483,"&lt;"&amp;$J139)+1,"")</f>
        <v/>
      </c>
      <c r="L139" s="121"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17" t="n">
        <v>9</v>
      </c>
      <c r="B140" s="117" t="n">
        <v>9</v>
      </c>
      <c r="C140" s="8" t="str">
        <f aca="false">IF(OR(Recurring!$B$13="",Recurring!$H$13&lt;&gt;"Yes",Recurring!$D$13=""),"",Recurring!$B$13)</f>
        <v>Apple: iCloud</v>
      </c>
      <c r="D140" s="8" t="str">
        <f aca="false">IF($C140="","",Recurring!$C$13)</f>
        <v>Expense</v>
      </c>
      <c r="E140" s="118" t="n">
        <f aca="false">IF($C140="","",IF(SUMIFS(Overrides!$E$9:$E$108,Overrides!$B$9:$B$108,$C140,Overrides!$C$9:$C$108,$L140)&gt;0,SUMIFS(Overrides!$E$9:$E$108,Overrides!$B$9:$B$108,$C140,Overrides!$C$9:$C$108,$L140),Recurring!$D$13))</f>
        <v>2.99</v>
      </c>
      <c r="F140" s="119"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19" t="n">
        <f aca="false">IF($L140="","",IF(SUMIFS(Overrides!$D$9:$D$108,Overrides!$B$9:$B$108,$C140,Overrides!$C$9:$C$108,$L140)&gt;0,SUMIFS(Overrides!$D$9:$D$108,Overrides!$B$9:$B$108,$C140,Overrides!$C$9:$C$108,$L140),$L140))</f>
        <v>46520</v>
      </c>
      <c r="H140" s="120" t="n">
        <f aca="false">IF($G140="",0,IF(AND($G140&gt;='Cash Flow'!$E$6,$G140&lt;'Cash Flow'!$E$6+91),1,0))</f>
        <v>0</v>
      </c>
      <c r="I140" s="120" t="str">
        <f aca="false">IF($H140=1,MAX(1,INT(($G140-'Cash Flow'!$E$6)/7)+1),"")</f>
        <v/>
      </c>
      <c r="J140" s="8" t="str">
        <f aca="false">IF($H140=1,$G140*10000+ROW(),"")</f>
        <v/>
      </c>
      <c r="K140" s="8" t="str">
        <f aca="false">IF($H140=1,$I140*1000+COUNTIFS($I$4:$I$483,$I140,$J$4:$J$483,"&lt;"&amp;$J140)+1,"")</f>
        <v/>
      </c>
      <c r="L140" s="121"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17" t="n">
        <v>9</v>
      </c>
      <c r="B141" s="117" t="n">
        <v>10</v>
      </c>
      <c r="C141" s="8" t="str">
        <f aca="false">IF(OR(Recurring!$B$13="",Recurring!$H$13&lt;&gt;"Yes",Recurring!$D$13=""),"",Recurring!$B$13)</f>
        <v>Apple: iCloud</v>
      </c>
      <c r="D141" s="8" t="str">
        <f aca="false">IF($C141="","",Recurring!$C$13)</f>
        <v>Expense</v>
      </c>
      <c r="E141" s="118" t="n">
        <f aca="false">IF($C141="","",IF(SUMIFS(Overrides!$E$9:$E$108,Overrides!$B$9:$B$108,$C141,Overrides!$C$9:$C$108,$L141)&gt;0,SUMIFS(Overrides!$E$9:$E$108,Overrides!$B$9:$B$108,$C141,Overrides!$C$9:$C$108,$L141),Recurring!$D$13))</f>
        <v>2.99</v>
      </c>
      <c r="F141" s="119"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19" t="n">
        <f aca="false">IF($L141="","",IF(SUMIFS(Overrides!$D$9:$D$108,Overrides!$B$9:$B$108,$C141,Overrides!$C$9:$C$108,$L141)&gt;0,SUMIFS(Overrides!$D$9:$D$108,Overrides!$B$9:$B$108,$C141,Overrides!$C$9:$C$108,$L141),$L141))</f>
        <v>46551</v>
      </c>
      <c r="H141" s="120" t="n">
        <f aca="false">IF($G141="",0,IF(AND($G141&gt;='Cash Flow'!$E$6,$G141&lt;'Cash Flow'!$E$6+91),1,0))</f>
        <v>0</v>
      </c>
      <c r="I141" s="120" t="str">
        <f aca="false">IF($H141=1,MAX(1,INT(($G141-'Cash Flow'!$E$6)/7)+1),"")</f>
        <v/>
      </c>
      <c r="J141" s="8" t="str">
        <f aca="false">IF($H141=1,$G141*10000+ROW(),"")</f>
        <v/>
      </c>
      <c r="K141" s="8" t="str">
        <f aca="false">IF($H141=1,$I141*1000+COUNTIFS($I$4:$I$483,$I141,$J$4:$J$483,"&lt;"&amp;$J141)+1,"")</f>
        <v/>
      </c>
      <c r="L141" s="121"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17" t="n">
        <v>9</v>
      </c>
      <c r="B142" s="117" t="n">
        <v>11</v>
      </c>
      <c r="C142" s="8" t="str">
        <f aca="false">IF(OR(Recurring!$B$13="",Recurring!$H$13&lt;&gt;"Yes",Recurring!$D$13=""),"",Recurring!$B$13)</f>
        <v>Apple: iCloud</v>
      </c>
      <c r="D142" s="8" t="str">
        <f aca="false">IF($C142="","",Recurring!$C$13)</f>
        <v>Expense</v>
      </c>
      <c r="E142" s="118" t="n">
        <f aca="false">IF($C142="","",IF(SUMIFS(Overrides!$E$9:$E$108,Overrides!$B$9:$B$108,$C142,Overrides!$C$9:$C$108,$L142)&gt;0,SUMIFS(Overrides!$E$9:$E$108,Overrides!$B$9:$B$108,$C142,Overrides!$C$9:$C$108,$L142),Recurring!$D$13))</f>
        <v>2.99</v>
      </c>
      <c r="F142" s="119"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19" t="n">
        <f aca="false">IF($L142="","",IF(SUMIFS(Overrides!$D$9:$D$108,Overrides!$B$9:$B$108,$C142,Overrides!$C$9:$C$108,$L142)&gt;0,SUMIFS(Overrides!$D$9:$D$108,Overrides!$B$9:$B$108,$C142,Overrides!$C$9:$C$108,$L142),$L142))</f>
        <v>46581</v>
      </c>
      <c r="H142" s="120" t="n">
        <f aca="false">IF($G142="",0,IF(AND($G142&gt;='Cash Flow'!$E$6,$G142&lt;'Cash Flow'!$E$6+91),1,0))</f>
        <v>0</v>
      </c>
      <c r="I142" s="120" t="str">
        <f aca="false">IF($H142=1,MAX(1,INT(($G142-'Cash Flow'!$E$6)/7)+1),"")</f>
        <v/>
      </c>
      <c r="J142" s="8" t="str">
        <f aca="false">IF($H142=1,$G142*10000+ROW(),"")</f>
        <v/>
      </c>
      <c r="K142" s="8" t="str">
        <f aca="false">IF($H142=1,$I142*1000+COUNTIFS($I$4:$I$483,$I142,$J$4:$J$483,"&lt;"&amp;$J142)+1,"")</f>
        <v/>
      </c>
      <c r="L142" s="121"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17" t="n">
        <v>9</v>
      </c>
      <c r="B143" s="117" t="n">
        <v>12</v>
      </c>
      <c r="C143" s="8" t="str">
        <f aca="false">IF(OR(Recurring!$B$13="",Recurring!$H$13&lt;&gt;"Yes",Recurring!$D$13=""),"",Recurring!$B$13)</f>
        <v>Apple: iCloud</v>
      </c>
      <c r="D143" s="8" t="str">
        <f aca="false">IF($C143="","",Recurring!$C$13)</f>
        <v>Expense</v>
      </c>
      <c r="E143" s="118" t="n">
        <f aca="false">IF($C143="","",IF(SUMIFS(Overrides!$E$9:$E$108,Overrides!$B$9:$B$108,$C143,Overrides!$C$9:$C$108,$L143)&gt;0,SUMIFS(Overrides!$E$9:$E$108,Overrides!$B$9:$B$108,$C143,Overrides!$C$9:$C$108,$L143),Recurring!$D$13))</f>
        <v>2.99</v>
      </c>
      <c r="F143" s="119"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19" t="n">
        <f aca="false">IF($L143="","",IF(SUMIFS(Overrides!$D$9:$D$108,Overrides!$B$9:$B$108,$C143,Overrides!$C$9:$C$108,$L143)&gt;0,SUMIFS(Overrides!$D$9:$D$108,Overrides!$B$9:$B$108,$C143,Overrides!$C$9:$C$108,$L143),$L143))</f>
        <v>46612</v>
      </c>
      <c r="H143" s="120" t="n">
        <f aca="false">IF($G143="",0,IF(AND($G143&gt;='Cash Flow'!$E$6,$G143&lt;'Cash Flow'!$E$6+91),1,0))</f>
        <v>0</v>
      </c>
      <c r="I143" s="120" t="str">
        <f aca="false">IF($H143=1,MAX(1,INT(($G143-'Cash Flow'!$E$6)/7)+1),"")</f>
        <v/>
      </c>
      <c r="J143" s="8" t="str">
        <f aca="false">IF($H143=1,$G143*10000+ROW(),"")</f>
        <v/>
      </c>
      <c r="K143" s="8" t="str">
        <f aca="false">IF($H143=1,$I143*1000+COUNTIFS($I$4:$I$483,$I143,$J$4:$J$483,"&lt;"&amp;$J143)+1,"")</f>
        <v/>
      </c>
      <c r="L143" s="121"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17" t="n">
        <v>9</v>
      </c>
      <c r="B144" s="117" t="n">
        <v>13</v>
      </c>
      <c r="C144" s="8" t="str">
        <f aca="false">IF(OR(Recurring!$B$13="",Recurring!$H$13&lt;&gt;"Yes",Recurring!$D$13=""),"",Recurring!$B$13)</f>
        <v>Apple: iCloud</v>
      </c>
      <c r="D144" s="8" t="str">
        <f aca="false">IF($C144="","",Recurring!$C$13)</f>
        <v>Expense</v>
      </c>
      <c r="E144" s="118" t="n">
        <f aca="false">IF($C144="","",IF(SUMIFS(Overrides!$E$9:$E$108,Overrides!$B$9:$B$108,$C144,Overrides!$C$9:$C$108,$L144)&gt;0,SUMIFS(Overrides!$E$9:$E$108,Overrides!$B$9:$B$108,$C144,Overrides!$C$9:$C$108,$L144),Recurring!$D$13))</f>
        <v>2.99</v>
      </c>
      <c r="F144" s="119"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19" t="n">
        <f aca="false">IF($L144="","",IF(SUMIFS(Overrides!$D$9:$D$108,Overrides!$B$9:$B$108,$C144,Overrides!$C$9:$C$108,$L144)&gt;0,SUMIFS(Overrides!$D$9:$D$108,Overrides!$B$9:$B$108,$C144,Overrides!$C$9:$C$108,$L144),$L144))</f>
        <v>46643</v>
      </c>
      <c r="H144" s="120" t="n">
        <f aca="false">IF($G144="",0,IF(AND($G144&gt;='Cash Flow'!$E$6,$G144&lt;'Cash Flow'!$E$6+91),1,0))</f>
        <v>0</v>
      </c>
      <c r="I144" s="120" t="str">
        <f aca="false">IF($H144=1,MAX(1,INT(($G144-'Cash Flow'!$E$6)/7)+1),"")</f>
        <v/>
      </c>
      <c r="J144" s="8" t="str">
        <f aca="false">IF($H144=1,$G144*10000+ROW(),"")</f>
        <v/>
      </c>
      <c r="K144" s="8" t="str">
        <f aca="false">IF($H144=1,$I144*1000+COUNTIFS($I$4:$I$483,$I144,$J$4:$J$483,"&lt;"&amp;$J144)+1,"")</f>
        <v/>
      </c>
      <c r="L144" s="121"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17" t="n">
        <v>9</v>
      </c>
      <c r="B145" s="117" t="n">
        <v>14</v>
      </c>
      <c r="C145" s="8" t="str">
        <f aca="false">IF(OR(Recurring!$B$13="",Recurring!$H$13&lt;&gt;"Yes",Recurring!$D$13=""),"",Recurring!$B$13)</f>
        <v>Apple: iCloud</v>
      </c>
      <c r="D145" s="8" t="str">
        <f aca="false">IF($C145="","",Recurring!$C$13)</f>
        <v>Expense</v>
      </c>
      <c r="E145" s="118" t="n">
        <f aca="false">IF($C145="","",IF(SUMIFS(Overrides!$E$9:$E$108,Overrides!$B$9:$B$108,$C145,Overrides!$C$9:$C$108,$L145)&gt;0,SUMIFS(Overrides!$E$9:$E$108,Overrides!$B$9:$B$108,$C145,Overrides!$C$9:$C$108,$L145),Recurring!$D$13))</f>
        <v>2.99</v>
      </c>
      <c r="F145" s="119"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19" t="n">
        <f aca="false">IF($L145="","",IF(SUMIFS(Overrides!$D$9:$D$108,Overrides!$B$9:$B$108,$C145,Overrides!$C$9:$C$108,$L145)&gt;0,SUMIFS(Overrides!$D$9:$D$108,Overrides!$B$9:$B$108,$C145,Overrides!$C$9:$C$108,$L145),$L145))</f>
        <v>46673</v>
      </c>
      <c r="H145" s="120" t="n">
        <f aca="false">IF($G145="",0,IF(AND($G145&gt;='Cash Flow'!$E$6,$G145&lt;'Cash Flow'!$E$6+91),1,0))</f>
        <v>0</v>
      </c>
      <c r="I145" s="120" t="str">
        <f aca="false">IF($H145=1,MAX(1,INT(($G145-'Cash Flow'!$E$6)/7)+1),"")</f>
        <v/>
      </c>
      <c r="J145" s="8" t="str">
        <f aca="false">IF($H145=1,$G145*10000+ROW(),"")</f>
        <v/>
      </c>
      <c r="K145" s="8" t="str">
        <f aca="false">IF($H145=1,$I145*1000+COUNTIFS($I$4:$I$483,$I145,$J$4:$J$483,"&lt;"&amp;$J145)+1,"")</f>
        <v/>
      </c>
      <c r="L145" s="121"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17" t="n">
        <v>9</v>
      </c>
      <c r="B146" s="117" t="n">
        <v>15</v>
      </c>
      <c r="C146" s="8" t="str">
        <f aca="false">IF(OR(Recurring!$B$13="",Recurring!$H$13&lt;&gt;"Yes",Recurring!$D$13=""),"",Recurring!$B$13)</f>
        <v>Apple: iCloud</v>
      </c>
      <c r="D146" s="8" t="str">
        <f aca="false">IF($C146="","",Recurring!$C$13)</f>
        <v>Expense</v>
      </c>
      <c r="E146" s="118" t="n">
        <f aca="false">IF($C146="","",IF(SUMIFS(Overrides!$E$9:$E$108,Overrides!$B$9:$B$108,$C146,Overrides!$C$9:$C$108,$L146)&gt;0,SUMIFS(Overrides!$E$9:$E$108,Overrides!$B$9:$B$108,$C146,Overrides!$C$9:$C$108,$L146),Recurring!$D$13))</f>
        <v>2.99</v>
      </c>
      <c r="F146" s="119"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19" t="n">
        <f aca="false">IF($L146="","",IF(SUMIFS(Overrides!$D$9:$D$108,Overrides!$B$9:$B$108,$C146,Overrides!$C$9:$C$108,$L146)&gt;0,SUMIFS(Overrides!$D$9:$D$108,Overrides!$B$9:$B$108,$C146,Overrides!$C$9:$C$108,$L146),$L146))</f>
        <v>46704</v>
      </c>
      <c r="H146" s="120" t="n">
        <f aca="false">IF($G146="",0,IF(AND($G146&gt;='Cash Flow'!$E$6,$G146&lt;'Cash Flow'!$E$6+91),1,0))</f>
        <v>0</v>
      </c>
      <c r="I146" s="120" t="str">
        <f aca="false">IF($H146=1,MAX(1,INT(($G146-'Cash Flow'!$E$6)/7)+1),"")</f>
        <v/>
      </c>
      <c r="J146" s="8" t="str">
        <f aca="false">IF($H146=1,$G146*10000+ROW(),"")</f>
        <v/>
      </c>
      <c r="K146" s="8" t="str">
        <f aca="false">IF($H146=1,$I146*1000+COUNTIFS($I$4:$I$483,$I146,$J$4:$J$483,"&lt;"&amp;$J146)+1,"")</f>
        <v/>
      </c>
      <c r="L146" s="121"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17" t="n">
        <v>9</v>
      </c>
      <c r="B147" s="117" t="n">
        <v>16</v>
      </c>
      <c r="C147" s="8" t="str">
        <f aca="false">IF(OR(Recurring!$B$13="",Recurring!$H$13&lt;&gt;"Yes",Recurring!$D$13=""),"",Recurring!$B$13)</f>
        <v>Apple: iCloud</v>
      </c>
      <c r="D147" s="8" t="str">
        <f aca="false">IF($C147="","",Recurring!$C$13)</f>
        <v>Expense</v>
      </c>
      <c r="E147" s="118" t="n">
        <f aca="false">IF($C147="","",IF(SUMIFS(Overrides!$E$9:$E$108,Overrides!$B$9:$B$108,$C147,Overrides!$C$9:$C$108,$L147)&gt;0,SUMIFS(Overrides!$E$9:$E$108,Overrides!$B$9:$B$108,$C147,Overrides!$C$9:$C$108,$L147),Recurring!$D$13))</f>
        <v>2.99</v>
      </c>
      <c r="F147" s="119"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19" t="n">
        <f aca="false">IF($L147="","",IF(SUMIFS(Overrides!$D$9:$D$108,Overrides!$B$9:$B$108,$C147,Overrides!$C$9:$C$108,$L147)&gt;0,SUMIFS(Overrides!$D$9:$D$108,Overrides!$B$9:$B$108,$C147,Overrides!$C$9:$C$108,$L147),$L147))</f>
        <v>46734</v>
      </c>
      <c r="H147" s="120" t="n">
        <f aca="false">IF($G147="",0,IF(AND($G147&gt;='Cash Flow'!$E$6,$G147&lt;'Cash Flow'!$E$6+91),1,0))</f>
        <v>0</v>
      </c>
      <c r="I147" s="120" t="str">
        <f aca="false">IF($H147=1,MAX(1,INT(($G147-'Cash Flow'!$E$6)/7)+1),"")</f>
        <v/>
      </c>
      <c r="J147" s="8" t="str">
        <f aca="false">IF($H147=1,$G147*10000+ROW(),"")</f>
        <v/>
      </c>
      <c r="K147" s="8" t="str">
        <f aca="false">IF($H147=1,$I147*1000+COUNTIFS($I$4:$I$483,$I147,$J$4:$J$483,"&lt;"&amp;$J147)+1,"")</f>
        <v/>
      </c>
      <c r="L147" s="121"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17" t="n">
        <v>10</v>
      </c>
      <c r="B148" s="117" t="n">
        <v>1</v>
      </c>
      <c r="C148" s="8" t="str">
        <f aca="false">IF(OR(Recurring!$B$14="",Recurring!$H$14&lt;&gt;"Yes",Recurring!$D$14=""),"",Recurring!$B$14)</f>
        <v>Patrick Rombalski (rent)</v>
      </c>
      <c r="D148" s="8" t="str">
        <f aca="false">IF($C148="","",Recurring!$C$14)</f>
        <v>Expense</v>
      </c>
      <c r="E148" s="118" t="n">
        <f aca="false">IF($C148="","",IF(SUMIFS(Overrides!$E$9:$E$108,Overrides!$B$9:$B$108,$C148,Overrides!$C$9:$C$108,$L148)&gt;0,SUMIFS(Overrides!$E$9:$E$108,Overrides!$B$9:$B$108,$C148,Overrides!$C$9:$C$108,$L148),Recurring!$D$14))</f>
        <v>350</v>
      </c>
      <c r="F148" s="119"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19" t="n">
        <f aca="false">IF($L148="","",IF(SUMIFS(Overrides!$D$9:$D$108,Overrides!$B$9:$B$108,$C148,Overrides!$C$9:$C$108,$L148)&gt;0,SUMIFS(Overrides!$D$9:$D$108,Overrides!$B$9:$B$108,$C148,Overrides!$C$9:$C$108,$L148),$L148))</f>
        <v>46265</v>
      </c>
      <c r="H148" s="120" t="n">
        <f aca="false">IF($G148="",0,IF(AND($G148&gt;='Cash Flow'!$E$6-90,$G148&lt;'Cash Flow'!$E$6+91),1,0))</f>
        <v>1</v>
      </c>
      <c r="I148" s="120" t="n">
        <f aca="false">IF($H148=1,MAX(1,INT(($G148-'Cash Flow'!$E$6)/7)+1),"")</f>
        <v>3</v>
      </c>
      <c r="J148" s="8" t="n">
        <f aca="false">IF($H148=1,$G148*10000+ROW(),"")</f>
        <v>462650148</v>
      </c>
      <c r="K148" s="8" t="n">
        <f aca="false">IF($H148=1,$I148*1000+COUNTIFS($I$4:$I$483,$I148,$J$4:$J$483,"&lt;"&amp;$J148)+1,"")</f>
        <v>3003</v>
      </c>
      <c r="L148" s="121"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17" t="n">
        <v>10</v>
      </c>
      <c r="B149" s="117" t="n">
        <v>2</v>
      </c>
      <c r="C149" s="8" t="str">
        <f aca="false">IF(OR(Recurring!$B$14="",Recurring!$H$14&lt;&gt;"Yes",Recurring!$D$14=""),"",Recurring!$B$14)</f>
        <v>Patrick Rombalski (rent)</v>
      </c>
      <c r="D149" s="8" t="str">
        <f aca="false">IF($C149="","",Recurring!$C$14)</f>
        <v>Expense</v>
      </c>
      <c r="E149" s="118" t="n">
        <f aca="false">IF($C149="","",IF(SUMIFS(Overrides!$E$9:$E$108,Overrides!$B$9:$B$108,$C149,Overrides!$C$9:$C$108,$L149)&gt;0,SUMIFS(Overrides!$E$9:$E$108,Overrides!$B$9:$B$108,$C149,Overrides!$C$9:$C$108,$L149),Recurring!$D$14))</f>
        <v>350</v>
      </c>
      <c r="F149" s="119"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19" t="n">
        <f aca="false">IF($L149="","",IF(SUMIFS(Overrides!$D$9:$D$108,Overrides!$B$9:$B$108,$C149,Overrides!$C$9:$C$108,$L149)&gt;0,SUMIFS(Overrides!$D$9:$D$108,Overrides!$B$9:$B$108,$C149,Overrides!$C$9:$C$108,$L149),$L149))</f>
        <v>46280</v>
      </c>
      <c r="H149" s="120" t="n">
        <f aca="false">IF($G149="",0,IF(AND($G149&gt;='Cash Flow'!$E$6,$G149&lt;'Cash Flow'!$E$6+91),1,0))</f>
        <v>1</v>
      </c>
      <c r="I149" s="120" t="n">
        <f aca="false">IF($H149=1,MAX(1,INT(($G149-'Cash Flow'!$E$6)/7)+1),"")</f>
        <v>5</v>
      </c>
      <c r="J149" s="8" t="n">
        <f aca="false">IF($H149=1,$G149*10000+ROW(),"")</f>
        <v>462800149</v>
      </c>
      <c r="K149" s="8" t="n">
        <f aca="false">IF($H149=1,$I149*1000+COUNTIFS($I$4:$I$483,$I149,$J$4:$J$483,"&lt;"&amp;$J149)+1,"")</f>
        <v>5002</v>
      </c>
      <c r="L149" s="121"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17" t="n">
        <v>10</v>
      </c>
      <c r="B150" s="117" t="n">
        <v>3</v>
      </c>
      <c r="C150" s="8" t="str">
        <f aca="false">IF(OR(Recurring!$B$14="",Recurring!$H$14&lt;&gt;"Yes",Recurring!$D$14=""),"",Recurring!$B$14)</f>
        <v>Patrick Rombalski (rent)</v>
      </c>
      <c r="D150" s="8" t="str">
        <f aca="false">IF($C150="","",Recurring!$C$14)</f>
        <v>Expense</v>
      </c>
      <c r="E150" s="118" t="n">
        <f aca="false">IF($C150="","",IF(SUMIFS(Overrides!$E$9:$E$108,Overrides!$B$9:$B$108,$C150,Overrides!$C$9:$C$108,$L150)&gt;0,SUMIFS(Overrides!$E$9:$E$108,Overrides!$B$9:$B$108,$C150,Overrides!$C$9:$C$108,$L150),Recurring!$D$14))</f>
        <v>350</v>
      </c>
      <c r="F150" s="119"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19" t="n">
        <f aca="false">IF($L150="","",IF(SUMIFS(Overrides!$D$9:$D$108,Overrides!$B$9:$B$108,$C150,Overrides!$C$9:$C$108,$L150)&gt;0,SUMIFS(Overrides!$D$9:$D$108,Overrides!$B$9:$B$108,$C150,Overrides!$C$9:$C$108,$L150),$L150))</f>
        <v>46295</v>
      </c>
      <c r="H150" s="120" t="n">
        <f aca="false">IF($G150="",0,IF(AND($G150&gt;='Cash Flow'!$E$6,$G150&lt;'Cash Flow'!$E$6+91),1,0))</f>
        <v>1</v>
      </c>
      <c r="I150" s="120" t="n">
        <f aca="false">IF($H150=1,MAX(1,INT(($G150-'Cash Flow'!$E$6)/7)+1),"")</f>
        <v>7</v>
      </c>
      <c r="J150" s="8" t="n">
        <f aca="false">IF($H150=1,$G150*10000+ROW(),"")</f>
        <v>462950150</v>
      </c>
      <c r="K150" s="8" t="n">
        <f aca="false">IF($H150=1,$I150*1000+COUNTIFS($I$4:$I$483,$I150,$J$4:$J$483,"&lt;"&amp;$J150)+1,"")</f>
        <v>7002</v>
      </c>
      <c r="L150" s="121"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17" t="n">
        <v>10</v>
      </c>
      <c r="B151" s="117" t="n">
        <v>4</v>
      </c>
      <c r="C151" s="8" t="str">
        <f aca="false">IF(OR(Recurring!$B$14="",Recurring!$H$14&lt;&gt;"Yes",Recurring!$D$14=""),"",Recurring!$B$14)</f>
        <v>Patrick Rombalski (rent)</v>
      </c>
      <c r="D151" s="8" t="str">
        <f aca="false">IF($C151="","",Recurring!$C$14)</f>
        <v>Expense</v>
      </c>
      <c r="E151" s="118" t="n">
        <f aca="false">IF($C151="","",IF(SUMIFS(Overrides!$E$9:$E$108,Overrides!$B$9:$B$108,$C151,Overrides!$C$9:$C$108,$L151)&gt;0,SUMIFS(Overrides!$E$9:$E$108,Overrides!$B$9:$B$108,$C151,Overrides!$C$9:$C$108,$L151),Recurring!$D$14))</f>
        <v>350</v>
      </c>
      <c r="F151" s="119"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19" t="n">
        <f aca="false">IF($L151="","",IF(SUMIFS(Overrides!$D$9:$D$108,Overrides!$B$9:$B$108,$C151,Overrides!$C$9:$C$108,$L151)&gt;0,SUMIFS(Overrides!$D$9:$D$108,Overrides!$B$9:$B$108,$C151,Overrides!$C$9:$C$108,$L151),$L151))</f>
        <v>46310</v>
      </c>
      <c r="H151" s="120" t="n">
        <f aca="false">IF($G151="",0,IF(AND($G151&gt;='Cash Flow'!$E$6,$G151&lt;'Cash Flow'!$E$6+91),1,0))</f>
        <v>1</v>
      </c>
      <c r="I151" s="120" t="n">
        <f aca="false">IF($H151=1,MAX(1,INT(($G151-'Cash Flow'!$E$6)/7)+1),"")</f>
        <v>9</v>
      </c>
      <c r="J151" s="8" t="n">
        <f aca="false">IF($H151=1,$G151*10000+ROW(),"")</f>
        <v>463100151</v>
      </c>
      <c r="K151" s="8" t="n">
        <f aca="false">IF($H151=1,$I151*1000+COUNTIFS($I$4:$I$483,$I151,$J$4:$J$483,"&lt;"&amp;$J151)+1,"")</f>
        <v>9003</v>
      </c>
      <c r="L151" s="121"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17" t="n">
        <v>10</v>
      </c>
      <c r="B152" s="117" t="n">
        <v>5</v>
      </c>
      <c r="C152" s="8" t="str">
        <f aca="false">IF(OR(Recurring!$B$14="",Recurring!$H$14&lt;&gt;"Yes",Recurring!$D$14=""),"",Recurring!$B$14)</f>
        <v>Patrick Rombalski (rent)</v>
      </c>
      <c r="D152" s="8" t="str">
        <f aca="false">IF($C152="","",Recurring!$C$14)</f>
        <v>Expense</v>
      </c>
      <c r="E152" s="118" t="n">
        <f aca="false">IF($C152="","",IF(SUMIFS(Overrides!$E$9:$E$108,Overrides!$B$9:$B$108,$C152,Overrides!$C$9:$C$108,$L152)&gt;0,SUMIFS(Overrides!$E$9:$E$108,Overrides!$B$9:$B$108,$C152,Overrides!$C$9:$C$108,$L152),Recurring!$D$14))</f>
        <v>350</v>
      </c>
      <c r="F152" s="119"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19" t="n">
        <f aca="false">IF($L152="","",IF(SUMIFS(Overrides!$D$9:$D$108,Overrides!$B$9:$B$108,$C152,Overrides!$C$9:$C$108,$L152)&gt;0,SUMIFS(Overrides!$D$9:$D$108,Overrides!$B$9:$B$108,$C152,Overrides!$C$9:$C$108,$L152),$L152))</f>
        <v>46325</v>
      </c>
      <c r="H152" s="120" t="n">
        <f aca="false">IF($G152="",0,IF(AND($G152&gt;='Cash Flow'!$E$6,$G152&lt;'Cash Flow'!$E$6+91),1,0))</f>
        <v>1</v>
      </c>
      <c r="I152" s="120" t="n">
        <f aca="false">IF($H152=1,MAX(1,INT(($G152-'Cash Flow'!$E$6)/7)+1),"")</f>
        <v>11</v>
      </c>
      <c r="J152" s="8" t="n">
        <f aca="false">IF($H152=1,$G152*10000+ROW(),"")</f>
        <v>463250152</v>
      </c>
      <c r="K152" s="8" t="n">
        <f aca="false">IF($H152=1,$I152*1000+COUNTIFS($I$4:$I$483,$I152,$J$4:$J$483,"&lt;"&amp;$J152)+1,"")</f>
        <v>11003</v>
      </c>
      <c r="L152" s="121"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17" t="n">
        <v>10</v>
      </c>
      <c r="B153" s="117" t="n">
        <v>6</v>
      </c>
      <c r="C153" s="8" t="str">
        <f aca="false">IF(OR(Recurring!$B$14="",Recurring!$H$14&lt;&gt;"Yes",Recurring!$D$14=""),"",Recurring!$B$14)</f>
        <v>Patrick Rombalski (rent)</v>
      </c>
      <c r="D153" s="8" t="str">
        <f aca="false">IF($C153="","",Recurring!$C$14)</f>
        <v>Expense</v>
      </c>
      <c r="E153" s="118" t="n">
        <f aca="false">IF($C153="","",IF(SUMIFS(Overrides!$E$9:$E$108,Overrides!$B$9:$B$108,$C153,Overrides!$C$9:$C$108,$L153)&gt;0,SUMIFS(Overrides!$E$9:$E$108,Overrides!$B$9:$B$108,$C153,Overrides!$C$9:$C$108,$L153),Recurring!$D$14))</f>
        <v>350</v>
      </c>
      <c r="F153" s="119"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19" t="n">
        <f aca="false">IF($L153="","",IF(SUMIFS(Overrides!$D$9:$D$108,Overrides!$B$9:$B$108,$C153,Overrides!$C$9:$C$108,$L153)&gt;0,SUMIFS(Overrides!$D$9:$D$108,Overrides!$B$9:$B$108,$C153,Overrides!$C$9:$C$108,$L153),$L153))</f>
        <v>46339</v>
      </c>
      <c r="H153" s="120" t="n">
        <f aca="false">IF($G153="",0,IF(AND($G153&gt;='Cash Flow'!$E$6,$G153&lt;'Cash Flow'!$E$6+91),1,0))</f>
        <v>1</v>
      </c>
      <c r="I153" s="120" t="n">
        <f aca="false">IF($H153=1,MAX(1,INT(($G153-'Cash Flow'!$E$6)/7)+1),"")</f>
        <v>13</v>
      </c>
      <c r="J153" s="8" t="n">
        <f aca="false">IF($H153=1,$G153*10000+ROW(),"")</f>
        <v>463390153</v>
      </c>
      <c r="K153" s="8" t="n">
        <f aca="false">IF($H153=1,$I153*1000+COUNTIFS($I$4:$I$483,$I153,$J$4:$J$483,"&lt;"&amp;$J153)+1,"")</f>
        <v>13007</v>
      </c>
      <c r="L153" s="121"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17" t="n">
        <v>10</v>
      </c>
      <c r="B154" s="117" t="n">
        <v>7</v>
      </c>
      <c r="C154" s="8" t="str">
        <f aca="false">IF(OR(Recurring!$B$14="",Recurring!$H$14&lt;&gt;"Yes",Recurring!$D$14=""),"",Recurring!$B$14)</f>
        <v>Patrick Rombalski (rent)</v>
      </c>
      <c r="D154" s="8" t="str">
        <f aca="false">IF($C154="","",Recurring!$C$14)</f>
        <v>Expense</v>
      </c>
      <c r="E154" s="118" t="n">
        <f aca="false">IF($C154="","",IF(SUMIFS(Overrides!$E$9:$E$108,Overrides!$B$9:$B$108,$C154,Overrides!$C$9:$C$108,$L154)&gt;0,SUMIFS(Overrides!$E$9:$E$108,Overrides!$B$9:$B$108,$C154,Overrides!$C$9:$C$108,$L154),Recurring!$D$14))</f>
        <v>350</v>
      </c>
      <c r="F154" s="119"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19" t="n">
        <f aca="false">IF($L154="","",IF(SUMIFS(Overrides!$D$9:$D$108,Overrides!$B$9:$B$108,$C154,Overrides!$C$9:$C$108,$L154)&gt;0,SUMIFS(Overrides!$D$9:$D$108,Overrides!$B$9:$B$108,$C154,Overrides!$C$9:$C$108,$L154),$L154))</f>
        <v>46356</v>
      </c>
      <c r="H154" s="120" t="n">
        <f aca="false">IF($G154="",0,IF(AND($G154&gt;='Cash Flow'!$E$6,$G154&lt;'Cash Flow'!$E$6+91),1,0))</f>
        <v>0</v>
      </c>
      <c r="I154" s="120" t="str">
        <f aca="false">IF($H154=1,MAX(1,INT(($G154-'Cash Flow'!$E$6)/7)+1),"")</f>
        <v/>
      </c>
      <c r="J154" s="8" t="str">
        <f aca="false">IF($H154=1,$G154*10000+ROW(),"")</f>
        <v/>
      </c>
      <c r="K154" s="8" t="str">
        <f aca="false">IF($H154=1,$I154*1000+COUNTIFS($I$4:$I$483,$I154,$J$4:$J$483,"&lt;"&amp;$J154)+1,"")</f>
        <v/>
      </c>
      <c r="L154" s="121"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17" t="n">
        <v>10</v>
      </c>
      <c r="B155" s="117" t="n">
        <v>8</v>
      </c>
      <c r="C155" s="8" t="str">
        <f aca="false">IF(OR(Recurring!$B$14="",Recurring!$H$14&lt;&gt;"Yes",Recurring!$D$14=""),"",Recurring!$B$14)</f>
        <v>Patrick Rombalski (rent)</v>
      </c>
      <c r="D155" s="8" t="str">
        <f aca="false">IF($C155="","",Recurring!$C$14)</f>
        <v>Expense</v>
      </c>
      <c r="E155" s="118" t="n">
        <f aca="false">IF($C155="","",IF(SUMIFS(Overrides!$E$9:$E$108,Overrides!$B$9:$B$108,$C155,Overrides!$C$9:$C$108,$L155)&gt;0,SUMIFS(Overrides!$E$9:$E$108,Overrides!$B$9:$B$108,$C155,Overrides!$C$9:$C$108,$L155),Recurring!$D$14))</f>
        <v>350</v>
      </c>
      <c r="F155" s="119"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19" t="n">
        <f aca="false">IF($L155="","",IF(SUMIFS(Overrides!$D$9:$D$108,Overrides!$B$9:$B$108,$C155,Overrides!$C$9:$C$108,$L155)&gt;0,SUMIFS(Overrides!$D$9:$D$108,Overrides!$B$9:$B$108,$C155,Overrides!$C$9:$C$108,$L155),$L155))</f>
        <v>46371</v>
      </c>
      <c r="H155" s="120" t="n">
        <f aca="false">IF($G155="",0,IF(AND($G155&gt;='Cash Flow'!$E$6,$G155&lt;'Cash Flow'!$E$6+91),1,0))</f>
        <v>0</v>
      </c>
      <c r="I155" s="120" t="str">
        <f aca="false">IF($H155=1,MAX(1,INT(($G155-'Cash Flow'!$E$6)/7)+1),"")</f>
        <v/>
      </c>
      <c r="J155" s="8" t="str">
        <f aca="false">IF($H155=1,$G155*10000+ROW(),"")</f>
        <v/>
      </c>
      <c r="K155" s="8" t="str">
        <f aca="false">IF($H155=1,$I155*1000+COUNTIFS($I$4:$I$483,$I155,$J$4:$J$483,"&lt;"&amp;$J155)+1,"")</f>
        <v/>
      </c>
      <c r="L155" s="121"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17" t="n">
        <v>10</v>
      </c>
      <c r="B156" s="117" t="n">
        <v>9</v>
      </c>
      <c r="C156" s="8" t="str">
        <f aca="false">IF(OR(Recurring!$B$14="",Recurring!$H$14&lt;&gt;"Yes",Recurring!$D$14=""),"",Recurring!$B$14)</f>
        <v>Patrick Rombalski (rent)</v>
      </c>
      <c r="D156" s="8" t="str">
        <f aca="false">IF($C156="","",Recurring!$C$14)</f>
        <v>Expense</v>
      </c>
      <c r="E156" s="118" t="n">
        <f aca="false">IF($C156="","",IF(SUMIFS(Overrides!$E$9:$E$108,Overrides!$B$9:$B$108,$C156,Overrides!$C$9:$C$108,$L156)&gt;0,SUMIFS(Overrides!$E$9:$E$108,Overrides!$B$9:$B$108,$C156,Overrides!$C$9:$C$108,$L156),Recurring!$D$14))</f>
        <v>350</v>
      </c>
      <c r="F156" s="119"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19" t="n">
        <f aca="false">IF($L156="","",IF(SUMIFS(Overrides!$D$9:$D$108,Overrides!$B$9:$B$108,$C156,Overrides!$C$9:$C$108,$L156)&gt;0,SUMIFS(Overrides!$D$9:$D$108,Overrides!$B$9:$B$108,$C156,Overrides!$C$9:$C$108,$L156),$L156))</f>
        <v>46387</v>
      </c>
      <c r="H156" s="120" t="n">
        <f aca="false">IF($G156="",0,IF(AND($G156&gt;='Cash Flow'!$E$6,$G156&lt;'Cash Flow'!$E$6+91),1,0))</f>
        <v>0</v>
      </c>
      <c r="I156" s="120" t="str">
        <f aca="false">IF($H156=1,MAX(1,INT(($G156-'Cash Flow'!$E$6)/7)+1),"")</f>
        <v/>
      </c>
      <c r="J156" s="8" t="str">
        <f aca="false">IF($H156=1,$G156*10000+ROW(),"")</f>
        <v/>
      </c>
      <c r="K156" s="8" t="str">
        <f aca="false">IF($H156=1,$I156*1000+COUNTIFS($I$4:$I$483,$I156,$J$4:$J$483,"&lt;"&amp;$J156)+1,"")</f>
        <v/>
      </c>
      <c r="L156" s="121"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17" t="n">
        <v>10</v>
      </c>
      <c r="B157" s="117" t="n">
        <v>10</v>
      </c>
      <c r="C157" s="8" t="str">
        <f aca="false">IF(OR(Recurring!$B$14="",Recurring!$H$14&lt;&gt;"Yes",Recurring!$D$14=""),"",Recurring!$B$14)</f>
        <v>Patrick Rombalski (rent)</v>
      </c>
      <c r="D157" s="8" t="str">
        <f aca="false">IF($C157="","",Recurring!$C$14)</f>
        <v>Expense</v>
      </c>
      <c r="E157" s="118" t="n">
        <f aca="false">IF($C157="","",IF(SUMIFS(Overrides!$E$9:$E$108,Overrides!$B$9:$B$108,$C157,Overrides!$C$9:$C$108,$L157)&gt;0,SUMIFS(Overrides!$E$9:$E$108,Overrides!$B$9:$B$108,$C157,Overrides!$C$9:$C$108,$L157),Recurring!$D$14))</f>
        <v>350</v>
      </c>
      <c r="F157" s="119"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19" t="n">
        <f aca="false">IF($L157="","",IF(SUMIFS(Overrides!$D$9:$D$108,Overrides!$B$9:$B$108,$C157,Overrides!$C$9:$C$108,$L157)&gt;0,SUMIFS(Overrides!$D$9:$D$108,Overrides!$B$9:$B$108,$C157,Overrides!$C$9:$C$108,$L157),$L157))</f>
        <v>46402</v>
      </c>
      <c r="H157" s="120" t="n">
        <f aca="false">IF($G157="",0,IF(AND($G157&gt;='Cash Flow'!$E$6,$G157&lt;'Cash Flow'!$E$6+91),1,0))</f>
        <v>0</v>
      </c>
      <c r="I157" s="120" t="str">
        <f aca="false">IF($H157=1,MAX(1,INT(($G157-'Cash Flow'!$E$6)/7)+1),"")</f>
        <v/>
      </c>
      <c r="J157" s="8" t="str">
        <f aca="false">IF($H157=1,$G157*10000+ROW(),"")</f>
        <v/>
      </c>
      <c r="K157" s="8" t="str">
        <f aca="false">IF($H157=1,$I157*1000+COUNTIFS($I$4:$I$483,$I157,$J$4:$J$483,"&lt;"&amp;$J157)+1,"")</f>
        <v/>
      </c>
      <c r="L157" s="121"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17" t="n">
        <v>10</v>
      </c>
      <c r="B158" s="117" t="n">
        <v>11</v>
      </c>
      <c r="C158" s="8" t="str">
        <f aca="false">IF(OR(Recurring!$B$14="",Recurring!$H$14&lt;&gt;"Yes",Recurring!$D$14=""),"",Recurring!$B$14)</f>
        <v>Patrick Rombalski (rent)</v>
      </c>
      <c r="D158" s="8" t="str">
        <f aca="false">IF($C158="","",Recurring!$C$14)</f>
        <v>Expense</v>
      </c>
      <c r="E158" s="118" t="n">
        <f aca="false">IF($C158="","",IF(SUMIFS(Overrides!$E$9:$E$108,Overrides!$B$9:$B$108,$C158,Overrides!$C$9:$C$108,$L158)&gt;0,SUMIFS(Overrides!$E$9:$E$108,Overrides!$B$9:$B$108,$C158,Overrides!$C$9:$C$108,$L158),Recurring!$D$14))</f>
        <v>350</v>
      </c>
      <c r="F158" s="119"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19" t="n">
        <f aca="false">IF($L158="","",IF(SUMIFS(Overrides!$D$9:$D$108,Overrides!$B$9:$B$108,$C158,Overrides!$C$9:$C$108,$L158)&gt;0,SUMIFS(Overrides!$D$9:$D$108,Overrides!$B$9:$B$108,$C158,Overrides!$C$9:$C$108,$L158),$L158))</f>
        <v>46416</v>
      </c>
      <c r="H158" s="120" t="n">
        <f aca="false">IF($G158="",0,IF(AND($G158&gt;='Cash Flow'!$E$6,$G158&lt;'Cash Flow'!$E$6+91),1,0))</f>
        <v>0</v>
      </c>
      <c r="I158" s="120" t="str">
        <f aca="false">IF($H158=1,MAX(1,INT(($G158-'Cash Flow'!$E$6)/7)+1),"")</f>
        <v/>
      </c>
      <c r="J158" s="8" t="str">
        <f aca="false">IF($H158=1,$G158*10000+ROW(),"")</f>
        <v/>
      </c>
      <c r="K158" s="8" t="str">
        <f aca="false">IF($H158=1,$I158*1000+COUNTIFS($I$4:$I$483,$I158,$J$4:$J$483,"&lt;"&amp;$J158)+1,"")</f>
        <v/>
      </c>
      <c r="L158" s="121"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17" t="n">
        <v>10</v>
      </c>
      <c r="B159" s="117" t="n">
        <v>12</v>
      </c>
      <c r="C159" s="8" t="str">
        <f aca="false">IF(OR(Recurring!$B$14="",Recurring!$H$14&lt;&gt;"Yes",Recurring!$D$14=""),"",Recurring!$B$14)</f>
        <v>Patrick Rombalski (rent)</v>
      </c>
      <c r="D159" s="8" t="str">
        <f aca="false">IF($C159="","",Recurring!$C$14)</f>
        <v>Expense</v>
      </c>
      <c r="E159" s="118" t="n">
        <f aca="false">IF($C159="","",IF(SUMIFS(Overrides!$E$9:$E$108,Overrides!$B$9:$B$108,$C159,Overrides!$C$9:$C$108,$L159)&gt;0,SUMIFS(Overrides!$E$9:$E$108,Overrides!$B$9:$B$108,$C159,Overrides!$C$9:$C$108,$L159),Recurring!$D$14))</f>
        <v>350</v>
      </c>
      <c r="F159" s="119"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19" t="n">
        <f aca="false">IF($L159="","",IF(SUMIFS(Overrides!$D$9:$D$108,Overrides!$B$9:$B$108,$C159,Overrides!$C$9:$C$108,$L159)&gt;0,SUMIFS(Overrides!$D$9:$D$108,Overrides!$B$9:$B$108,$C159,Overrides!$C$9:$C$108,$L159),$L159))</f>
        <v>46433</v>
      </c>
      <c r="H159" s="120" t="n">
        <f aca="false">IF($G159="",0,IF(AND($G159&gt;='Cash Flow'!$E$6,$G159&lt;'Cash Flow'!$E$6+91),1,0))</f>
        <v>0</v>
      </c>
      <c r="I159" s="120" t="str">
        <f aca="false">IF($H159=1,MAX(1,INT(($G159-'Cash Flow'!$E$6)/7)+1),"")</f>
        <v/>
      </c>
      <c r="J159" s="8" t="str">
        <f aca="false">IF($H159=1,$G159*10000+ROW(),"")</f>
        <v/>
      </c>
      <c r="K159" s="8" t="str">
        <f aca="false">IF($H159=1,$I159*1000+COUNTIFS($I$4:$I$483,$I159,$J$4:$J$483,"&lt;"&amp;$J159)+1,"")</f>
        <v/>
      </c>
      <c r="L159" s="121"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17" t="n">
        <v>10</v>
      </c>
      <c r="B160" s="117" t="n">
        <v>13</v>
      </c>
      <c r="C160" s="8" t="str">
        <f aca="false">IF(OR(Recurring!$B$14="",Recurring!$H$14&lt;&gt;"Yes",Recurring!$D$14=""),"",Recurring!$B$14)</f>
        <v>Patrick Rombalski (rent)</v>
      </c>
      <c r="D160" s="8" t="str">
        <f aca="false">IF($C160="","",Recurring!$C$14)</f>
        <v>Expense</v>
      </c>
      <c r="E160" s="118" t="n">
        <f aca="false">IF($C160="","",IF(SUMIFS(Overrides!$E$9:$E$108,Overrides!$B$9:$B$108,$C160,Overrides!$C$9:$C$108,$L160)&gt;0,SUMIFS(Overrides!$E$9:$E$108,Overrides!$B$9:$B$108,$C160,Overrides!$C$9:$C$108,$L160),Recurring!$D$14))</f>
        <v>350</v>
      </c>
      <c r="F160" s="119"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19" t="n">
        <f aca="false">IF($L160="","",IF(SUMIFS(Overrides!$D$9:$D$108,Overrides!$B$9:$B$108,$C160,Overrides!$C$9:$C$108,$L160)&gt;0,SUMIFS(Overrides!$D$9:$D$108,Overrides!$B$9:$B$108,$C160,Overrides!$C$9:$C$108,$L160),$L160))</f>
        <v>46444</v>
      </c>
      <c r="H160" s="120" t="n">
        <f aca="false">IF($G160="",0,IF(AND($G160&gt;='Cash Flow'!$E$6,$G160&lt;'Cash Flow'!$E$6+91),1,0))</f>
        <v>0</v>
      </c>
      <c r="I160" s="120" t="str">
        <f aca="false">IF($H160=1,MAX(1,INT(($G160-'Cash Flow'!$E$6)/7)+1),"")</f>
        <v/>
      </c>
      <c r="J160" s="8" t="str">
        <f aca="false">IF($H160=1,$G160*10000+ROW(),"")</f>
        <v/>
      </c>
      <c r="K160" s="8" t="str">
        <f aca="false">IF($H160=1,$I160*1000+COUNTIFS($I$4:$I$483,$I160,$J$4:$J$483,"&lt;"&amp;$J160)+1,"")</f>
        <v/>
      </c>
      <c r="L160" s="121"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17" t="n">
        <v>10</v>
      </c>
      <c r="B161" s="117" t="n">
        <v>14</v>
      </c>
      <c r="C161" s="8" t="str">
        <f aca="false">IF(OR(Recurring!$B$14="",Recurring!$H$14&lt;&gt;"Yes",Recurring!$D$14=""),"",Recurring!$B$14)</f>
        <v>Patrick Rombalski (rent)</v>
      </c>
      <c r="D161" s="8" t="str">
        <f aca="false">IF($C161="","",Recurring!$C$14)</f>
        <v>Expense</v>
      </c>
      <c r="E161" s="118" t="n">
        <f aca="false">IF($C161="","",IF(SUMIFS(Overrides!$E$9:$E$108,Overrides!$B$9:$B$108,$C161,Overrides!$C$9:$C$108,$L161)&gt;0,SUMIFS(Overrides!$E$9:$E$108,Overrides!$B$9:$B$108,$C161,Overrides!$C$9:$C$108,$L161),Recurring!$D$14))</f>
        <v>350</v>
      </c>
      <c r="F161" s="119"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19" t="n">
        <f aca="false">IF($L161="","",IF(SUMIFS(Overrides!$D$9:$D$108,Overrides!$B$9:$B$108,$C161,Overrides!$C$9:$C$108,$L161)&gt;0,SUMIFS(Overrides!$D$9:$D$108,Overrides!$B$9:$B$108,$C161,Overrides!$C$9:$C$108,$L161),$L161))</f>
        <v>46461</v>
      </c>
      <c r="H161" s="120" t="n">
        <f aca="false">IF($G161="",0,IF(AND($G161&gt;='Cash Flow'!$E$6,$G161&lt;'Cash Flow'!$E$6+91),1,0))</f>
        <v>0</v>
      </c>
      <c r="I161" s="120" t="str">
        <f aca="false">IF($H161=1,MAX(1,INT(($G161-'Cash Flow'!$E$6)/7)+1),"")</f>
        <v/>
      </c>
      <c r="J161" s="8" t="str">
        <f aca="false">IF($H161=1,$G161*10000+ROW(),"")</f>
        <v/>
      </c>
      <c r="K161" s="8" t="str">
        <f aca="false">IF($H161=1,$I161*1000+COUNTIFS($I$4:$I$483,$I161,$J$4:$J$483,"&lt;"&amp;$J161)+1,"")</f>
        <v/>
      </c>
      <c r="L161" s="121"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17" t="n">
        <v>10</v>
      </c>
      <c r="B162" s="117" t="n">
        <v>15</v>
      </c>
      <c r="C162" s="8" t="str">
        <f aca="false">IF(OR(Recurring!$B$14="",Recurring!$H$14&lt;&gt;"Yes",Recurring!$D$14=""),"",Recurring!$B$14)</f>
        <v>Patrick Rombalski (rent)</v>
      </c>
      <c r="D162" s="8" t="str">
        <f aca="false">IF($C162="","",Recurring!$C$14)</f>
        <v>Expense</v>
      </c>
      <c r="E162" s="118" t="n">
        <f aca="false">IF($C162="","",IF(SUMIFS(Overrides!$E$9:$E$108,Overrides!$B$9:$B$108,$C162,Overrides!$C$9:$C$108,$L162)&gt;0,SUMIFS(Overrides!$E$9:$E$108,Overrides!$B$9:$B$108,$C162,Overrides!$C$9:$C$108,$L162),Recurring!$D$14))</f>
        <v>350</v>
      </c>
      <c r="F162" s="119"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19" t="n">
        <f aca="false">IF($L162="","",IF(SUMIFS(Overrides!$D$9:$D$108,Overrides!$B$9:$B$108,$C162,Overrides!$C$9:$C$108,$L162)&gt;0,SUMIFS(Overrides!$D$9:$D$108,Overrides!$B$9:$B$108,$C162,Overrides!$C$9:$C$108,$L162),$L162))</f>
        <v>46477</v>
      </c>
      <c r="H162" s="120" t="n">
        <f aca="false">IF($G162="",0,IF(AND($G162&gt;='Cash Flow'!$E$6,$G162&lt;'Cash Flow'!$E$6+91),1,0))</f>
        <v>0</v>
      </c>
      <c r="I162" s="120" t="str">
        <f aca="false">IF($H162=1,MAX(1,INT(($G162-'Cash Flow'!$E$6)/7)+1),"")</f>
        <v/>
      </c>
      <c r="J162" s="8" t="str">
        <f aca="false">IF($H162=1,$G162*10000+ROW(),"")</f>
        <v/>
      </c>
      <c r="K162" s="8" t="str">
        <f aca="false">IF($H162=1,$I162*1000+COUNTIFS($I$4:$I$483,$I162,$J$4:$J$483,"&lt;"&amp;$J162)+1,"")</f>
        <v/>
      </c>
      <c r="L162" s="121"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17" t="n">
        <v>10</v>
      </c>
      <c r="B163" s="117" t="n">
        <v>16</v>
      </c>
      <c r="C163" s="8" t="str">
        <f aca="false">IF(OR(Recurring!$B$14="",Recurring!$H$14&lt;&gt;"Yes",Recurring!$D$14=""),"",Recurring!$B$14)</f>
        <v>Patrick Rombalski (rent)</v>
      </c>
      <c r="D163" s="8" t="str">
        <f aca="false">IF($C163="","",Recurring!$C$14)</f>
        <v>Expense</v>
      </c>
      <c r="E163" s="118" t="n">
        <f aca="false">IF($C163="","",IF(SUMIFS(Overrides!$E$9:$E$108,Overrides!$B$9:$B$108,$C163,Overrides!$C$9:$C$108,$L163)&gt;0,SUMIFS(Overrides!$E$9:$E$108,Overrides!$B$9:$B$108,$C163,Overrides!$C$9:$C$108,$L163),Recurring!$D$14))</f>
        <v>350</v>
      </c>
      <c r="F163" s="119"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19" t="n">
        <f aca="false">IF($L163="","",IF(SUMIFS(Overrides!$D$9:$D$108,Overrides!$B$9:$B$108,$C163,Overrides!$C$9:$C$108,$L163)&gt;0,SUMIFS(Overrides!$D$9:$D$108,Overrides!$B$9:$B$108,$C163,Overrides!$C$9:$C$108,$L163),$L163))</f>
        <v>46492</v>
      </c>
      <c r="H163" s="120" t="n">
        <f aca="false">IF($G163="",0,IF(AND($G163&gt;='Cash Flow'!$E$6,$G163&lt;'Cash Flow'!$E$6+91),1,0))</f>
        <v>0</v>
      </c>
      <c r="I163" s="120" t="str">
        <f aca="false">IF($H163=1,MAX(1,INT(($G163-'Cash Flow'!$E$6)/7)+1),"")</f>
        <v/>
      </c>
      <c r="J163" s="8" t="str">
        <f aca="false">IF($H163=1,$G163*10000+ROW(),"")</f>
        <v/>
      </c>
      <c r="K163" s="8" t="str">
        <f aca="false">IF($H163=1,$I163*1000+COUNTIFS($I$4:$I$483,$I163,$J$4:$J$483,"&lt;"&amp;$J163)+1,"")</f>
        <v/>
      </c>
      <c r="L163" s="121"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17" t="n">
        <v>11</v>
      </c>
      <c r="B164" s="117" t="n">
        <v>1</v>
      </c>
      <c r="C164" s="8" t="str">
        <f aca="false">IF(OR(Recurring!$B$15="",Recurring!$H$15&lt;&gt;"Yes",Recurring!$D$15=""),"",Recurring!$B$15)</f>
        <v>Spectrum</v>
      </c>
      <c r="D164" s="8" t="str">
        <f aca="false">IF($C164="","",Recurring!$C$15)</f>
        <v>Expense</v>
      </c>
      <c r="E164" s="118" t="n">
        <f aca="false">IF($C164="","",IF(SUMIFS(Overrides!$E$9:$E$108,Overrides!$B$9:$B$108,$C164,Overrides!$C$9:$C$108,$L164)&gt;0,SUMIFS(Overrides!$E$9:$E$108,Overrides!$B$9:$B$108,$C164,Overrides!$C$9:$C$108,$L164),Recurring!$D$15))</f>
        <v>171.1</v>
      </c>
      <c r="F164" s="119"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19" t="n">
        <f aca="false">IF($L164="","",IF(SUMIFS(Overrides!$D$9:$D$108,Overrides!$B$9:$B$108,$C164,Overrides!$C$9:$C$108,$L164)&gt;0,SUMIFS(Overrides!$D$9:$D$108,Overrides!$B$9:$B$108,$C164,Overrides!$C$9:$C$108,$L164),$L164))</f>
        <v>46255</v>
      </c>
      <c r="H164" s="120" t="n">
        <f aca="false">IF($G164="",0,IF(AND($G164&gt;='Cash Flow'!$E$6-90,$G164&lt;'Cash Flow'!$E$6+91),1,0))</f>
        <v>1</v>
      </c>
      <c r="I164" s="120" t="n">
        <f aca="false">IF($H164=1,MAX(1,INT(($G164-'Cash Flow'!$E$6)/7)+1),"")</f>
        <v>1</v>
      </c>
      <c r="J164" s="8" t="n">
        <f aca="false">IF($H164=1,$G164*10000+ROW(),"")</f>
        <v>462550164</v>
      </c>
      <c r="K164" s="8" t="n">
        <f aca="false">IF($H164=1,$I164*1000+COUNTIFS($I$4:$I$483,$I164,$J$4:$J$483,"&lt;"&amp;$J164)+1,"")</f>
        <v>1004</v>
      </c>
      <c r="L164" s="121"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17" t="n">
        <v>11</v>
      </c>
      <c r="B165" s="117" t="n">
        <v>2</v>
      </c>
      <c r="C165" s="8" t="str">
        <f aca="false">IF(OR(Recurring!$B$15="",Recurring!$H$15&lt;&gt;"Yes",Recurring!$D$15=""),"",Recurring!$B$15)</f>
        <v>Spectrum</v>
      </c>
      <c r="D165" s="8" t="str">
        <f aca="false">IF($C165="","",Recurring!$C$15)</f>
        <v>Expense</v>
      </c>
      <c r="E165" s="118" t="n">
        <f aca="false">IF($C165="","",IF(SUMIFS(Overrides!$E$9:$E$108,Overrides!$B$9:$B$108,$C165,Overrides!$C$9:$C$108,$L165)&gt;0,SUMIFS(Overrides!$E$9:$E$108,Overrides!$B$9:$B$108,$C165,Overrides!$C$9:$C$108,$L165),Recurring!$D$15))</f>
        <v>171.1</v>
      </c>
      <c r="F165" s="119"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19" t="n">
        <f aca="false">IF($L165="","",IF(SUMIFS(Overrides!$D$9:$D$108,Overrides!$B$9:$B$108,$C165,Overrides!$C$9:$C$108,$L165)&gt;0,SUMIFS(Overrides!$D$9:$D$108,Overrides!$B$9:$B$108,$C165,Overrides!$C$9:$C$108,$L165),$L165))</f>
        <v>46286</v>
      </c>
      <c r="H165" s="120" t="n">
        <f aca="false">IF($G165="",0,IF(AND($G165&gt;='Cash Flow'!$E$6,$G165&lt;'Cash Flow'!$E$6+91),1,0))</f>
        <v>1</v>
      </c>
      <c r="I165" s="120" t="n">
        <f aca="false">IF($H165=1,MAX(1,INT(($G165-'Cash Flow'!$E$6)/7)+1),"")</f>
        <v>6</v>
      </c>
      <c r="J165" s="8" t="n">
        <f aca="false">IF($H165=1,$G165*10000+ROW(),"")</f>
        <v>462860165</v>
      </c>
      <c r="K165" s="8" t="n">
        <f aca="false">IF($H165=1,$I165*1000+COUNTIFS($I$4:$I$483,$I165,$J$4:$J$483,"&lt;"&amp;$J165)+1,"")</f>
        <v>6001</v>
      </c>
      <c r="L165" s="121"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17" t="n">
        <v>11</v>
      </c>
      <c r="B166" s="117" t="n">
        <v>3</v>
      </c>
      <c r="C166" s="8" t="str">
        <f aca="false">IF(OR(Recurring!$B$15="",Recurring!$H$15&lt;&gt;"Yes",Recurring!$D$15=""),"",Recurring!$B$15)</f>
        <v>Spectrum</v>
      </c>
      <c r="D166" s="8" t="str">
        <f aca="false">IF($C166="","",Recurring!$C$15)</f>
        <v>Expense</v>
      </c>
      <c r="E166" s="118" t="n">
        <f aca="false">IF($C166="","",IF(SUMIFS(Overrides!$E$9:$E$108,Overrides!$B$9:$B$108,$C166,Overrides!$C$9:$C$108,$L166)&gt;0,SUMIFS(Overrides!$E$9:$E$108,Overrides!$B$9:$B$108,$C166,Overrides!$C$9:$C$108,$L166),Recurring!$D$15))</f>
        <v>171.1</v>
      </c>
      <c r="F166" s="119"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19" t="n">
        <f aca="false">IF($L166="","",IF(SUMIFS(Overrides!$D$9:$D$108,Overrides!$B$9:$B$108,$C166,Overrides!$C$9:$C$108,$L166)&gt;0,SUMIFS(Overrides!$D$9:$D$108,Overrides!$B$9:$B$108,$C166,Overrides!$C$9:$C$108,$L166),$L166))</f>
        <v>46316</v>
      </c>
      <c r="H166" s="120" t="n">
        <f aca="false">IF($G166="",0,IF(AND($G166&gt;='Cash Flow'!$E$6,$G166&lt;'Cash Flow'!$E$6+91),1,0))</f>
        <v>1</v>
      </c>
      <c r="I166" s="120" t="n">
        <f aca="false">IF($H166=1,MAX(1,INT(($G166-'Cash Flow'!$E$6)/7)+1),"")</f>
        <v>10</v>
      </c>
      <c r="J166" s="8" t="n">
        <f aca="false">IF($H166=1,$G166*10000+ROW(),"")</f>
        <v>463160166</v>
      </c>
      <c r="K166" s="8" t="n">
        <f aca="false">IF($H166=1,$I166*1000+COUNTIFS($I$4:$I$483,$I166,$J$4:$J$483,"&lt;"&amp;$J166)+1,"")</f>
        <v>10002</v>
      </c>
      <c r="L166" s="121"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17" t="n">
        <v>11</v>
      </c>
      <c r="B167" s="117" t="n">
        <v>4</v>
      </c>
      <c r="C167" s="8" t="str">
        <f aca="false">IF(OR(Recurring!$B$15="",Recurring!$H$15&lt;&gt;"Yes",Recurring!$D$15=""),"",Recurring!$B$15)</f>
        <v>Spectrum</v>
      </c>
      <c r="D167" s="8" t="str">
        <f aca="false">IF($C167="","",Recurring!$C$15)</f>
        <v>Expense</v>
      </c>
      <c r="E167" s="118" t="n">
        <f aca="false">IF($C167="","",IF(SUMIFS(Overrides!$E$9:$E$108,Overrides!$B$9:$B$108,$C167,Overrides!$C$9:$C$108,$L167)&gt;0,SUMIFS(Overrides!$E$9:$E$108,Overrides!$B$9:$B$108,$C167,Overrides!$C$9:$C$108,$L167),Recurring!$D$15))</f>
        <v>171.1</v>
      </c>
      <c r="F167" s="119"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19" t="n">
        <f aca="false">IF($L167="","",IF(SUMIFS(Overrides!$D$9:$D$108,Overrides!$B$9:$B$108,$C167,Overrides!$C$9:$C$108,$L167)&gt;0,SUMIFS(Overrides!$D$9:$D$108,Overrides!$B$9:$B$108,$C167,Overrides!$C$9:$C$108,$L167),$L167))</f>
        <v>46347</v>
      </c>
      <c r="H167" s="120" t="n">
        <f aca="false">IF($G167="",0,IF(AND($G167&gt;='Cash Flow'!$E$6,$G167&lt;'Cash Flow'!$E$6+91),1,0))</f>
        <v>0</v>
      </c>
      <c r="I167" s="120" t="str">
        <f aca="false">IF($H167=1,MAX(1,INT(($G167-'Cash Flow'!$E$6)/7)+1),"")</f>
        <v/>
      </c>
      <c r="J167" s="8" t="str">
        <f aca="false">IF($H167=1,$G167*10000+ROW(),"")</f>
        <v/>
      </c>
      <c r="K167" s="8" t="str">
        <f aca="false">IF($H167=1,$I167*1000+COUNTIFS($I$4:$I$483,$I167,$J$4:$J$483,"&lt;"&amp;$J167)+1,"")</f>
        <v/>
      </c>
      <c r="L167" s="121"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17" t="n">
        <v>11</v>
      </c>
      <c r="B168" s="117" t="n">
        <v>5</v>
      </c>
      <c r="C168" s="8" t="str">
        <f aca="false">IF(OR(Recurring!$B$15="",Recurring!$H$15&lt;&gt;"Yes",Recurring!$D$15=""),"",Recurring!$B$15)</f>
        <v>Spectrum</v>
      </c>
      <c r="D168" s="8" t="str">
        <f aca="false">IF($C168="","",Recurring!$C$15)</f>
        <v>Expense</v>
      </c>
      <c r="E168" s="118" t="n">
        <f aca="false">IF($C168="","",IF(SUMIFS(Overrides!$E$9:$E$108,Overrides!$B$9:$B$108,$C168,Overrides!$C$9:$C$108,$L168)&gt;0,SUMIFS(Overrides!$E$9:$E$108,Overrides!$B$9:$B$108,$C168,Overrides!$C$9:$C$108,$L168),Recurring!$D$15))</f>
        <v>171.1</v>
      </c>
      <c r="F168" s="119"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19" t="n">
        <f aca="false">IF($L168="","",IF(SUMIFS(Overrides!$D$9:$D$108,Overrides!$B$9:$B$108,$C168,Overrides!$C$9:$C$108,$L168)&gt;0,SUMIFS(Overrides!$D$9:$D$108,Overrides!$B$9:$B$108,$C168,Overrides!$C$9:$C$108,$L168),$L168))</f>
        <v>46377</v>
      </c>
      <c r="H168" s="120" t="n">
        <f aca="false">IF($G168="",0,IF(AND($G168&gt;='Cash Flow'!$E$6,$G168&lt;'Cash Flow'!$E$6+91),1,0))</f>
        <v>0</v>
      </c>
      <c r="I168" s="120" t="str">
        <f aca="false">IF($H168=1,MAX(1,INT(($G168-'Cash Flow'!$E$6)/7)+1),"")</f>
        <v/>
      </c>
      <c r="J168" s="8" t="str">
        <f aca="false">IF($H168=1,$G168*10000+ROW(),"")</f>
        <v/>
      </c>
      <c r="K168" s="8" t="str">
        <f aca="false">IF($H168=1,$I168*1000+COUNTIFS($I$4:$I$483,$I168,$J$4:$J$483,"&lt;"&amp;$J168)+1,"")</f>
        <v/>
      </c>
      <c r="L168" s="121"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17" t="n">
        <v>11</v>
      </c>
      <c r="B169" s="117" t="n">
        <v>6</v>
      </c>
      <c r="C169" s="8" t="str">
        <f aca="false">IF(OR(Recurring!$B$15="",Recurring!$H$15&lt;&gt;"Yes",Recurring!$D$15=""),"",Recurring!$B$15)</f>
        <v>Spectrum</v>
      </c>
      <c r="D169" s="8" t="str">
        <f aca="false">IF($C169="","",Recurring!$C$15)</f>
        <v>Expense</v>
      </c>
      <c r="E169" s="118" t="n">
        <f aca="false">IF($C169="","",IF(SUMIFS(Overrides!$E$9:$E$108,Overrides!$B$9:$B$108,$C169,Overrides!$C$9:$C$108,$L169)&gt;0,SUMIFS(Overrides!$E$9:$E$108,Overrides!$B$9:$B$108,$C169,Overrides!$C$9:$C$108,$L169),Recurring!$D$15))</f>
        <v>171.1</v>
      </c>
      <c r="F169" s="119"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19" t="n">
        <f aca="false">IF($L169="","",IF(SUMIFS(Overrides!$D$9:$D$108,Overrides!$B$9:$B$108,$C169,Overrides!$C$9:$C$108,$L169)&gt;0,SUMIFS(Overrides!$D$9:$D$108,Overrides!$B$9:$B$108,$C169,Overrides!$C$9:$C$108,$L169),$L169))</f>
        <v>46408</v>
      </c>
      <c r="H169" s="120" t="n">
        <f aca="false">IF($G169="",0,IF(AND($G169&gt;='Cash Flow'!$E$6,$G169&lt;'Cash Flow'!$E$6+91),1,0))</f>
        <v>0</v>
      </c>
      <c r="I169" s="120" t="str">
        <f aca="false">IF($H169=1,MAX(1,INT(($G169-'Cash Flow'!$E$6)/7)+1),"")</f>
        <v/>
      </c>
      <c r="J169" s="8" t="str">
        <f aca="false">IF($H169=1,$G169*10000+ROW(),"")</f>
        <v/>
      </c>
      <c r="K169" s="8" t="str">
        <f aca="false">IF($H169=1,$I169*1000+COUNTIFS($I$4:$I$483,$I169,$J$4:$J$483,"&lt;"&amp;$J169)+1,"")</f>
        <v/>
      </c>
      <c r="L169" s="121"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17" t="n">
        <v>11</v>
      </c>
      <c r="B170" s="117" t="n">
        <v>7</v>
      </c>
      <c r="C170" s="8" t="str">
        <f aca="false">IF(OR(Recurring!$B$15="",Recurring!$H$15&lt;&gt;"Yes",Recurring!$D$15=""),"",Recurring!$B$15)</f>
        <v>Spectrum</v>
      </c>
      <c r="D170" s="8" t="str">
        <f aca="false">IF($C170="","",Recurring!$C$15)</f>
        <v>Expense</v>
      </c>
      <c r="E170" s="118" t="n">
        <f aca="false">IF($C170="","",IF(SUMIFS(Overrides!$E$9:$E$108,Overrides!$B$9:$B$108,$C170,Overrides!$C$9:$C$108,$L170)&gt;0,SUMIFS(Overrides!$E$9:$E$108,Overrides!$B$9:$B$108,$C170,Overrides!$C$9:$C$108,$L170),Recurring!$D$15))</f>
        <v>171.1</v>
      </c>
      <c r="F170" s="119"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19" t="n">
        <f aca="false">IF($L170="","",IF(SUMIFS(Overrides!$D$9:$D$108,Overrides!$B$9:$B$108,$C170,Overrides!$C$9:$C$108,$L170)&gt;0,SUMIFS(Overrides!$D$9:$D$108,Overrides!$B$9:$B$108,$C170,Overrides!$C$9:$C$108,$L170),$L170))</f>
        <v>46439</v>
      </c>
      <c r="H170" s="120" t="n">
        <f aca="false">IF($G170="",0,IF(AND($G170&gt;='Cash Flow'!$E$6,$G170&lt;'Cash Flow'!$E$6+91),1,0))</f>
        <v>0</v>
      </c>
      <c r="I170" s="120" t="str">
        <f aca="false">IF($H170=1,MAX(1,INT(($G170-'Cash Flow'!$E$6)/7)+1),"")</f>
        <v/>
      </c>
      <c r="J170" s="8" t="str">
        <f aca="false">IF($H170=1,$G170*10000+ROW(),"")</f>
        <v/>
      </c>
      <c r="K170" s="8" t="str">
        <f aca="false">IF($H170=1,$I170*1000+COUNTIFS($I$4:$I$483,$I170,$J$4:$J$483,"&lt;"&amp;$J170)+1,"")</f>
        <v/>
      </c>
      <c r="L170" s="121"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17" t="n">
        <v>11</v>
      </c>
      <c r="B171" s="117" t="n">
        <v>8</v>
      </c>
      <c r="C171" s="8" t="str">
        <f aca="false">IF(OR(Recurring!$B$15="",Recurring!$H$15&lt;&gt;"Yes",Recurring!$D$15=""),"",Recurring!$B$15)</f>
        <v>Spectrum</v>
      </c>
      <c r="D171" s="8" t="str">
        <f aca="false">IF($C171="","",Recurring!$C$15)</f>
        <v>Expense</v>
      </c>
      <c r="E171" s="118" t="n">
        <f aca="false">IF($C171="","",IF(SUMIFS(Overrides!$E$9:$E$108,Overrides!$B$9:$B$108,$C171,Overrides!$C$9:$C$108,$L171)&gt;0,SUMIFS(Overrides!$E$9:$E$108,Overrides!$B$9:$B$108,$C171,Overrides!$C$9:$C$108,$L171),Recurring!$D$15))</f>
        <v>171.1</v>
      </c>
      <c r="F171" s="119"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19" t="n">
        <f aca="false">IF($L171="","",IF(SUMIFS(Overrides!$D$9:$D$108,Overrides!$B$9:$B$108,$C171,Overrides!$C$9:$C$108,$L171)&gt;0,SUMIFS(Overrides!$D$9:$D$108,Overrides!$B$9:$B$108,$C171,Overrides!$C$9:$C$108,$L171),$L171))</f>
        <v>46467</v>
      </c>
      <c r="H171" s="120" t="n">
        <f aca="false">IF($G171="",0,IF(AND($G171&gt;='Cash Flow'!$E$6,$G171&lt;'Cash Flow'!$E$6+91),1,0))</f>
        <v>0</v>
      </c>
      <c r="I171" s="120" t="str">
        <f aca="false">IF($H171=1,MAX(1,INT(($G171-'Cash Flow'!$E$6)/7)+1),"")</f>
        <v/>
      </c>
      <c r="J171" s="8" t="str">
        <f aca="false">IF($H171=1,$G171*10000+ROW(),"")</f>
        <v/>
      </c>
      <c r="K171" s="8" t="str">
        <f aca="false">IF($H171=1,$I171*1000+COUNTIFS($I$4:$I$483,$I171,$J$4:$J$483,"&lt;"&amp;$J171)+1,"")</f>
        <v/>
      </c>
      <c r="L171" s="121"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17" t="n">
        <v>11</v>
      </c>
      <c r="B172" s="117" t="n">
        <v>9</v>
      </c>
      <c r="C172" s="8" t="str">
        <f aca="false">IF(OR(Recurring!$B$15="",Recurring!$H$15&lt;&gt;"Yes",Recurring!$D$15=""),"",Recurring!$B$15)</f>
        <v>Spectrum</v>
      </c>
      <c r="D172" s="8" t="str">
        <f aca="false">IF($C172="","",Recurring!$C$15)</f>
        <v>Expense</v>
      </c>
      <c r="E172" s="118" t="n">
        <f aca="false">IF($C172="","",IF(SUMIFS(Overrides!$E$9:$E$108,Overrides!$B$9:$B$108,$C172,Overrides!$C$9:$C$108,$L172)&gt;0,SUMIFS(Overrides!$E$9:$E$108,Overrides!$B$9:$B$108,$C172,Overrides!$C$9:$C$108,$L172),Recurring!$D$15))</f>
        <v>171.1</v>
      </c>
      <c r="F172" s="119"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19" t="n">
        <f aca="false">IF($L172="","",IF(SUMIFS(Overrides!$D$9:$D$108,Overrides!$B$9:$B$108,$C172,Overrides!$C$9:$C$108,$L172)&gt;0,SUMIFS(Overrides!$D$9:$D$108,Overrides!$B$9:$B$108,$C172,Overrides!$C$9:$C$108,$L172),$L172))</f>
        <v>46498</v>
      </c>
      <c r="H172" s="120" t="n">
        <f aca="false">IF($G172="",0,IF(AND($G172&gt;='Cash Flow'!$E$6,$G172&lt;'Cash Flow'!$E$6+91),1,0))</f>
        <v>0</v>
      </c>
      <c r="I172" s="120" t="str">
        <f aca="false">IF($H172=1,MAX(1,INT(($G172-'Cash Flow'!$E$6)/7)+1),"")</f>
        <v/>
      </c>
      <c r="J172" s="8" t="str">
        <f aca="false">IF($H172=1,$G172*10000+ROW(),"")</f>
        <v/>
      </c>
      <c r="K172" s="8" t="str">
        <f aca="false">IF($H172=1,$I172*1000+COUNTIFS($I$4:$I$483,$I172,$J$4:$J$483,"&lt;"&amp;$J172)+1,"")</f>
        <v/>
      </c>
      <c r="L172" s="121"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17" t="n">
        <v>11</v>
      </c>
      <c r="B173" s="117" t="n">
        <v>10</v>
      </c>
      <c r="C173" s="8" t="str">
        <f aca="false">IF(OR(Recurring!$B$15="",Recurring!$H$15&lt;&gt;"Yes",Recurring!$D$15=""),"",Recurring!$B$15)</f>
        <v>Spectrum</v>
      </c>
      <c r="D173" s="8" t="str">
        <f aca="false">IF($C173="","",Recurring!$C$15)</f>
        <v>Expense</v>
      </c>
      <c r="E173" s="118" t="n">
        <f aca="false">IF($C173="","",IF(SUMIFS(Overrides!$E$9:$E$108,Overrides!$B$9:$B$108,$C173,Overrides!$C$9:$C$108,$L173)&gt;0,SUMIFS(Overrides!$E$9:$E$108,Overrides!$B$9:$B$108,$C173,Overrides!$C$9:$C$108,$L173),Recurring!$D$15))</f>
        <v>171.1</v>
      </c>
      <c r="F173" s="119"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19" t="n">
        <f aca="false">IF($L173="","",IF(SUMIFS(Overrides!$D$9:$D$108,Overrides!$B$9:$B$108,$C173,Overrides!$C$9:$C$108,$L173)&gt;0,SUMIFS(Overrides!$D$9:$D$108,Overrides!$B$9:$B$108,$C173,Overrides!$C$9:$C$108,$L173),$L173))</f>
        <v>46528</v>
      </c>
      <c r="H173" s="120" t="n">
        <f aca="false">IF($G173="",0,IF(AND($G173&gt;='Cash Flow'!$E$6,$G173&lt;'Cash Flow'!$E$6+91),1,0))</f>
        <v>0</v>
      </c>
      <c r="I173" s="120" t="str">
        <f aca="false">IF($H173=1,MAX(1,INT(($G173-'Cash Flow'!$E$6)/7)+1),"")</f>
        <v/>
      </c>
      <c r="J173" s="8" t="str">
        <f aca="false">IF($H173=1,$G173*10000+ROW(),"")</f>
        <v/>
      </c>
      <c r="K173" s="8" t="str">
        <f aca="false">IF($H173=1,$I173*1000+COUNTIFS($I$4:$I$483,$I173,$J$4:$J$483,"&lt;"&amp;$J173)+1,"")</f>
        <v/>
      </c>
      <c r="L173" s="121"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17" t="n">
        <v>11</v>
      </c>
      <c r="B174" s="117" t="n">
        <v>11</v>
      </c>
      <c r="C174" s="8" t="str">
        <f aca="false">IF(OR(Recurring!$B$15="",Recurring!$H$15&lt;&gt;"Yes",Recurring!$D$15=""),"",Recurring!$B$15)</f>
        <v>Spectrum</v>
      </c>
      <c r="D174" s="8" t="str">
        <f aca="false">IF($C174="","",Recurring!$C$15)</f>
        <v>Expense</v>
      </c>
      <c r="E174" s="118" t="n">
        <f aca="false">IF($C174="","",IF(SUMIFS(Overrides!$E$9:$E$108,Overrides!$B$9:$B$108,$C174,Overrides!$C$9:$C$108,$L174)&gt;0,SUMIFS(Overrides!$E$9:$E$108,Overrides!$B$9:$B$108,$C174,Overrides!$C$9:$C$108,$L174),Recurring!$D$15))</f>
        <v>171.1</v>
      </c>
      <c r="F174" s="119"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19" t="n">
        <f aca="false">IF($L174="","",IF(SUMIFS(Overrides!$D$9:$D$108,Overrides!$B$9:$B$108,$C174,Overrides!$C$9:$C$108,$L174)&gt;0,SUMIFS(Overrides!$D$9:$D$108,Overrides!$B$9:$B$108,$C174,Overrides!$C$9:$C$108,$L174),$L174))</f>
        <v>46559</v>
      </c>
      <c r="H174" s="120" t="n">
        <f aca="false">IF($G174="",0,IF(AND($G174&gt;='Cash Flow'!$E$6,$G174&lt;'Cash Flow'!$E$6+91),1,0))</f>
        <v>0</v>
      </c>
      <c r="I174" s="120" t="str">
        <f aca="false">IF($H174=1,MAX(1,INT(($G174-'Cash Flow'!$E$6)/7)+1),"")</f>
        <v/>
      </c>
      <c r="J174" s="8" t="str">
        <f aca="false">IF($H174=1,$G174*10000+ROW(),"")</f>
        <v/>
      </c>
      <c r="K174" s="8" t="str">
        <f aca="false">IF($H174=1,$I174*1000+COUNTIFS($I$4:$I$483,$I174,$J$4:$J$483,"&lt;"&amp;$J174)+1,"")</f>
        <v/>
      </c>
      <c r="L174" s="121"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17" t="n">
        <v>11</v>
      </c>
      <c r="B175" s="117" t="n">
        <v>12</v>
      </c>
      <c r="C175" s="8" t="str">
        <f aca="false">IF(OR(Recurring!$B$15="",Recurring!$H$15&lt;&gt;"Yes",Recurring!$D$15=""),"",Recurring!$B$15)</f>
        <v>Spectrum</v>
      </c>
      <c r="D175" s="8" t="str">
        <f aca="false">IF($C175="","",Recurring!$C$15)</f>
        <v>Expense</v>
      </c>
      <c r="E175" s="118" t="n">
        <f aca="false">IF($C175="","",IF(SUMIFS(Overrides!$E$9:$E$108,Overrides!$B$9:$B$108,$C175,Overrides!$C$9:$C$108,$L175)&gt;0,SUMIFS(Overrides!$E$9:$E$108,Overrides!$B$9:$B$108,$C175,Overrides!$C$9:$C$108,$L175),Recurring!$D$15))</f>
        <v>171.1</v>
      </c>
      <c r="F175" s="119"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19" t="n">
        <f aca="false">IF($L175="","",IF(SUMIFS(Overrides!$D$9:$D$108,Overrides!$B$9:$B$108,$C175,Overrides!$C$9:$C$108,$L175)&gt;0,SUMIFS(Overrides!$D$9:$D$108,Overrides!$B$9:$B$108,$C175,Overrides!$C$9:$C$108,$L175),$L175))</f>
        <v>46589</v>
      </c>
      <c r="H175" s="120" t="n">
        <f aca="false">IF($G175="",0,IF(AND($G175&gt;='Cash Flow'!$E$6,$G175&lt;'Cash Flow'!$E$6+91),1,0))</f>
        <v>0</v>
      </c>
      <c r="I175" s="120" t="str">
        <f aca="false">IF($H175=1,MAX(1,INT(($G175-'Cash Flow'!$E$6)/7)+1),"")</f>
        <v/>
      </c>
      <c r="J175" s="8" t="str">
        <f aca="false">IF($H175=1,$G175*10000+ROW(),"")</f>
        <v/>
      </c>
      <c r="K175" s="8" t="str">
        <f aca="false">IF($H175=1,$I175*1000+COUNTIFS($I$4:$I$483,$I175,$J$4:$J$483,"&lt;"&amp;$J175)+1,"")</f>
        <v/>
      </c>
      <c r="L175" s="121"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17" t="n">
        <v>11</v>
      </c>
      <c r="B176" s="117" t="n">
        <v>13</v>
      </c>
      <c r="C176" s="8" t="str">
        <f aca="false">IF(OR(Recurring!$B$15="",Recurring!$H$15&lt;&gt;"Yes",Recurring!$D$15=""),"",Recurring!$B$15)</f>
        <v>Spectrum</v>
      </c>
      <c r="D176" s="8" t="str">
        <f aca="false">IF($C176="","",Recurring!$C$15)</f>
        <v>Expense</v>
      </c>
      <c r="E176" s="118" t="n">
        <f aca="false">IF($C176="","",IF(SUMIFS(Overrides!$E$9:$E$108,Overrides!$B$9:$B$108,$C176,Overrides!$C$9:$C$108,$L176)&gt;0,SUMIFS(Overrides!$E$9:$E$108,Overrides!$B$9:$B$108,$C176,Overrides!$C$9:$C$108,$L176),Recurring!$D$15))</f>
        <v>171.1</v>
      </c>
      <c r="F176" s="119"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19" t="n">
        <f aca="false">IF($L176="","",IF(SUMIFS(Overrides!$D$9:$D$108,Overrides!$B$9:$B$108,$C176,Overrides!$C$9:$C$108,$L176)&gt;0,SUMIFS(Overrides!$D$9:$D$108,Overrides!$B$9:$B$108,$C176,Overrides!$C$9:$C$108,$L176),$L176))</f>
        <v>46620</v>
      </c>
      <c r="H176" s="120" t="n">
        <f aca="false">IF($G176="",0,IF(AND($G176&gt;='Cash Flow'!$E$6,$G176&lt;'Cash Flow'!$E$6+91),1,0))</f>
        <v>0</v>
      </c>
      <c r="I176" s="120" t="str">
        <f aca="false">IF($H176=1,MAX(1,INT(($G176-'Cash Flow'!$E$6)/7)+1),"")</f>
        <v/>
      </c>
      <c r="J176" s="8" t="str">
        <f aca="false">IF($H176=1,$G176*10000+ROW(),"")</f>
        <v/>
      </c>
      <c r="K176" s="8" t="str">
        <f aca="false">IF($H176=1,$I176*1000+COUNTIFS($I$4:$I$483,$I176,$J$4:$J$483,"&lt;"&amp;$J176)+1,"")</f>
        <v/>
      </c>
      <c r="L176" s="121"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17" t="n">
        <v>11</v>
      </c>
      <c r="B177" s="117" t="n">
        <v>14</v>
      </c>
      <c r="C177" s="8" t="str">
        <f aca="false">IF(OR(Recurring!$B$15="",Recurring!$H$15&lt;&gt;"Yes",Recurring!$D$15=""),"",Recurring!$B$15)</f>
        <v>Spectrum</v>
      </c>
      <c r="D177" s="8" t="str">
        <f aca="false">IF($C177="","",Recurring!$C$15)</f>
        <v>Expense</v>
      </c>
      <c r="E177" s="118" t="n">
        <f aca="false">IF($C177="","",IF(SUMIFS(Overrides!$E$9:$E$108,Overrides!$B$9:$B$108,$C177,Overrides!$C$9:$C$108,$L177)&gt;0,SUMIFS(Overrides!$E$9:$E$108,Overrides!$B$9:$B$108,$C177,Overrides!$C$9:$C$108,$L177),Recurring!$D$15))</f>
        <v>171.1</v>
      </c>
      <c r="F177" s="119"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19" t="n">
        <f aca="false">IF($L177="","",IF(SUMIFS(Overrides!$D$9:$D$108,Overrides!$B$9:$B$108,$C177,Overrides!$C$9:$C$108,$L177)&gt;0,SUMIFS(Overrides!$D$9:$D$108,Overrides!$B$9:$B$108,$C177,Overrides!$C$9:$C$108,$L177),$L177))</f>
        <v>46651</v>
      </c>
      <c r="H177" s="120" t="n">
        <f aca="false">IF($G177="",0,IF(AND($G177&gt;='Cash Flow'!$E$6,$G177&lt;'Cash Flow'!$E$6+91),1,0))</f>
        <v>0</v>
      </c>
      <c r="I177" s="120" t="str">
        <f aca="false">IF($H177=1,MAX(1,INT(($G177-'Cash Flow'!$E$6)/7)+1),"")</f>
        <v/>
      </c>
      <c r="J177" s="8" t="str">
        <f aca="false">IF($H177=1,$G177*10000+ROW(),"")</f>
        <v/>
      </c>
      <c r="K177" s="8" t="str">
        <f aca="false">IF($H177=1,$I177*1000+COUNTIFS($I$4:$I$483,$I177,$J$4:$J$483,"&lt;"&amp;$J177)+1,"")</f>
        <v/>
      </c>
      <c r="L177" s="121"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17" t="n">
        <v>11</v>
      </c>
      <c r="B178" s="117" t="n">
        <v>15</v>
      </c>
      <c r="C178" s="8" t="str">
        <f aca="false">IF(OR(Recurring!$B$15="",Recurring!$H$15&lt;&gt;"Yes",Recurring!$D$15=""),"",Recurring!$B$15)</f>
        <v>Spectrum</v>
      </c>
      <c r="D178" s="8" t="str">
        <f aca="false">IF($C178="","",Recurring!$C$15)</f>
        <v>Expense</v>
      </c>
      <c r="E178" s="118" t="n">
        <f aca="false">IF($C178="","",IF(SUMIFS(Overrides!$E$9:$E$108,Overrides!$B$9:$B$108,$C178,Overrides!$C$9:$C$108,$L178)&gt;0,SUMIFS(Overrides!$E$9:$E$108,Overrides!$B$9:$B$108,$C178,Overrides!$C$9:$C$108,$L178),Recurring!$D$15))</f>
        <v>171.1</v>
      </c>
      <c r="F178" s="119"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19" t="n">
        <f aca="false">IF($L178="","",IF(SUMIFS(Overrides!$D$9:$D$108,Overrides!$B$9:$B$108,$C178,Overrides!$C$9:$C$108,$L178)&gt;0,SUMIFS(Overrides!$D$9:$D$108,Overrides!$B$9:$B$108,$C178,Overrides!$C$9:$C$108,$L178),$L178))</f>
        <v>46681</v>
      </c>
      <c r="H178" s="120" t="n">
        <f aca="false">IF($G178="",0,IF(AND($G178&gt;='Cash Flow'!$E$6,$G178&lt;'Cash Flow'!$E$6+91),1,0))</f>
        <v>0</v>
      </c>
      <c r="I178" s="120" t="str">
        <f aca="false">IF($H178=1,MAX(1,INT(($G178-'Cash Flow'!$E$6)/7)+1),"")</f>
        <v/>
      </c>
      <c r="J178" s="8" t="str">
        <f aca="false">IF($H178=1,$G178*10000+ROW(),"")</f>
        <v/>
      </c>
      <c r="K178" s="8" t="str">
        <f aca="false">IF($H178=1,$I178*1000+COUNTIFS($I$4:$I$483,$I178,$J$4:$J$483,"&lt;"&amp;$J178)+1,"")</f>
        <v/>
      </c>
      <c r="L178" s="121"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17" t="n">
        <v>11</v>
      </c>
      <c r="B179" s="117" t="n">
        <v>16</v>
      </c>
      <c r="C179" s="8" t="str">
        <f aca="false">IF(OR(Recurring!$B$15="",Recurring!$H$15&lt;&gt;"Yes",Recurring!$D$15=""),"",Recurring!$B$15)</f>
        <v>Spectrum</v>
      </c>
      <c r="D179" s="8" t="str">
        <f aca="false">IF($C179="","",Recurring!$C$15)</f>
        <v>Expense</v>
      </c>
      <c r="E179" s="118" t="n">
        <f aca="false">IF($C179="","",IF(SUMIFS(Overrides!$E$9:$E$108,Overrides!$B$9:$B$108,$C179,Overrides!$C$9:$C$108,$L179)&gt;0,SUMIFS(Overrides!$E$9:$E$108,Overrides!$B$9:$B$108,$C179,Overrides!$C$9:$C$108,$L179),Recurring!$D$15))</f>
        <v>171.1</v>
      </c>
      <c r="F179" s="119"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19" t="n">
        <f aca="false">IF($L179="","",IF(SUMIFS(Overrides!$D$9:$D$108,Overrides!$B$9:$B$108,$C179,Overrides!$C$9:$C$108,$L179)&gt;0,SUMIFS(Overrides!$D$9:$D$108,Overrides!$B$9:$B$108,$C179,Overrides!$C$9:$C$108,$L179),$L179))</f>
        <v>46712</v>
      </c>
      <c r="H179" s="120" t="n">
        <f aca="false">IF($G179="",0,IF(AND($G179&gt;='Cash Flow'!$E$6,$G179&lt;'Cash Flow'!$E$6+91),1,0))</f>
        <v>0</v>
      </c>
      <c r="I179" s="120" t="str">
        <f aca="false">IF($H179=1,MAX(1,INT(($G179-'Cash Flow'!$E$6)/7)+1),"")</f>
        <v/>
      </c>
      <c r="J179" s="8" t="str">
        <f aca="false">IF($H179=1,$G179*10000+ROW(),"")</f>
        <v/>
      </c>
      <c r="K179" s="8" t="str">
        <f aca="false">IF($H179=1,$I179*1000+COUNTIFS($I$4:$I$483,$I179,$J$4:$J$483,"&lt;"&amp;$J179)+1,"")</f>
        <v/>
      </c>
      <c r="L179" s="121"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17" t="n">
        <v>12</v>
      </c>
      <c r="B180" s="117" t="n">
        <v>1</v>
      </c>
      <c r="C180" s="8" t="str">
        <f aca="false">IF(OR(Recurring!$B$16="",Recurring!$H$16&lt;&gt;"Yes",Recurring!$D$16=""),"",Recurring!$B$16)</f>
        <v>Maine Revenue Services</v>
      </c>
      <c r="D180" s="8" t="str">
        <f aca="false">IF($C180="","",Recurring!$C$16)</f>
        <v>Expense</v>
      </c>
      <c r="E180" s="118" t="n">
        <f aca="false">IF($C180="","",IF(SUMIFS(Overrides!$E$9:$E$108,Overrides!$B$9:$B$108,$C180,Overrides!$C$9:$C$108,$L180)&gt;0,SUMIFS(Overrides!$E$9:$E$108,Overrides!$B$9:$B$108,$C180,Overrides!$C$9:$C$108,$L180),Recurring!$D$16))</f>
        <v>45</v>
      </c>
      <c r="F180" s="119"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19" t="n">
        <f aca="false">IF($L180="","",IF(SUMIFS(Overrides!$D$9:$D$108,Overrides!$B$9:$B$108,$C180,Overrides!$C$9:$C$108,$L180)&gt;0,SUMIFS(Overrides!$D$9:$D$108,Overrides!$B$9:$B$108,$C180,Overrides!$C$9:$C$108,$L180),$L180))</f>
        <v>46250</v>
      </c>
      <c r="H180" s="120" t="n">
        <f aca="false">IF($G180="",0,IF(AND($G180&gt;='Cash Flow'!$E$6-90,$G180&lt;'Cash Flow'!$E$6+91),1,0))</f>
        <v>1</v>
      </c>
      <c r="I180" s="120" t="n">
        <f aca="false">IF($H180=1,MAX(1,INT(($G180-'Cash Flow'!$E$6)/7)+1),"")</f>
        <v>1</v>
      </c>
      <c r="J180" s="8" t="n">
        <f aca="false">IF($H180=1,$G180*10000+ROW(),"")</f>
        <v>462500180</v>
      </c>
      <c r="K180" s="8" t="n">
        <f aca="false">IF($H180=1,$I180*1000+COUNTIFS($I$4:$I$483,$I180,$J$4:$J$483,"&lt;"&amp;$J180)+1,"")</f>
        <v>1001</v>
      </c>
      <c r="L180" s="121"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17" t="n">
        <v>12</v>
      </c>
      <c r="B181" s="117" t="n">
        <v>2</v>
      </c>
      <c r="C181" s="8" t="str">
        <f aca="false">IF(OR(Recurring!$B$16="",Recurring!$H$16&lt;&gt;"Yes",Recurring!$D$16=""),"",Recurring!$B$16)</f>
        <v>Maine Revenue Services</v>
      </c>
      <c r="D181" s="8" t="str">
        <f aca="false">IF($C181="","",Recurring!$C$16)</f>
        <v>Expense</v>
      </c>
      <c r="E181" s="118" t="n">
        <f aca="false">IF($C181="","",IF(SUMIFS(Overrides!$E$9:$E$108,Overrides!$B$9:$B$108,$C181,Overrides!$C$9:$C$108,$L181)&gt;0,SUMIFS(Overrides!$E$9:$E$108,Overrides!$B$9:$B$108,$C181,Overrides!$C$9:$C$108,$L181),Recurring!$D$16))</f>
        <v>45</v>
      </c>
      <c r="F181" s="119"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19" t="n">
        <f aca="false">IF($L181="","",IF(SUMIFS(Overrides!$D$9:$D$108,Overrides!$B$9:$B$108,$C181,Overrides!$C$9:$C$108,$L181)&gt;0,SUMIFS(Overrides!$D$9:$D$108,Overrides!$B$9:$B$108,$C181,Overrides!$C$9:$C$108,$L181),$L181))</f>
        <v>46281</v>
      </c>
      <c r="H181" s="120" t="n">
        <f aca="false">IF($G181="",0,IF(AND($G181&gt;='Cash Flow'!$E$6,$G181&lt;'Cash Flow'!$E$6+91),1,0))</f>
        <v>1</v>
      </c>
      <c r="I181" s="120" t="n">
        <f aca="false">IF($H181=1,MAX(1,INT(($G181-'Cash Flow'!$E$6)/7)+1),"")</f>
        <v>5</v>
      </c>
      <c r="J181" s="8" t="n">
        <f aca="false">IF($H181=1,$G181*10000+ROW(),"")</f>
        <v>462810181</v>
      </c>
      <c r="K181" s="8" t="n">
        <f aca="false">IF($H181=1,$I181*1000+COUNTIFS($I$4:$I$483,$I181,$J$4:$J$483,"&lt;"&amp;$J181)+1,"")</f>
        <v>5004</v>
      </c>
      <c r="L181" s="121"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17" t="n">
        <v>12</v>
      </c>
      <c r="B182" s="117" t="n">
        <v>3</v>
      </c>
      <c r="C182" s="8" t="str">
        <f aca="false">IF(OR(Recurring!$B$16="",Recurring!$H$16&lt;&gt;"Yes",Recurring!$D$16=""),"",Recurring!$B$16)</f>
        <v>Maine Revenue Services</v>
      </c>
      <c r="D182" s="8" t="str">
        <f aca="false">IF($C182="","",Recurring!$C$16)</f>
        <v>Expense</v>
      </c>
      <c r="E182" s="118" t="n">
        <f aca="false">IF($C182="","",IF(SUMIFS(Overrides!$E$9:$E$108,Overrides!$B$9:$B$108,$C182,Overrides!$C$9:$C$108,$L182)&gt;0,SUMIFS(Overrides!$E$9:$E$108,Overrides!$B$9:$B$108,$C182,Overrides!$C$9:$C$108,$L182),Recurring!$D$16))</f>
        <v>45</v>
      </c>
      <c r="F182" s="119"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19" t="n">
        <f aca="false">IF($L182="","",IF(SUMIFS(Overrides!$D$9:$D$108,Overrides!$B$9:$B$108,$C182,Overrides!$C$9:$C$108,$L182)&gt;0,SUMIFS(Overrides!$D$9:$D$108,Overrides!$B$9:$B$108,$C182,Overrides!$C$9:$C$108,$L182),$L182))</f>
        <v>46311</v>
      </c>
      <c r="H182" s="120" t="n">
        <f aca="false">IF($G182="",0,IF(AND($G182&gt;='Cash Flow'!$E$6,$G182&lt;'Cash Flow'!$E$6+91),1,0))</f>
        <v>1</v>
      </c>
      <c r="I182" s="120" t="n">
        <f aca="false">IF($H182=1,MAX(1,INT(($G182-'Cash Flow'!$E$6)/7)+1),"")</f>
        <v>9</v>
      </c>
      <c r="J182" s="8" t="n">
        <f aca="false">IF($H182=1,$G182*10000+ROW(),"")</f>
        <v>463110182</v>
      </c>
      <c r="K182" s="8" t="n">
        <f aca="false">IF($H182=1,$I182*1000+COUNTIFS($I$4:$I$483,$I182,$J$4:$J$483,"&lt;"&amp;$J182)+1,"")</f>
        <v>9005</v>
      </c>
      <c r="L182" s="121"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17" t="n">
        <v>12</v>
      </c>
      <c r="B183" s="117" t="n">
        <v>4</v>
      </c>
      <c r="C183" s="8" t="str">
        <f aca="false">IF(OR(Recurring!$B$16="",Recurring!$H$16&lt;&gt;"Yes",Recurring!$D$16=""),"",Recurring!$B$16)</f>
        <v>Maine Revenue Services</v>
      </c>
      <c r="D183" s="8" t="str">
        <f aca="false">IF($C183="","",Recurring!$C$16)</f>
        <v>Expense</v>
      </c>
      <c r="E183" s="118" t="n">
        <f aca="false">IF($C183="","",IF(SUMIFS(Overrides!$E$9:$E$108,Overrides!$B$9:$B$108,$C183,Overrides!$C$9:$C$108,$L183)&gt;0,SUMIFS(Overrides!$E$9:$E$108,Overrides!$B$9:$B$108,$C183,Overrides!$C$9:$C$108,$L183),Recurring!$D$16))</f>
        <v>45</v>
      </c>
      <c r="F183" s="119"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19" t="n">
        <f aca="false">IF($L183="","",IF(SUMIFS(Overrides!$D$9:$D$108,Overrides!$B$9:$B$108,$C183,Overrides!$C$9:$C$108,$L183)&gt;0,SUMIFS(Overrides!$D$9:$D$108,Overrides!$B$9:$B$108,$C183,Overrides!$C$9:$C$108,$L183),$L183))</f>
        <v>46342</v>
      </c>
      <c r="H183" s="120" t="n">
        <f aca="false">IF($G183="",0,IF(AND($G183&gt;='Cash Flow'!$E$6,$G183&lt;'Cash Flow'!$E$6+91),1,0))</f>
        <v>0</v>
      </c>
      <c r="I183" s="120" t="str">
        <f aca="false">IF($H183=1,MAX(1,INT(($G183-'Cash Flow'!$E$6)/7)+1),"")</f>
        <v/>
      </c>
      <c r="J183" s="8" t="str">
        <f aca="false">IF($H183=1,$G183*10000+ROW(),"")</f>
        <v/>
      </c>
      <c r="K183" s="8" t="str">
        <f aca="false">IF($H183=1,$I183*1000+COUNTIFS($I$4:$I$483,$I183,$J$4:$J$483,"&lt;"&amp;$J183)+1,"")</f>
        <v/>
      </c>
      <c r="L183" s="121"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17" t="n">
        <v>12</v>
      </c>
      <c r="B184" s="117" t="n">
        <v>5</v>
      </c>
      <c r="C184" s="8" t="str">
        <f aca="false">IF(OR(Recurring!$B$16="",Recurring!$H$16&lt;&gt;"Yes",Recurring!$D$16=""),"",Recurring!$B$16)</f>
        <v>Maine Revenue Services</v>
      </c>
      <c r="D184" s="8" t="str">
        <f aca="false">IF($C184="","",Recurring!$C$16)</f>
        <v>Expense</v>
      </c>
      <c r="E184" s="118" t="n">
        <f aca="false">IF($C184="","",IF(SUMIFS(Overrides!$E$9:$E$108,Overrides!$B$9:$B$108,$C184,Overrides!$C$9:$C$108,$L184)&gt;0,SUMIFS(Overrides!$E$9:$E$108,Overrides!$B$9:$B$108,$C184,Overrides!$C$9:$C$108,$L184),Recurring!$D$16))</f>
        <v>45</v>
      </c>
      <c r="F184" s="119"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19" t="n">
        <f aca="false">IF($L184="","",IF(SUMIFS(Overrides!$D$9:$D$108,Overrides!$B$9:$B$108,$C184,Overrides!$C$9:$C$108,$L184)&gt;0,SUMIFS(Overrides!$D$9:$D$108,Overrides!$B$9:$B$108,$C184,Overrides!$C$9:$C$108,$L184),$L184))</f>
        <v>46372</v>
      </c>
      <c r="H184" s="120" t="n">
        <f aca="false">IF($G184="",0,IF(AND($G184&gt;='Cash Flow'!$E$6,$G184&lt;'Cash Flow'!$E$6+91),1,0))</f>
        <v>0</v>
      </c>
      <c r="I184" s="120" t="str">
        <f aca="false">IF($H184=1,MAX(1,INT(($G184-'Cash Flow'!$E$6)/7)+1),"")</f>
        <v/>
      </c>
      <c r="J184" s="8" t="str">
        <f aca="false">IF($H184=1,$G184*10000+ROW(),"")</f>
        <v/>
      </c>
      <c r="K184" s="8" t="str">
        <f aca="false">IF($H184=1,$I184*1000+COUNTIFS($I$4:$I$483,$I184,$J$4:$J$483,"&lt;"&amp;$J184)+1,"")</f>
        <v/>
      </c>
      <c r="L184" s="121"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17" t="n">
        <v>12</v>
      </c>
      <c r="B185" s="117" t="n">
        <v>6</v>
      </c>
      <c r="C185" s="8" t="str">
        <f aca="false">IF(OR(Recurring!$B$16="",Recurring!$H$16&lt;&gt;"Yes",Recurring!$D$16=""),"",Recurring!$B$16)</f>
        <v>Maine Revenue Services</v>
      </c>
      <c r="D185" s="8" t="str">
        <f aca="false">IF($C185="","",Recurring!$C$16)</f>
        <v>Expense</v>
      </c>
      <c r="E185" s="118" t="n">
        <f aca="false">IF($C185="","",IF(SUMIFS(Overrides!$E$9:$E$108,Overrides!$B$9:$B$108,$C185,Overrides!$C$9:$C$108,$L185)&gt;0,SUMIFS(Overrides!$E$9:$E$108,Overrides!$B$9:$B$108,$C185,Overrides!$C$9:$C$108,$L185),Recurring!$D$16))</f>
        <v>45</v>
      </c>
      <c r="F185" s="119"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19" t="n">
        <f aca="false">IF($L185="","",IF(SUMIFS(Overrides!$D$9:$D$108,Overrides!$B$9:$B$108,$C185,Overrides!$C$9:$C$108,$L185)&gt;0,SUMIFS(Overrides!$D$9:$D$108,Overrides!$B$9:$B$108,$C185,Overrides!$C$9:$C$108,$L185),$L185))</f>
        <v>46403</v>
      </c>
      <c r="H185" s="120" t="n">
        <f aca="false">IF($G185="",0,IF(AND($G185&gt;='Cash Flow'!$E$6,$G185&lt;'Cash Flow'!$E$6+91),1,0))</f>
        <v>0</v>
      </c>
      <c r="I185" s="120" t="str">
        <f aca="false">IF($H185=1,MAX(1,INT(($G185-'Cash Flow'!$E$6)/7)+1),"")</f>
        <v/>
      </c>
      <c r="J185" s="8" t="str">
        <f aca="false">IF($H185=1,$G185*10000+ROW(),"")</f>
        <v/>
      </c>
      <c r="K185" s="8" t="str">
        <f aca="false">IF($H185=1,$I185*1000+COUNTIFS($I$4:$I$483,$I185,$J$4:$J$483,"&lt;"&amp;$J185)+1,"")</f>
        <v/>
      </c>
      <c r="L185" s="121"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17" t="n">
        <v>12</v>
      </c>
      <c r="B186" s="117" t="n">
        <v>7</v>
      </c>
      <c r="C186" s="8" t="str">
        <f aca="false">IF(OR(Recurring!$B$16="",Recurring!$H$16&lt;&gt;"Yes",Recurring!$D$16=""),"",Recurring!$B$16)</f>
        <v>Maine Revenue Services</v>
      </c>
      <c r="D186" s="8" t="str">
        <f aca="false">IF($C186="","",Recurring!$C$16)</f>
        <v>Expense</v>
      </c>
      <c r="E186" s="118" t="n">
        <f aca="false">IF($C186="","",IF(SUMIFS(Overrides!$E$9:$E$108,Overrides!$B$9:$B$108,$C186,Overrides!$C$9:$C$108,$L186)&gt;0,SUMIFS(Overrides!$E$9:$E$108,Overrides!$B$9:$B$108,$C186,Overrides!$C$9:$C$108,$L186),Recurring!$D$16))</f>
        <v>45</v>
      </c>
      <c r="F186" s="119"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19" t="n">
        <f aca="false">IF($L186="","",IF(SUMIFS(Overrides!$D$9:$D$108,Overrides!$B$9:$B$108,$C186,Overrides!$C$9:$C$108,$L186)&gt;0,SUMIFS(Overrides!$D$9:$D$108,Overrides!$B$9:$B$108,$C186,Overrides!$C$9:$C$108,$L186),$L186))</f>
        <v>46434</v>
      </c>
      <c r="H186" s="120" t="n">
        <f aca="false">IF($G186="",0,IF(AND($G186&gt;='Cash Flow'!$E$6,$G186&lt;'Cash Flow'!$E$6+91),1,0))</f>
        <v>0</v>
      </c>
      <c r="I186" s="120" t="str">
        <f aca="false">IF($H186=1,MAX(1,INT(($G186-'Cash Flow'!$E$6)/7)+1),"")</f>
        <v/>
      </c>
      <c r="J186" s="8" t="str">
        <f aca="false">IF($H186=1,$G186*10000+ROW(),"")</f>
        <v/>
      </c>
      <c r="K186" s="8" t="str">
        <f aca="false">IF($H186=1,$I186*1000+COUNTIFS($I$4:$I$483,$I186,$J$4:$J$483,"&lt;"&amp;$J186)+1,"")</f>
        <v/>
      </c>
      <c r="L186" s="121"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17" t="n">
        <v>12</v>
      </c>
      <c r="B187" s="117" t="n">
        <v>8</v>
      </c>
      <c r="C187" s="8" t="str">
        <f aca="false">IF(OR(Recurring!$B$16="",Recurring!$H$16&lt;&gt;"Yes",Recurring!$D$16=""),"",Recurring!$B$16)</f>
        <v>Maine Revenue Services</v>
      </c>
      <c r="D187" s="8" t="str">
        <f aca="false">IF($C187="","",Recurring!$C$16)</f>
        <v>Expense</v>
      </c>
      <c r="E187" s="118" t="n">
        <f aca="false">IF($C187="","",IF(SUMIFS(Overrides!$E$9:$E$108,Overrides!$B$9:$B$108,$C187,Overrides!$C$9:$C$108,$L187)&gt;0,SUMIFS(Overrides!$E$9:$E$108,Overrides!$B$9:$B$108,$C187,Overrides!$C$9:$C$108,$L187),Recurring!$D$16))</f>
        <v>45</v>
      </c>
      <c r="F187" s="119"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19" t="n">
        <f aca="false">IF($L187="","",IF(SUMIFS(Overrides!$D$9:$D$108,Overrides!$B$9:$B$108,$C187,Overrides!$C$9:$C$108,$L187)&gt;0,SUMIFS(Overrides!$D$9:$D$108,Overrides!$B$9:$B$108,$C187,Overrides!$C$9:$C$108,$L187),$L187))</f>
        <v>46462</v>
      </c>
      <c r="H187" s="120" t="n">
        <f aca="false">IF($G187="",0,IF(AND($G187&gt;='Cash Flow'!$E$6,$G187&lt;'Cash Flow'!$E$6+91),1,0))</f>
        <v>0</v>
      </c>
      <c r="I187" s="120" t="str">
        <f aca="false">IF($H187=1,MAX(1,INT(($G187-'Cash Flow'!$E$6)/7)+1),"")</f>
        <v/>
      </c>
      <c r="J187" s="8" t="str">
        <f aca="false">IF($H187=1,$G187*10000+ROW(),"")</f>
        <v/>
      </c>
      <c r="K187" s="8" t="str">
        <f aca="false">IF($H187=1,$I187*1000+COUNTIFS($I$4:$I$483,$I187,$J$4:$J$483,"&lt;"&amp;$J187)+1,"")</f>
        <v/>
      </c>
      <c r="L187" s="121"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17" t="n">
        <v>12</v>
      </c>
      <c r="B188" s="117" t="n">
        <v>9</v>
      </c>
      <c r="C188" s="8" t="str">
        <f aca="false">IF(OR(Recurring!$B$16="",Recurring!$H$16&lt;&gt;"Yes",Recurring!$D$16=""),"",Recurring!$B$16)</f>
        <v>Maine Revenue Services</v>
      </c>
      <c r="D188" s="8" t="str">
        <f aca="false">IF($C188="","",Recurring!$C$16)</f>
        <v>Expense</v>
      </c>
      <c r="E188" s="118" t="n">
        <f aca="false">IF($C188="","",IF(SUMIFS(Overrides!$E$9:$E$108,Overrides!$B$9:$B$108,$C188,Overrides!$C$9:$C$108,$L188)&gt;0,SUMIFS(Overrides!$E$9:$E$108,Overrides!$B$9:$B$108,$C188,Overrides!$C$9:$C$108,$L188),Recurring!$D$16))</f>
        <v>45</v>
      </c>
      <c r="F188" s="119"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19" t="n">
        <f aca="false">IF($L188="","",IF(SUMIFS(Overrides!$D$9:$D$108,Overrides!$B$9:$B$108,$C188,Overrides!$C$9:$C$108,$L188)&gt;0,SUMIFS(Overrides!$D$9:$D$108,Overrides!$B$9:$B$108,$C188,Overrides!$C$9:$C$108,$L188),$L188))</f>
        <v>46493</v>
      </c>
      <c r="H188" s="120" t="n">
        <f aca="false">IF($G188="",0,IF(AND($G188&gt;='Cash Flow'!$E$6,$G188&lt;'Cash Flow'!$E$6+91),1,0))</f>
        <v>0</v>
      </c>
      <c r="I188" s="120" t="str">
        <f aca="false">IF($H188=1,MAX(1,INT(($G188-'Cash Flow'!$E$6)/7)+1),"")</f>
        <v/>
      </c>
      <c r="J188" s="8" t="str">
        <f aca="false">IF($H188=1,$G188*10000+ROW(),"")</f>
        <v/>
      </c>
      <c r="K188" s="8" t="str">
        <f aca="false">IF($H188=1,$I188*1000+COUNTIFS($I$4:$I$483,$I188,$J$4:$J$483,"&lt;"&amp;$J188)+1,"")</f>
        <v/>
      </c>
      <c r="L188" s="121"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17" t="n">
        <v>12</v>
      </c>
      <c r="B189" s="117" t="n">
        <v>10</v>
      </c>
      <c r="C189" s="8" t="str">
        <f aca="false">IF(OR(Recurring!$B$16="",Recurring!$H$16&lt;&gt;"Yes",Recurring!$D$16=""),"",Recurring!$B$16)</f>
        <v>Maine Revenue Services</v>
      </c>
      <c r="D189" s="8" t="str">
        <f aca="false">IF($C189="","",Recurring!$C$16)</f>
        <v>Expense</v>
      </c>
      <c r="E189" s="118" t="n">
        <f aca="false">IF($C189="","",IF(SUMIFS(Overrides!$E$9:$E$108,Overrides!$B$9:$B$108,$C189,Overrides!$C$9:$C$108,$L189)&gt;0,SUMIFS(Overrides!$E$9:$E$108,Overrides!$B$9:$B$108,$C189,Overrides!$C$9:$C$108,$L189),Recurring!$D$16))</f>
        <v>45</v>
      </c>
      <c r="F189" s="119"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19" t="n">
        <f aca="false">IF($L189="","",IF(SUMIFS(Overrides!$D$9:$D$108,Overrides!$B$9:$B$108,$C189,Overrides!$C$9:$C$108,$L189)&gt;0,SUMIFS(Overrides!$D$9:$D$108,Overrides!$B$9:$B$108,$C189,Overrides!$C$9:$C$108,$L189),$L189))</f>
        <v>46523</v>
      </c>
      <c r="H189" s="120" t="n">
        <f aca="false">IF($G189="",0,IF(AND($G189&gt;='Cash Flow'!$E$6,$G189&lt;'Cash Flow'!$E$6+91),1,0))</f>
        <v>0</v>
      </c>
      <c r="I189" s="120" t="str">
        <f aca="false">IF($H189=1,MAX(1,INT(($G189-'Cash Flow'!$E$6)/7)+1),"")</f>
        <v/>
      </c>
      <c r="J189" s="8" t="str">
        <f aca="false">IF($H189=1,$G189*10000+ROW(),"")</f>
        <v/>
      </c>
      <c r="K189" s="8" t="str">
        <f aca="false">IF($H189=1,$I189*1000+COUNTIFS($I$4:$I$483,$I189,$J$4:$J$483,"&lt;"&amp;$J189)+1,"")</f>
        <v/>
      </c>
      <c r="L189" s="121"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17" t="n">
        <v>12</v>
      </c>
      <c r="B190" s="117" t="n">
        <v>11</v>
      </c>
      <c r="C190" s="8" t="str">
        <f aca="false">IF(OR(Recurring!$B$16="",Recurring!$H$16&lt;&gt;"Yes",Recurring!$D$16=""),"",Recurring!$B$16)</f>
        <v>Maine Revenue Services</v>
      </c>
      <c r="D190" s="8" t="str">
        <f aca="false">IF($C190="","",Recurring!$C$16)</f>
        <v>Expense</v>
      </c>
      <c r="E190" s="118" t="n">
        <f aca="false">IF($C190="","",IF(SUMIFS(Overrides!$E$9:$E$108,Overrides!$B$9:$B$108,$C190,Overrides!$C$9:$C$108,$L190)&gt;0,SUMIFS(Overrides!$E$9:$E$108,Overrides!$B$9:$B$108,$C190,Overrides!$C$9:$C$108,$L190),Recurring!$D$16))</f>
        <v>45</v>
      </c>
      <c r="F190" s="119"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19" t="n">
        <f aca="false">IF($L190="","",IF(SUMIFS(Overrides!$D$9:$D$108,Overrides!$B$9:$B$108,$C190,Overrides!$C$9:$C$108,$L190)&gt;0,SUMIFS(Overrides!$D$9:$D$108,Overrides!$B$9:$B$108,$C190,Overrides!$C$9:$C$108,$L190),$L190))</f>
        <v>46554</v>
      </c>
      <c r="H190" s="120" t="n">
        <f aca="false">IF($G190="",0,IF(AND($G190&gt;='Cash Flow'!$E$6,$G190&lt;'Cash Flow'!$E$6+91),1,0))</f>
        <v>0</v>
      </c>
      <c r="I190" s="120" t="str">
        <f aca="false">IF($H190=1,MAX(1,INT(($G190-'Cash Flow'!$E$6)/7)+1),"")</f>
        <v/>
      </c>
      <c r="J190" s="8" t="str">
        <f aca="false">IF($H190=1,$G190*10000+ROW(),"")</f>
        <v/>
      </c>
      <c r="K190" s="8" t="str">
        <f aca="false">IF($H190=1,$I190*1000+COUNTIFS($I$4:$I$483,$I190,$J$4:$J$483,"&lt;"&amp;$J190)+1,"")</f>
        <v/>
      </c>
      <c r="L190" s="121"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17" t="n">
        <v>12</v>
      </c>
      <c r="B191" s="117" t="n">
        <v>12</v>
      </c>
      <c r="C191" s="8" t="str">
        <f aca="false">IF(OR(Recurring!$B$16="",Recurring!$H$16&lt;&gt;"Yes",Recurring!$D$16=""),"",Recurring!$B$16)</f>
        <v>Maine Revenue Services</v>
      </c>
      <c r="D191" s="8" t="str">
        <f aca="false">IF($C191="","",Recurring!$C$16)</f>
        <v>Expense</v>
      </c>
      <c r="E191" s="118" t="n">
        <f aca="false">IF($C191="","",IF(SUMIFS(Overrides!$E$9:$E$108,Overrides!$B$9:$B$108,$C191,Overrides!$C$9:$C$108,$L191)&gt;0,SUMIFS(Overrides!$E$9:$E$108,Overrides!$B$9:$B$108,$C191,Overrides!$C$9:$C$108,$L191),Recurring!$D$16))</f>
        <v>45</v>
      </c>
      <c r="F191" s="119"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19" t="n">
        <f aca="false">IF($L191="","",IF(SUMIFS(Overrides!$D$9:$D$108,Overrides!$B$9:$B$108,$C191,Overrides!$C$9:$C$108,$L191)&gt;0,SUMIFS(Overrides!$D$9:$D$108,Overrides!$B$9:$B$108,$C191,Overrides!$C$9:$C$108,$L191),$L191))</f>
        <v>46584</v>
      </c>
      <c r="H191" s="120" t="n">
        <f aca="false">IF($G191="",0,IF(AND($G191&gt;='Cash Flow'!$E$6,$G191&lt;'Cash Flow'!$E$6+91),1,0))</f>
        <v>0</v>
      </c>
      <c r="I191" s="120" t="str">
        <f aca="false">IF($H191=1,MAX(1,INT(($G191-'Cash Flow'!$E$6)/7)+1),"")</f>
        <v/>
      </c>
      <c r="J191" s="8" t="str">
        <f aca="false">IF($H191=1,$G191*10000+ROW(),"")</f>
        <v/>
      </c>
      <c r="K191" s="8" t="str">
        <f aca="false">IF($H191=1,$I191*1000+COUNTIFS($I$4:$I$483,$I191,$J$4:$J$483,"&lt;"&amp;$J191)+1,"")</f>
        <v/>
      </c>
      <c r="L191" s="121"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17" t="n">
        <v>12</v>
      </c>
      <c r="B192" s="117" t="n">
        <v>13</v>
      </c>
      <c r="C192" s="8" t="str">
        <f aca="false">IF(OR(Recurring!$B$16="",Recurring!$H$16&lt;&gt;"Yes",Recurring!$D$16=""),"",Recurring!$B$16)</f>
        <v>Maine Revenue Services</v>
      </c>
      <c r="D192" s="8" t="str">
        <f aca="false">IF($C192="","",Recurring!$C$16)</f>
        <v>Expense</v>
      </c>
      <c r="E192" s="118" t="n">
        <f aca="false">IF($C192="","",IF(SUMIFS(Overrides!$E$9:$E$108,Overrides!$B$9:$B$108,$C192,Overrides!$C$9:$C$108,$L192)&gt;0,SUMIFS(Overrides!$E$9:$E$108,Overrides!$B$9:$B$108,$C192,Overrides!$C$9:$C$108,$L192),Recurring!$D$16))</f>
        <v>45</v>
      </c>
      <c r="F192" s="119"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19" t="n">
        <f aca="false">IF($L192="","",IF(SUMIFS(Overrides!$D$9:$D$108,Overrides!$B$9:$B$108,$C192,Overrides!$C$9:$C$108,$L192)&gt;0,SUMIFS(Overrides!$D$9:$D$108,Overrides!$B$9:$B$108,$C192,Overrides!$C$9:$C$108,$L192),$L192))</f>
        <v>46615</v>
      </c>
      <c r="H192" s="120" t="n">
        <f aca="false">IF($G192="",0,IF(AND($G192&gt;='Cash Flow'!$E$6,$G192&lt;'Cash Flow'!$E$6+91),1,0))</f>
        <v>0</v>
      </c>
      <c r="I192" s="120" t="str">
        <f aca="false">IF($H192=1,MAX(1,INT(($G192-'Cash Flow'!$E$6)/7)+1),"")</f>
        <v/>
      </c>
      <c r="J192" s="8" t="str">
        <f aca="false">IF($H192=1,$G192*10000+ROW(),"")</f>
        <v/>
      </c>
      <c r="K192" s="8" t="str">
        <f aca="false">IF($H192=1,$I192*1000+COUNTIFS($I$4:$I$483,$I192,$J$4:$J$483,"&lt;"&amp;$J192)+1,"")</f>
        <v/>
      </c>
      <c r="L192" s="121"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17" t="n">
        <v>12</v>
      </c>
      <c r="B193" s="117" t="n">
        <v>14</v>
      </c>
      <c r="C193" s="8" t="str">
        <f aca="false">IF(OR(Recurring!$B$16="",Recurring!$H$16&lt;&gt;"Yes",Recurring!$D$16=""),"",Recurring!$B$16)</f>
        <v>Maine Revenue Services</v>
      </c>
      <c r="D193" s="8" t="str">
        <f aca="false">IF($C193="","",Recurring!$C$16)</f>
        <v>Expense</v>
      </c>
      <c r="E193" s="118" t="n">
        <f aca="false">IF($C193="","",IF(SUMIFS(Overrides!$E$9:$E$108,Overrides!$B$9:$B$108,$C193,Overrides!$C$9:$C$108,$L193)&gt;0,SUMIFS(Overrides!$E$9:$E$108,Overrides!$B$9:$B$108,$C193,Overrides!$C$9:$C$108,$L193),Recurring!$D$16))</f>
        <v>45</v>
      </c>
      <c r="F193" s="119"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19" t="n">
        <f aca="false">IF($L193="","",IF(SUMIFS(Overrides!$D$9:$D$108,Overrides!$B$9:$B$108,$C193,Overrides!$C$9:$C$108,$L193)&gt;0,SUMIFS(Overrides!$D$9:$D$108,Overrides!$B$9:$B$108,$C193,Overrides!$C$9:$C$108,$L193),$L193))</f>
        <v>46646</v>
      </c>
      <c r="H193" s="120" t="n">
        <f aca="false">IF($G193="",0,IF(AND($G193&gt;='Cash Flow'!$E$6,$G193&lt;'Cash Flow'!$E$6+91),1,0))</f>
        <v>0</v>
      </c>
      <c r="I193" s="120" t="str">
        <f aca="false">IF($H193=1,MAX(1,INT(($G193-'Cash Flow'!$E$6)/7)+1),"")</f>
        <v/>
      </c>
      <c r="J193" s="8" t="str">
        <f aca="false">IF($H193=1,$G193*10000+ROW(),"")</f>
        <v/>
      </c>
      <c r="K193" s="8" t="str">
        <f aca="false">IF($H193=1,$I193*1000+COUNTIFS($I$4:$I$483,$I193,$J$4:$J$483,"&lt;"&amp;$J193)+1,"")</f>
        <v/>
      </c>
      <c r="L193" s="121"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17" t="n">
        <v>12</v>
      </c>
      <c r="B194" s="117" t="n">
        <v>15</v>
      </c>
      <c r="C194" s="8" t="str">
        <f aca="false">IF(OR(Recurring!$B$16="",Recurring!$H$16&lt;&gt;"Yes",Recurring!$D$16=""),"",Recurring!$B$16)</f>
        <v>Maine Revenue Services</v>
      </c>
      <c r="D194" s="8" t="str">
        <f aca="false">IF($C194="","",Recurring!$C$16)</f>
        <v>Expense</v>
      </c>
      <c r="E194" s="118" t="n">
        <f aca="false">IF($C194="","",IF(SUMIFS(Overrides!$E$9:$E$108,Overrides!$B$9:$B$108,$C194,Overrides!$C$9:$C$108,$L194)&gt;0,SUMIFS(Overrides!$E$9:$E$108,Overrides!$B$9:$B$108,$C194,Overrides!$C$9:$C$108,$L194),Recurring!$D$16))</f>
        <v>45</v>
      </c>
      <c r="F194" s="119"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19" t="n">
        <f aca="false">IF($L194="","",IF(SUMIFS(Overrides!$D$9:$D$108,Overrides!$B$9:$B$108,$C194,Overrides!$C$9:$C$108,$L194)&gt;0,SUMIFS(Overrides!$D$9:$D$108,Overrides!$B$9:$B$108,$C194,Overrides!$C$9:$C$108,$L194),$L194))</f>
        <v>46676</v>
      </c>
      <c r="H194" s="120" t="n">
        <f aca="false">IF($G194="",0,IF(AND($G194&gt;='Cash Flow'!$E$6,$G194&lt;'Cash Flow'!$E$6+91),1,0))</f>
        <v>0</v>
      </c>
      <c r="I194" s="120" t="str">
        <f aca="false">IF($H194=1,MAX(1,INT(($G194-'Cash Flow'!$E$6)/7)+1),"")</f>
        <v/>
      </c>
      <c r="J194" s="8" t="str">
        <f aca="false">IF($H194=1,$G194*10000+ROW(),"")</f>
        <v/>
      </c>
      <c r="K194" s="8" t="str">
        <f aca="false">IF($H194=1,$I194*1000+COUNTIFS($I$4:$I$483,$I194,$J$4:$J$483,"&lt;"&amp;$J194)+1,"")</f>
        <v/>
      </c>
      <c r="L194" s="121"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17" t="n">
        <v>12</v>
      </c>
      <c r="B195" s="117" t="n">
        <v>16</v>
      </c>
      <c r="C195" s="8" t="str">
        <f aca="false">IF(OR(Recurring!$B$16="",Recurring!$H$16&lt;&gt;"Yes",Recurring!$D$16=""),"",Recurring!$B$16)</f>
        <v>Maine Revenue Services</v>
      </c>
      <c r="D195" s="8" t="str">
        <f aca="false">IF($C195="","",Recurring!$C$16)</f>
        <v>Expense</v>
      </c>
      <c r="E195" s="118" t="n">
        <f aca="false">IF($C195="","",IF(SUMIFS(Overrides!$E$9:$E$108,Overrides!$B$9:$B$108,$C195,Overrides!$C$9:$C$108,$L195)&gt;0,SUMIFS(Overrides!$E$9:$E$108,Overrides!$B$9:$B$108,$C195,Overrides!$C$9:$C$108,$L195),Recurring!$D$16))</f>
        <v>45</v>
      </c>
      <c r="F195" s="119"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19" t="n">
        <f aca="false">IF($L195="","",IF(SUMIFS(Overrides!$D$9:$D$108,Overrides!$B$9:$B$108,$C195,Overrides!$C$9:$C$108,$L195)&gt;0,SUMIFS(Overrides!$D$9:$D$108,Overrides!$B$9:$B$108,$C195,Overrides!$C$9:$C$108,$L195),$L195))</f>
        <v>46707</v>
      </c>
      <c r="H195" s="120" t="n">
        <f aca="false">IF($G195="",0,IF(AND($G195&gt;='Cash Flow'!$E$6,$G195&lt;'Cash Flow'!$E$6+91),1,0))</f>
        <v>0</v>
      </c>
      <c r="I195" s="120" t="str">
        <f aca="false">IF($H195=1,MAX(1,INT(($G195-'Cash Flow'!$E$6)/7)+1),"")</f>
        <v/>
      </c>
      <c r="J195" s="8" t="str">
        <f aca="false">IF($H195=1,$G195*10000+ROW(),"")</f>
        <v/>
      </c>
      <c r="K195" s="8" t="str">
        <f aca="false">IF($H195=1,$I195*1000+COUNTIFS($I$4:$I$483,$I195,$J$4:$J$483,"&lt;"&amp;$J195)+1,"")</f>
        <v/>
      </c>
      <c r="L195" s="121"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17" t="n">
        <v>13</v>
      </c>
      <c r="B196" s="117" t="n">
        <v>1</v>
      </c>
      <c r="C196" s="8" t="str">
        <f aca="false">IF(OR(Recurring!$B$17="",Recurring!$H$17&lt;&gt;"Yes",Recurring!$D$17=""),"",Recurring!$B$17)</f>
        <v/>
      </c>
      <c r="D196" s="8" t="str">
        <f aca="false">IF($C196="","",Recurring!$C$17)</f>
        <v/>
      </c>
      <c r="E196" s="118" t="str">
        <f aca="false">IF($C196="","",IF(SUMIFS(Overrides!$E$9:$E$108,Overrides!$B$9:$B$108,$C196,Overrides!$C$9:$C$108,$L196)&gt;0,SUMIFS(Overrides!$E$9:$E$108,Overrides!$B$9:$B$108,$C196,Overrides!$C$9:$C$108,$L196),Recurring!$D$17))</f>
        <v/>
      </c>
      <c r="F196" s="119"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19" t="str">
        <f aca="false">IF($L196="","",IF(SUMIFS(Overrides!$D$9:$D$108,Overrides!$B$9:$B$108,$C196,Overrides!$C$9:$C$108,$L196)&gt;0,SUMIFS(Overrides!$D$9:$D$108,Overrides!$B$9:$B$108,$C196,Overrides!$C$9:$C$108,$L196),$L196))</f>
        <v/>
      </c>
      <c r="H196" s="120" t="n">
        <f aca="false">IF($G196="",0,IF(AND($G196&gt;='Cash Flow'!$E$6-90,$G196&lt;'Cash Flow'!$E$6+91),1,0))</f>
        <v>0</v>
      </c>
      <c r="I196" s="120" t="str">
        <f aca="false">IF($H196=1,MAX(1,INT(($G196-'Cash Flow'!$E$6)/7)+1),"")</f>
        <v/>
      </c>
      <c r="J196" s="8" t="str">
        <f aca="false">IF($H196=1,$G196*10000+ROW(),"")</f>
        <v/>
      </c>
      <c r="K196" s="8" t="str">
        <f aca="false">IF($H196=1,$I196*1000+COUNTIFS($I$4:$I$483,$I196,$J$4:$J$483,"&lt;"&amp;$J196)+1,"")</f>
        <v/>
      </c>
      <c r="L196" s="121"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17" t="n">
        <v>13</v>
      </c>
      <c r="B197" s="117" t="n">
        <v>2</v>
      </c>
      <c r="C197" s="8" t="str">
        <f aca="false">IF(OR(Recurring!$B$17="",Recurring!$H$17&lt;&gt;"Yes",Recurring!$D$17=""),"",Recurring!$B$17)</f>
        <v/>
      </c>
      <c r="D197" s="8" t="str">
        <f aca="false">IF($C197="","",Recurring!$C$17)</f>
        <v/>
      </c>
      <c r="E197" s="118" t="str">
        <f aca="false">IF($C197="","",IF(SUMIFS(Overrides!$E$9:$E$108,Overrides!$B$9:$B$108,$C197,Overrides!$C$9:$C$108,$L197)&gt;0,SUMIFS(Overrides!$E$9:$E$108,Overrides!$B$9:$B$108,$C197,Overrides!$C$9:$C$108,$L197),Recurring!$D$17))</f>
        <v/>
      </c>
      <c r="F197" s="119"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19" t="str">
        <f aca="false">IF($L197="","",IF(SUMIFS(Overrides!$D$9:$D$108,Overrides!$B$9:$B$108,$C197,Overrides!$C$9:$C$108,$L197)&gt;0,SUMIFS(Overrides!$D$9:$D$108,Overrides!$B$9:$B$108,$C197,Overrides!$C$9:$C$108,$L197),$L197))</f>
        <v/>
      </c>
      <c r="H197" s="120" t="n">
        <f aca="false">IF($G197="",0,IF(AND($G197&gt;='Cash Flow'!$E$6,$G197&lt;'Cash Flow'!$E$6+91),1,0))</f>
        <v>0</v>
      </c>
      <c r="I197" s="120" t="str">
        <f aca="false">IF($H197=1,MAX(1,INT(($G197-'Cash Flow'!$E$6)/7)+1),"")</f>
        <v/>
      </c>
      <c r="J197" s="8" t="str">
        <f aca="false">IF($H197=1,$G197*10000+ROW(),"")</f>
        <v/>
      </c>
      <c r="K197" s="8" t="str">
        <f aca="false">IF($H197=1,$I197*1000+COUNTIFS($I$4:$I$483,$I197,$J$4:$J$483,"&lt;"&amp;$J197)+1,"")</f>
        <v/>
      </c>
      <c r="L197" s="121"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17" t="n">
        <v>13</v>
      </c>
      <c r="B198" s="117" t="n">
        <v>3</v>
      </c>
      <c r="C198" s="8" t="str">
        <f aca="false">IF(OR(Recurring!$B$17="",Recurring!$H$17&lt;&gt;"Yes",Recurring!$D$17=""),"",Recurring!$B$17)</f>
        <v/>
      </c>
      <c r="D198" s="8" t="str">
        <f aca="false">IF($C198="","",Recurring!$C$17)</f>
        <v/>
      </c>
      <c r="E198" s="118" t="str">
        <f aca="false">IF($C198="","",IF(SUMIFS(Overrides!$E$9:$E$108,Overrides!$B$9:$B$108,$C198,Overrides!$C$9:$C$108,$L198)&gt;0,SUMIFS(Overrides!$E$9:$E$108,Overrides!$B$9:$B$108,$C198,Overrides!$C$9:$C$108,$L198),Recurring!$D$17))</f>
        <v/>
      </c>
      <c r="F198" s="119"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19" t="str">
        <f aca="false">IF($L198="","",IF(SUMIFS(Overrides!$D$9:$D$108,Overrides!$B$9:$B$108,$C198,Overrides!$C$9:$C$108,$L198)&gt;0,SUMIFS(Overrides!$D$9:$D$108,Overrides!$B$9:$B$108,$C198,Overrides!$C$9:$C$108,$L198),$L198))</f>
        <v/>
      </c>
      <c r="H198" s="120" t="n">
        <f aca="false">IF($G198="",0,IF(AND($G198&gt;='Cash Flow'!$E$6,$G198&lt;'Cash Flow'!$E$6+91),1,0))</f>
        <v>0</v>
      </c>
      <c r="I198" s="120" t="str">
        <f aca="false">IF($H198=1,MAX(1,INT(($G198-'Cash Flow'!$E$6)/7)+1),"")</f>
        <v/>
      </c>
      <c r="J198" s="8" t="str">
        <f aca="false">IF($H198=1,$G198*10000+ROW(),"")</f>
        <v/>
      </c>
      <c r="K198" s="8" t="str">
        <f aca="false">IF($H198=1,$I198*1000+COUNTIFS($I$4:$I$483,$I198,$J$4:$J$483,"&lt;"&amp;$J198)+1,"")</f>
        <v/>
      </c>
      <c r="L198" s="121"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17" t="n">
        <v>13</v>
      </c>
      <c r="B199" s="117" t="n">
        <v>4</v>
      </c>
      <c r="C199" s="8" t="str">
        <f aca="false">IF(OR(Recurring!$B$17="",Recurring!$H$17&lt;&gt;"Yes",Recurring!$D$17=""),"",Recurring!$B$17)</f>
        <v/>
      </c>
      <c r="D199" s="8" t="str">
        <f aca="false">IF($C199="","",Recurring!$C$17)</f>
        <v/>
      </c>
      <c r="E199" s="118" t="str">
        <f aca="false">IF($C199="","",IF(SUMIFS(Overrides!$E$9:$E$108,Overrides!$B$9:$B$108,$C199,Overrides!$C$9:$C$108,$L199)&gt;0,SUMIFS(Overrides!$E$9:$E$108,Overrides!$B$9:$B$108,$C199,Overrides!$C$9:$C$108,$L199),Recurring!$D$17))</f>
        <v/>
      </c>
      <c r="F199" s="119"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19" t="str">
        <f aca="false">IF($L199="","",IF(SUMIFS(Overrides!$D$9:$D$108,Overrides!$B$9:$B$108,$C199,Overrides!$C$9:$C$108,$L199)&gt;0,SUMIFS(Overrides!$D$9:$D$108,Overrides!$B$9:$B$108,$C199,Overrides!$C$9:$C$108,$L199),$L199))</f>
        <v/>
      </c>
      <c r="H199" s="120" t="n">
        <f aca="false">IF($G199="",0,IF(AND($G199&gt;='Cash Flow'!$E$6,$G199&lt;'Cash Flow'!$E$6+91),1,0))</f>
        <v>0</v>
      </c>
      <c r="I199" s="120" t="str">
        <f aca="false">IF($H199=1,MAX(1,INT(($G199-'Cash Flow'!$E$6)/7)+1),"")</f>
        <v/>
      </c>
      <c r="J199" s="8" t="str">
        <f aca="false">IF($H199=1,$G199*10000+ROW(),"")</f>
        <v/>
      </c>
      <c r="K199" s="8" t="str">
        <f aca="false">IF($H199=1,$I199*1000+COUNTIFS($I$4:$I$483,$I199,$J$4:$J$483,"&lt;"&amp;$J199)+1,"")</f>
        <v/>
      </c>
      <c r="L199" s="121"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17" t="n">
        <v>13</v>
      </c>
      <c r="B200" s="117" t="n">
        <v>5</v>
      </c>
      <c r="C200" s="8" t="str">
        <f aca="false">IF(OR(Recurring!$B$17="",Recurring!$H$17&lt;&gt;"Yes",Recurring!$D$17=""),"",Recurring!$B$17)</f>
        <v/>
      </c>
      <c r="D200" s="8" t="str">
        <f aca="false">IF($C200="","",Recurring!$C$17)</f>
        <v/>
      </c>
      <c r="E200" s="118" t="str">
        <f aca="false">IF($C200="","",IF(SUMIFS(Overrides!$E$9:$E$108,Overrides!$B$9:$B$108,$C200,Overrides!$C$9:$C$108,$L200)&gt;0,SUMIFS(Overrides!$E$9:$E$108,Overrides!$B$9:$B$108,$C200,Overrides!$C$9:$C$108,$L200),Recurring!$D$17))</f>
        <v/>
      </c>
      <c r="F200" s="119"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19" t="str">
        <f aca="false">IF($L200="","",IF(SUMIFS(Overrides!$D$9:$D$108,Overrides!$B$9:$B$108,$C200,Overrides!$C$9:$C$108,$L200)&gt;0,SUMIFS(Overrides!$D$9:$D$108,Overrides!$B$9:$B$108,$C200,Overrides!$C$9:$C$108,$L200),$L200))</f>
        <v/>
      </c>
      <c r="H200" s="120" t="n">
        <f aca="false">IF($G200="",0,IF(AND($G200&gt;='Cash Flow'!$E$6,$G200&lt;'Cash Flow'!$E$6+91),1,0))</f>
        <v>0</v>
      </c>
      <c r="I200" s="120" t="str">
        <f aca="false">IF($H200=1,MAX(1,INT(($G200-'Cash Flow'!$E$6)/7)+1),"")</f>
        <v/>
      </c>
      <c r="J200" s="8" t="str">
        <f aca="false">IF($H200=1,$G200*10000+ROW(),"")</f>
        <v/>
      </c>
      <c r="K200" s="8" t="str">
        <f aca="false">IF($H200=1,$I200*1000+COUNTIFS($I$4:$I$483,$I200,$J$4:$J$483,"&lt;"&amp;$J200)+1,"")</f>
        <v/>
      </c>
      <c r="L200" s="121"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17" t="n">
        <v>13</v>
      </c>
      <c r="B201" s="117" t="n">
        <v>6</v>
      </c>
      <c r="C201" s="8" t="str">
        <f aca="false">IF(OR(Recurring!$B$17="",Recurring!$H$17&lt;&gt;"Yes",Recurring!$D$17=""),"",Recurring!$B$17)</f>
        <v/>
      </c>
      <c r="D201" s="8" t="str">
        <f aca="false">IF($C201="","",Recurring!$C$17)</f>
        <v/>
      </c>
      <c r="E201" s="118" t="str">
        <f aca="false">IF($C201="","",IF(SUMIFS(Overrides!$E$9:$E$108,Overrides!$B$9:$B$108,$C201,Overrides!$C$9:$C$108,$L201)&gt;0,SUMIFS(Overrides!$E$9:$E$108,Overrides!$B$9:$B$108,$C201,Overrides!$C$9:$C$108,$L201),Recurring!$D$17))</f>
        <v/>
      </c>
      <c r="F201" s="119"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19" t="str">
        <f aca="false">IF($L201="","",IF(SUMIFS(Overrides!$D$9:$D$108,Overrides!$B$9:$B$108,$C201,Overrides!$C$9:$C$108,$L201)&gt;0,SUMIFS(Overrides!$D$9:$D$108,Overrides!$B$9:$B$108,$C201,Overrides!$C$9:$C$108,$L201),$L201))</f>
        <v/>
      </c>
      <c r="H201" s="120" t="n">
        <f aca="false">IF($G201="",0,IF(AND($G201&gt;='Cash Flow'!$E$6,$G201&lt;'Cash Flow'!$E$6+91),1,0))</f>
        <v>0</v>
      </c>
      <c r="I201" s="120" t="str">
        <f aca="false">IF($H201=1,MAX(1,INT(($G201-'Cash Flow'!$E$6)/7)+1),"")</f>
        <v/>
      </c>
      <c r="J201" s="8" t="str">
        <f aca="false">IF($H201=1,$G201*10000+ROW(),"")</f>
        <v/>
      </c>
      <c r="K201" s="8" t="str">
        <f aca="false">IF($H201=1,$I201*1000+COUNTIFS($I$4:$I$483,$I201,$J$4:$J$483,"&lt;"&amp;$J201)+1,"")</f>
        <v/>
      </c>
      <c r="L201" s="121"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17" t="n">
        <v>13</v>
      </c>
      <c r="B202" s="117" t="n">
        <v>7</v>
      </c>
      <c r="C202" s="8" t="str">
        <f aca="false">IF(OR(Recurring!$B$17="",Recurring!$H$17&lt;&gt;"Yes",Recurring!$D$17=""),"",Recurring!$B$17)</f>
        <v/>
      </c>
      <c r="D202" s="8" t="str">
        <f aca="false">IF($C202="","",Recurring!$C$17)</f>
        <v/>
      </c>
      <c r="E202" s="118" t="str">
        <f aca="false">IF($C202="","",IF(SUMIFS(Overrides!$E$9:$E$108,Overrides!$B$9:$B$108,$C202,Overrides!$C$9:$C$108,$L202)&gt;0,SUMIFS(Overrides!$E$9:$E$108,Overrides!$B$9:$B$108,$C202,Overrides!$C$9:$C$108,$L202),Recurring!$D$17))</f>
        <v/>
      </c>
      <c r="F202" s="119"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19" t="str">
        <f aca="false">IF($L202="","",IF(SUMIFS(Overrides!$D$9:$D$108,Overrides!$B$9:$B$108,$C202,Overrides!$C$9:$C$108,$L202)&gt;0,SUMIFS(Overrides!$D$9:$D$108,Overrides!$B$9:$B$108,$C202,Overrides!$C$9:$C$108,$L202),$L202))</f>
        <v/>
      </c>
      <c r="H202" s="120" t="n">
        <f aca="false">IF($G202="",0,IF(AND($G202&gt;='Cash Flow'!$E$6,$G202&lt;'Cash Flow'!$E$6+91),1,0))</f>
        <v>0</v>
      </c>
      <c r="I202" s="120" t="str">
        <f aca="false">IF($H202=1,MAX(1,INT(($G202-'Cash Flow'!$E$6)/7)+1),"")</f>
        <v/>
      </c>
      <c r="J202" s="8" t="str">
        <f aca="false">IF($H202=1,$G202*10000+ROW(),"")</f>
        <v/>
      </c>
      <c r="K202" s="8" t="str">
        <f aca="false">IF($H202=1,$I202*1000+COUNTIFS($I$4:$I$483,$I202,$J$4:$J$483,"&lt;"&amp;$J202)+1,"")</f>
        <v/>
      </c>
      <c r="L202" s="121"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17" t="n">
        <v>13</v>
      </c>
      <c r="B203" s="117" t="n">
        <v>8</v>
      </c>
      <c r="C203" s="8" t="str">
        <f aca="false">IF(OR(Recurring!$B$17="",Recurring!$H$17&lt;&gt;"Yes",Recurring!$D$17=""),"",Recurring!$B$17)</f>
        <v/>
      </c>
      <c r="D203" s="8" t="str">
        <f aca="false">IF($C203="","",Recurring!$C$17)</f>
        <v/>
      </c>
      <c r="E203" s="118" t="str">
        <f aca="false">IF($C203="","",IF(SUMIFS(Overrides!$E$9:$E$108,Overrides!$B$9:$B$108,$C203,Overrides!$C$9:$C$108,$L203)&gt;0,SUMIFS(Overrides!$E$9:$E$108,Overrides!$B$9:$B$108,$C203,Overrides!$C$9:$C$108,$L203),Recurring!$D$17))</f>
        <v/>
      </c>
      <c r="F203" s="119"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19" t="str">
        <f aca="false">IF($L203="","",IF(SUMIFS(Overrides!$D$9:$D$108,Overrides!$B$9:$B$108,$C203,Overrides!$C$9:$C$108,$L203)&gt;0,SUMIFS(Overrides!$D$9:$D$108,Overrides!$B$9:$B$108,$C203,Overrides!$C$9:$C$108,$L203),$L203))</f>
        <v/>
      </c>
      <c r="H203" s="120" t="n">
        <f aca="false">IF($G203="",0,IF(AND($G203&gt;='Cash Flow'!$E$6,$G203&lt;'Cash Flow'!$E$6+91),1,0))</f>
        <v>0</v>
      </c>
      <c r="I203" s="120" t="str">
        <f aca="false">IF($H203=1,MAX(1,INT(($G203-'Cash Flow'!$E$6)/7)+1),"")</f>
        <v/>
      </c>
      <c r="J203" s="8" t="str">
        <f aca="false">IF($H203=1,$G203*10000+ROW(),"")</f>
        <v/>
      </c>
      <c r="K203" s="8" t="str">
        <f aca="false">IF($H203=1,$I203*1000+COUNTIFS($I$4:$I$483,$I203,$J$4:$J$483,"&lt;"&amp;$J203)+1,"")</f>
        <v/>
      </c>
      <c r="L203" s="121"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17" t="n">
        <v>13</v>
      </c>
      <c r="B204" s="117" t="n">
        <v>9</v>
      </c>
      <c r="C204" s="8" t="str">
        <f aca="false">IF(OR(Recurring!$B$17="",Recurring!$H$17&lt;&gt;"Yes",Recurring!$D$17=""),"",Recurring!$B$17)</f>
        <v/>
      </c>
      <c r="D204" s="8" t="str">
        <f aca="false">IF($C204="","",Recurring!$C$17)</f>
        <v/>
      </c>
      <c r="E204" s="118" t="str">
        <f aca="false">IF($C204="","",IF(SUMIFS(Overrides!$E$9:$E$108,Overrides!$B$9:$B$108,$C204,Overrides!$C$9:$C$108,$L204)&gt;0,SUMIFS(Overrides!$E$9:$E$108,Overrides!$B$9:$B$108,$C204,Overrides!$C$9:$C$108,$L204),Recurring!$D$17))</f>
        <v/>
      </c>
      <c r="F204" s="119"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19" t="str">
        <f aca="false">IF($L204="","",IF(SUMIFS(Overrides!$D$9:$D$108,Overrides!$B$9:$B$108,$C204,Overrides!$C$9:$C$108,$L204)&gt;0,SUMIFS(Overrides!$D$9:$D$108,Overrides!$B$9:$B$108,$C204,Overrides!$C$9:$C$108,$L204),$L204))</f>
        <v/>
      </c>
      <c r="H204" s="120" t="n">
        <f aca="false">IF($G204="",0,IF(AND($G204&gt;='Cash Flow'!$E$6,$G204&lt;'Cash Flow'!$E$6+91),1,0))</f>
        <v>0</v>
      </c>
      <c r="I204" s="120" t="str">
        <f aca="false">IF($H204=1,MAX(1,INT(($G204-'Cash Flow'!$E$6)/7)+1),"")</f>
        <v/>
      </c>
      <c r="J204" s="8" t="str">
        <f aca="false">IF($H204=1,$G204*10000+ROW(),"")</f>
        <v/>
      </c>
      <c r="K204" s="8" t="str">
        <f aca="false">IF($H204=1,$I204*1000+COUNTIFS($I$4:$I$483,$I204,$J$4:$J$483,"&lt;"&amp;$J204)+1,"")</f>
        <v/>
      </c>
      <c r="L204" s="121"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17" t="n">
        <v>13</v>
      </c>
      <c r="B205" s="117" t="n">
        <v>10</v>
      </c>
      <c r="C205" s="8" t="str">
        <f aca="false">IF(OR(Recurring!$B$17="",Recurring!$H$17&lt;&gt;"Yes",Recurring!$D$17=""),"",Recurring!$B$17)</f>
        <v/>
      </c>
      <c r="D205" s="8" t="str">
        <f aca="false">IF($C205="","",Recurring!$C$17)</f>
        <v/>
      </c>
      <c r="E205" s="118" t="str">
        <f aca="false">IF($C205="","",IF(SUMIFS(Overrides!$E$9:$E$108,Overrides!$B$9:$B$108,$C205,Overrides!$C$9:$C$108,$L205)&gt;0,SUMIFS(Overrides!$E$9:$E$108,Overrides!$B$9:$B$108,$C205,Overrides!$C$9:$C$108,$L205),Recurring!$D$17))</f>
        <v/>
      </c>
      <c r="F205" s="119"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19" t="str">
        <f aca="false">IF($L205="","",IF(SUMIFS(Overrides!$D$9:$D$108,Overrides!$B$9:$B$108,$C205,Overrides!$C$9:$C$108,$L205)&gt;0,SUMIFS(Overrides!$D$9:$D$108,Overrides!$B$9:$B$108,$C205,Overrides!$C$9:$C$108,$L205),$L205))</f>
        <v/>
      </c>
      <c r="H205" s="120" t="n">
        <f aca="false">IF($G205="",0,IF(AND($G205&gt;='Cash Flow'!$E$6,$G205&lt;'Cash Flow'!$E$6+91),1,0))</f>
        <v>0</v>
      </c>
      <c r="I205" s="120" t="str">
        <f aca="false">IF($H205=1,MAX(1,INT(($G205-'Cash Flow'!$E$6)/7)+1),"")</f>
        <v/>
      </c>
      <c r="J205" s="8" t="str">
        <f aca="false">IF($H205=1,$G205*10000+ROW(),"")</f>
        <v/>
      </c>
      <c r="K205" s="8" t="str">
        <f aca="false">IF($H205=1,$I205*1000+COUNTIFS($I$4:$I$483,$I205,$J$4:$J$483,"&lt;"&amp;$J205)+1,"")</f>
        <v/>
      </c>
      <c r="L205" s="121"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17" t="n">
        <v>13</v>
      </c>
      <c r="B206" s="117" t="n">
        <v>11</v>
      </c>
      <c r="C206" s="8" t="str">
        <f aca="false">IF(OR(Recurring!$B$17="",Recurring!$H$17&lt;&gt;"Yes",Recurring!$D$17=""),"",Recurring!$B$17)</f>
        <v/>
      </c>
      <c r="D206" s="8" t="str">
        <f aca="false">IF($C206="","",Recurring!$C$17)</f>
        <v/>
      </c>
      <c r="E206" s="118" t="str">
        <f aca="false">IF($C206="","",IF(SUMIFS(Overrides!$E$9:$E$108,Overrides!$B$9:$B$108,$C206,Overrides!$C$9:$C$108,$L206)&gt;0,SUMIFS(Overrides!$E$9:$E$108,Overrides!$B$9:$B$108,$C206,Overrides!$C$9:$C$108,$L206),Recurring!$D$17))</f>
        <v/>
      </c>
      <c r="F206" s="119"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19" t="str">
        <f aca="false">IF($L206="","",IF(SUMIFS(Overrides!$D$9:$D$108,Overrides!$B$9:$B$108,$C206,Overrides!$C$9:$C$108,$L206)&gt;0,SUMIFS(Overrides!$D$9:$D$108,Overrides!$B$9:$B$108,$C206,Overrides!$C$9:$C$108,$L206),$L206))</f>
        <v/>
      </c>
      <c r="H206" s="120" t="n">
        <f aca="false">IF($G206="",0,IF(AND($G206&gt;='Cash Flow'!$E$6,$G206&lt;'Cash Flow'!$E$6+91),1,0))</f>
        <v>0</v>
      </c>
      <c r="I206" s="120" t="str">
        <f aca="false">IF($H206=1,MAX(1,INT(($G206-'Cash Flow'!$E$6)/7)+1),"")</f>
        <v/>
      </c>
      <c r="J206" s="8" t="str">
        <f aca="false">IF($H206=1,$G206*10000+ROW(),"")</f>
        <v/>
      </c>
      <c r="K206" s="8" t="str">
        <f aca="false">IF($H206=1,$I206*1000+COUNTIFS($I$4:$I$483,$I206,$J$4:$J$483,"&lt;"&amp;$J206)+1,"")</f>
        <v/>
      </c>
      <c r="L206" s="121"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17" t="n">
        <v>13</v>
      </c>
      <c r="B207" s="117" t="n">
        <v>12</v>
      </c>
      <c r="C207" s="8" t="str">
        <f aca="false">IF(OR(Recurring!$B$17="",Recurring!$H$17&lt;&gt;"Yes",Recurring!$D$17=""),"",Recurring!$B$17)</f>
        <v/>
      </c>
      <c r="D207" s="8" t="str">
        <f aca="false">IF($C207="","",Recurring!$C$17)</f>
        <v/>
      </c>
      <c r="E207" s="118" t="str">
        <f aca="false">IF($C207="","",IF(SUMIFS(Overrides!$E$9:$E$108,Overrides!$B$9:$B$108,$C207,Overrides!$C$9:$C$108,$L207)&gt;0,SUMIFS(Overrides!$E$9:$E$108,Overrides!$B$9:$B$108,$C207,Overrides!$C$9:$C$108,$L207),Recurring!$D$17))</f>
        <v/>
      </c>
      <c r="F207" s="119"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19" t="str">
        <f aca="false">IF($L207="","",IF(SUMIFS(Overrides!$D$9:$D$108,Overrides!$B$9:$B$108,$C207,Overrides!$C$9:$C$108,$L207)&gt;0,SUMIFS(Overrides!$D$9:$D$108,Overrides!$B$9:$B$108,$C207,Overrides!$C$9:$C$108,$L207),$L207))</f>
        <v/>
      </c>
      <c r="H207" s="120" t="n">
        <f aca="false">IF($G207="",0,IF(AND($G207&gt;='Cash Flow'!$E$6,$G207&lt;'Cash Flow'!$E$6+91),1,0))</f>
        <v>0</v>
      </c>
      <c r="I207" s="120" t="str">
        <f aca="false">IF($H207=1,MAX(1,INT(($G207-'Cash Flow'!$E$6)/7)+1),"")</f>
        <v/>
      </c>
      <c r="J207" s="8" t="str">
        <f aca="false">IF($H207=1,$G207*10000+ROW(),"")</f>
        <v/>
      </c>
      <c r="K207" s="8" t="str">
        <f aca="false">IF($H207=1,$I207*1000+COUNTIFS($I$4:$I$483,$I207,$J$4:$J$483,"&lt;"&amp;$J207)+1,"")</f>
        <v/>
      </c>
      <c r="L207" s="121"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17" t="n">
        <v>13</v>
      </c>
      <c r="B208" s="117" t="n">
        <v>13</v>
      </c>
      <c r="C208" s="8" t="str">
        <f aca="false">IF(OR(Recurring!$B$17="",Recurring!$H$17&lt;&gt;"Yes",Recurring!$D$17=""),"",Recurring!$B$17)</f>
        <v/>
      </c>
      <c r="D208" s="8" t="str">
        <f aca="false">IF($C208="","",Recurring!$C$17)</f>
        <v/>
      </c>
      <c r="E208" s="118" t="str">
        <f aca="false">IF($C208="","",IF(SUMIFS(Overrides!$E$9:$E$108,Overrides!$B$9:$B$108,$C208,Overrides!$C$9:$C$108,$L208)&gt;0,SUMIFS(Overrides!$E$9:$E$108,Overrides!$B$9:$B$108,$C208,Overrides!$C$9:$C$108,$L208),Recurring!$D$17))</f>
        <v/>
      </c>
      <c r="F208" s="119"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19" t="str">
        <f aca="false">IF($L208="","",IF(SUMIFS(Overrides!$D$9:$D$108,Overrides!$B$9:$B$108,$C208,Overrides!$C$9:$C$108,$L208)&gt;0,SUMIFS(Overrides!$D$9:$D$108,Overrides!$B$9:$B$108,$C208,Overrides!$C$9:$C$108,$L208),$L208))</f>
        <v/>
      </c>
      <c r="H208" s="120" t="n">
        <f aca="false">IF($G208="",0,IF(AND($G208&gt;='Cash Flow'!$E$6,$G208&lt;'Cash Flow'!$E$6+91),1,0))</f>
        <v>0</v>
      </c>
      <c r="I208" s="120" t="str">
        <f aca="false">IF($H208=1,MAX(1,INT(($G208-'Cash Flow'!$E$6)/7)+1),"")</f>
        <v/>
      </c>
      <c r="J208" s="8" t="str">
        <f aca="false">IF($H208=1,$G208*10000+ROW(),"")</f>
        <v/>
      </c>
      <c r="K208" s="8" t="str">
        <f aca="false">IF($H208=1,$I208*1000+COUNTIFS($I$4:$I$483,$I208,$J$4:$J$483,"&lt;"&amp;$J208)+1,"")</f>
        <v/>
      </c>
      <c r="L208" s="121"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17" t="n">
        <v>13</v>
      </c>
      <c r="B209" s="117" t="n">
        <v>14</v>
      </c>
      <c r="C209" s="8" t="str">
        <f aca="false">IF(OR(Recurring!$B$17="",Recurring!$H$17&lt;&gt;"Yes",Recurring!$D$17=""),"",Recurring!$B$17)</f>
        <v/>
      </c>
      <c r="D209" s="8" t="str">
        <f aca="false">IF($C209="","",Recurring!$C$17)</f>
        <v/>
      </c>
      <c r="E209" s="118" t="str">
        <f aca="false">IF($C209="","",IF(SUMIFS(Overrides!$E$9:$E$108,Overrides!$B$9:$B$108,$C209,Overrides!$C$9:$C$108,$L209)&gt;0,SUMIFS(Overrides!$E$9:$E$108,Overrides!$B$9:$B$108,$C209,Overrides!$C$9:$C$108,$L209),Recurring!$D$17))</f>
        <v/>
      </c>
      <c r="F209" s="119"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19" t="str">
        <f aca="false">IF($L209="","",IF(SUMIFS(Overrides!$D$9:$D$108,Overrides!$B$9:$B$108,$C209,Overrides!$C$9:$C$108,$L209)&gt;0,SUMIFS(Overrides!$D$9:$D$108,Overrides!$B$9:$B$108,$C209,Overrides!$C$9:$C$108,$L209),$L209))</f>
        <v/>
      </c>
      <c r="H209" s="120" t="n">
        <f aca="false">IF($G209="",0,IF(AND($G209&gt;='Cash Flow'!$E$6,$G209&lt;'Cash Flow'!$E$6+91),1,0))</f>
        <v>0</v>
      </c>
      <c r="I209" s="120" t="str">
        <f aca="false">IF($H209=1,MAX(1,INT(($G209-'Cash Flow'!$E$6)/7)+1),"")</f>
        <v/>
      </c>
      <c r="J209" s="8" t="str">
        <f aca="false">IF($H209=1,$G209*10000+ROW(),"")</f>
        <v/>
      </c>
      <c r="K209" s="8" t="str">
        <f aca="false">IF($H209=1,$I209*1000+COUNTIFS($I$4:$I$483,$I209,$J$4:$J$483,"&lt;"&amp;$J209)+1,"")</f>
        <v/>
      </c>
      <c r="L209" s="121"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17" t="n">
        <v>13</v>
      </c>
      <c r="B210" s="117" t="n">
        <v>15</v>
      </c>
      <c r="C210" s="8" t="str">
        <f aca="false">IF(OR(Recurring!$B$17="",Recurring!$H$17&lt;&gt;"Yes",Recurring!$D$17=""),"",Recurring!$B$17)</f>
        <v/>
      </c>
      <c r="D210" s="8" t="str">
        <f aca="false">IF($C210="","",Recurring!$C$17)</f>
        <v/>
      </c>
      <c r="E210" s="118" t="str">
        <f aca="false">IF($C210="","",IF(SUMIFS(Overrides!$E$9:$E$108,Overrides!$B$9:$B$108,$C210,Overrides!$C$9:$C$108,$L210)&gt;0,SUMIFS(Overrides!$E$9:$E$108,Overrides!$B$9:$B$108,$C210,Overrides!$C$9:$C$108,$L210),Recurring!$D$17))</f>
        <v/>
      </c>
      <c r="F210" s="119"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19" t="str">
        <f aca="false">IF($L210="","",IF(SUMIFS(Overrides!$D$9:$D$108,Overrides!$B$9:$B$108,$C210,Overrides!$C$9:$C$108,$L210)&gt;0,SUMIFS(Overrides!$D$9:$D$108,Overrides!$B$9:$B$108,$C210,Overrides!$C$9:$C$108,$L210),$L210))</f>
        <v/>
      </c>
      <c r="H210" s="120" t="n">
        <f aca="false">IF($G210="",0,IF(AND($G210&gt;='Cash Flow'!$E$6,$G210&lt;'Cash Flow'!$E$6+91),1,0))</f>
        <v>0</v>
      </c>
      <c r="I210" s="120" t="str">
        <f aca="false">IF($H210=1,MAX(1,INT(($G210-'Cash Flow'!$E$6)/7)+1),"")</f>
        <v/>
      </c>
      <c r="J210" s="8" t="str">
        <f aca="false">IF($H210=1,$G210*10000+ROW(),"")</f>
        <v/>
      </c>
      <c r="K210" s="8" t="str">
        <f aca="false">IF($H210=1,$I210*1000+COUNTIFS($I$4:$I$483,$I210,$J$4:$J$483,"&lt;"&amp;$J210)+1,"")</f>
        <v/>
      </c>
      <c r="L210" s="121"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17" t="n">
        <v>13</v>
      </c>
      <c r="B211" s="117" t="n">
        <v>16</v>
      </c>
      <c r="C211" s="8" t="str">
        <f aca="false">IF(OR(Recurring!$B$17="",Recurring!$H$17&lt;&gt;"Yes",Recurring!$D$17=""),"",Recurring!$B$17)</f>
        <v/>
      </c>
      <c r="D211" s="8" t="str">
        <f aca="false">IF($C211="","",Recurring!$C$17)</f>
        <v/>
      </c>
      <c r="E211" s="118" t="str">
        <f aca="false">IF($C211="","",IF(SUMIFS(Overrides!$E$9:$E$108,Overrides!$B$9:$B$108,$C211,Overrides!$C$9:$C$108,$L211)&gt;0,SUMIFS(Overrides!$E$9:$E$108,Overrides!$B$9:$B$108,$C211,Overrides!$C$9:$C$108,$L211),Recurring!$D$17))</f>
        <v/>
      </c>
      <c r="F211" s="119"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19" t="str">
        <f aca="false">IF($L211="","",IF(SUMIFS(Overrides!$D$9:$D$108,Overrides!$B$9:$B$108,$C211,Overrides!$C$9:$C$108,$L211)&gt;0,SUMIFS(Overrides!$D$9:$D$108,Overrides!$B$9:$B$108,$C211,Overrides!$C$9:$C$108,$L211),$L211))</f>
        <v/>
      </c>
      <c r="H211" s="120" t="n">
        <f aca="false">IF($G211="",0,IF(AND($G211&gt;='Cash Flow'!$E$6,$G211&lt;'Cash Flow'!$E$6+91),1,0))</f>
        <v>0</v>
      </c>
      <c r="I211" s="120" t="str">
        <f aca="false">IF($H211=1,MAX(1,INT(($G211-'Cash Flow'!$E$6)/7)+1),"")</f>
        <v/>
      </c>
      <c r="J211" s="8" t="str">
        <f aca="false">IF($H211=1,$G211*10000+ROW(),"")</f>
        <v/>
      </c>
      <c r="K211" s="8" t="str">
        <f aca="false">IF($H211=1,$I211*1000+COUNTIFS($I$4:$I$483,$I211,$J$4:$J$483,"&lt;"&amp;$J211)+1,"")</f>
        <v/>
      </c>
      <c r="L211" s="121"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17" t="n">
        <v>14</v>
      </c>
      <c r="B212" s="117" t="n">
        <v>1</v>
      </c>
      <c r="C212" s="8" t="str">
        <f aca="false">IF(OR(Recurring!$B$18="",Recurring!$H$18&lt;&gt;"Yes",Recurring!$D$18=""),"",Recurring!$B$18)</f>
        <v>Microsoft</v>
      </c>
      <c r="D212" s="8" t="str">
        <f aca="false">IF($C212="","",Recurring!$C$18)</f>
        <v>Expense</v>
      </c>
      <c r="E212" s="118" t="n">
        <f aca="false">IF($C212="","",IF(SUMIFS(Overrides!$E$9:$E$108,Overrides!$B$9:$B$108,$C212,Overrides!$C$9:$C$108,$L212)&gt;0,SUMIFS(Overrides!$E$9:$E$108,Overrides!$B$9:$B$108,$C212,Overrides!$C$9:$C$108,$L212),Recurring!$D$18))</f>
        <v>13.7</v>
      </c>
      <c r="F212" s="119"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19" t="n">
        <f aca="false">IF($L212="","",IF(SUMIFS(Overrides!$D$9:$D$108,Overrides!$B$9:$B$108,$C212,Overrides!$C$9:$C$108,$L212)&gt;0,SUMIFS(Overrides!$D$9:$D$108,Overrides!$B$9:$B$108,$C212,Overrides!$C$9:$C$108,$L212),$L212))</f>
        <v>46256</v>
      </c>
      <c r="H212" s="120" t="n">
        <f aca="false">IF($G212="",0,IF(AND($G212&gt;='Cash Flow'!$E$6-90,$G212&lt;'Cash Flow'!$E$6+91),1,0))</f>
        <v>1</v>
      </c>
      <c r="I212" s="120" t="n">
        <f aca="false">IF($H212=1,MAX(1,INT(($G212-'Cash Flow'!$E$6)/7)+1),"")</f>
        <v>2</v>
      </c>
      <c r="J212" s="8" t="n">
        <f aca="false">IF($H212=1,$G212*10000+ROW(),"")</f>
        <v>462560212</v>
      </c>
      <c r="K212" s="8" t="n">
        <f aca="false">IF($H212=1,$I212*1000+COUNTIFS($I$4:$I$483,$I212,$J$4:$J$483,"&lt;"&amp;$J212)+1,"")</f>
        <v>2001</v>
      </c>
      <c r="L212" s="121"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17" t="n">
        <v>14</v>
      </c>
      <c r="B213" s="117" t="n">
        <v>2</v>
      </c>
      <c r="C213" s="8" t="str">
        <f aca="false">IF(OR(Recurring!$B$18="",Recurring!$H$18&lt;&gt;"Yes",Recurring!$D$18=""),"",Recurring!$B$18)</f>
        <v>Microsoft</v>
      </c>
      <c r="D213" s="8" t="str">
        <f aca="false">IF($C213="","",Recurring!$C$18)</f>
        <v>Expense</v>
      </c>
      <c r="E213" s="118" t="n">
        <f aca="false">IF($C213="","",IF(SUMIFS(Overrides!$E$9:$E$108,Overrides!$B$9:$B$108,$C213,Overrides!$C$9:$C$108,$L213)&gt;0,SUMIFS(Overrides!$E$9:$E$108,Overrides!$B$9:$B$108,$C213,Overrides!$C$9:$C$108,$L213),Recurring!$D$18))</f>
        <v>13.7</v>
      </c>
      <c r="F213" s="119"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19" t="n">
        <f aca="false">IF($L213="","",IF(SUMIFS(Overrides!$D$9:$D$108,Overrides!$B$9:$B$108,$C213,Overrides!$C$9:$C$108,$L213)&gt;0,SUMIFS(Overrides!$D$9:$D$108,Overrides!$B$9:$B$108,$C213,Overrides!$C$9:$C$108,$L213),$L213))</f>
        <v>46287</v>
      </c>
      <c r="H213" s="120" t="n">
        <f aca="false">IF($G213="",0,IF(AND($G213&gt;='Cash Flow'!$E$6,$G213&lt;'Cash Flow'!$E$6+91),1,0))</f>
        <v>1</v>
      </c>
      <c r="I213" s="120" t="n">
        <f aca="false">IF($H213=1,MAX(1,INT(($G213-'Cash Flow'!$E$6)/7)+1),"")</f>
        <v>6</v>
      </c>
      <c r="J213" s="8" t="n">
        <f aca="false">IF($H213=1,$G213*10000+ROW(),"")</f>
        <v>462870213</v>
      </c>
      <c r="K213" s="8" t="n">
        <f aca="false">IF($H213=1,$I213*1000+COUNTIFS($I$4:$I$483,$I213,$J$4:$J$483,"&lt;"&amp;$J213)+1,"")</f>
        <v>6002</v>
      </c>
      <c r="L213" s="121"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17" t="n">
        <v>14</v>
      </c>
      <c r="B214" s="117" t="n">
        <v>3</v>
      </c>
      <c r="C214" s="8" t="str">
        <f aca="false">IF(OR(Recurring!$B$18="",Recurring!$H$18&lt;&gt;"Yes",Recurring!$D$18=""),"",Recurring!$B$18)</f>
        <v>Microsoft</v>
      </c>
      <c r="D214" s="8" t="str">
        <f aca="false">IF($C214="","",Recurring!$C$18)</f>
        <v>Expense</v>
      </c>
      <c r="E214" s="118" t="n">
        <f aca="false">IF($C214="","",IF(SUMIFS(Overrides!$E$9:$E$108,Overrides!$B$9:$B$108,$C214,Overrides!$C$9:$C$108,$L214)&gt;0,SUMIFS(Overrides!$E$9:$E$108,Overrides!$B$9:$B$108,$C214,Overrides!$C$9:$C$108,$L214),Recurring!$D$18))</f>
        <v>13.7</v>
      </c>
      <c r="F214" s="119"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19" t="n">
        <f aca="false">IF($L214="","",IF(SUMIFS(Overrides!$D$9:$D$108,Overrides!$B$9:$B$108,$C214,Overrides!$C$9:$C$108,$L214)&gt;0,SUMIFS(Overrides!$D$9:$D$108,Overrides!$B$9:$B$108,$C214,Overrides!$C$9:$C$108,$L214),$L214))</f>
        <v>46317</v>
      </c>
      <c r="H214" s="120" t="n">
        <f aca="false">IF($G214="",0,IF(AND($G214&gt;='Cash Flow'!$E$6,$G214&lt;'Cash Flow'!$E$6+91),1,0))</f>
        <v>1</v>
      </c>
      <c r="I214" s="120" t="n">
        <f aca="false">IF($H214=1,MAX(1,INT(($G214-'Cash Flow'!$E$6)/7)+1),"")</f>
        <v>10</v>
      </c>
      <c r="J214" s="8" t="n">
        <f aca="false">IF($H214=1,$G214*10000+ROW(),"")</f>
        <v>463170214</v>
      </c>
      <c r="K214" s="8" t="n">
        <f aca="false">IF($H214=1,$I214*1000+COUNTIFS($I$4:$I$483,$I214,$J$4:$J$483,"&lt;"&amp;$J214)+1,"")</f>
        <v>10003</v>
      </c>
      <c r="L214" s="121"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17" t="n">
        <v>14</v>
      </c>
      <c r="B215" s="117" t="n">
        <v>4</v>
      </c>
      <c r="C215" s="8" t="str">
        <f aca="false">IF(OR(Recurring!$B$18="",Recurring!$H$18&lt;&gt;"Yes",Recurring!$D$18=""),"",Recurring!$B$18)</f>
        <v>Microsoft</v>
      </c>
      <c r="D215" s="8" t="str">
        <f aca="false">IF($C215="","",Recurring!$C$18)</f>
        <v>Expense</v>
      </c>
      <c r="E215" s="118" t="n">
        <f aca="false">IF($C215="","",IF(SUMIFS(Overrides!$E$9:$E$108,Overrides!$B$9:$B$108,$C215,Overrides!$C$9:$C$108,$L215)&gt;0,SUMIFS(Overrides!$E$9:$E$108,Overrides!$B$9:$B$108,$C215,Overrides!$C$9:$C$108,$L215),Recurring!$D$18))</f>
        <v>13.7</v>
      </c>
      <c r="F215" s="119"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19" t="n">
        <f aca="false">IF($L215="","",IF(SUMIFS(Overrides!$D$9:$D$108,Overrides!$B$9:$B$108,$C215,Overrides!$C$9:$C$108,$L215)&gt;0,SUMIFS(Overrides!$D$9:$D$108,Overrides!$B$9:$B$108,$C215,Overrides!$C$9:$C$108,$L215),$L215))</f>
        <v>46348</v>
      </c>
      <c r="H215" s="120" t="n">
        <f aca="false">IF($G215="",0,IF(AND($G215&gt;='Cash Flow'!$E$6,$G215&lt;'Cash Flow'!$E$6+91),1,0))</f>
        <v>0</v>
      </c>
      <c r="I215" s="120" t="str">
        <f aca="false">IF($H215=1,MAX(1,INT(($G215-'Cash Flow'!$E$6)/7)+1),"")</f>
        <v/>
      </c>
      <c r="J215" s="8" t="str">
        <f aca="false">IF($H215=1,$G215*10000+ROW(),"")</f>
        <v/>
      </c>
      <c r="K215" s="8" t="str">
        <f aca="false">IF($H215=1,$I215*1000+COUNTIFS($I$4:$I$483,$I215,$J$4:$J$483,"&lt;"&amp;$J215)+1,"")</f>
        <v/>
      </c>
      <c r="L215" s="121"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17" t="n">
        <v>14</v>
      </c>
      <c r="B216" s="117" t="n">
        <v>5</v>
      </c>
      <c r="C216" s="8" t="str">
        <f aca="false">IF(OR(Recurring!$B$18="",Recurring!$H$18&lt;&gt;"Yes",Recurring!$D$18=""),"",Recurring!$B$18)</f>
        <v>Microsoft</v>
      </c>
      <c r="D216" s="8" t="str">
        <f aca="false">IF($C216="","",Recurring!$C$18)</f>
        <v>Expense</v>
      </c>
      <c r="E216" s="118" t="n">
        <f aca="false">IF($C216="","",IF(SUMIFS(Overrides!$E$9:$E$108,Overrides!$B$9:$B$108,$C216,Overrides!$C$9:$C$108,$L216)&gt;0,SUMIFS(Overrides!$E$9:$E$108,Overrides!$B$9:$B$108,$C216,Overrides!$C$9:$C$108,$L216),Recurring!$D$18))</f>
        <v>13.7</v>
      </c>
      <c r="F216" s="119"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19" t="n">
        <f aca="false">IF($L216="","",IF(SUMIFS(Overrides!$D$9:$D$108,Overrides!$B$9:$B$108,$C216,Overrides!$C$9:$C$108,$L216)&gt;0,SUMIFS(Overrides!$D$9:$D$108,Overrides!$B$9:$B$108,$C216,Overrides!$C$9:$C$108,$L216),$L216))</f>
        <v>46378</v>
      </c>
      <c r="H216" s="120" t="n">
        <f aca="false">IF($G216="",0,IF(AND($G216&gt;='Cash Flow'!$E$6,$G216&lt;'Cash Flow'!$E$6+91),1,0))</f>
        <v>0</v>
      </c>
      <c r="I216" s="120" t="str">
        <f aca="false">IF($H216=1,MAX(1,INT(($G216-'Cash Flow'!$E$6)/7)+1),"")</f>
        <v/>
      </c>
      <c r="J216" s="8" t="str">
        <f aca="false">IF($H216=1,$G216*10000+ROW(),"")</f>
        <v/>
      </c>
      <c r="K216" s="8" t="str">
        <f aca="false">IF($H216=1,$I216*1000+COUNTIFS($I$4:$I$483,$I216,$J$4:$J$483,"&lt;"&amp;$J216)+1,"")</f>
        <v/>
      </c>
      <c r="L216" s="121"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17" t="n">
        <v>14</v>
      </c>
      <c r="B217" s="117" t="n">
        <v>6</v>
      </c>
      <c r="C217" s="8" t="str">
        <f aca="false">IF(OR(Recurring!$B$18="",Recurring!$H$18&lt;&gt;"Yes",Recurring!$D$18=""),"",Recurring!$B$18)</f>
        <v>Microsoft</v>
      </c>
      <c r="D217" s="8" t="str">
        <f aca="false">IF($C217="","",Recurring!$C$18)</f>
        <v>Expense</v>
      </c>
      <c r="E217" s="118" t="n">
        <f aca="false">IF($C217="","",IF(SUMIFS(Overrides!$E$9:$E$108,Overrides!$B$9:$B$108,$C217,Overrides!$C$9:$C$108,$L217)&gt;0,SUMIFS(Overrides!$E$9:$E$108,Overrides!$B$9:$B$108,$C217,Overrides!$C$9:$C$108,$L217),Recurring!$D$18))</f>
        <v>13.7</v>
      </c>
      <c r="F217" s="119"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19" t="n">
        <f aca="false">IF($L217="","",IF(SUMIFS(Overrides!$D$9:$D$108,Overrides!$B$9:$B$108,$C217,Overrides!$C$9:$C$108,$L217)&gt;0,SUMIFS(Overrides!$D$9:$D$108,Overrides!$B$9:$B$108,$C217,Overrides!$C$9:$C$108,$L217),$L217))</f>
        <v>46409</v>
      </c>
      <c r="H217" s="120" t="n">
        <f aca="false">IF($G217="",0,IF(AND($G217&gt;='Cash Flow'!$E$6,$G217&lt;'Cash Flow'!$E$6+91),1,0))</f>
        <v>0</v>
      </c>
      <c r="I217" s="120" t="str">
        <f aca="false">IF($H217=1,MAX(1,INT(($G217-'Cash Flow'!$E$6)/7)+1),"")</f>
        <v/>
      </c>
      <c r="J217" s="8" t="str">
        <f aca="false">IF($H217=1,$G217*10000+ROW(),"")</f>
        <v/>
      </c>
      <c r="K217" s="8" t="str">
        <f aca="false">IF($H217=1,$I217*1000+COUNTIFS($I$4:$I$483,$I217,$J$4:$J$483,"&lt;"&amp;$J217)+1,"")</f>
        <v/>
      </c>
      <c r="L217" s="121"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17" t="n">
        <v>14</v>
      </c>
      <c r="B218" s="117" t="n">
        <v>7</v>
      </c>
      <c r="C218" s="8" t="str">
        <f aca="false">IF(OR(Recurring!$B$18="",Recurring!$H$18&lt;&gt;"Yes",Recurring!$D$18=""),"",Recurring!$B$18)</f>
        <v>Microsoft</v>
      </c>
      <c r="D218" s="8" t="str">
        <f aca="false">IF($C218="","",Recurring!$C$18)</f>
        <v>Expense</v>
      </c>
      <c r="E218" s="118" t="n">
        <f aca="false">IF($C218="","",IF(SUMIFS(Overrides!$E$9:$E$108,Overrides!$B$9:$B$108,$C218,Overrides!$C$9:$C$108,$L218)&gt;0,SUMIFS(Overrides!$E$9:$E$108,Overrides!$B$9:$B$108,$C218,Overrides!$C$9:$C$108,$L218),Recurring!$D$18))</f>
        <v>13.7</v>
      </c>
      <c r="F218" s="119"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19" t="n">
        <f aca="false">IF($L218="","",IF(SUMIFS(Overrides!$D$9:$D$108,Overrides!$B$9:$B$108,$C218,Overrides!$C$9:$C$108,$L218)&gt;0,SUMIFS(Overrides!$D$9:$D$108,Overrides!$B$9:$B$108,$C218,Overrides!$C$9:$C$108,$L218),$L218))</f>
        <v>46440</v>
      </c>
      <c r="H218" s="120" t="n">
        <f aca="false">IF($G218="",0,IF(AND($G218&gt;='Cash Flow'!$E$6,$G218&lt;'Cash Flow'!$E$6+91),1,0))</f>
        <v>0</v>
      </c>
      <c r="I218" s="120" t="str">
        <f aca="false">IF($H218=1,MAX(1,INT(($G218-'Cash Flow'!$E$6)/7)+1),"")</f>
        <v/>
      </c>
      <c r="J218" s="8" t="str">
        <f aca="false">IF($H218=1,$G218*10000+ROW(),"")</f>
        <v/>
      </c>
      <c r="K218" s="8" t="str">
        <f aca="false">IF($H218=1,$I218*1000+COUNTIFS($I$4:$I$483,$I218,$J$4:$J$483,"&lt;"&amp;$J218)+1,"")</f>
        <v/>
      </c>
      <c r="L218" s="121"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17" t="n">
        <v>14</v>
      </c>
      <c r="B219" s="117" t="n">
        <v>8</v>
      </c>
      <c r="C219" s="8" t="str">
        <f aca="false">IF(OR(Recurring!$B$18="",Recurring!$H$18&lt;&gt;"Yes",Recurring!$D$18=""),"",Recurring!$B$18)</f>
        <v>Microsoft</v>
      </c>
      <c r="D219" s="8" t="str">
        <f aca="false">IF($C219="","",Recurring!$C$18)</f>
        <v>Expense</v>
      </c>
      <c r="E219" s="118" t="n">
        <f aca="false">IF($C219="","",IF(SUMIFS(Overrides!$E$9:$E$108,Overrides!$B$9:$B$108,$C219,Overrides!$C$9:$C$108,$L219)&gt;0,SUMIFS(Overrides!$E$9:$E$108,Overrides!$B$9:$B$108,$C219,Overrides!$C$9:$C$108,$L219),Recurring!$D$18))</f>
        <v>13.7</v>
      </c>
      <c r="F219" s="119"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19" t="n">
        <f aca="false">IF($L219="","",IF(SUMIFS(Overrides!$D$9:$D$108,Overrides!$B$9:$B$108,$C219,Overrides!$C$9:$C$108,$L219)&gt;0,SUMIFS(Overrides!$D$9:$D$108,Overrides!$B$9:$B$108,$C219,Overrides!$C$9:$C$108,$L219),$L219))</f>
        <v>46468</v>
      </c>
      <c r="H219" s="120" t="n">
        <f aca="false">IF($G219="",0,IF(AND($G219&gt;='Cash Flow'!$E$6,$G219&lt;'Cash Flow'!$E$6+91),1,0))</f>
        <v>0</v>
      </c>
      <c r="I219" s="120" t="str">
        <f aca="false">IF($H219=1,MAX(1,INT(($G219-'Cash Flow'!$E$6)/7)+1),"")</f>
        <v/>
      </c>
      <c r="J219" s="8" t="str">
        <f aca="false">IF($H219=1,$G219*10000+ROW(),"")</f>
        <v/>
      </c>
      <c r="K219" s="8" t="str">
        <f aca="false">IF($H219=1,$I219*1000+COUNTIFS($I$4:$I$483,$I219,$J$4:$J$483,"&lt;"&amp;$J219)+1,"")</f>
        <v/>
      </c>
      <c r="L219" s="121"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17" t="n">
        <v>14</v>
      </c>
      <c r="B220" s="117" t="n">
        <v>9</v>
      </c>
      <c r="C220" s="8" t="str">
        <f aca="false">IF(OR(Recurring!$B$18="",Recurring!$H$18&lt;&gt;"Yes",Recurring!$D$18=""),"",Recurring!$B$18)</f>
        <v>Microsoft</v>
      </c>
      <c r="D220" s="8" t="str">
        <f aca="false">IF($C220="","",Recurring!$C$18)</f>
        <v>Expense</v>
      </c>
      <c r="E220" s="118" t="n">
        <f aca="false">IF($C220="","",IF(SUMIFS(Overrides!$E$9:$E$108,Overrides!$B$9:$B$108,$C220,Overrides!$C$9:$C$108,$L220)&gt;0,SUMIFS(Overrides!$E$9:$E$108,Overrides!$B$9:$B$108,$C220,Overrides!$C$9:$C$108,$L220),Recurring!$D$18))</f>
        <v>13.7</v>
      </c>
      <c r="F220" s="119"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19" t="n">
        <f aca="false">IF($L220="","",IF(SUMIFS(Overrides!$D$9:$D$108,Overrides!$B$9:$B$108,$C220,Overrides!$C$9:$C$108,$L220)&gt;0,SUMIFS(Overrides!$D$9:$D$108,Overrides!$B$9:$B$108,$C220,Overrides!$C$9:$C$108,$L220),$L220))</f>
        <v>46499</v>
      </c>
      <c r="H220" s="120" t="n">
        <f aca="false">IF($G220="",0,IF(AND($G220&gt;='Cash Flow'!$E$6,$G220&lt;'Cash Flow'!$E$6+91),1,0))</f>
        <v>0</v>
      </c>
      <c r="I220" s="120" t="str">
        <f aca="false">IF($H220=1,MAX(1,INT(($G220-'Cash Flow'!$E$6)/7)+1),"")</f>
        <v/>
      </c>
      <c r="J220" s="8" t="str">
        <f aca="false">IF($H220=1,$G220*10000+ROW(),"")</f>
        <v/>
      </c>
      <c r="K220" s="8" t="str">
        <f aca="false">IF($H220=1,$I220*1000+COUNTIFS($I$4:$I$483,$I220,$J$4:$J$483,"&lt;"&amp;$J220)+1,"")</f>
        <v/>
      </c>
      <c r="L220" s="121"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17" t="n">
        <v>14</v>
      </c>
      <c r="B221" s="117" t="n">
        <v>10</v>
      </c>
      <c r="C221" s="8" t="str">
        <f aca="false">IF(OR(Recurring!$B$18="",Recurring!$H$18&lt;&gt;"Yes",Recurring!$D$18=""),"",Recurring!$B$18)</f>
        <v>Microsoft</v>
      </c>
      <c r="D221" s="8" t="str">
        <f aca="false">IF($C221="","",Recurring!$C$18)</f>
        <v>Expense</v>
      </c>
      <c r="E221" s="118" t="n">
        <f aca="false">IF($C221="","",IF(SUMIFS(Overrides!$E$9:$E$108,Overrides!$B$9:$B$108,$C221,Overrides!$C$9:$C$108,$L221)&gt;0,SUMIFS(Overrides!$E$9:$E$108,Overrides!$B$9:$B$108,$C221,Overrides!$C$9:$C$108,$L221),Recurring!$D$18))</f>
        <v>13.7</v>
      </c>
      <c r="F221" s="119"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19" t="n">
        <f aca="false">IF($L221="","",IF(SUMIFS(Overrides!$D$9:$D$108,Overrides!$B$9:$B$108,$C221,Overrides!$C$9:$C$108,$L221)&gt;0,SUMIFS(Overrides!$D$9:$D$108,Overrides!$B$9:$B$108,$C221,Overrides!$C$9:$C$108,$L221),$L221))</f>
        <v>46529</v>
      </c>
      <c r="H221" s="120" t="n">
        <f aca="false">IF($G221="",0,IF(AND($G221&gt;='Cash Flow'!$E$6,$G221&lt;'Cash Flow'!$E$6+91),1,0))</f>
        <v>0</v>
      </c>
      <c r="I221" s="120" t="str">
        <f aca="false">IF($H221=1,MAX(1,INT(($G221-'Cash Flow'!$E$6)/7)+1),"")</f>
        <v/>
      </c>
      <c r="J221" s="8" t="str">
        <f aca="false">IF($H221=1,$G221*10000+ROW(),"")</f>
        <v/>
      </c>
      <c r="K221" s="8" t="str">
        <f aca="false">IF($H221=1,$I221*1000+COUNTIFS($I$4:$I$483,$I221,$J$4:$J$483,"&lt;"&amp;$J221)+1,"")</f>
        <v/>
      </c>
      <c r="L221" s="121"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17" t="n">
        <v>14</v>
      </c>
      <c r="B222" s="117" t="n">
        <v>11</v>
      </c>
      <c r="C222" s="8" t="str">
        <f aca="false">IF(OR(Recurring!$B$18="",Recurring!$H$18&lt;&gt;"Yes",Recurring!$D$18=""),"",Recurring!$B$18)</f>
        <v>Microsoft</v>
      </c>
      <c r="D222" s="8" t="str">
        <f aca="false">IF($C222="","",Recurring!$C$18)</f>
        <v>Expense</v>
      </c>
      <c r="E222" s="118" t="n">
        <f aca="false">IF($C222="","",IF(SUMIFS(Overrides!$E$9:$E$108,Overrides!$B$9:$B$108,$C222,Overrides!$C$9:$C$108,$L222)&gt;0,SUMIFS(Overrides!$E$9:$E$108,Overrides!$B$9:$B$108,$C222,Overrides!$C$9:$C$108,$L222),Recurring!$D$18))</f>
        <v>13.7</v>
      </c>
      <c r="F222" s="119"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19" t="n">
        <f aca="false">IF($L222="","",IF(SUMIFS(Overrides!$D$9:$D$108,Overrides!$B$9:$B$108,$C222,Overrides!$C$9:$C$108,$L222)&gt;0,SUMIFS(Overrides!$D$9:$D$108,Overrides!$B$9:$B$108,$C222,Overrides!$C$9:$C$108,$L222),$L222))</f>
        <v>46560</v>
      </c>
      <c r="H222" s="120" t="n">
        <f aca="false">IF($G222="",0,IF(AND($G222&gt;='Cash Flow'!$E$6,$G222&lt;'Cash Flow'!$E$6+91),1,0))</f>
        <v>0</v>
      </c>
      <c r="I222" s="120" t="str">
        <f aca="false">IF($H222=1,MAX(1,INT(($G222-'Cash Flow'!$E$6)/7)+1),"")</f>
        <v/>
      </c>
      <c r="J222" s="8" t="str">
        <f aca="false">IF($H222=1,$G222*10000+ROW(),"")</f>
        <v/>
      </c>
      <c r="K222" s="8" t="str">
        <f aca="false">IF($H222=1,$I222*1000+COUNTIFS($I$4:$I$483,$I222,$J$4:$J$483,"&lt;"&amp;$J222)+1,"")</f>
        <v/>
      </c>
      <c r="L222" s="121"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17" t="n">
        <v>14</v>
      </c>
      <c r="B223" s="117" t="n">
        <v>12</v>
      </c>
      <c r="C223" s="8" t="str">
        <f aca="false">IF(OR(Recurring!$B$18="",Recurring!$H$18&lt;&gt;"Yes",Recurring!$D$18=""),"",Recurring!$B$18)</f>
        <v>Microsoft</v>
      </c>
      <c r="D223" s="8" t="str">
        <f aca="false">IF($C223="","",Recurring!$C$18)</f>
        <v>Expense</v>
      </c>
      <c r="E223" s="118" t="n">
        <f aca="false">IF($C223="","",IF(SUMIFS(Overrides!$E$9:$E$108,Overrides!$B$9:$B$108,$C223,Overrides!$C$9:$C$108,$L223)&gt;0,SUMIFS(Overrides!$E$9:$E$108,Overrides!$B$9:$B$108,$C223,Overrides!$C$9:$C$108,$L223),Recurring!$D$18))</f>
        <v>13.7</v>
      </c>
      <c r="F223" s="119"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19" t="n">
        <f aca="false">IF($L223="","",IF(SUMIFS(Overrides!$D$9:$D$108,Overrides!$B$9:$B$108,$C223,Overrides!$C$9:$C$108,$L223)&gt;0,SUMIFS(Overrides!$D$9:$D$108,Overrides!$B$9:$B$108,$C223,Overrides!$C$9:$C$108,$L223),$L223))</f>
        <v>46590</v>
      </c>
      <c r="H223" s="120" t="n">
        <f aca="false">IF($G223="",0,IF(AND($G223&gt;='Cash Flow'!$E$6,$G223&lt;'Cash Flow'!$E$6+91),1,0))</f>
        <v>0</v>
      </c>
      <c r="I223" s="120" t="str">
        <f aca="false">IF($H223=1,MAX(1,INT(($G223-'Cash Flow'!$E$6)/7)+1),"")</f>
        <v/>
      </c>
      <c r="J223" s="8" t="str">
        <f aca="false">IF($H223=1,$G223*10000+ROW(),"")</f>
        <v/>
      </c>
      <c r="K223" s="8" t="str">
        <f aca="false">IF($H223=1,$I223*1000+COUNTIFS($I$4:$I$483,$I223,$J$4:$J$483,"&lt;"&amp;$J223)+1,"")</f>
        <v/>
      </c>
      <c r="L223" s="121"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17" t="n">
        <v>14</v>
      </c>
      <c r="B224" s="117" t="n">
        <v>13</v>
      </c>
      <c r="C224" s="8" t="str">
        <f aca="false">IF(OR(Recurring!$B$18="",Recurring!$H$18&lt;&gt;"Yes",Recurring!$D$18=""),"",Recurring!$B$18)</f>
        <v>Microsoft</v>
      </c>
      <c r="D224" s="8" t="str">
        <f aca="false">IF($C224="","",Recurring!$C$18)</f>
        <v>Expense</v>
      </c>
      <c r="E224" s="118" t="n">
        <f aca="false">IF($C224="","",IF(SUMIFS(Overrides!$E$9:$E$108,Overrides!$B$9:$B$108,$C224,Overrides!$C$9:$C$108,$L224)&gt;0,SUMIFS(Overrides!$E$9:$E$108,Overrides!$B$9:$B$108,$C224,Overrides!$C$9:$C$108,$L224),Recurring!$D$18))</f>
        <v>13.7</v>
      </c>
      <c r="F224" s="119"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19" t="n">
        <f aca="false">IF($L224="","",IF(SUMIFS(Overrides!$D$9:$D$108,Overrides!$B$9:$B$108,$C224,Overrides!$C$9:$C$108,$L224)&gt;0,SUMIFS(Overrides!$D$9:$D$108,Overrides!$B$9:$B$108,$C224,Overrides!$C$9:$C$108,$L224),$L224))</f>
        <v>46621</v>
      </c>
      <c r="H224" s="120" t="n">
        <f aca="false">IF($G224="",0,IF(AND($G224&gt;='Cash Flow'!$E$6,$G224&lt;'Cash Flow'!$E$6+91),1,0))</f>
        <v>0</v>
      </c>
      <c r="I224" s="120" t="str">
        <f aca="false">IF($H224=1,MAX(1,INT(($G224-'Cash Flow'!$E$6)/7)+1),"")</f>
        <v/>
      </c>
      <c r="J224" s="8" t="str">
        <f aca="false">IF($H224=1,$G224*10000+ROW(),"")</f>
        <v/>
      </c>
      <c r="K224" s="8" t="str">
        <f aca="false">IF($H224=1,$I224*1000+COUNTIFS($I$4:$I$483,$I224,$J$4:$J$483,"&lt;"&amp;$J224)+1,"")</f>
        <v/>
      </c>
      <c r="L224" s="121"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17" t="n">
        <v>14</v>
      </c>
      <c r="B225" s="117" t="n">
        <v>14</v>
      </c>
      <c r="C225" s="8" t="str">
        <f aca="false">IF(OR(Recurring!$B$18="",Recurring!$H$18&lt;&gt;"Yes",Recurring!$D$18=""),"",Recurring!$B$18)</f>
        <v>Microsoft</v>
      </c>
      <c r="D225" s="8" t="str">
        <f aca="false">IF($C225="","",Recurring!$C$18)</f>
        <v>Expense</v>
      </c>
      <c r="E225" s="118" t="n">
        <f aca="false">IF($C225="","",IF(SUMIFS(Overrides!$E$9:$E$108,Overrides!$B$9:$B$108,$C225,Overrides!$C$9:$C$108,$L225)&gt;0,SUMIFS(Overrides!$E$9:$E$108,Overrides!$B$9:$B$108,$C225,Overrides!$C$9:$C$108,$L225),Recurring!$D$18))</f>
        <v>13.7</v>
      </c>
      <c r="F225" s="119"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19" t="n">
        <f aca="false">IF($L225="","",IF(SUMIFS(Overrides!$D$9:$D$108,Overrides!$B$9:$B$108,$C225,Overrides!$C$9:$C$108,$L225)&gt;0,SUMIFS(Overrides!$D$9:$D$108,Overrides!$B$9:$B$108,$C225,Overrides!$C$9:$C$108,$L225),$L225))</f>
        <v>46652</v>
      </c>
      <c r="H225" s="120" t="n">
        <f aca="false">IF($G225="",0,IF(AND($G225&gt;='Cash Flow'!$E$6,$G225&lt;'Cash Flow'!$E$6+91),1,0))</f>
        <v>0</v>
      </c>
      <c r="I225" s="120" t="str">
        <f aca="false">IF($H225=1,MAX(1,INT(($G225-'Cash Flow'!$E$6)/7)+1),"")</f>
        <v/>
      </c>
      <c r="J225" s="8" t="str">
        <f aca="false">IF($H225=1,$G225*10000+ROW(),"")</f>
        <v/>
      </c>
      <c r="K225" s="8" t="str">
        <f aca="false">IF($H225=1,$I225*1000+COUNTIFS($I$4:$I$483,$I225,$J$4:$J$483,"&lt;"&amp;$J225)+1,"")</f>
        <v/>
      </c>
      <c r="L225" s="121"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17" t="n">
        <v>14</v>
      </c>
      <c r="B226" s="117" t="n">
        <v>15</v>
      </c>
      <c r="C226" s="8" t="str">
        <f aca="false">IF(OR(Recurring!$B$18="",Recurring!$H$18&lt;&gt;"Yes",Recurring!$D$18=""),"",Recurring!$B$18)</f>
        <v>Microsoft</v>
      </c>
      <c r="D226" s="8" t="str">
        <f aca="false">IF($C226="","",Recurring!$C$18)</f>
        <v>Expense</v>
      </c>
      <c r="E226" s="118" t="n">
        <f aca="false">IF($C226="","",IF(SUMIFS(Overrides!$E$9:$E$108,Overrides!$B$9:$B$108,$C226,Overrides!$C$9:$C$108,$L226)&gt;0,SUMIFS(Overrides!$E$9:$E$108,Overrides!$B$9:$B$108,$C226,Overrides!$C$9:$C$108,$L226),Recurring!$D$18))</f>
        <v>13.7</v>
      </c>
      <c r="F226" s="119"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19" t="n">
        <f aca="false">IF($L226="","",IF(SUMIFS(Overrides!$D$9:$D$108,Overrides!$B$9:$B$108,$C226,Overrides!$C$9:$C$108,$L226)&gt;0,SUMIFS(Overrides!$D$9:$D$108,Overrides!$B$9:$B$108,$C226,Overrides!$C$9:$C$108,$L226),$L226))</f>
        <v>46682</v>
      </c>
      <c r="H226" s="120" t="n">
        <f aca="false">IF($G226="",0,IF(AND($G226&gt;='Cash Flow'!$E$6,$G226&lt;'Cash Flow'!$E$6+91),1,0))</f>
        <v>0</v>
      </c>
      <c r="I226" s="120" t="str">
        <f aca="false">IF($H226=1,MAX(1,INT(($G226-'Cash Flow'!$E$6)/7)+1),"")</f>
        <v/>
      </c>
      <c r="J226" s="8" t="str">
        <f aca="false">IF($H226=1,$G226*10000+ROW(),"")</f>
        <v/>
      </c>
      <c r="K226" s="8" t="str">
        <f aca="false">IF($H226=1,$I226*1000+COUNTIFS($I$4:$I$483,$I226,$J$4:$J$483,"&lt;"&amp;$J226)+1,"")</f>
        <v/>
      </c>
      <c r="L226" s="121"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17" t="n">
        <v>14</v>
      </c>
      <c r="B227" s="117" t="n">
        <v>16</v>
      </c>
      <c r="C227" s="8" t="str">
        <f aca="false">IF(OR(Recurring!$B$18="",Recurring!$H$18&lt;&gt;"Yes",Recurring!$D$18=""),"",Recurring!$B$18)</f>
        <v>Microsoft</v>
      </c>
      <c r="D227" s="8" t="str">
        <f aca="false">IF($C227="","",Recurring!$C$18)</f>
        <v>Expense</v>
      </c>
      <c r="E227" s="118" t="n">
        <f aca="false">IF($C227="","",IF(SUMIFS(Overrides!$E$9:$E$108,Overrides!$B$9:$B$108,$C227,Overrides!$C$9:$C$108,$L227)&gt;0,SUMIFS(Overrides!$E$9:$E$108,Overrides!$B$9:$B$108,$C227,Overrides!$C$9:$C$108,$L227),Recurring!$D$18))</f>
        <v>13.7</v>
      </c>
      <c r="F227" s="119"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19" t="n">
        <f aca="false">IF($L227="","",IF(SUMIFS(Overrides!$D$9:$D$108,Overrides!$B$9:$B$108,$C227,Overrides!$C$9:$C$108,$L227)&gt;0,SUMIFS(Overrides!$D$9:$D$108,Overrides!$B$9:$B$108,$C227,Overrides!$C$9:$C$108,$L227),$L227))</f>
        <v>46713</v>
      </c>
      <c r="H227" s="120" t="n">
        <f aca="false">IF($G227="",0,IF(AND($G227&gt;='Cash Flow'!$E$6,$G227&lt;'Cash Flow'!$E$6+91),1,0))</f>
        <v>0</v>
      </c>
      <c r="I227" s="120" t="str">
        <f aca="false">IF($H227=1,MAX(1,INT(($G227-'Cash Flow'!$E$6)/7)+1),"")</f>
        <v/>
      </c>
      <c r="J227" s="8" t="str">
        <f aca="false">IF($H227=1,$G227*10000+ROW(),"")</f>
        <v/>
      </c>
      <c r="K227" s="8" t="str">
        <f aca="false">IF($H227=1,$I227*1000+COUNTIFS($I$4:$I$483,$I227,$J$4:$J$483,"&lt;"&amp;$J227)+1,"")</f>
        <v/>
      </c>
      <c r="L227" s="121"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17" t="n">
        <v>15</v>
      </c>
      <c r="B228" s="117" t="n">
        <v>1</v>
      </c>
      <c r="C228" s="8" t="str">
        <f aca="false">IF(OR(Recurring!$B$19="",Recurring!$H$19&lt;&gt;"Yes",Recurring!$D$19=""),"",Recurring!$B$19)</f>
        <v/>
      </c>
      <c r="D228" s="8" t="str">
        <f aca="false">IF($C228="","",Recurring!$C$19)</f>
        <v/>
      </c>
      <c r="E228" s="118" t="str">
        <f aca="false">IF($C228="","",IF(SUMIFS(Overrides!$E$9:$E$108,Overrides!$B$9:$B$108,$C228,Overrides!$C$9:$C$108,$L228)&gt;0,SUMIFS(Overrides!$E$9:$E$108,Overrides!$B$9:$B$108,$C228,Overrides!$C$9:$C$108,$L228),Recurring!$D$19))</f>
        <v/>
      </c>
      <c r="F228" s="119"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19" t="str">
        <f aca="false">IF($L228="","",IF(SUMIFS(Overrides!$D$9:$D$108,Overrides!$B$9:$B$108,$C228,Overrides!$C$9:$C$108,$L228)&gt;0,SUMIFS(Overrides!$D$9:$D$108,Overrides!$B$9:$B$108,$C228,Overrides!$C$9:$C$108,$L228),$L228))</f>
        <v/>
      </c>
      <c r="H228" s="120" t="n">
        <f aca="false">IF($G228="",0,IF(AND($G228&gt;='Cash Flow'!$E$6-90,$G228&lt;'Cash Flow'!$E$6+91),1,0))</f>
        <v>0</v>
      </c>
      <c r="I228" s="120" t="str">
        <f aca="false">IF($H228=1,MAX(1,INT(($G228-'Cash Flow'!$E$6)/7)+1),"")</f>
        <v/>
      </c>
      <c r="J228" s="8" t="str">
        <f aca="false">IF($H228=1,$G228*10000+ROW(),"")</f>
        <v/>
      </c>
      <c r="K228" s="8" t="str">
        <f aca="false">IF($H228=1,$I228*1000+COUNTIFS($I$4:$I$483,$I228,$J$4:$J$483,"&lt;"&amp;$J228)+1,"")</f>
        <v/>
      </c>
      <c r="L228" s="121"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17" t="n">
        <v>15</v>
      </c>
      <c r="B229" s="117" t="n">
        <v>2</v>
      </c>
      <c r="C229" s="8" t="str">
        <f aca="false">IF(OR(Recurring!$B$19="",Recurring!$H$19&lt;&gt;"Yes",Recurring!$D$19=""),"",Recurring!$B$19)</f>
        <v/>
      </c>
      <c r="D229" s="8" t="str">
        <f aca="false">IF($C229="","",Recurring!$C$19)</f>
        <v/>
      </c>
      <c r="E229" s="118" t="str">
        <f aca="false">IF($C229="","",IF(SUMIFS(Overrides!$E$9:$E$108,Overrides!$B$9:$B$108,$C229,Overrides!$C$9:$C$108,$L229)&gt;0,SUMIFS(Overrides!$E$9:$E$108,Overrides!$B$9:$B$108,$C229,Overrides!$C$9:$C$108,$L229),Recurring!$D$19))</f>
        <v/>
      </c>
      <c r="F229" s="119"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19" t="str">
        <f aca="false">IF($L229="","",IF(SUMIFS(Overrides!$D$9:$D$108,Overrides!$B$9:$B$108,$C229,Overrides!$C$9:$C$108,$L229)&gt;0,SUMIFS(Overrides!$D$9:$D$108,Overrides!$B$9:$B$108,$C229,Overrides!$C$9:$C$108,$L229),$L229))</f>
        <v/>
      </c>
      <c r="H229" s="120" t="n">
        <f aca="false">IF($G229="",0,IF(AND($G229&gt;='Cash Flow'!$E$6,$G229&lt;'Cash Flow'!$E$6+91),1,0))</f>
        <v>0</v>
      </c>
      <c r="I229" s="120" t="str">
        <f aca="false">IF($H229=1,MAX(1,INT(($G229-'Cash Flow'!$E$6)/7)+1),"")</f>
        <v/>
      </c>
      <c r="J229" s="8" t="str">
        <f aca="false">IF($H229=1,$G229*10000+ROW(),"")</f>
        <v/>
      </c>
      <c r="K229" s="8" t="str">
        <f aca="false">IF($H229=1,$I229*1000+COUNTIFS($I$4:$I$483,$I229,$J$4:$J$483,"&lt;"&amp;$J229)+1,"")</f>
        <v/>
      </c>
      <c r="L229" s="121"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17" t="n">
        <v>15</v>
      </c>
      <c r="B230" s="117" t="n">
        <v>3</v>
      </c>
      <c r="C230" s="8" t="str">
        <f aca="false">IF(OR(Recurring!$B$19="",Recurring!$H$19&lt;&gt;"Yes",Recurring!$D$19=""),"",Recurring!$B$19)</f>
        <v/>
      </c>
      <c r="D230" s="8" t="str">
        <f aca="false">IF($C230="","",Recurring!$C$19)</f>
        <v/>
      </c>
      <c r="E230" s="118" t="str">
        <f aca="false">IF($C230="","",IF(SUMIFS(Overrides!$E$9:$E$108,Overrides!$B$9:$B$108,$C230,Overrides!$C$9:$C$108,$L230)&gt;0,SUMIFS(Overrides!$E$9:$E$108,Overrides!$B$9:$B$108,$C230,Overrides!$C$9:$C$108,$L230),Recurring!$D$19))</f>
        <v/>
      </c>
      <c r="F230" s="119"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19" t="str">
        <f aca="false">IF($L230="","",IF(SUMIFS(Overrides!$D$9:$D$108,Overrides!$B$9:$B$108,$C230,Overrides!$C$9:$C$108,$L230)&gt;0,SUMIFS(Overrides!$D$9:$D$108,Overrides!$B$9:$B$108,$C230,Overrides!$C$9:$C$108,$L230),$L230))</f>
        <v/>
      </c>
      <c r="H230" s="120" t="n">
        <f aca="false">IF($G230="",0,IF(AND($G230&gt;='Cash Flow'!$E$6,$G230&lt;'Cash Flow'!$E$6+91),1,0))</f>
        <v>0</v>
      </c>
      <c r="I230" s="120" t="str">
        <f aca="false">IF($H230=1,MAX(1,INT(($G230-'Cash Flow'!$E$6)/7)+1),"")</f>
        <v/>
      </c>
      <c r="J230" s="8" t="str">
        <f aca="false">IF($H230=1,$G230*10000+ROW(),"")</f>
        <v/>
      </c>
      <c r="K230" s="8" t="str">
        <f aca="false">IF($H230=1,$I230*1000+COUNTIFS($I$4:$I$483,$I230,$J$4:$J$483,"&lt;"&amp;$J230)+1,"")</f>
        <v/>
      </c>
      <c r="L230" s="121"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17" t="n">
        <v>15</v>
      </c>
      <c r="B231" s="117" t="n">
        <v>4</v>
      </c>
      <c r="C231" s="8" t="str">
        <f aca="false">IF(OR(Recurring!$B$19="",Recurring!$H$19&lt;&gt;"Yes",Recurring!$D$19=""),"",Recurring!$B$19)</f>
        <v/>
      </c>
      <c r="D231" s="8" t="str">
        <f aca="false">IF($C231="","",Recurring!$C$19)</f>
        <v/>
      </c>
      <c r="E231" s="118" t="str">
        <f aca="false">IF($C231="","",IF(SUMIFS(Overrides!$E$9:$E$108,Overrides!$B$9:$B$108,$C231,Overrides!$C$9:$C$108,$L231)&gt;0,SUMIFS(Overrides!$E$9:$E$108,Overrides!$B$9:$B$108,$C231,Overrides!$C$9:$C$108,$L231),Recurring!$D$19))</f>
        <v/>
      </c>
      <c r="F231" s="119"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19" t="str">
        <f aca="false">IF($L231="","",IF(SUMIFS(Overrides!$D$9:$D$108,Overrides!$B$9:$B$108,$C231,Overrides!$C$9:$C$108,$L231)&gt;0,SUMIFS(Overrides!$D$9:$D$108,Overrides!$B$9:$B$108,$C231,Overrides!$C$9:$C$108,$L231),$L231))</f>
        <v/>
      </c>
      <c r="H231" s="120" t="n">
        <f aca="false">IF($G231="",0,IF(AND($G231&gt;='Cash Flow'!$E$6,$G231&lt;'Cash Flow'!$E$6+91),1,0))</f>
        <v>0</v>
      </c>
      <c r="I231" s="120" t="str">
        <f aca="false">IF($H231=1,MAX(1,INT(($G231-'Cash Flow'!$E$6)/7)+1),"")</f>
        <v/>
      </c>
      <c r="J231" s="8" t="str">
        <f aca="false">IF($H231=1,$G231*10000+ROW(),"")</f>
        <v/>
      </c>
      <c r="K231" s="8" t="str">
        <f aca="false">IF($H231=1,$I231*1000+COUNTIFS($I$4:$I$483,$I231,$J$4:$J$483,"&lt;"&amp;$J231)+1,"")</f>
        <v/>
      </c>
      <c r="L231" s="121"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17" t="n">
        <v>15</v>
      </c>
      <c r="B232" s="117" t="n">
        <v>5</v>
      </c>
      <c r="C232" s="8" t="str">
        <f aca="false">IF(OR(Recurring!$B$19="",Recurring!$H$19&lt;&gt;"Yes",Recurring!$D$19=""),"",Recurring!$B$19)</f>
        <v/>
      </c>
      <c r="D232" s="8" t="str">
        <f aca="false">IF($C232="","",Recurring!$C$19)</f>
        <v/>
      </c>
      <c r="E232" s="118" t="str">
        <f aca="false">IF($C232="","",IF(SUMIFS(Overrides!$E$9:$E$108,Overrides!$B$9:$B$108,$C232,Overrides!$C$9:$C$108,$L232)&gt;0,SUMIFS(Overrides!$E$9:$E$108,Overrides!$B$9:$B$108,$C232,Overrides!$C$9:$C$108,$L232),Recurring!$D$19))</f>
        <v/>
      </c>
      <c r="F232" s="119"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19" t="str">
        <f aca="false">IF($L232="","",IF(SUMIFS(Overrides!$D$9:$D$108,Overrides!$B$9:$B$108,$C232,Overrides!$C$9:$C$108,$L232)&gt;0,SUMIFS(Overrides!$D$9:$D$108,Overrides!$B$9:$B$108,$C232,Overrides!$C$9:$C$108,$L232),$L232))</f>
        <v/>
      </c>
      <c r="H232" s="120" t="n">
        <f aca="false">IF($G232="",0,IF(AND($G232&gt;='Cash Flow'!$E$6,$G232&lt;'Cash Flow'!$E$6+91),1,0))</f>
        <v>0</v>
      </c>
      <c r="I232" s="120" t="str">
        <f aca="false">IF($H232=1,MAX(1,INT(($G232-'Cash Flow'!$E$6)/7)+1),"")</f>
        <v/>
      </c>
      <c r="J232" s="8" t="str">
        <f aca="false">IF($H232=1,$G232*10000+ROW(),"")</f>
        <v/>
      </c>
      <c r="K232" s="8" t="str">
        <f aca="false">IF($H232=1,$I232*1000+COUNTIFS($I$4:$I$483,$I232,$J$4:$J$483,"&lt;"&amp;$J232)+1,"")</f>
        <v/>
      </c>
      <c r="L232" s="121"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17" t="n">
        <v>15</v>
      </c>
      <c r="B233" s="117" t="n">
        <v>6</v>
      </c>
      <c r="C233" s="8" t="str">
        <f aca="false">IF(OR(Recurring!$B$19="",Recurring!$H$19&lt;&gt;"Yes",Recurring!$D$19=""),"",Recurring!$B$19)</f>
        <v/>
      </c>
      <c r="D233" s="8" t="str">
        <f aca="false">IF($C233="","",Recurring!$C$19)</f>
        <v/>
      </c>
      <c r="E233" s="118" t="str">
        <f aca="false">IF($C233="","",IF(SUMIFS(Overrides!$E$9:$E$108,Overrides!$B$9:$B$108,$C233,Overrides!$C$9:$C$108,$L233)&gt;0,SUMIFS(Overrides!$E$9:$E$108,Overrides!$B$9:$B$108,$C233,Overrides!$C$9:$C$108,$L233),Recurring!$D$19))</f>
        <v/>
      </c>
      <c r="F233" s="119"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19" t="str">
        <f aca="false">IF($L233="","",IF(SUMIFS(Overrides!$D$9:$D$108,Overrides!$B$9:$B$108,$C233,Overrides!$C$9:$C$108,$L233)&gt;0,SUMIFS(Overrides!$D$9:$D$108,Overrides!$B$9:$B$108,$C233,Overrides!$C$9:$C$108,$L233),$L233))</f>
        <v/>
      </c>
      <c r="H233" s="120" t="n">
        <f aca="false">IF($G233="",0,IF(AND($G233&gt;='Cash Flow'!$E$6,$G233&lt;'Cash Flow'!$E$6+91),1,0))</f>
        <v>0</v>
      </c>
      <c r="I233" s="120" t="str">
        <f aca="false">IF($H233=1,MAX(1,INT(($G233-'Cash Flow'!$E$6)/7)+1),"")</f>
        <v/>
      </c>
      <c r="J233" s="8" t="str">
        <f aca="false">IF($H233=1,$G233*10000+ROW(),"")</f>
        <v/>
      </c>
      <c r="K233" s="8" t="str">
        <f aca="false">IF($H233=1,$I233*1000+COUNTIFS($I$4:$I$483,$I233,$J$4:$J$483,"&lt;"&amp;$J233)+1,"")</f>
        <v/>
      </c>
      <c r="L233" s="121"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17" t="n">
        <v>15</v>
      </c>
      <c r="B234" s="117" t="n">
        <v>7</v>
      </c>
      <c r="C234" s="8" t="str">
        <f aca="false">IF(OR(Recurring!$B$19="",Recurring!$H$19&lt;&gt;"Yes",Recurring!$D$19=""),"",Recurring!$B$19)</f>
        <v/>
      </c>
      <c r="D234" s="8" t="str">
        <f aca="false">IF($C234="","",Recurring!$C$19)</f>
        <v/>
      </c>
      <c r="E234" s="118" t="str">
        <f aca="false">IF($C234="","",IF(SUMIFS(Overrides!$E$9:$E$108,Overrides!$B$9:$B$108,$C234,Overrides!$C$9:$C$108,$L234)&gt;0,SUMIFS(Overrides!$E$9:$E$108,Overrides!$B$9:$B$108,$C234,Overrides!$C$9:$C$108,$L234),Recurring!$D$19))</f>
        <v/>
      </c>
      <c r="F234" s="119"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19" t="str">
        <f aca="false">IF($L234="","",IF(SUMIFS(Overrides!$D$9:$D$108,Overrides!$B$9:$B$108,$C234,Overrides!$C$9:$C$108,$L234)&gt;0,SUMIFS(Overrides!$D$9:$D$108,Overrides!$B$9:$B$108,$C234,Overrides!$C$9:$C$108,$L234),$L234))</f>
        <v/>
      </c>
      <c r="H234" s="120" t="n">
        <f aca="false">IF($G234="",0,IF(AND($G234&gt;='Cash Flow'!$E$6,$G234&lt;'Cash Flow'!$E$6+91),1,0))</f>
        <v>0</v>
      </c>
      <c r="I234" s="120" t="str">
        <f aca="false">IF($H234=1,MAX(1,INT(($G234-'Cash Flow'!$E$6)/7)+1),"")</f>
        <v/>
      </c>
      <c r="J234" s="8" t="str">
        <f aca="false">IF($H234=1,$G234*10000+ROW(),"")</f>
        <v/>
      </c>
      <c r="K234" s="8" t="str">
        <f aca="false">IF($H234=1,$I234*1000+COUNTIFS($I$4:$I$483,$I234,$J$4:$J$483,"&lt;"&amp;$J234)+1,"")</f>
        <v/>
      </c>
      <c r="L234" s="121"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17" t="n">
        <v>15</v>
      </c>
      <c r="B235" s="117" t="n">
        <v>8</v>
      </c>
      <c r="C235" s="8" t="str">
        <f aca="false">IF(OR(Recurring!$B$19="",Recurring!$H$19&lt;&gt;"Yes",Recurring!$D$19=""),"",Recurring!$B$19)</f>
        <v/>
      </c>
      <c r="D235" s="8" t="str">
        <f aca="false">IF($C235="","",Recurring!$C$19)</f>
        <v/>
      </c>
      <c r="E235" s="118" t="str">
        <f aca="false">IF($C235="","",IF(SUMIFS(Overrides!$E$9:$E$108,Overrides!$B$9:$B$108,$C235,Overrides!$C$9:$C$108,$L235)&gt;0,SUMIFS(Overrides!$E$9:$E$108,Overrides!$B$9:$B$108,$C235,Overrides!$C$9:$C$108,$L235),Recurring!$D$19))</f>
        <v/>
      </c>
      <c r="F235" s="119"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19" t="str">
        <f aca="false">IF($L235="","",IF(SUMIFS(Overrides!$D$9:$D$108,Overrides!$B$9:$B$108,$C235,Overrides!$C$9:$C$108,$L235)&gt;0,SUMIFS(Overrides!$D$9:$D$108,Overrides!$B$9:$B$108,$C235,Overrides!$C$9:$C$108,$L235),$L235))</f>
        <v/>
      </c>
      <c r="H235" s="120" t="n">
        <f aca="false">IF($G235="",0,IF(AND($G235&gt;='Cash Flow'!$E$6,$G235&lt;'Cash Flow'!$E$6+91),1,0))</f>
        <v>0</v>
      </c>
      <c r="I235" s="120" t="str">
        <f aca="false">IF($H235=1,MAX(1,INT(($G235-'Cash Flow'!$E$6)/7)+1),"")</f>
        <v/>
      </c>
      <c r="J235" s="8" t="str">
        <f aca="false">IF($H235=1,$G235*10000+ROW(),"")</f>
        <v/>
      </c>
      <c r="K235" s="8" t="str">
        <f aca="false">IF($H235=1,$I235*1000+COUNTIFS($I$4:$I$483,$I235,$J$4:$J$483,"&lt;"&amp;$J235)+1,"")</f>
        <v/>
      </c>
      <c r="L235" s="121"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17" t="n">
        <v>15</v>
      </c>
      <c r="B236" s="117" t="n">
        <v>9</v>
      </c>
      <c r="C236" s="8" t="str">
        <f aca="false">IF(OR(Recurring!$B$19="",Recurring!$H$19&lt;&gt;"Yes",Recurring!$D$19=""),"",Recurring!$B$19)</f>
        <v/>
      </c>
      <c r="D236" s="8" t="str">
        <f aca="false">IF($C236="","",Recurring!$C$19)</f>
        <v/>
      </c>
      <c r="E236" s="118" t="str">
        <f aca="false">IF($C236="","",IF(SUMIFS(Overrides!$E$9:$E$108,Overrides!$B$9:$B$108,$C236,Overrides!$C$9:$C$108,$L236)&gt;0,SUMIFS(Overrides!$E$9:$E$108,Overrides!$B$9:$B$108,$C236,Overrides!$C$9:$C$108,$L236),Recurring!$D$19))</f>
        <v/>
      </c>
      <c r="F236" s="119"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19" t="str">
        <f aca="false">IF($L236="","",IF(SUMIFS(Overrides!$D$9:$D$108,Overrides!$B$9:$B$108,$C236,Overrides!$C$9:$C$108,$L236)&gt;0,SUMIFS(Overrides!$D$9:$D$108,Overrides!$B$9:$B$108,$C236,Overrides!$C$9:$C$108,$L236),$L236))</f>
        <v/>
      </c>
      <c r="H236" s="120" t="n">
        <f aca="false">IF($G236="",0,IF(AND($G236&gt;='Cash Flow'!$E$6,$G236&lt;'Cash Flow'!$E$6+91),1,0))</f>
        <v>0</v>
      </c>
      <c r="I236" s="120" t="str">
        <f aca="false">IF($H236=1,MAX(1,INT(($G236-'Cash Flow'!$E$6)/7)+1),"")</f>
        <v/>
      </c>
      <c r="J236" s="8" t="str">
        <f aca="false">IF($H236=1,$G236*10000+ROW(),"")</f>
        <v/>
      </c>
      <c r="K236" s="8" t="str">
        <f aca="false">IF($H236=1,$I236*1000+COUNTIFS($I$4:$I$483,$I236,$J$4:$J$483,"&lt;"&amp;$J236)+1,"")</f>
        <v/>
      </c>
      <c r="L236" s="121"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17" t="n">
        <v>15</v>
      </c>
      <c r="B237" s="117" t="n">
        <v>10</v>
      </c>
      <c r="C237" s="8" t="str">
        <f aca="false">IF(OR(Recurring!$B$19="",Recurring!$H$19&lt;&gt;"Yes",Recurring!$D$19=""),"",Recurring!$B$19)</f>
        <v/>
      </c>
      <c r="D237" s="8" t="str">
        <f aca="false">IF($C237="","",Recurring!$C$19)</f>
        <v/>
      </c>
      <c r="E237" s="118" t="str">
        <f aca="false">IF($C237="","",IF(SUMIFS(Overrides!$E$9:$E$108,Overrides!$B$9:$B$108,$C237,Overrides!$C$9:$C$108,$L237)&gt;0,SUMIFS(Overrides!$E$9:$E$108,Overrides!$B$9:$B$108,$C237,Overrides!$C$9:$C$108,$L237),Recurring!$D$19))</f>
        <v/>
      </c>
      <c r="F237" s="119"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19" t="str">
        <f aca="false">IF($L237="","",IF(SUMIFS(Overrides!$D$9:$D$108,Overrides!$B$9:$B$108,$C237,Overrides!$C$9:$C$108,$L237)&gt;0,SUMIFS(Overrides!$D$9:$D$108,Overrides!$B$9:$B$108,$C237,Overrides!$C$9:$C$108,$L237),$L237))</f>
        <v/>
      </c>
      <c r="H237" s="120" t="n">
        <f aca="false">IF($G237="",0,IF(AND($G237&gt;='Cash Flow'!$E$6,$G237&lt;'Cash Flow'!$E$6+91),1,0))</f>
        <v>0</v>
      </c>
      <c r="I237" s="120" t="str">
        <f aca="false">IF($H237=1,MAX(1,INT(($G237-'Cash Flow'!$E$6)/7)+1),"")</f>
        <v/>
      </c>
      <c r="J237" s="8" t="str">
        <f aca="false">IF($H237=1,$G237*10000+ROW(),"")</f>
        <v/>
      </c>
      <c r="K237" s="8" t="str">
        <f aca="false">IF($H237=1,$I237*1000+COUNTIFS($I$4:$I$483,$I237,$J$4:$J$483,"&lt;"&amp;$J237)+1,"")</f>
        <v/>
      </c>
      <c r="L237" s="121"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17" t="n">
        <v>15</v>
      </c>
      <c r="B238" s="117" t="n">
        <v>11</v>
      </c>
      <c r="C238" s="8" t="str">
        <f aca="false">IF(OR(Recurring!$B$19="",Recurring!$H$19&lt;&gt;"Yes",Recurring!$D$19=""),"",Recurring!$B$19)</f>
        <v/>
      </c>
      <c r="D238" s="8" t="str">
        <f aca="false">IF($C238="","",Recurring!$C$19)</f>
        <v/>
      </c>
      <c r="E238" s="118" t="str">
        <f aca="false">IF($C238="","",IF(SUMIFS(Overrides!$E$9:$E$108,Overrides!$B$9:$B$108,$C238,Overrides!$C$9:$C$108,$L238)&gt;0,SUMIFS(Overrides!$E$9:$E$108,Overrides!$B$9:$B$108,$C238,Overrides!$C$9:$C$108,$L238),Recurring!$D$19))</f>
        <v/>
      </c>
      <c r="F238" s="119"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19" t="str">
        <f aca="false">IF($L238="","",IF(SUMIFS(Overrides!$D$9:$D$108,Overrides!$B$9:$B$108,$C238,Overrides!$C$9:$C$108,$L238)&gt;0,SUMIFS(Overrides!$D$9:$D$108,Overrides!$B$9:$B$108,$C238,Overrides!$C$9:$C$108,$L238),$L238))</f>
        <v/>
      </c>
      <c r="H238" s="120" t="n">
        <f aca="false">IF($G238="",0,IF(AND($G238&gt;='Cash Flow'!$E$6,$G238&lt;'Cash Flow'!$E$6+91),1,0))</f>
        <v>0</v>
      </c>
      <c r="I238" s="120" t="str">
        <f aca="false">IF($H238=1,MAX(1,INT(($G238-'Cash Flow'!$E$6)/7)+1),"")</f>
        <v/>
      </c>
      <c r="J238" s="8" t="str">
        <f aca="false">IF($H238=1,$G238*10000+ROW(),"")</f>
        <v/>
      </c>
      <c r="K238" s="8" t="str">
        <f aca="false">IF($H238=1,$I238*1000+COUNTIFS($I$4:$I$483,$I238,$J$4:$J$483,"&lt;"&amp;$J238)+1,"")</f>
        <v/>
      </c>
      <c r="L238" s="121"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17" t="n">
        <v>15</v>
      </c>
      <c r="B239" s="117" t="n">
        <v>12</v>
      </c>
      <c r="C239" s="8" t="str">
        <f aca="false">IF(OR(Recurring!$B$19="",Recurring!$H$19&lt;&gt;"Yes",Recurring!$D$19=""),"",Recurring!$B$19)</f>
        <v/>
      </c>
      <c r="D239" s="8" t="str">
        <f aca="false">IF($C239="","",Recurring!$C$19)</f>
        <v/>
      </c>
      <c r="E239" s="118" t="str">
        <f aca="false">IF($C239="","",IF(SUMIFS(Overrides!$E$9:$E$108,Overrides!$B$9:$B$108,$C239,Overrides!$C$9:$C$108,$L239)&gt;0,SUMIFS(Overrides!$E$9:$E$108,Overrides!$B$9:$B$108,$C239,Overrides!$C$9:$C$108,$L239),Recurring!$D$19))</f>
        <v/>
      </c>
      <c r="F239" s="119"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19" t="str">
        <f aca="false">IF($L239="","",IF(SUMIFS(Overrides!$D$9:$D$108,Overrides!$B$9:$B$108,$C239,Overrides!$C$9:$C$108,$L239)&gt;0,SUMIFS(Overrides!$D$9:$D$108,Overrides!$B$9:$B$108,$C239,Overrides!$C$9:$C$108,$L239),$L239))</f>
        <v/>
      </c>
      <c r="H239" s="120" t="n">
        <f aca="false">IF($G239="",0,IF(AND($G239&gt;='Cash Flow'!$E$6,$G239&lt;'Cash Flow'!$E$6+91),1,0))</f>
        <v>0</v>
      </c>
      <c r="I239" s="120" t="str">
        <f aca="false">IF($H239=1,MAX(1,INT(($G239-'Cash Flow'!$E$6)/7)+1),"")</f>
        <v/>
      </c>
      <c r="J239" s="8" t="str">
        <f aca="false">IF($H239=1,$G239*10000+ROW(),"")</f>
        <v/>
      </c>
      <c r="K239" s="8" t="str">
        <f aca="false">IF($H239=1,$I239*1000+COUNTIFS($I$4:$I$483,$I239,$J$4:$J$483,"&lt;"&amp;$J239)+1,"")</f>
        <v/>
      </c>
      <c r="L239" s="121"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17" t="n">
        <v>15</v>
      </c>
      <c r="B240" s="117" t="n">
        <v>13</v>
      </c>
      <c r="C240" s="8" t="str">
        <f aca="false">IF(OR(Recurring!$B$19="",Recurring!$H$19&lt;&gt;"Yes",Recurring!$D$19=""),"",Recurring!$B$19)</f>
        <v/>
      </c>
      <c r="D240" s="8" t="str">
        <f aca="false">IF($C240="","",Recurring!$C$19)</f>
        <v/>
      </c>
      <c r="E240" s="118" t="str">
        <f aca="false">IF($C240="","",IF(SUMIFS(Overrides!$E$9:$E$108,Overrides!$B$9:$B$108,$C240,Overrides!$C$9:$C$108,$L240)&gt;0,SUMIFS(Overrides!$E$9:$E$108,Overrides!$B$9:$B$108,$C240,Overrides!$C$9:$C$108,$L240),Recurring!$D$19))</f>
        <v/>
      </c>
      <c r="F240" s="119"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19" t="str">
        <f aca="false">IF($L240="","",IF(SUMIFS(Overrides!$D$9:$D$108,Overrides!$B$9:$B$108,$C240,Overrides!$C$9:$C$108,$L240)&gt;0,SUMIFS(Overrides!$D$9:$D$108,Overrides!$B$9:$B$108,$C240,Overrides!$C$9:$C$108,$L240),$L240))</f>
        <v/>
      </c>
      <c r="H240" s="120" t="n">
        <f aca="false">IF($G240="",0,IF(AND($G240&gt;='Cash Flow'!$E$6,$G240&lt;'Cash Flow'!$E$6+91),1,0))</f>
        <v>0</v>
      </c>
      <c r="I240" s="120" t="str">
        <f aca="false">IF($H240=1,MAX(1,INT(($G240-'Cash Flow'!$E$6)/7)+1),"")</f>
        <v/>
      </c>
      <c r="J240" s="8" t="str">
        <f aca="false">IF($H240=1,$G240*10000+ROW(),"")</f>
        <v/>
      </c>
      <c r="K240" s="8" t="str">
        <f aca="false">IF($H240=1,$I240*1000+COUNTIFS($I$4:$I$483,$I240,$J$4:$J$483,"&lt;"&amp;$J240)+1,"")</f>
        <v/>
      </c>
      <c r="L240" s="121"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17" t="n">
        <v>15</v>
      </c>
      <c r="B241" s="117" t="n">
        <v>14</v>
      </c>
      <c r="C241" s="8" t="str">
        <f aca="false">IF(OR(Recurring!$B$19="",Recurring!$H$19&lt;&gt;"Yes",Recurring!$D$19=""),"",Recurring!$B$19)</f>
        <v/>
      </c>
      <c r="D241" s="8" t="str">
        <f aca="false">IF($C241="","",Recurring!$C$19)</f>
        <v/>
      </c>
      <c r="E241" s="118" t="str">
        <f aca="false">IF($C241="","",IF(SUMIFS(Overrides!$E$9:$E$108,Overrides!$B$9:$B$108,$C241,Overrides!$C$9:$C$108,$L241)&gt;0,SUMIFS(Overrides!$E$9:$E$108,Overrides!$B$9:$B$108,$C241,Overrides!$C$9:$C$108,$L241),Recurring!$D$19))</f>
        <v/>
      </c>
      <c r="F241" s="119"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19" t="str">
        <f aca="false">IF($L241="","",IF(SUMIFS(Overrides!$D$9:$D$108,Overrides!$B$9:$B$108,$C241,Overrides!$C$9:$C$108,$L241)&gt;0,SUMIFS(Overrides!$D$9:$D$108,Overrides!$B$9:$B$108,$C241,Overrides!$C$9:$C$108,$L241),$L241))</f>
        <v/>
      </c>
      <c r="H241" s="120" t="n">
        <f aca="false">IF($G241="",0,IF(AND($G241&gt;='Cash Flow'!$E$6,$G241&lt;'Cash Flow'!$E$6+91),1,0))</f>
        <v>0</v>
      </c>
      <c r="I241" s="120" t="str">
        <f aca="false">IF($H241=1,MAX(1,INT(($G241-'Cash Flow'!$E$6)/7)+1),"")</f>
        <v/>
      </c>
      <c r="J241" s="8" t="str">
        <f aca="false">IF($H241=1,$G241*10000+ROW(),"")</f>
        <v/>
      </c>
      <c r="K241" s="8" t="str">
        <f aca="false">IF($H241=1,$I241*1000+COUNTIFS($I$4:$I$483,$I241,$J$4:$J$483,"&lt;"&amp;$J241)+1,"")</f>
        <v/>
      </c>
      <c r="L241" s="121"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17" t="n">
        <v>15</v>
      </c>
      <c r="B242" s="117" t="n">
        <v>15</v>
      </c>
      <c r="C242" s="8" t="str">
        <f aca="false">IF(OR(Recurring!$B$19="",Recurring!$H$19&lt;&gt;"Yes",Recurring!$D$19=""),"",Recurring!$B$19)</f>
        <v/>
      </c>
      <c r="D242" s="8" t="str">
        <f aca="false">IF($C242="","",Recurring!$C$19)</f>
        <v/>
      </c>
      <c r="E242" s="118" t="str">
        <f aca="false">IF($C242="","",IF(SUMIFS(Overrides!$E$9:$E$108,Overrides!$B$9:$B$108,$C242,Overrides!$C$9:$C$108,$L242)&gt;0,SUMIFS(Overrides!$E$9:$E$108,Overrides!$B$9:$B$108,$C242,Overrides!$C$9:$C$108,$L242),Recurring!$D$19))</f>
        <v/>
      </c>
      <c r="F242" s="119"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19" t="str">
        <f aca="false">IF($L242="","",IF(SUMIFS(Overrides!$D$9:$D$108,Overrides!$B$9:$B$108,$C242,Overrides!$C$9:$C$108,$L242)&gt;0,SUMIFS(Overrides!$D$9:$D$108,Overrides!$B$9:$B$108,$C242,Overrides!$C$9:$C$108,$L242),$L242))</f>
        <v/>
      </c>
      <c r="H242" s="120" t="n">
        <f aca="false">IF($G242="",0,IF(AND($G242&gt;='Cash Flow'!$E$6,$G242&lt;'Cash Flow'!$E$6+91),1,0))</f>
        <v>0</v>
      </c>
      <c r="I242" s="120" t="str">
        <f aca="false">IF($H242=1,MAX(1,INT(($G242-'Cash Flow'!$E$6)/7)+1),"")</f>
        <v/>
      </c>
      <c r="J242" s="8" t="str">
        <f aca="false">IF($H242=1,$G242*10000+ROW(),"")</f>
        <v/>
      </c>
      <c r="K242" s="8" t="str">
        <f aca="false">IF($H242=1,$I242*1000+COUNTIFS($I$4:$I$483,$I242,$J$4:$J$483,"&lt;"&amp;$J242)+1,"")</f>
        <v/>
      </c>
      <c r="L242" s="121"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17" t="n">
        <v>15</v>
      </c>
      <c r="B243" s="117" t="n">
        <v>16</v>
      </c>
      <c r="C243" s="8" t="str">
        <f aca="false">IF(OR(Recurring!$B$19="",Recurring!$H$19&lt;&gt;"Yes",Recurring!$D$19=""),"",Recurring!$B$19)</f>
        <v/>
      </c>
      <c r="D243" s="8" t="str">
        <f aca="false">IF($C243="","",Recurring!$C$19)</f>
        <v/>
      </c>
      <c r="E243" s="118" t="str">
        <f aca="false">IF($C243="","",IF(SUMIFS(Overrides!$E$9:$E$108,Overrides!$B$9:$B$108,$C243,Overrides!$C$9:$C$108,$L243)&gt;0,SUMIFS(Overrides!$E$9:$E$108,Overrides!$B$9:$B$108,$C243,Overrides!$C$9:$C$108,$L243),Recurring!$D$19))</f>
        <v/>
      </c>
      <c r="F243" s="119"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19" t="str">
        <f aca="false">IF($L243="","",IF(SUMIFS(Overrides!$D$9:$D$108,Overrides!$B$9:$B$108,$C243,Overrides!$C$9:$C$108,$L243)&gt;0,SUMIFS(Overrides!$D$9:$D$108,Overrides!$B$9:$B$108,$C243,Overrides!$C$9:$C$108,$L243),$L243))</f>
        <v/>
      </c>
      <c r="H243" s="120" t="n">
        <f aca="false">IF($G243="",0,IF(AND($G243&gt;='Cash Flow'!$E$6,$G243&lt;'Cash Flow'!$E$6+91),1,0))</f>
        <v>0</v>
      </c>
      <c r="I243" s="120" t="str">
        <f aca="false">IF($H243=1,MAX(1,INT(($G243-'Cash Flow'!$E$6)/7)+1),"")</f>
        <v/>
      </c>
      <c r="J243" s="8" t="str">
        <f aca="false">IF($H243=1,$G243*10000+ROW(),"")</f>
        <v/>
      </c>
      <c r="K243" s="8" t="str">
        <f aca="false">IF($H243=1,$I243*1000+COUNTIFS($I$4:$I$483,$I243,$J$4:$J$483,"&lt;"&amp;$J243)+1,"")</f>
        <v/>
      </c>
      <c r="L243" s="121"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17" t="n">
        <v>16</v>
      </c>
      <c r="B244" s="117" t="n">
        <v>1</v>
      </c>
      <c r="C244" s="8" t="str">
        <f aca="false">IF(OR(Recurring!$B$20="",Recurring!$H$20&lt;&gt;"Yes",Recurring!$D$20=""),"",Recurring!$B$20)</f>
        <v>Maine Revenue Services (2)</v>
      </c>
      <c r="D244" s="8" t="str">
        <f aca="false">IF($C244="","",Recurring!$C$20)</f>
        <v>Expense</v>
      </c>
      <c r="E244" s="118" t="n">
        <f aca="false">IF($C244="","",IF(SUMIFS(Overrides!$E$9:$E$108,Overrides!$B$9:$B$108,$C244,Overrides!$C$9:$C$108,$L244)&gt;0,SUMIFS(Overrides!$E$9:$E$108,Overrides!$B$9:$B$108,$C244,Overrides!$C$9:$C$108,$L244),Recurring!$D$20))</f>
        <v>150</v>
      </c>
      <c r="F244" s="119"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19" t="n">
        <f aca="false">IF($L244="","",IF(SUMIFS(Overrides!$D$9:$D$108,Overrides!$B$9:$B$108,$C244,Overrides!$C$9:$C$108,$L244)&gt;0,SUMIFS(Overrides!$D$9:$D$108,Overrides!$B$9:$B$108,$C244,Overrides!$C$9:$C$108,$L244),$L244))</f>
        <v>46264</v>
      </c>
      <c r="H244" s="120" t="n">
        <f aca="false">IF($G244="",0,IF(AND($G244&gt;='Cash Flow'!$E$6-90,$G244&lt;'Cash Flow'!$E$6+91),1,0))</f>
        <v>1</v>
      </c>
      <c r="I244" s="120" t="n">
        <f aca="false">IF($H244=1,MAX(1,INT(($G244-'Cash Flow'!$E$6)/7)+1),"")</f>
        <v>3</v>
      </c>
      <c r="J244" s="8" t="n">
        <f aca="false">IF($H244=1,$G244*10000+ROW(),"")</f>
        <v>462640244</v>
      </c>
      <c r="K244" s="8" t="n">
        <f aca="false">IF($H244=1,$I244*1000+COUNTIFS($I$4:$I$483,$I244,$J$4:$J$483,"&lt;"&amp;$J244)+1,"")</f>
        <v>3002</v>
      </c>
      <c r="L244" s="121"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17" t="n">
        <v>16</v>
      </c>
      <c r="B245" s="117" t="n">
        <v>2</v>
      </c>
      <c r="C245" s="8" t="str">
        <f aca="false">IF(OR(Recurring!$B$20="",Recurring!$H$20&lt;&gt;"Yes",Recurring!$D$20=""),"",Recurring!$B$20)</f>
        <v>Maine Revenue Services (2)</v>
      </c>
      <c r="D245" s="8" t="str">
        <f aca="false">IF($C245="","",Recurring!$C$20)</f>
        <v>Expense</v>
      </c>
      <c r="E245" s="118" t="n">
        <f aca="false">IF($C245="","",IF(SUMIFS(Overrides!$E$9:$E$108,Overrides!$B$9:$B$108,$C245,Overrides!$C$9:$C$108,$L245)&gt;0,SUMIFS(Overrides!$E$9:$E$108,Overrides!$B$9:$B$108,$C245,Overrides!$C$9:$C$108,$L245),Recurring!$D$20))</f>
        <v>150</v>
      </c>
      <c r="F245" s="119"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19" t="n">
        <f aca="false">IF($L245="","",IF(SUMIFS(Overrides!$D$9:$D$108,Overrides!$B$9:$B$108,$C245,Overrides!$C$9:$C$108,$L245)&gt;0,SUMIFS(Overrides!$D$9:$D$108,Overrides!$B$9:$B$108,$C245,Overrides!$C$9:$C$108,$L245),$L245))</f>
        <v>46295</v>
      </c>
      <c r="H245" s="120" t="n">
        <f aca="false">IF($G245="",0,IF(AND($G245&gt;='Cash Flow'!$E$6,$G245&lt;'Cash Flow'!$E$6+91),1,0))</f>
        <v>1</v>
      </c>
      <c r="I245" s="120" t="n">
        <f aca="false">IF($H245=1,MAX(1,INT(($G245-'Cash Flow'!$E$6)/7)+1),"")</f>
        <v>7</v>
      </c>
      <c r="J245" s="8" t="n">
        <f aca="false">IF($H245=1,$G245*10000+ROW(),"")</f>
        <v>462950245</v>
      </c>
      <c r="K245" s="8" t="n">
        <f aca="false">IF($H245=1,$I245*1000+COUNTIFS($I$4:$I$483,$I245,$J$4:$J$483,"&lt;"&amp;$J245)+1,"")</f>
        <v>7003</v>
      </c>
      <c r="L245" s="121"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17" t="n">
        <v>16</v>
      </c>
      <c r="B246" s="117" t="n">
        <v>3</v>
      </c>
      <c r="C246" s="8" t="str">
        <f aca="false">IF(OR(Recurring!$B$20="",Recurring!$H$20&lt;&gt;"Yes",Recurring!$D$20=""),"",Recurring!$B$20)</f>
        <v>Maine Revenue Services (2)</v>
      </c>
      <c r="D246" s="8" t="str">
        <f aca="false">IF($C246="","",Recurring!$C$20)</f>
        <v>Expense</v>
      </c>
      <c r="E246" s="118" t="n">
        <f aca="false">IF($C246="","",IF(SUMIFS(Overrides!$E$9:$E$108,Overrides!$B$9:$B$108,$C246,Overrides!$C$9:$C$108,$L246)&gt;0,SUMIFS(Overrides!$E$9:$E$108,Overrides!$B$9:$B$108,$C246,Overrides!$C$9:$C$108,$L246),Recurring!$D$20))</f>
        <v>150</v>
      </c>
      <c r="F246" s="119"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19" t="n">
        <f aca="false">IF($L246="","",IF(SUMIFS(Overrides!$D$9:$D$108,Overrides!$B$9:$B$108,$C246,Overrides!$C$9:$C$108,$L246)&gt;0,SUMIFS(Overrides!$D$9:$D$108,Overrides!$B$9:$B$108,$C246,Overrides!$C$9:$C$108,$L246),$L246))</f>
        <v>46325</v>
      </c>
      <c r="H246" s="120" t="n">
        <f aca="false">IF($G246="",0,IF(AND($G246&gt;='Cash Flow'!$E$6,$G246&lt;'Cash Flow'!$E$6+91),1,0))</f>
        <v>1</v>
      </c>
      <c r="I246" s="120" t="n">
        <f aca="false">IF($H246=1,MAX(1,INT(($G246-'Cash Flow'!$E$6)/7)+1),"")</f>
        <v>11</v>
      </c>
      <c r="J246" s="8" t="n">
        <f aca="false">IF($H246=1,$G246*10000+ROW(),"")</f>
        <v>463250246</v>
      </c>
      <c r="K246" s="8" t="n">
        <f aca="false">IF($H246=1,$I246*1000+COUNTIFS($I$4:$I$483,$I246,$J$4:$J$483,"&lt;"&amp;$J246)+1,"")</f>
        <v>11004</v>
      </c>
      <c r="L246" s="121"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17" t="n">
        <v>16</v>
      </c>
      <c r="B247" s="117" t="n">
        <v>4</v>
      </c>
      <c r="C247" s="8" t="str">
        <f aca="false">IF(OR(Recurring!$B$20="",Recurring!$H$20&lt;&gt;"Yes",Recurring!$D$20=""),"",Recurring!$B$20)</f>
        <v>Maine Revenue Services (2)</v>
      </c>
      <c r="D247" s="8" t="str">
        <f aca="false">IF($C247="","",Recurring!$C$20)</f>
        <v>Expense</v>
      </c>
      <c r="E247" s="118" t="n">
        <f aca="false">IF($C247="","",IF(SUMIFS(Overrides!$E$9:$E$108,Overrides!$B$9:$B$108,$C247,Overrides!$C$9:$C$108,$L247)&gt;0,SUMIFS(Overrides!$E$9:$E$108,Overrides!$B$9:$B$108,$C247,Overrides!$C$9:$C$108,$L247),Recurring!$D$20))</f>
        <v>150</v>
      </c>
      <c r="F247" s="119"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19" t="n">
        <f aca="false">IF($L247="","",IF(SUMIFS(Overrides!$D$9:$D$108,Overrides!$B$9:$B$108,$C247,Overrides!$C$9:$C$108,$L247)&gt;0,SUMIFS(Overrides!$D$9:$D$108,Overrides!$B$9:$B$108,$C247,Overrides!$C$9:$C$108,$L247),$L247))</f>
        <v>46356</v>
      </c>
      <c r="H247" s="120" t="n">
        <f aca="false">IF($G247="",0,IF(AND($G247&gt;='Cash Flow'!$E$6,$G247&lt;'Cash Flow'!$E$6+91),1,0))</f>
        <v>0</v>
      </c>
      <c r="I247" s="120" t="str">
        <f aca="false">IF($H247=1,MAX(1,INT(($G247-'Cash Flow'!$E$6)/7)+1),"")</f>
        <v/>
      </c>
      <c r="J247" s="8" t="str">
        <f aca="false">IF($H247=1,$G247*10000+ROW(),"")</f>
        <v/>
      </c>
      <c r="K247" s="8" t="str">
        <f aca="false">IF($H247=1,$I247*1000+COUNTIFS($I$4:$I$483,$I247,$J$4:$J$483,"&lt;"&amp;$J247)+1,"")</f>
        <v/>
      </c>
      <c r="L247" s="121"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17" t="n">
        <v>16</v>
      </c>
      <c r="B248" s="117" t="n">
        <v>5</v>
      </c>
      <c r="C248" s="8" t="str">
        <f aca="false">IF(OR(Recurring!$B$20="",Recurring!$H$20&lt;&gt;"Yes",Recurring!$D$20=""),"",Recurring!$B$20)</f>
        <v>Maine Revenue Services (2)</v>
      </c>
      <c r="D248" s="8" t="str">
        <f aca="false">IF($C248="","",Recurring!$C$20)</f>
        <v>Expense</v>
      </c>
      <c r="E248" s="118" t="n">
        <f aca="false">IF($C248="","",IF(SUMIFS(Overrides!$E$9:$E$108,Overrides!$B$9:$B$108,$C248,Overrides!$C$9:$C$108,$L248)&gt;0,SUMIFS(Overrides!$E$9:$E$108,Overrides!$B$9:$B$108,$C248,Overrides!$C$9:$C$108,$L248),Recurring!$D$20))</f>
        <v>150</v>
      </c>
      <c r="F248" s="119"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19" t="n">
        <f aca="false">IF($L248="","",IF(SUMIFS(Overrides!$D$9:$D$108,Overrides!$B$9:$B$108,$C248,Overrides!$C$9:$C$108,$L248)&gt;0,SUMIFS(Overrides!$D$9:$D$108,Overrides!$B$9:$B$108,$C248,Overrides!$C$9:$C$108,$L248),$L248))</f>
        <v>46386</v>
      </c>
      <c r="H248" s="120" t="n">
        <f aca="false">IF($G248="",0,IF(AND($G248&gt;='Cash Flow'!$E$6,$G248&lt;'Cash Flow'!$E$6+91),1,0))</f>
        <v>0</v>
      </c>
      <c r="I248" s="120" t="str">
        <f aca="false">IF($H248=1,MAX(1,INT(($G248-'Cash Flow'!$E$6)/7)+1),"")</f>
        <v/>
      </c>
      <c r="J248" s="8" t="str">
        <f aca="false">IF($H248=1,$G248*10000+ROW(),"")</f>
        <v/>
      </c>
      <c r="K248" s="8" t="str">
        <f aca="false">IF($H248=1,$I248*1000+COUNTIFS($I$4:$I$483,$I248,$J$4:$J$483,"&lt;"&amp;$J248)+1,"")</f>
        <v/>
      </c>
      <c r="L248" s="121"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17" t="n">
        <v>16</v>
      </c>
      <c r="B249" s="117" t="n">
        <v>6</v>
      </c>
      <c r="C249" s="8" t="str">
        <f aca="false">IF(OR(Recurring!$B$20="",Recurring!$H$20&lt;&gt;"Yes",Recurring!$D$20=""),"",Recurring!$B$20)</f>
        <v>Maine Revenue Services (2)</v>
      </c>
      <c r="D249" s="8" t="str">
        <f aca="false">IF($C249="","",Recurring!$C$20)</f>
        <v>Expense</v>
      </c>
      <c r="E249" s="118" t="n">
        <f aca="false">IF($C249="","",IF(SUMIFS(Overrides!$E$9:$E$108,Overrides!$B$9:$B$108,$C249,Overrides!$C$9:$C$108,$L249)&gt;0,SUMIFS(Overrides!$E$9:$E$108,Overrides!$B$9:$B$108,$C249,Overrides!$C$9:$C$108,$L249),Recurring!$D$20))</f>
        <v>150</v>
      </c>
      <c r="F249" s="119"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19" t="n">
        <f aca="false">IF($L249="","",IF(SUMIFS(Overrides!$D$9:$D$108,Overrides!$B$9:$B$108,$C249,Overrides!$C$9:$C$108,$L249)&gt;0,SUMIFS(Overrides!$D$9:$D$108,Overrides!$B$9:$B$108,$C249,Overrides!$C$9:$C$108,$L249),$L249))</f>
        <v>46417</v>
      </c>
      <c r="H249" s="120" t="n">
        <f aca="false">IF($G249="",0,IF(AND($G249&gt;='Cash Flow'!$E$6,$G249&lt;'Cash Flow'!$E$6+91),1,0))</f>
        <v>0</v>
      </c>
      <c r="I249" s="120" t="str">
        <f aca="false">IF($H249=1,MAX(1,INT(($G249-'Cash Flow'!$E$6)/7)+1),"")</f>
        <v/>
      </c>
      <c r="J249" s="8" t="str">
        <f aca="false">IF($H249=1,$G249*10000+ROW(),"")</f>
        <v/>
      </c>
      <c r="K249" s="8" t="str">
        <f aca="false">IF($H249=1,$I249*1000+COUNTIFS($I$4:$I$483,$I249,$J$4:$J$483,"&lt;"&amp;$J249)+1,"")</f>
        <v/>
      </c>
      <c r="L249" s="121"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17" t="n">
        <v>16</v>
      </c>
      <c r="B250" s="117" t="n">
        <v>7</v>
      </c>
      <c r="C250" s="8" t="str">
        <f aca="false">IF(OR(Recurring!$B$20="",Recurring!$H$20&lt;&gt;"Yes",Recurring!$D$20=""),"",Recurring!$B$20)</f>
        <v>Maine Revenue Services (2)</v>
      </c>
      <c r="D250" s="8" t="str">
        <f aca="false">IF($C250="","",Recurring!$C$20)</f>
        <v>Expense</v>
      </c>
      <c r="E250" s="118" t="n">
        <f aca="false">IF($C250="","",IF(SUMIFS(Overrides!$E$9:$E$108,Overrides!$B$9:$B$108,$C250,Overrides!$C$9:$C$108,$L250)&gt;0,SUMIFS(Overrides!$E$9:$E$108,Overrides!$B$9:$B$108,$C250,Overrides!$C$9:$C$108,$L250),Recurring!$D$20))</f>
        <v>150</v>
      </c>
      <c r="F250" s="119"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19" t="n">
        <f aca="false">IF($L250="","",IF(SUMIFS(Overrides!$D$9:$D$108,Overrides!$B$9:$B$108,$C250,Overrides!$C$9:$C$108,$L250)&gt;0,SUMIFS(Overrides!$D$9:$D$108,Overrides!$B$9:$B$108,$C250,Overrides!$C$9:$C$108,$L250),$L250))</f>
        <v>46446</v>
      </c>
      <c r="H250" s="120" t="n">
        <f aca="false">IF($G250="",0,IF(AND($G250&gt;='Cash Flow'!$E$6,$G250&lt;'Cash Flow'!$E$6+91),1,0))</f>
        <v>0</v>
      </c>
      <c r="I250" s="120" t="str">
        <f aca="false">IF($H250=1,MAX(1,INT(($G250-'Cash Flow'!$E$6)/7)+1),"")</f>
        <v/>
      </c>
      <c r="J250" s="8" t="str">
        <f aca="false">IF($H250=1,$G250*10000+ROW(),"")</f>
        <v/>
      </c>
      <c r="K250" s="8" t="str">
        <f aca="false">IF($H250=1,$I250*1000+COUNTIFS($I$4:$I$483,$I250,$J$4:$J$483,"&lt;"&amp;$J250)+1,"")</f>
        <v/>
      </c>
      <c r="L250" s="121"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17" t="n">
        <v>16</v>
      </c>
      <c r="B251" s="117" t="n">
        <v>8</v>
      </c>
      <c r="C251" s="8" t="str">
        <f aca="false">IF(OR(Recurring!$B$20="",Recurring!$H$20&lt;&gt;"Yes",Recurring!$D$20=""),"",Recurring!$B$20)</f>
        <v>Maine Revenue Services (2)</v>
      </c>
      <c r="D251" s="8" t="str">
        <f aca="false">IF($C251="","",Recurring!$C$20)</f>
        <v>Expense</v>
      </c>
      <c r="E251" s="118" t="n">
        <f aca="false">IF($C251="","",IF(SUMIFS(Overrides!$E$9:$E$108,Overrides!$B$9:$B$108,$C251,Overrides!$C$9:$C$108,$L251)&gt;0,SUMIFS(Overrides!$E$9:$E$108,Overrides!$B$9:$B$108,$C251,Overrides!$C$9:$C$108,$L251),Recurring!$D$20))</f>
        <v>150</v>
      </c>
      <c r="F251" s="119"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19" t="n">
        <f aca="false">IF($L251="","",IF(SUMIFS(Overrides!$D$9:$D$108,Overrides!$B$9:$B$108,$C251,Overrides!$C$9:$C$108,$L251)&gt;0,SUMIFS(Overrides!$D$9:$D$108,Overrides!$B$9:$B$108,$C251,Overrides!$C$9:$C$108,$L251),$L251))</f>
        <v>46476</v>
      </c>
      <c r="H251" s="120" t="n">
        <f aca="false">IF($G251="",0,IF(AND($G251&gt;='Cash Flow'!$E$6,$G251&lt;'Cash Flow'!$E$6+91),1,0))</f>
        <v>0</v>
      </c>
      <c r="I251" s="120" t="str">
        <f aca="false">IF($H251=1,MAX(1,INT(($G251-'Cash Flow'!$E$6)/7)+1),"")</f>
        <v/>
      </c>
      <c r="J251" s="8" t="str">
        <f aca="false">IF($H251=1,$G251*10000+ROW(),"")</f>
        <v/>
      </c>
      <c r="K251" s="8" t="str">
        <f aca="false">IF($H251=1,$I251*1000+COUNTIFS($I$4:$I$483,$I251,$J$4:$J$483,"&lt;"&amp;$J251)+1,"")</f>
        <v/>
      </c>
      <c r="L251" s="121"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17" t="n">
        <v>16</v>
      </c>
      <c r="B252" s="117" t="n">
        <v>9</v>
      </c>
      <c r="C252" s="8" t="str">
        <f aca="false">IF(OR(Recurring!$B$20="",Recurring!$H$20&lt;&gt;"Yes",Recurring!$D$20=""),"",Recurring!$B$20)</f>
        <v>Maine Revenue Services (2)</v>
      </c>
      <c r="D252" s="8" t="str">
        <f aca="false">IF($C252="","",Recurring!$C$20)</f>
        <v>Expense</v>
      </c>
      <c r="E252" s="118" t="n">
        <f aca="false">IF($C252="","",IF(SUMIFS(Overrides!$E$9:$E$108,Overrides!$B$9:$B$108,$C252,Overrides!$C$9:$C$108,$L252)&gt;0,SUMIFS(Overrides!$E$9:$E$108,Overrides!$B$9:$B$108,$C252,Overrides!$C$9:$C$108,$L252),Recurring!$D$20))</f>
        <v>150</v>
      </c>
      <c r="F252" s="119"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19" t="n">
        <f aca="false">IF($L252="","",IF(SUMIFS(Overrides!$D$9:$D$108,Overrides!$B$9:$B$108,$C252,Overrides!$C$9:$C$108,$L252)&gt;0,SUMIFS(Overrides!$D$9:$D$108,Overrides!$B$9:$B$108,$C252,Overrides!$C$9:$C$108,$L252),$L252))</f>
        <v>46507</v>
      </c>
      <c r="H252" s="120" t="n">
        <f aca="false">IF($G252="",0,IF(AND($G252&gt;='Cash Flow'!$E$6,$G252&lt;'Cash Flow'!$E$6+91),1,0))</f>
        <v>0</v>
      </c>
      <c r="I252" s="120" t="str">
        <f aca="false">IF($H252=1,MAX(1,INT(($G252-'Cash Flow'!$E$6)/7)+1),"")</f>
        <v/>
      </c>
      <c r="J252" s="8" t="str">
        <f aca="false">IF($H252=1,$G252*10000+ROW(),"")</f>
        <v/>
      </c>
      <c r="K252" s="8" t="str">
        <f aca="false">IF($H252=1,$I252*1000+COUNTIFS($I$4:$I$483,$I252,$J$4:$J$483,"&lt;"&amp;$J252)+1,"")</f>
        <v/>
      </c>
      <c r="L252" s="121"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17" t="n">
        <v>16</v>
      </c>
      <c r="B253" s="117" t="n">
        <v>10</v>
      </c>
      <c r="C253" s="8" t="str">
        <f aca="false">IF(OR(Recurring!$B$20="",Recurring!$H$20&lt;&gt;"Yes",Recurring!$D$20=""),"",Recurring!$B$20)</f>
        <v>Maine Revenue Services (2)</v>
      </c>
      <c r="D253" s="8" t="str">
        <f aca="false">IF($C253="","",Recurring!$C$20)</f>
        <v>Expense</v>
      </c>
      <c r="E253" s="118" t="n">
        <f aca="false">IF($C253="","",IF(SUMIFS(Overrides!$E$9:$E$108,Overrides!$B$9:$B$108,$C253,Overrides!$C$9:$C$108,$L253)&gt;0,SUMIFS(Overrides!$E$9:$E$108,Overrides!$B$9:$B$108,$C253,Overrides!$C$9:$C$108,$L253),Recurring!$D$20))</f>
        <v>150</v>
      </c>
      <c r="F253" s="119"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19" t="n">
        <f aca="false">IF($L253="","",IF(SUMIFS(Overrides!$D$9:$D$108,Overrides!$B$9:$B$108,$C253,Overrides!$C$9:$C$108,$L253)&gt;0,SUMIFS(Overrides!$D$9:$D$108,Overrides!$B$9:$B$108,$C253,Overrides!$C$9:$C$108,$L253),$L253))</f>
        <v>46537</v>
      </c>
      <c r="H253" s="120" t="n">
        <f aca="false">IF($G253="",0,IF(AND($G253&gt;='Cash Flow'!$E$6,$G253&lt;'Cash Flow'!$E$6+91),1,0))</f>
        <v>0</v>
      </c>
      <c r="I253" s="120" t="str">
        <f aca="false">IF($H253=1,MAX(1,INT(($G253-'Cash Flow'!$E$6)/7)+1),"")</f>
        <v/>
      </c>
      <c r="J253" s="8" t="str">
        <f aca="false">IF($H253=1,$G253*10000+ROW(),"")</f>
        <v/>
      </c>
      <c r="K253" s="8" t="str">
        <f aca="false">IF($H253=1,$I253*1000+COUNTIFS($I$4:$I$483,$I253,$J$4:$J$483,"&lt;"&amp;$J253)+1,"")</f>
        <v/>
      </c>
      <c r="L253" s="121"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17" t="n">
        <v>16</v>
      </c>
      <c r="B254" s="117" t="n">
        <v>11</v>
      </c>
      <c r="C254" s="8" t="str">
        <f aca="false">IF(OR(Recurring!$B$20="",Recurring!$H$20&lt;&gt;"Yes",Recurring!$D$20=""),"",Recurring!$B$20)</f>
        <v>Maine Revenue Services (2)</v>
      </c>
      <c r="D254" s="8" t="str">
        <f aca="false">IF($C254="","",Recurring!$C$20)</f>
        <v>Expense</v>
      </c>
      <c r="E254" s="118" t="n">
        <f aca="false">IF($C254="","",IF(SUMIFS(Overrides!$E$9:$E$108,Overrides!$B$9:$B$108,$C254,Overrides!$C$9:$C$108,$L254)&gt;0,SUMIFS(Overrides!$E$9:$E$108,Overrides!$B$9:$B$108,$C254,Overrides!$C$9:$C$108,$L254),Recurring!$D$20))</f>
        <v>150</v>
      </c>
      <c r="F254" s="119"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19" t="n">
        <f aca="false">IF($L254="","",IF(SUMIFS(Overrides!$D$9:$D$108,Overrides!$B$9:$B$108,$C254,Overrides!$C$9:$C$108,$L254)&gt;0,SUMIFS(Overrides!$D$9:$D$108,Overrides!$B$9:$B$108,$C254,Overrides!$C$9:$C$108,$L254),$L254))</f>
        <v>46568</v>
      </c>
      <c r="H254" s="120" t="n">
        <f aca="false">IF($G254="",0,IF(AND($G254&gt;='Cash Flow'!$E$6,$G254&lt;'Cash Flow'!$E$6+91),1,0))</f>
        <v>0</v>
      </c>
      <c r="I254" s="120" t="str">
        <f aca="false">IF($H254=1,MAX(1,INT(($G254-'Cash Flow'!$E$6)/7)+1),"")</f>
        <v/>
      </c>
      <c r="J254" s="8" t="str">
        <f aca="false">IF($H254=1,$G254*10000+ROW(),"")</f>
        <v/>
      </c>
      <c r="K254" s="8" t="str">
        <f aca="false">IF($H254=1,$I254*1000+COUNTIFS($I$4:$I$483,$I254,$J$4:$J$483,"&lt;"&amp;$J254)+1,"")</f>
        <v/>
      </c>
      <c r="L254" s="121"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17" t="n">
        <v>16</v>
      </c>
      <c r="B255" s="117" t="n">
        <v>12</v>
      </c>
      <c r="C255" s="8" t="str">
        <f aca="false">IF(OR(Recurring!$B$20="",Recurring!$H$20&lt;&gt;"Yes",Recurring!$D$20=""),"",Recurring!$B$20)</f>
        <v>Maine Revenue Services (2)</v>
      </c>
      <c r="D255" s="8" t="str">
        <f aca="false">IF($C255="","",Recurring!$C$20)</f>
        <v>Expense</v>
      </c>
      <c r="E255" s="118" t="n">
        <f aca="false">IF($C255="","",IF(SUMIFS(Overrides!$E$9:$E$108,Overrides!$B$9:$B$108,$C255,Overrides!$C$9:$C$108,$L255)&gt;0,SUMIFS(Overrides!$E$9:$E$108,Overrides!$B$9:$B$108,$C255,Overrides!$C$9:$C$108,$L255),Recurring!$D$20))</f>
        <v>150</v>
      </c>
      <c r="F255" s="119"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19" t="n">
        <f aca="false">IF($L255="","",IF(SUMIFS(Overrides!$D$9:$D$108,Overrides!$B$9:$B$108,$C255,Overrides!$C$9:$C$108,$L255)&gt;0,SUMIFS(Overrides!$D$9:$D$108,Overrides!$B$9:$B$108,$C255,Overrides!$C$9:$C$108,$L255),$L255))</f>
        <v>46598</v>
      </c>
      <c r="H255" s="120" t="n">
        <f aca="false">IF($G255="",0,IF(AND($G255&gt;='Cash Flow'!$E$6,$G255&lt;'Cash Flow'!$E$6+91),1,0))</f>
        <v>0</v>
      </c>
      <c r="I255" s="120" t="str">
        <f aca="false">IF($H255=1,MAX(1,INT(($G255-'Cash Flow'!$E$6)/7)+1),"")</f>
        <v/>
      </c>
      <c r="J255" s="8" t="str">
        <f aca="false">IF($H255=1,$G255*10000+ROW(),"")</f>
        <v/>
      </c>
      <c r="K255" s="8" t="str">
        <f aca="false">IF($H255=1,$I255*1000+COUNTIFS($I$4:$I$483,$I255,$J$4:$J$483,"&lt;"&amp;$J255)+1,"")</f>
        <v/>
      </c>
      <c r="L255" s="121"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17" t="n">
        <v>16</v>
      </c>
      <c r="B256" s="117" t="n">
        <v>13</v>
      </c>
      <c r="C256" s="8" t="str">
        <f aca="false">IF(OR(Recurring!$B$20="",Recurring!$H$20&lt;&gt;"Yes",Recurring!$D$20=""),"",Recurring!$B$20)</f>
        <v>Maine Revenue Services (2)</v>
      </c>
      <c r="D256" s="8" t="str">
        <f aca="false">IF($C256="","",Recurring!$C$20)</f>
        <v>Expense</v>
      </c>
      <c r="E256" s="118" t="n">
        <f aca="false">IF($C256="","",IF(SUMIFS(Overrides!$E$9:$E$108,Overrides!$B$9:$B$108,$C256,Overrides!$C$9:$C$108,$L256)&gt;0,SUMIFS(Overrides!$E$9:$E$108,Overrides!$B$9:$B$108,$C256,Overrides!$C$9:$C$108,$L256),Recurring!$D$20))</f>
        <v>150</v>
      </c>
      <c r="F256" s="119"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19" t="n">
        <f aca="false">IF($L256="","",IF(SUMIFS(Overrides!$D$9:$D$108,Overrides!$B$9:$B$108,$C256,Overrides!$C$9:$C$108,$L256)&gt;0,SUMIFS(Overrides!$D$9:$D$108,Overrides!$B$9:$B$108,$C256,Overrides!$C$9:$C$108,$L256),$L256))</f>
        <v>46629</v>
      </c>
      <c r="H256" s="120" t="n">
        <f aca="false">IF($G256="",0,IF(AND($G256&gt;='Cash Flow'!$E$6,$G256&lt;'Cash Flow'!$E$6+91),1,0))</f>
        <v>0</v>
      </c>
      <c r="I256" s="120" t="str">
        <f aca="false">IF($H256=1,MAX(1,INT(($G256-'Cash Flow'!$E$6)/7)+1),"")</f>
        <v/>
      </c>
      <c r="J256" s="8" t="str">
        <f aca="false">IF($H256=1,$G256*10000+ROW(),"")</f>
        <v/>
      </c>
      <c r="K256" s="8" t="str">
        <f aca="false">IF($H256=1,$I256*1000+COUNTIFS($I$4:$I$483,$I256,$J$4:$J$483,"&lt;"&amp;$J256)+1,"")</f>
        <v/>
      </c>
      <c r="L256" s="121"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17" t="n">
        <v>16</v>
      </c>
      <c r="B257" s="117" t="n">
        <v>14</v>
      </c>
      <c r="C257" s="8" t="str">
        <f aca="false">IF(OR(Recurring!$B$20="",Recurring!$H$20&lt;&gt;"Yes",Recurring!$D$20=""),"",Recurring!$B$20)</f>
        <v>Maine Revenue Services (2)</v>
      </c>
      <c r="D257" s="8" t="str">
        <f aca="false">IF($C257="","",Recurring!$C$20)</f>
        <v>Expense</v>
      </c>
      <c r="E257" s="118" t="n">
        <f aca="false">IF($C257="","",IF(SUMIFS(Overrides!$E$9:$E$108,Overrides!$B$9:$B$108,$C257,Overrides!$C$9:$C$108,$L257)&gt;0,SUMIFS(Overrides!$E$9:$E$108,Overrides!$B$9:$B$108,$C257,Overrides!$C$9:$C$108,$L257),Recurring!$D$20))</f>
        <v>150</v>
      </c>
      <c r="F257" s="119"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19" t="n">
        <f aca="false">IF($L257="","",IF(SUMIFS(Overrides!$D$9:$D$108,Overrides!$B$9:$B$108,$C257,Overrides!$C$9:$C$108,$L257)&gt;0,SUMIFS(Overrides!$D$9:$D$108,Overrides!$B$9:$B$108,$C257,Overrides!$C$9:$C$108,$L257),$L257))</f>
        <v>46660</v>
      </c>
      <c r="H257" s="120" t="n">
        <f aca="false">IF($G257="",0,IF(AND($G257&gt;='Cash Flow'!$E$6,$G257&lt;'Cash Flow'!$E$6+91),1,0))</f>
        <v>0</v>
      </c>
      <c r="I257" s="120" t="str">
        <f aca="false">IF($H257=1,MAX(1,INT(($G257-'Cash Flow'!$E$6)/7)+1),"")</f>
        <v/>
      </c>
      <c r="J257" s="8" t="str">
        <f aca="false">IF($H257=1,$G257*10000+ROW(),"")</f>
        <v/>
      </c>
      <c r="K257" s="8" t="str">
        <f aca="false">IF($H257=1,$I257*1000+COUNTIFS($I$4:$I$483,$I257,$J$4:$J$483,"&lt;"&amp;$J257)+1,"")</f>
        <v/>
      </c>
      <c r="L257" s="121"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17" t="n">
        <v>16</v>
      </c>
      <c r="B258" s="117" t="n">
        <v>15</v>
      </c>
      <c r="C258" s="8" t="str">
        <f aca="false">IF(OR(Recurring!$B$20="",Recurring!$H$20&lt;&gt;"Yes",Recurring!$D$20=""),"",Recurring!$B$20)</f>
        <v>Maine Revenue Services (2)</v>
      </c>
      <c r="D258" s="8" t="str">
        <f aca="false">IF($C258="","",Recurring!$C$20)</f>
        <v>Expense</v>
      </c>
      <c r="E258" s="118" t="n">
        <f aca="false">IF($C258="","",IF(SUMIFS(Overrides!$E$9:$E$108,Overrides!$B$9:$B$108,$C258,Overrides!$C$9:$C$108,$L258)&gt;0,SUMIFS(Overrides!$E$9:$E$108,Overrides!$B$9:$B$108,$C258,Overrides!$C$9:$C$108,$L258),Recurring!$D$20))</f>
        <v>150</v>
      </c>
      <c r="F258" s="119"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19" t="n">
        <f aca="false">IF($L258="","",IF(SUMIFS(Overrides!$D$9:$D$108,Overrides!$B$9:$B$108,$C258,Overrides!$C$9:$C$108,$L258)&gt;0,SUMIFS(Overrides!$D$9:$D$108,Overrides!$B$9:$B$108,$C258,Overrides!$C$9:$C$108,$L258),$L258))</f>
        <v>46690</v>
      </c>
      <c r="H258" s="120" t="n">
        <f aca="false">IF($G258="",0,IF(AND($G258&gt;='Cash Flow'!$E$6,$G258&lt;'Cash Flow'!$E$6+91),1,0))</f>
        <v>0</v>
      </c>
      <c r="I258" s="120" t="str">
        <f aca="false">IF($H258=1,MAX(1,INT(($G258-'Cash Flow'!$E$6)/7)+1),"")</f>
        <v/>
      </c>
      <c r="J258" s="8" t="str">
        <f aca="false">IF($H258=1,$G258*10000+ROW(),"")</f>
        <v/>
      </c>
      <c r="K258" s="8" t="str">
        <f aca="false">IF($H258=1,$I258*1000+COUNTIFS($I$4:$I$483,$I258,$J$4:$J$483,"&lt;"&amp;$J258)+1,"")</f>
        <v/>
      </c>
      <c r="L258" s="121"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17" t="n">
        <v>16</v>
      </c>
      <c r="B259" s="117" t="n">
        <v>16</v>
      </c>
      <c r="C259" s="8" t="str">
        <f aca="false">IF(OR(Recurring!$B$20="",Recurring!$H$20&lt;&gt;"Yes",Recurring!$D$20=""),"",Recurring!$B$20)</f>
        <v>Maine Revenue Services (2)</v>
      </c>
      <c r="D259" s="8" t="str">
        <f aca="false">IF($C259="","",Recurring!$C$20)</f>
        <v>Expense</v>
      </c>
      <c r="E259" s="118" t="n">
        <f aca="false">IF($C259="","",IF(SUMIFS(Overrides!$E$9:$E$108,Overrides!$B$9:$B$108,$C259,Overrides!$C$9:$C$108,$L259)&gt;0,SUMIFS(Overrides!$E$9:$E$108,Overrides!$B$9:$B$108,$C259,Overrides!$C$9:$C$108,$L259),Recurring!$D$20))</f>
        <v>150</v>
      </c>
      <c r="F259" s="119"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19" t="n">
        <f aca="false">IF($L259="","",IF(SUMIFS(Overrides!$D$9:$D$108,Overrides!$B$9:$B$108,$C259,Overrides!$C$9:$C$108,$L259)&gt;0,SUMIFS(Overrides!$D$9:$D$108,Overrides!$B$9:$B$108,$C259,Overrides!$C$9:$C$108,$L259),$L259))</f>
        <v>46721</v>
      </c>
      <c r="H259" s="120" t="n">
        <f aca="false">IF($G259="",0,IF(AND($G259&gt;='Cash Flow'!$E$6,$G259&lt;'Cash Flow'!$E$6+91),1,0))</f>
        <v>0</v>
      </c>
      <c r="I259" s="120" t="str">
        <f aca="false">IF($H259=1,MAX(1,INT(($G259-'Cash Flow'!$E$6)/7)+1),"")</f>
        <v/>
      </c>
      <c r="J259" s="8" t="str">
        <f aca="false">IF($H259=1,$G259*10000+ROW(),"")</f>
        <v/>
      </c>
      <c r="K259" s="8" t="str">
        <f aca="false">IF($H259=1,$I259*1000+COUNTIFS($I$4:$I$483,$I259,$J$4:$J$483,"&lt;"&amp;$J259)+1,"")</f>
        <v/>
      </c>
      <c r="L259" s="121"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17" t="n">
        <v>17</v>
      </c>
      <c r="B260" s="117" t="n">
        <v>1</v>
      </c>
      <c r="C260" s="8" t="str">
        <f aca="false">IF(OR(Recurring!$B$21="",Recurring!$H$21&lt;&gt;"Yes",Recurring!$D$21=""),"",Recurring!$B$21)</f>
        <v>Progressive Insurance</v>
      </c>
      <c r="D260" s="8" t="str">
        <f aca="false">IF($C260="","",Recurring!$C$21)</f>
        <v>Expense</v>
      </c>
      <c r="E260" s="118" t="n">
        <f aca="false">IF($C260="","",IF(SUMIFS(Overrides!$E$9:$E$108,Overrides!$B$9:$B$108,$C260,Overrides!$C$9:$C$108,$L260)&gt;0,SUMIFS(Overrides!$E$9:$E$108,Overrides!$B$9:$B$108,$C260,Overrides!$C$9:$C$108,$L260),Recurring!$D$21))</f>
        <v>143.37</v>
      </c>
      <c r="F260" s="119"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19" t="n">
        <f aca="false">IF($L260="","",IF(SUMIFS(Overrides!$D$9:$D$108,Overrides!$B$9:$B$108,$C260,Overrides!$C$9:$C$108,$L260)&gt;0,SUMIFS(Overrides!$D$9:$D$108,Overrides!$B$9:$B$108,$C260,Overrides!$C$9:$C$108,$L260),$L260))</f>
        <v>46265</v>
      </c>
      <c r="H260" s="120" t="n">
        <f aca="false">IF($G260="",0,IF(AND($G260&gt;='Cash Flow'!$E$6-90,$G260&lt;'Cash Flow'!$E$6+91),1,0))</f>
        <v>1</v>
      </c>
      <c r="I260" s="120" t="n">
        <f aca="false">IF($H260=1,MAX(1,INT(($G260-'Cash Flow'!$E$6)/7)+1),"")</f>
        <v>3</v>
      </c>
      <c r="J260" s="8" t="n">
        <f aca="false">IF($H260=1,$G260*10000+ROW(),"")</f>
        <v>462650260</v>
      </c>
      <c r="K260" s="8" t="n">
        <f aca="false">IF($H260=1,$I260*1000+COUNTIFS($I$4:$I$483,$I260,$J$4:$J$483,"&lt;"&amp;$J260)+1,"")</f>
        <v>3004</v>
      </c>
      <c r="L260" s="121"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17" t="n">
        <v>17</v>
      </c>
      <c r="B261" s="117" t="n">
        <v>2</v>
      </c>
      <c r="C261" s="8" t="str">
        <f aca="false">IF(OR(Recurring!$B$21="",Recurring!$H$21&lt;&gt;"Yes",Recurring!$D$21=""),"",Recurring!$B$21)</f>
        <v>Progressive Insurance</v>
      </c>
      <c r="D261" s="8" t="str">
        <f aca="false">IF($C261="","",Recurring!$C$21)</f>
        <v>Expense</v>
      </c>
      <c r="E261" s="118" t="n">
        <f aca="false">IF($C261="","",IF(SUMIFS(Overrides!$E$9:$E$108,Overrides!$B$9:$B$108,$C261,Overrides!$C$9:$C$108,$L261)&gt;0,SUMIFS(Overrides!$E$9:$E$108,Overrides!$B$9:$B$108,$C261,Overrides!$C$9:$C$108,$L261),Recurring!$D$21))</f>
        <v>143.37</v>
      </c>
      <c r="F261" s="119"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19" t="n">
        <f aca="false">IF($L261="","",IF(SUMIFS(Overrides!$D$9:$D$108,Overrides!$B$9:$B$108,$C261,Overrides!$C$9:$C$108,$L261)&gt;0,SUMIFS(Overrides!$D$9:$D$108,Overrides!$B$9:$B$108,$C261,Overrides!$C$9:$C$108,$L261),$L261))</f>
        <v>46295</v>
      </c>
      <c r="H261" s="120" t="n">
        <f aca="false">IF($G261="",0,IF(AND($G261&gt;='Cash Flow'!$E$6,$G261&lt;'Cash Flow'!$E$6+91),1,0))</f>
        <v>1</v>
      </c>
      <c r="I261" s="120" t="n">
        <f aca="false">IF($H261=1,MAX(1,INT(($G261-'Cash Flow'!$E$6)/7)+1),"")</f>
        <v>7</v>
      </c>
      <c r="J261" s="8" t="n">
        <f aca="false">IF($H261=1,$G261*10000+ROW(),"")</f>
        <v>462950261</v>
      </c>
      <c r="K261" s="8" t="n">
        <f aca="false">IF($H261=1,$I261*1000+COUNTIFS($I$4:$I$483,$I261,$J$4:$J$483,"&lt;"&amp;$J261)+1,"")</f>
        <v>7004</v>
      </c>
      <c r="L261" s="121"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17" t="n">
        <v>17</v>
      </c>
      <c r="B262" s="117" t="n">
        <v>3</v>
      </c>
      <c r="C262" s="8" t="str">
        <f aca="false">IF(OR(Recurring!$B$21="",Recurring!$H$21&lt;&gt;"Yes",Recurring!$D$21=""),"",Recurring!$B$21)</f>
        <v>Progressive Insurance</v>
      </c>
      <c r="D262" s="8" t="str">
        <f aca="false">IF($C262="","",Recurring!$C$21)</f>
        <v>Expense</v>
      </c>
      <c r="E262" s="118" t="n">
        <f aca="false">IF($C262="","",IF(SUMIFS(Overrides!$E$9:$E$108,Overrides!$B$9:$B$108,$C262,Overrides!$C$9:$C$108,$L262)&gt;0,SUMIFS(Overrides!$E$9:$E$108,Overrides!$B$9:$B$108,$C262,Overrides!$C$9:$C$108,$L262),Recurring!$D$21))</f>
        <v>143.37</v>
      </c>
      <c r="F262" s="119"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19" t="n">
        <f aca="false">IF($L262="","",IF(SUMIFS(Overrides!$D$9:$D$108,Overrides!$B$9:$B$108,$C262,Overrides!$C$9:$C$108,$L262)&gt;0,SUMIFS(Overrides!$D$9:$D$108,Overrides!$B$9:$B$108,$C262,Overrides!$C$9:$C$108,$L262),$L262))</f>
        <v>46326</v>
      </c>
      <c r="H262" s="120" t="n">
        <f aca="false">IF($G262="",0,IF(AND($G262&gt;='Cash Flow'!$E$6,$G262&lt;'Cash Flow'!$E$6+91),1,0))</f>
        <v>1</v>
      </c>
      <c r="I262" s="120" t="n">
        <f aca="false">IF($H262=1,MAX(1,INT(($G262-'Cash Flow'!$E$6)/7)+1),"")</f>
        <v>12</v>
      </c>
      <c r="J262" s="8" t="n">
        <f aca="false">IF($H262=1,$G262*10000+ROW(),"")</f>
        <v>463260262</v>
      </c>
      <c r="K262" s="8" t="n">
        <f aca="false">IF($H262=1,$I262*1000+COUNTIFS($I$4:$I$483,$I262,$J$4:$J$483,"&lt;"&amp;$J262)+1,"")</f>
        <v>12001</v>
      </c>
      <c r="L262" s="121"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17" t="n">
        <v>17</v>
      </c>
      <c r="B263" s="117" t="n">
        <v>4</v>
      </c>
      <c r="C263" s="8" t="str">
        <f aca="false">IF(OR(Recurring!$B$21="",Recurring!$H$21&lt;&gt;"Yes",Recurring!$D$21=""),"",Recurring!$B$21)</f>
        <v>Progressive Insurance</v>
      </c>
      <c r="D263" s="8" t="str">
        <f aca="false">IF($C263="","",Recurring!$C$21)</f>
        <v>Expense</v>
      </c>
      <c r="E263" s="118" t="n">
        <f aca="false">IF($C263="","",IF(SUMIFS(Overrides!$E$9:$E$108,Overrides!$B$9:$B$108,$C263,Overrides!$C$9:$C$108,$L263)&gt;0,SUMIFS(Overrides!$E$9:$E$108,Overrides!$B$9:$B$108,$C263,Overrides!$C$9:$C$108,$L263),Recurring!$D$21))</f>
        <v>143.37</v>
      </c>
      <c r="F263" s="119"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19" t="n">
        <f aca="false">IF($L263="","",IF(SUMIFS(Overrides!$D$9:$D$108,Overrides!$B$9:$B$108,$C263,Overrides!$C$9:$C$108,$L263)&gt;0,SUMIFS(Overrides!$D$9:$D$108,Overrides!$B$9:$B$108,$C263,Overrides!$C$9:$C$108,$L263),$L263))</f>
        <v>46356</v>
      </c>
      <c r="H263" s="120" t="n">
        <f aca="false">IF($G263="",0,IF(AND($G263&gt;='Cash Flow'!$E$6,$G263&lt;'Cash Flow'!$E$6+91),1,0))</f>
        <v>0</v>
      </c>
      <c r="I263" s="120" t="str">
        <f aca="false">IF($H263=1,MAX(1,INT(($G263-'Cash Flow'!$E$6)/7)+1),"")</f>
        <v/>
      </c>
      <c r="J263" s="8" t="str">
        <f aca="false">IF($H263=1,$G263*10000+ROW(),"")</f>
        <v/>
      </c>
      <c r="K263" s="8" t="str">
        <f aca="false">IF($H263=1,$I263*1000+COUNTIFS($I$4:$I$483,$I263,$J$4:$J$483,"&lt;"&amp;$J263)+1,"")</f>
        <v/>
      </c>
      <c r="L263" s="121"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17" t="n">
        <v>17</v>
      </c>
      <c r="B264" s="117" t="n">
        <v>5</v>
      </c>
      <c r="C264" s="8" t="str">
        <f aca="false">IF(OR(Recurring!$B$21="",Recurring!$H$21&lt;&gt;"Yes",Recurring!$D$21=""),"",Recurring!$B$21)</f>
        <v>Progressive Insurance</v>
      </c>
      <c r="D264" s="8" t="str">
        <f aca="false">IF($C264="","",Recurring!$C$21)</f>
        <v>Expense</v>
      </c>
      <c r="E264" s="118" t="n">
        <f aca="false">IF($C264="","",IF(SUMIFS(Overrides!$E$9:$E$108,Overrides!$B$9:$B$108,$C264,Overrides!$C$9:$C$108,$L264)&gt;0,SUMIFS(Overrides!$E$9:$E$108,Overrides!$B$9:$B$108,$C264,Overrides!$C$9:$C$108,$L264),Recurring!$D$21))</f>
        <v>143.37</v>
      </c>
      <c r="F264" s="119"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19" t="n">
        <f aca="false">IF($L264="","",IF(SUMIFS(Overrides!$D$9:$D$108,Overrides!$B$9:$B$108,$C264,Overrides!$C$9:$C$108,$L264)&gt;0,SUMIFS(Overrides!$D$9:$D$108,Overrides!$B$9:$B$108,$C264,Overrides!$C$9:$C$108,$L264),$L264))</f>
        <v>46387</v>
      </c>
      <c r="H264" s="120" t="n">
        <f aca="false">IF($G264="",0,IF(AND($G264&gt;='Cash Flow'!$E$6,$G264&lt;'Cash Flow'!$E$6+91),1,0))</f>
        <v>0</v>
      </c>
      <c r="I264" s="120" t="str">
        <f aca="false">IF($H264=1,MAX(1,INT(($G264-'Cash Flow'!$E$6)/7)+1),"")</f>
        <v/>
      </c>
      <c r="J264" s="8" t="str">
        <f aca="false">IF($H264=1,$G264*10000+ROW(),"")</f>
        <v/>
      </c>
      <c r="K264" s="8" t="str">
        <f aca="false">IF($H264=1,$I264*1000+COUNTIFS($I$4:$I$483,$I264,$J$4:$J$483,"&lt;"&amp;$J264)+1,"")</f>
        <v/>
      </c>
      <c r="L264" s="121"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17" t="n">
        <v>17</v>
      </c>
      <c r="B265" s="117" t="n">
        <v>6</v>
      </c>
      <c r="C265" s="8" t="str">
        <f aca="false">IF(OR(Recurring!$B$21="",Recurring!$H$21&lt;&gt;"Yes",Recurring!$D$21=""),"",Recurring!$B$21)</f>
        <v>Progressive Insurance</v>
      </c>
      <c r="D265" s="8" t="str">
        <f aca="false">IF($C265="","",Recurring!$C$21)</f>
        <v>Expense</v>
      </c>
      <c r="E265" s="118" t="n">
        <f aca="false">IF($C265="","",IF(SUMIFS(Overrides!$E$9:$E$108,Overrides!$B$9:$B$108,$C265,Overrides!$C$9:$C$108,$L265)&gt;0,SUMIFS(Overrides!$E$9:$E$108,Overrides!$B$9:$B$108,$C265,Overrides!$C$9:$C$108,$L265),Recurring!$D$21))</f>
        <v>143.37</v>
      </c>
      <c r="F265" s="119"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19" t="n">
        <f aca="false">IF($L265="","",IF(SUMIFS(Overrides!$D$9:$D$108,Overrides!$B$9:$B$108,$C265,Overrides!$C$9:$C$108,$L265)&gt;0,SUMIFS(Overrides!$D$9:$D$108,Overrides!$B$9:$B$108,$C265,Overrides!$C$9:$C$108,$L265),$L265))</f>
        <v>46418</v>
      </c>
      <c r="H265" s="120" t="n">
        <f aca="false">IF($G265="",0,IF(AND($G265&gt;='Cash Flow'!$E$6,$G265&lt;'Cash Flow'!$E$6+91),1,0))</f>
        <v>0</v>
      </c>
      <c r="I265" s="120" t="str">
        <f aca="false">IF($H265=1,MAX(1,INT(($G265-'Cash Flow'!$E$6)/7)+1),"")</f>
        <v/>
      </c>
      <c r="J265" s="8" t="str">
        <f aca="false">IF($H265=1,$G265*10000+ROW(),"")</f>
        <v/>
      </c>
      <c r="K265" s="8" t="str">
        <f aca="false">IF($H265=1,$I265*1000+COUNTIFS($I$4:$I$483,$I265,$J$4:$J$483,"&lt;"&amp;$J265)+1,"")</f>
        <v/>
      </c>
      <c r="L265" s="121"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17" t="n">
        <v>17</v>
      </c>
      <c r="B266" s="117" t="n">
        <v>7</v>
      </c>
      <c r="C266" s="8" t="str">
        <f aca="false">IF(OR(Recurring!$B$21="",Recurring!$H$21&lt;&gt;"Yes",Recurring!$D$21=""),"",Recurring!$B$21)</f>
        <v>Progressive Insurance</v>
      </c>
      <c r="D266" s="8" t="str">
        <f aca="false">IF($C266="","",Recurring!$C$21)</f>
        <v>Expense</v>
      </c>
      <c r="E266" s="118" t="n">
        <f aca="false">IF($C266="","",IF(SUMIFS(Overrides!$E$9:$E$108,Overrides!$B$9:$B$108,$C266,Overrides!$C$9:$C$108,$L266)&gt;0,SUMIFS(Overrides!$E$9:$E$108,Overrides!$B$9:$B$108,$C266,Overrides!$C$9:$C$108,$L266),Recurring!$D$21))</f>
        <v>143.37</v>
      </c>
      <c r="F266" s="119"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19" t="n">
        <f aca="false">IF($L266="","",IF(SUMIFS(Overrides!$D$9:$D$108,Overrides!$B$9:$B$108,$C266,Overrides!$C$9:$C$108,$L266)&gt;0,SUMIFS(Overrides!$D$9:$D$108,Overrides!$B$9:$B$108,$C266,Overrides!$C$9:$C$108,$L266),$L266))</f>
        <v>46446</v>
      </c>
      <c r="H266" s="120" t="n">
        <f aca="false">IF($G266="",0,IF(AND($G266&gt;='Cash Flow'!$E$6,$G266&lt;'Cash Flow'!$E$6+91),1,0))</f>
        <v>0</v>
      </c>
      <c r="I266" s="120" t="str">
        <f aca="false">IF($H266=1,MAX(1,INT(($G266-'Cash Flow'!$E$6)/7)+1),"")</f>
        <v/>
      </c>
      <c r="J266" s="8" t="str">
        <f aca="false">IF($H266=1,$G266*10000+ROW(),"")</f>
        <v/>
      </c>
      <c r="K266" s="8" t="str">
        <f aca="false">IF($H266=1,$I266*1000+COUNTIFS($I$4:$I$483,$I266,$J$4:$J$483,"&lt;"&amp;$J266)+1,"")</f>
        <v/>
      </c>
      <c r="L266" s="121"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17" t="n">
        <v>17</v>
      </c>
      <c r="B267" s="117" t="n">
        <v>8</v>
      </c>
      <c r="C267" s="8" t="str">
        <f aca="false">IF(OR(Recurring!$B$21="",Recurring!$H$21&lt;&gt;"Yes",Recurring!$D$21=""),"",Recurring!$B$21)</f>
        <v>Progressive Insurance</v>
      </c>
      <c r="D267" s="8" t="str">
        <f aca="false">IF($C267="","",Recurring!$C$21)</f>
        <v>Expense</v>
      </c>
      <c r="E267" s="118" t="n">
        <f aca="false">IF($C267="","",IF(SUMIFS(Overrides!$E$9:$E$108,Overrides!$B$9:$B$108,$C267,Overrides!$C$9:$C$108,$L267)&gt;0,SUMIFS(Overrides!$E$9:$E$108,Overrides!$B$9:$B$108,$C267,Overrides!$C$9:$C$108,$L267),Recurring!$D$21))</f>
        <v>143.37</v>
      </c>
      <c r="F267" s="119"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19" t="n">
        <f aca="false">IF($L267="","",IF(SUMIFS(Overrides!$D$9:$D$108,Overrides!$B$9:$B$108,$C267,Overrides!$C$9:$C$108,$L267)&gt;0,SUMIFS(Overrides!$D$9:$D$108,Overrides!$B$9:$B$108,$C267,Overrides!$C$9:$C$108,$L267),$L267))</f>
        <v>46477</v>
      </c>
      <c r="H267" s="120" t="n">
        <f aca="false">IF($G267="",0,IF(AND($G267&gt;='Cash Flow'!$E$6,$G267&lt;'Cash Flow'!$E$6+91),1,0))</f>
        <v>0</v>
      </c>
      <c r="I267" s="120" t="str">
        <f aca="false">IF($H267=1,MAX(1,INT(($G267-'Cash Flow'!$E$6)/7)+1),"")</f>
        <v/>
      </c>
      <c r="J267" s="8" t="str">
        <f aca="false">IF($H267=1,$G267*10000+ROW(),"")</f>
        <v/>
      </c>
      <c r="K267" s="8" t="str">
        <f aca="false">IF($H267=1,$I267*1000+COUNTIFS($I$4:$I$483,$I267,$J$4:$J$483,"&lt;"&amp;$J267)+1,"")</f>
        <v/>
      </c>
      <c r="L267" s="121"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17" t="n">
        <v>17</v>
      </c>
      <c r="B268" s="117" t="n">
        <v>9</v>
      </c>
      <c r="C268" s="8" t="str">
        <f aca="false">IF(OR(Recurring!$B$21="",Recurring!$H$21&lt;&gt;"Yes",Recurring!$D$21=""),"",Recurring!$B$21)</f>
        <v>Progressive Insurance</v>
      </c>
      <c r="D268" s="8" t="str">
        <f aca="false">IF($C268="","",Recurring!$C$21)</f>
        <v>Expense</v>
      </c>
      <c r="E268" s="118" t="n">
        <f aca="false">IF($C268="","",IF(SUMIFS(Overrides!$E$9:$E$108,Overrides!$B$9:$B$108,$C268,Overrides!$C$9:$C$108,$L268)&gt;0,SUMIFS(Overrides!$E$9:$E$108,Overrides!$B$9:$B$108,$C268,Overrides!$C$9:$C$108,$L268),Recurring!$D$21))</f>
        <v>143.37</v>
      </c>
      <c r="F268" s="119"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19" t="n">
        <f aca="false">IF($L268="","",IF(SUMIFS(Overrides!$D$9:$D$108,Overrides!$B$9:$B$108,$C268,Overrides!$C$9:$C$108,$L268)&gt;0,SUMIFS(Overrides!$D$9:$D$108,Overrides!$B$9:$B$108,$C268,Overrides!$C$9:$C$108,$L268),$L268))</f>
        <v>46507</v>
      </c>
      <c r="H268" s="120" t="n">
        <f aca="false">IF($G268="",0,IF(AND($G268&gt;='Cash Flow'!$E$6,$G268&lt;'Cash Flow'!$E$6+91),1,0))</f>
        <v>0</v>
      </c>
      <c r="I268" s="120" t="str">
        <f aca="false">IF($H268=1,MAX(1,INT(($G268-'Cash Flow'!$E$6)/7)+1),"")</f>
        <v/>
      </c>
      <c r="J268" s="8" t="str">
        <f aca="false">IF($H268=1,$G268*10000+ROW(),"")</f>
        <v/>
      </c>
      <c r="K268" s="8" t="str">
        <f aca="false">IF($H268=1,$I268*1000+COUNTIFS($I$4:$I$483,$I268,$J$4:$J$483,"&lt;"&amp;$J268)+1,"")</f>
        <v/>
      </c>
      <c r="L268" s="121"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17" t="n">
        <v>17</v>
      </c>
      <c r="B269" s="117" t="n">
        <v>10</v>
      </c>
      <c r="C269" s="8" t="str">
        <f aca="false">IF(OR(Recurring!$B$21="",Recurring!$H$21&lt;&gt;"Yes",Recurring!$D$21=""),"",Recurring!$B$21)</f>
        <v>Progressive Insurance</v>
      </c>
      <c r="D269" s="8" t="str">
        <f aca="false">IF($C269="","",Recurring!$C$21)</f>
        <v>Expense</v>
      </c>
      <c r="E269" s="118" t="n">
        <f aca="false">IF($C269="","",IF(SUMIFS(Overrides!$E$9:$E$108,Overrides!$B$9:$B$108,$C269,Overrides!$C$9:$C$108,$L269)&gt;0,SUMIFS(Overrides!$E$9:$E$108,Overrides!$B$9:$B$108,$C269,Overrides!$C$9:$C$108,$L269),Recurring!$D$21))</f>
        <v>143.37</v>
      </c>
      <c r="F269" s="119"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19" t="n">
        <f aca="false">IF($L269="","",IF(SUMIFS(Overrides!$D$9:$D$108,Overrides!$B$9:$B$108,$C269,Overrides!$C$9:$C$108,$L269)&gt;0,SUMIFS(Overrides!$D$9:$D$108,Overrides!$B$9:$B$108,$C269,Overrides!$C$9:$C$108,$L269),$L269))</f>
        <v>46538</v>
      </c>
      <c r="H269" s="120" t="n">
        <f aca="false">IF($G269="",0,IF(AND($G269&gt;='Cash Flow'!$E$6,$G269&lt;'Cash Flow'!$E$6+91),1,0))</f>
        <v>0</v>
      </c>
      <c r="I269" s="120" t="str">
        <f aca="false">IF($H269=1,MAX(1,INT(($G269-'Cash Flow'!$E$6)/7)+1),"")</f>
        <v/>
      </c>
      <c r="J269" s="8" t="str">
        <f aca="false">IF($H269=1,$G269*10000+ROW(),"")</f>
        <v/>
      </c>
      <c r="K269" s="8" t="str">
        <f aca="false">IF($H269=1,$I269*1000+COUNTIFS($I$4:$I$483,$I269,$J$4:$J$483,"&lt;"&amp;$J269)+1,"")</f>
        <v/>
      </c>
      <c r="L269" s="121"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17" t="n">
        <v>17</v>
      </c>
      <c r="B270" s="117" t="n">
        <v>11</v>
      </c>
      <c r="C270" s="8" t="str">
        <f aca="false">IF(OR(Recurring!$B$21="",Recurring!$H$21&lt;&gt;"Yes",Recurring!$D$21=""),"",Recurring!$B$21)</f>
        <v>Progressive Insurance</v>
      </c>
      <c r="D270" s="8" t="str">
        <f aca="false">IF($C270="","",Recurring!$C$21)</f>
        <v>Expense</v>
      </c>
      <c r="E270" s="118" t="n">
        <f aca="false">IF($C270="","",IF(SUMIFS(Overrides!$E$9:$E$108,Overrides!$B$9:$B$108,$C270,Overrides!$C$9:$C$108,$L270)&gt;0,SUMIFS(Overrides!$E$9:$E$108,Overrides!$B$9:$B$108,$C270,Overrides!$C$9:$C$108,$L270),Recurring!$D$21))</f>
        <v>143.37</v>
      </c>
      <c r="F270" s="119"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19" t="n">
        <f aca="false">IF($L270="","",IF(SUMIFS(Overrides!$D$9:$D$108,Overrides!$B$9:$B$108,$C270,Overrides!$C$9:$C$108,$L270)&gt;0,SUMIFS(Overrides!$D$9:$D$108,Overrides!$B$9:$B$108,$C270,Overrides!$C$9:$C$108,$L270),$L270))</f>
        <v>46568</v>
      </c>
      <c r="H270" s="120" t="n">
        <f aca="false">IF($G270="",0,IF(AND($G270&gt;='Cash Flow'!$E$6,$G270&lt;'Cash Flow'!$E$6+91),1,0))</f>
        <v>0</v>
      </c>
      <c r="I270" s="120" t="str">
        <f aca="false">IF($H270=1,MAX(1,INT(($G270-'Cash Flow'!$E$6)/7)+1),"")</f>
        <v/>
      </c>
      <c r="J270" s="8" t="str">
        <f aca="false">IF($H270=1,$G270*10000+ROW(),"")</f>
        <v/>
      </c>
      <c r="K270" s="8" t="str">
        <f aca="false">IF($H270=1,$I270*1000+COUNTIFS($I$4:$I$483,$I270,$J$4:$J$483,"&lt;"&amp;$J270)+1,"")</f>
        <v/>
      </c>
      <c r="L270" s="121"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17" t="n">
        <v>17</v>
      </c>
      <c r="B271" s="117" t="n">
        <v>12</v>
      </c>
      <c r="C271" s="8" t="str">
        <f aca="false">IF(OR(Recurring!$B$21="",Recurring!$H$21&lt;&gt;"Yes",Recurring!$D$21=""),"",Recurring!$B$21)</f>
        <v>Progressive Insurance</v>
      </c>
      <c r="D271" s="8" t="str">
        <f aca="false">IF($C271="","",Recurring!$C$21)</f>
        <v>Expense</v>
      </c>
      <c r="E271" s="118" t="n">
        <f aca="false">IF($C271="","",IF(SUMIFS(Overrides!$E$9:$E$108,Overrides!$B$9:$B$108,$C271,Overrides!$C$9:$C$108,$L271)&gt;0,SUMIFS(Overrides!$E$9:$E$108,Overrides!$B$9:$B$108,$C271,Overrides!$C$9:$C$108,$L271),Recurring!$D$21))</f>
        <v>143.37</v>
      </c>
      <c r="F271" s="119"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19" t="n">
        <f aca="false">IF($L271="","",IF(SUMIFS(Overrides!$D$9:$D$108,Overrides!$B$9:$B$108,$C271,Overrides!$C$9:$C$108,$L271)&gt;0,SUMIFS(Overrides!$D$9:$D$108,Overrides!$B$9:$B$108,$C271,Overrides!$C$9:$C$108,$L271),$L271))</f>
        <v>46599</v>
      </c>
      <c r="H271" s="120" t="n">
        <f aca="false">IF($G271="",0,IF(AND($G271&gt;='Cash Flow'!$E$6,$G271&lt;'Cash Flow'!$E$6+91),1,0))</f>
        <v>0</v>
      </c>
      <c r="I271" s="120" t="str">
        <f aca="false">IF($H271=1,MAX(1,INT(($G271-'Cash Flow'!$E$6)/7)+1),"")</f>
        <v/>
      </c>
      <c r="J271" s="8" t="str">
        <f aca="false">IF($H271=1,$G271*10000+ROW(),"")</f>
        <v/>
      </c>
      <c r="K271" s="8" t="str">
        <f aca="false">IF($H271=1,$I271*1000+COUNTIFS($I$4:$I$483,$I271,$J$4:$J$483,"&lt;"&amp;$J271)+1,"")</f>
        <v/>
      </c>
      <c r="L271" s="121"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17" t="n">
        <v>17</v>
      </c>
      <c r="B272" s="117" t="n">
        <v>13</v>
      </c>
      <c r="C272" s="8" t="str">
        <f aca="false">IF(OR(Recurring!$B$21="",Recurring!$H$21&lt;&gt;"Yes",Recurring!$D$21=""),"",Recurring!$B$21)</f>
        <v>Progressive Insurance</v>
      </c>
      <c r="D272" s="8" t="str">
        <f aca="false">IF($C272="","",Recurring!$C$21)</f>
        <v>Expense</v>
      </c>
      <c r="E272" s="118" t="n">
        <f aca="false">IF($C272="","",IF(SUMIFS(Overrides!$E$9:$E$108,Overrides!$B$9:$B$108,$C272,Overrides!$C$9:$C$108,$L272)&gt;0,SUMIFS(Overrides!$E$9:$E$108,Overrides!$B$9:$B$108,$C272,Overrides!$C$9:$C$108,$L272),Recurring!$D$21))</f>
        <v>143.37</v>
      </c>
      <c r="F272" s="119"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19" t="n">
        <f aca="false">IF($L272="","",IF(SUMIFS(Overrides!$D$9:$D$108,Overrides!$B$9:$B$108,$C272,Overrides!$C$9:$C$108,$L272)&gt;0,SUMIFS(Overrides!$D$9:$D$108,Overrides!$B$9:$B$108,$C272,Overrides!$C$9:$C$108,$L272),$L272))</f>
        <v>46630</v>
      </c>
      <c r="H272" s="120" t="n">
        <f aca="false">IF($G272="",0,IF(AND($G272&gt;='Cash Flow'!$E$6,$G272&lt;'Cash Flow'!$E$6+91),1,0))</f>
        <v>0</v>
      </c>
      <c r="I272" s="120" t="str">
        <f aca="false">IF($H272=1,MAX(1,INT(($G272-'Cash Flow'!$E$6)/7)+1),"")</f>
        <v/>
      </c>
      <c r="J272" s="8" t="str">
        <f aca="false">IF($H272=1,$G272*10000+ROW(),"")</f>
        <v/>
      </c>
      <c r="K272" s="8" t="str">
        <f aca="false">IF($H272=1,$I272*1000+COUNTIFS($I$4:$I$483,$I272,$J$4:$J$483,"&lt;"&amp;$J272)+1,"")</f>
        <v/>
      </c>
      <c r="L272" s="121"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17" t="n">
        <v>17</v>
      </c>
      <c r="B273" s="117" t="n">
        <v>14</v>
      </c>
      <c r="C273" s="8" t="str">
        <f aca="false">IF(OR(Recurring!$B$21="",Recurring!$H$21&lt;&gt;"Yes",Recurring!$D$21=""),"",Recurring!$B$21)</f>
        <v>Progressive Insurance</v>
      </c>
      <c r="D273" s="8" t="str">
        <f aca="false">IF($C273="","",Recurring!$C$21)</f>
        <v>Expense</v>
      </c>
      <c r="E273" s="118" t="n">
        <f aca="false">IF($C273="","",IF(SUMIFS(Overrides!$E$9:$E$108,Overrides!$B$9:$B$108,$C273,Overrides!$C$9:$C$108,$L273)&gt;0,SUMIFS(Overrides!$E$9:$E$108,Overrides!$B$9:$B$108,$C273,Overrides!$C$9:$C$108,$L273),Recurring!$D$21))</f>
        <v>143.37</v>
      </c>
      <c r="F273" s="119"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19" t="n">
        <f aca="false">IF($L273="","",IF(SUMIFS(Overrides!$D$9:$D$108,Overrides!$B$9:$B$108,$C273,Overrides!$C$9:$C$108,$L273)&gt;0,SUMIFS(Overrides!$D$9:$D$108,Overrides!$B$9:$B$108,$C273,Overrides!$C$9:$C$108,$L273),$L273))</f>
        <v>46660</v>
      </c>
      <c r="H273" s="120" t="n">
        <f aca="false">IF($G273="",0,IF(AND($G273&gt;='Cash Flow'!$E$6,$G273&lt;'Cash Flow'!$E$6+91),1,0))</f>
        <v>0</v>
      </c>
      <c r="I273" s="120" t="str">
        <f aca="false">IF($H273=1,MAX(1,INT(($G273-'Cash Flow'!$E$6)/7)+1),"")</f>
        <v/>
      </c>
      <c r="J273" s="8" t="str">
        <f aca="false">IF($H273=1,$G273*10000+ROW(),"")</f>
        <v/>
      </c>
      <c r="K273" s="8" t="str">
        <f aca="false">IF($H273=1,$I273*1000+COUNTIFS($I$4:$I$483,$I273,$J$4:$J$483,"&lt;"&amp;$J273)+1,"")</f>
        <v/>
      </c>
      <c r="L273" s="121"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17" t="n">
        <v>17</v>
      </c>
      <c r="B274" s="117" t="n">
        <v>15</v>
      </c>
      <c r="C274" s="8" t="str">
        <f aca="false">IF(OR(Recurring!$B$21="",Recurring!$H$21&lt;&gt;"Yes",Recurring!$D$21=""),"",Recurring!$B$21)</f>
        <v>Progressive Insurance</v>
      </c>
      <c r="D274" s="8" t="str">
        <f aca="false">IF($C274="","",Recurring!$C$21)</f>
        <v>Expense</v>
      </c>
      <c r="E274" s="118" t="n">
        <f aca="false">IF($C274="","",IF(SUMIFS(Overrides!$E$9:$E$108,Overrides!$B$9:$B$108,$C274,Overrides!$C$9:$C$108,$L274)&gt;0,SUMIFS(Overrides!$E$9:$E$108,Overrides!$B$9:$B$108,$C274,Overrides!$C$9:$C$108,$L274),Recurring!$D$21))</f>
        <v>143.37</v>
      </c>
      <c r="F274" s="119"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19" t="n">
        <f aca="false">IF($L274="","",IF(SUMIFS(Overrides!$D$9:$D$108,Overrides!$B$9:$B$108,$C274,Overrides!$C$9:$C$108,$L274)&gt;0,SUMIFS(Overrides!$D$9:$D$108,Overrides!$B$9:$B$108,$C274,Overrides!$C$9:$C$108,$L274),$L274))</f>
        <v>46691</v>
      </c>
      <c r="H274" s="120" t="n">
        <f aca="false">IF($G274="",0,IF(AND($G274&gt;='Cash Flow'!$E$6,$G274&lt;'Cash Flow'!$E$6+91),1,0))</f>
        <v>0</v>
      </c>
      <c r="I274" s="120" t="str">
        <f aca="false">IF($H274=1,MAX(1,INT(($G274-'Cash Flow'!$E$6)/7)+1),"")</f>
        <v/>
      </c>
      <c r="J274" s="8" t="str">
        <f aca="false">IF($H274=1,$G274*10000+ROW(),"")</f>
        <v/>
      </c>
      <c r="K274" s="8" t="str">
        <f aca="false">IF($H274=1,$I274*1000+COUNTIFS($I$4:$I$483,$I274,$J$4:$J$483,"&lt;"&amp;$J274)+1,"")</f>
        <v/>
      </c>
      <c r="L274" s="121"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17" t="n">
        <v>17</v>
      </c>
      <c r="B275" s="117" t="n">
        <v>16</v>
      </c>
      <c r="C275" s="8" t="str">
        <f aca="false">IF(OR(Recurring!$B$21="",Recurring!$H$21&lt;&gt;"Yes",Recurring!$D$21=""),"",Recurring!$B$21)</f>
        <v>Progressive Insurance</v>
      </c>
      <c r="D275" s="8" t="str">
        <f aca="false">IF($C275="","",Recurring!$C$21)</f>
        <v>Expense</v>
      </c>
      <c r="E275" s="118" t="n">
        <f aca="false">IF($C275="","",IF(SUMIFS(Overrides!$E$9:$E$108,Overrides!$B$9:$B$108,$C275,Overrides!$C$9:$C$108,$L275)&gt;0,SUMIFS(Overrides!$E$9:$E$108,Overrides!$B$9:$B$108,$C275,Overrides!$C$9:$C$108,$L275),Recurring!$D$21))</f>
        <v>143.37</v>
      </c>
      <c r="F275" s="119"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19" t="n">
        <f aca="false">IF($L275="","",IF(SUMIFS(Overrides!$D$9:$D$108,Overrides!$B$9:$B$108,$C275,Overrides!$C$9:$C$108,$L275)&gt;0,SUMIFS(Overrides!$D$9:$D$108,Overrides!$B$9:$B$108,$C275,Overrides!$C$9:$C$108,$L275),$L275))</f>
        <v>46721</v>
      </c>
      <c r="H275" s="120" t="n">
        <f aca="false">IF($G275="",0,IF(AND($G275&gt;='Cash Flow'!$E$6,$G275&lt;'Cash Flow'!$E$6+91),1,0))</f>
        <v>0</v>
      </c>
      <c r="I275" s="120" t="str">
        <f aca="false">IF($H275=1,MAX(1,INT(($G275-'Cash Flow'!$E$6)/7)+1),"")</f>
        <v/>
      </c>
      <c r="J275" s="8" t="str">
        <f aca="false">IF($H275=1,$G275*10000+ROW(),"")</f>
        <v/>
      </c>
      <c r="K275" s="8" t="str">
        <f aca="false">IF($H275=1,$I275*1000+COUNTIFS($I$4:$I$483,$I275,$J$4:$J$483,"&lt;"&amp;$J275)+1,"")</f>
        <v/>
      </c>
      <c r="L275" s="121"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17" t="n">
        <v>18</v>
      </c>
      <c r="B276" s="117" t="n">
        <v>1</v>
      </c>
      <c r="C276" s="8" t="str">
        <f aca="false">IF(OR(Recurring!$B$22="",Recurring!$H$22&lt;&gt;"Yes",Recurring!$D$22=""),"",Recurring!$B$22)</f>
        <v>Sneaker Premier (school clothes)</v>
      </c>
      <c r="D276" s="8" t="str">
        <f aca="false">IF($C276="","",Recurring!$C$22)</f>
        <v>Expense</v>
      </c>
      <c r="E276" s="118" t="n">
        <f aca="false">IF($C276="","",IF(SUMIFS(Overrides!$E$9:$E$108,Overrides!$B$9:$B$108,$C276,Overrides!$C$9:$C$108,$L276)&gt;0,SUMIFS(Overrides!$E$9:$E$108,Overrides!$B$9:$B$108,$C276,Overrides!$C$9:$C$108,$L276),Recurring!$D$22))</f>
        <v>314.95</v>
      </c>
      <c r="F276" s="119"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46257</v>
      </c>
      <c r="G276" s="119" t="n">
        <f aca="false">IF($L276="","",IF(SUMIFS(Overrides!$D$9:$D$108,Overrides!$B$9:$B$108,$C276,Overrides!$C$9:$C$108,$L276)&gt;0,SUMIFS(Overrides!$D$9:$D$108,Overrides!$B$9:$B$108,$C276,Overrides!$C$9:$C$108,$L276),$L276))</f>
        <v>46257</v>
      </c>
      <c r="H276" s="120" t="n">
        <f aca="false">IF($G276="",0,IF(AND($G276&gt;='Cash Flow'!$E$6-90,$G276&lt;'Cash Flow'!$E$6+91),1,0))</f>
        <v>1</v>
      </c>
      <c r="I276" s="120" t="n">
        <f aca="false">IF($H276=1,MAX(1,INT(($G276-'Cash Flow'!$E$6)/7)+1),"")</f>
        <v>2</v>
      </c>
      <c r="J276" s="8" t="n">
        <f aca="false">IF($H276=1,$G276*10000+ROW(),"")</f>
        <v>462570276</v>
      </c>
      <c r="K276" s="8" t="n">
        <f aca="false">IF($H276=1,$I276*1000+COUNTIFS($I$4:$I$483,$I276,$J$4:$J$483,"&lt;"&amp;$J276)+1,"")</f>
        <v>2002</v>
      </c>
      <c r="L276" s="121" t="n">
        <f aca="false">IF($F276="","",IF(Recurring!$G$22="Move Before",IF(WEEKDAY($F276,2)=6,$F276-1,IF(WEEKDAY($F276,2)=7,$F276-2,$F276)),IF(Recurring!$G$22="Move After",IF(WEEKDAY($F276,2)=6,$F276+2,IF(WEEKDAY($F276,2)=7,$F276+1,$F276)),$F276)))</f>
        <v>46257</v>
      </c>
      <c r="M276" s="1" t="str">
        <f aca="true">IF(AND($H276=1,$D276="Expense",$G276&gt;TODAY(),$E276&gt;=100),$G276*100000+ROW(),"")</f>
        <v/>
      </c>
      <c r="N276" s="1" t="str">
        <f aca="true">IF(AND($H276=1,$D276="Income",$G276&gt;TODAY()),$G276*100000+ROW(),"")</f>
        <v/>
      </c>
    </row>
    <row r="277" customFormat="false" ht="15" hidden="false" customHeight="true" outlineLevel="0" collapsed="false">
      <c r="A277" s="117" t="n">
        <v>18</v>
      </c>
      <c r="B277" s="117" t="n">
        <v>2</v>
      </c>
      <c r="C277" s="8" t="str">
        <f aca="false">IF(OR(Recurring!$B$22="",Recurring!$H$22&lt;&gt;"Yes",Recurring!$D$22=""),"",Recurring!$B$22)</f>
        <v>Sneaker Premier (school clothes)</v>
      </c>
      <c r="D277" s="8" t="str">
        <f aca="false">IF($C277="","",Recurring!$C$22)</f>
        <v>Expense</v>
      </c>
      <c r="E277" s="118" t="n">
        <f aca="false">IF($C277="","",IF(SUMIFS(Overrides!$E$9:$E$108,Overrides!$B$9:$B$108,$C277,Overrides!$C$9:$C$108,$L277)&gt;0,SUMIFS(Overrides!$E$9:$E$108,Overrides!$B$9:$B$108,$C277,Overrides!$C$9:$C$108,$L277),Recurring!$D$22))</f>
        <v>314.95</v>
      </c>
      <c r="F277" s="119"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19" t="str">
        <f aca="false">IF($L277="","",IF(SUMIFS(Overrides!$D$9:$D$108,Overrides!$B$9:$B$108,$C277,Overrides!$C$9:$C$108,$L277)&gt;0,SUMIFS(Overrides!$D$9:$D$108,Overrides!$B$9:$B$108,$C277,Overrides!$C$9:$C$108,$L277),$L277))</f>
        <v/>
      </c>
      <c r="H277" s="120" t="n">
        <f aca="false">IF($G277="",0,IF(AND($G277&gt;='Cash Flow'!$E$6,$G277&lt;'Cash Flow'!$E$6+91),1,0))</f>
        <v>0</v>
      </c>
      <c r="I277" s="120" t="str">
        <f aca="false">IF($H277=1,MAX(1,INT(($G277-'Cash Flow'!$E$6)/7)+1),"")</f>
        <v/>
      </c>
      <c r="J277" s="8" t="str">
        <f aca="false">IF($H277=1,$G277*10000+ROW(),"")</f>
        <v/>
      </c>
      <c r="K277" s="8" t="str">
        <f aca="false">IF($H277=1,$I277*1000+COUNTIFS($I$4:$I$483,$I277,$J$4:$J$483,"&lt;"&amp;$J277)+1,"")</f>
        <v/>
      </c>
      <c r="L277" s="121"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17" t="n">
        <v>18</v>
      </c>
      <c r="B278" s="117" t="n">
        <v>3</v>
      </c>
      <c r="C278" s="8" t="str">
        <f aca="false">IF(OR(Recurring!$B$22="",Recurring!$H$22&lt;&gt;"Yes",Recurring!$D$22=""),"",Recurring!$B$22)</f>
        <v>Sneaker Premier (school clothes)</v>
      </c>
      <c r="D278" s="8" t="str">
        <f aca="false">IF($C278="","",Recurring!$C$22)</f>
        <v>Expense</v>
      </c>
      <c r="E278" s="118" t="n">
        <f aca="false">IF($C278="","",IF(SUMIFS(Overrides!$E$9:$E$108,Overrides!$B$9:$B$108,$C278,Overrides!$C$9:$C$108,$L278)&gt;0,SUMIFS(Overrides!$E$9:$E$108,Overrides!$B$9:$B$108,$C278,Overrides!$C$9:$C$108,$L278),Recurring!$D$22))</f>
        <v>314.95</v>
      </c>
      <c r="F278" s="119"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19" t="str">
        <f aca="false">IF($L278="","",IF(SUMIFS(Overrides!$D$9:$D$108,Overrides!$B$9:$B$108,$C278,Overrides!$C$9:$C$108,$L278)&gt;0,SUMIFS(Overrides!$D$9:$D$108,Overrides!$B$9:$B$108,$C278,Overrides!$C$9:$C$108,$L278),$L278))</f>
        <v/>
      </c>
      <c r="H278" s="120" t="n">
        <f aca="false">IF($G278="",0,IF(AND($G278&gt;='Cash Flow'!$E$6,$G278&lt;'Cash Flow'!$E$6+91),1,0))</f>
        <v>0</v>
      </c>
      <c r="I278" s="120" t="str">
        <f aca="false">IF($H278=1,MAX(1,INT(($G278-'Cash Flow'!$E$6)/7)+1),"")</f>
        <v/>
      </c>
      <c r="J278" s="8" t="str">
        <f aca="false">IF($H278=1,$G278*10000+ROW(),"")</f>
        <v/>
      </c>
      <c r="K278" s="8" t="str">
        <f aca="false">IF($H278=1,$I278*1000+COUNTIFS($I$4:$I$483,$I278,$J$4:$J$483,"&lt;"&amp;$J278)+1,"")</f>
        <v/>
      </c>
      <c r="L278" s="121"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17" t="n">
        <v>18</v>
      </c>
      <c r="B279" s="117" t="n">
        <v>4</v>
      </c>
      <c r="C279" s="8" t="str">
        <f aca="false">IF(OR(Recurring!$B$22="",Recurring!$H$22&lt;&gt;"Yes",Recurring!$D$22=""),"",Recurring!$B$22)</f>
        <v>Sneaker Premier (school clothes)</v>
      </c>
      <c r="D279" s="8" t="str">
        <f aca="false">IF($C279="","",Recurring!$C$22)</f>
        <v>Expense</v>
      </c>
      <c r="E279" s="118" t="n">
        <f aca="false">IF($C279="","",IF(SUMIFS(Overrides!$E$9:$E$108,Overrides!$B$9:$B$108,$C279,Overrides!$C$9:$C$108,$L279)&gt;0,SUMIFS(Overrides!$E$9:$E$108,Overrides!$B$9:$B$108,$C279,Overrides!$C$9:$C$108,$L279),Recurring!$D$22))</f>
        <v>314.95</v>
      </c>
      <c r="F279" s="119"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19" t="str">
        <f aca="false">IF($L279="","",IF(SUMIFS(Overrides!$D$9:$D$108,Overrides!$B$9:$B$108,$C279,Overrides!$C$9:$C$108,$L279)&gt;0,SUMIFS(Overrides!$D$9:$D$108,Overrides!$B$9:$B$108,$C279,Overrides!$C$9:$C$108,$L279),$L279))</f>
        <v/>
      </c>
      <c r="H279" s="120" t="n">
        <f aca="false">IF($G279="",0,IF(AND($G279&gt;='Cash Flow'!$E$6,$G279&lt;'Cash Flow'!$E$6+91),1,0))</f>
        <v>0</v>
      </c>
      <c r="I279" s="120" t="str">
        <f aca="false">IF($H279=1,MAX(1,INT(($G279-'Cash Flow'!$E$6)/7)+1),"")</f>
        <v/>
      </c>
      <c r="J279" s="8" t="str">
        <f aca="false">IF($H279=1,$G279*10000+ROW(),"")</f>
        <v/>
      </c>
      <c r="K279" s="8" t="str">
        <f aca="false">IF($H279=1,$I279*1000+COUNTIFS($I$4:$I$483,$I279,$J$4:$J$483,"&lt;"&amp;$J279)+1,"")</f>
        <v/>
      </c>
      <c r="L279" s="121"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17" t="n">
        <v>18</v>
      </c>
      <c r="B280" s="117" t="n">
        <v>5</v>
      </c>
      <c r="C280" s="8" t="str">
        <f aca="false">IF(OR(Recurring!$B$22="",Recurring!$H$22&lt;&gt;"Yes",Recurring!$D$22=""),"",Recurring!$B$22)</f>
        <v>Sneaker Premier (school clothes)</v>
      </c>
      <c r="D280" s="8" t="str">
        <f aca="false">IF($C280="","",Recurring!$C$22)</f>
        <v>Expense</v>
      </c>
      <c r="E280" s="118" t="n">
        <f aca="false">IF($C280="","",IF(SUMIFS(Overrides!$E$9:$E$108,Overrides!$B$9:$B$108,$C280,Overrides!$C$9:$C$108,$L280)&gt;0,SUMIFS(Overrides!$E$9:$E$108,Overrides!$B$9:$B$108,$C280,Overrides!$C$9:$C$108,$L280),Recurring!$D$22))</f>
        <v>314.95</v>
      </c>
      <c r="F280" s="119"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19" t="str">
        <f aca="false">IF($L280="","",IF(SUMIFS(Overrides!$D$9:$D$108,Overrides!$B$9:$B$108,$C280,Overrides!$C$9:$C$108,$L280)&gt;0,SUMIFS(Overrides!$D$9:$D$108,Overrides!$B$9:$B$108,$C280,Overrides!$C$9:$C$108,$L280),$L280))</f>
        <v/>
      </c>
      <c r="H280" s="120" t="n">
        <f aca="false">IF($G280="",0,IF(AND($G280&gt;='Cash Flow'!$E$6,$G280&lt;'Cash Flow'!$E$6+91),1,0))</f>
        <v>0</v>
      </c>
      <c r="I280" s="120" t="str">
        <f aca="false">IF($H280=1,MAX(1,INT(($G280-'Cash Flow'!$E$6)/7)+1),"")</f>
        <v/>
      </c>
      <c r="J280" s="8" t="str">
        <f aca="false">IF($H280=1,$G280*10000+ROW(),"")</f>
        <v/>
      </c>
      <c r="K280" s="8" t="str">
        <f aca="false">IF($H280=1,$I280*1000+COUNTIFS($I$4:$I$483,$I280,$J$4:$J$483,"&lt;"&amp;$J280)+1,"")</f>
        <v/>
      </c>
      <c r="L280" s="121"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17" t="n">
        <v>18</v>
      </c>
      <c r="B281" s="117" t="n">
        <v>6</v>
      </c>
      <c r="C281" s="8" t="str">
        <f aca="false">IF(OR(Recurring!$B$22="",Recurring!$H$22&lt;&gt;"Yes",Recurring!$D$22=""),"",Recurring!$B$22)</f>
        <v>Sneaker Premier (school clothes)</v>
      </c>
      <c r="D281" s="8" t="str">
        <f aca="false">IF($C281="","",Recurring!$C$22)</f>
        <v>Expense</v>
      </c>
      <c r="E281" s="118" t="n">
        <f aca="false">IF($C281="","",IF(SUMIFS(Overrides!$E$9:$E$108,Overrides!$B$9:$B$108,$C281,Overrides!$C$9:$C$108,$L281)&gt;0,SUMIFS(Overrides!$E$9:$E$108,Overrides!$B$9:$B$108,$C281,Overrides!$C$9:$C$108,$L281),Recurring!$D$22))</f>
        <v>314.95</v>
      </c>
      <c r="F281" s="119"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19" t="str">
        <f aca="false">IF($L281="","",IF(SUMIFS(Overrides!$D$9:$D$108,Overrides!$B$9:$B$108,$C281,Overrides!$C$9:$C$108,$L281)&gt;0,SUMIFS(Overrides!$D$9:$D$108,Overrides!$B$9:$B$108,$C281,Overrides!$C$9:$C$108,$L281),$L281))</f>
        <v/>
      </c>
      <c r="H281" s="120" t="n">
        <f aca="false">IF($G281="",0,IF(AND($G281&gt;='Cash Flow'!$E$6,$G281&lt;'Cash Flow'!$E$6+91),1,0))</f>
        <v>0</v>
      </c>
      <c r="I281" s="120" t="str">
        <f aca="false">IF($H281=1,MAX(1,INT(($G281-'Cash Flow'!$E$6)/7)+1),"")</f>
        <v/>
      </c>
      <c r="J281" s="8" t="str">
        <f aca="false">IF($H281=1,$G281*10000+ROW(),"")</f>
        <v/>
      </c>
      <c r="K281" s="8" t="str">
        <f aca="false">IF($H281=1,$I281*1000+COUNTIFS($I$4:$I$483,$I281,$J$4:$J$483,"&lt;"&amp;$J281)+1,"")</f>
        <v/>
      </c>
      <c r="L281" s="121"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17" t="n">
        <v>18</v>
      </c>
      <c r="B282" s="117" t="n">
        <v>7</v>
      </c>
      <c r="C282" s="8" t="str">
        <f aca="false">IF(OR(Recurring!$B$22="",Recurring!$H$22&lt;&gt;"Yes",Recurring!$D$22=""),"",Recurring!$B$22)</f>
        <v>Sneaker Premier (school clothes)</v>
      </c>
      <c r="D282" s="8" t="str">
        <f aca="false">IF($C282="","",Recurring!$C$22)</f>
        <v>Expense</v>
      </c>
      <c r="E282" s="118" t="n">
        <f aca="false">IF($C282="","",IF(SUMIFS(Overrides!$E$9:$E$108,Overrides!$B$9:$B$108,$C282,Overrides!$C$9:$C$108,$L282)&gt;0,SUMIFS(Overrides!$E$9:$E$108,Overrides!$B$9:$B$108,$C282,Overrides!$C$9:$C$108,$L282),Recurring!$D$22))</f>
        <v>314.95</v>
      </c>
      <c r="F282" s="119"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19" t="str">
        <f aca="false">IF($L282="","",IF(SUMIFS(Overrides!$D$9:$D$108,Overrides!$B$9:$B$108,$C282,Overrides!$C$9:$C$108,$L282)&gt;0,SUMIFS(Overrides!$D$9:$D$108,Overrides!$B$9:$B$108,$C282,Overrides!$C$9:$C$108,$L282),$L282))</f>
        <v/>
      </c>
      <c r="H282" s="120" t="n">
        <f aca="false">IF($G282="",0,IF(AND($G282&gt;='Cash Flow'!$E$6,$G282&lt;'Cash Flow'!$E$6+91),1,0))</f>
        <v>0</v>
      </c>
      <c r="I282" s="120" t="str">
        <f aca="false">IF($H282=1,MAX(1,INT(($G282-'Cash Flow'!$E$6)/7)+1),"")</f>
        <v/>
      </c>
      <c r="J282" s="8" t="str">
        <f aca="false">IF($H282=1,$G282*10000+ROW(),"")</f>
        <v/>
      </c>
      <c r="K282" s="8" t="str">
        <f aca="false">IF($H282=1,$I282*1000+COUNTIFS($I$4:$I$483,$I282,$J$4:$J$483,"&lt;"&amp;$J282)+1,"")</f>
        <v/>
      </c>
      <c r="L282" s="121"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17" t="n">
        <v>18</v>
      </c>
      <c r="B283" s="117" t="n">
        <v>8</v>
      </c>
      <c r="C283" s="8" t="str">
        <f aca="false">IF(OR(Recurring!$B$22="",Recurring!$H$22&lt;&gt;"Yes",Recurring!$D$22=""),"",Recurring!$B$22)</f>
        <v>Sneaker Premier (school clothes)</v>
      </c>
      <c r="D283" s="8" t="str">
        <f aca="false">IF($C283="","",Recurring!$C$22)</f>
        <v>Expense</v>
      </c>
      <c r="E283" s="118" t="n">
        <f aca="false">IF($C283="","",IF(SUMIFS(Overrides!$E$9:$E$108,Overrides!$B$9:$B$108,$C283,Overrides!$C$9:$C$108,$L283)&gt;0,SUMIFS(Overrides!$E$9:$E$108,Overrides!$B$9:$B$108,$C283,Overrides!$C$9:$C$108,$L283),Recurring!$D$22))</f>
        <v>314.95</v>
      </c>
      <c r="F283" s="119"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19" t="str">
        <f aca="false">IF($L283="","",IF(SUMIFS(Overrides!$D$9:$D$108,Overrides!$B$9:$B$108,$C283,Overrides!$C$9:$C$108,$L283)&gt;0,SUMIFS(Overrides!$D$9:$D$108,Overrides!$B$9:$B$108,$C283,Overrides!$C$9:$C$108,$L283),$L283))</f>
        <v/>
      </c>
      <c r="H283" s="120" t="n">
        <f aca="false">IF($G283="",0,IF(AND($G283&gt;='Cash Flow'!$E$6,$G283&lt;'Cash Flow'!$E$6+91),1,0))</f>
        <v>0</v>
      </c>
      <c r="I283" s="120" t="str">
        <f aca="false">IF($H283=1,MAX(1,INT(($G283-'Cash Flow'!$E$6)/7)+1),"")</f>
        <v/>
      </c>
      <c r="J283" s="8" t="str">
        <f aca="false">IF($H283=1,$G283*10000+ROW(),"")</f>
        <v/>
      </c>
      <c r="K283" s="8" t="str">
        <f aca="false">IF($H283=1,$I283*1000+COUNTIFS($I$4:$I$483,$I283,$J$4:$J$483,"&lt;"&amp;$J283)+1,"")</f>
        <v/>
      </c>
      <c r="L283" s="121"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17" t="n">
        <v>18</v>
      </c>
      <c r="B284" s="117" t="n">
        <v>9</v>
      </c>
      <c r="C284" s="8" t="str">
        <f aca="false">IF(OR(Recurring!$B$22="",Recurring!$H$22&lt;&gt;"Yes",Recurring!$D$22=""),"",Recurring!$B$22)</f>
        <v>Sneaker Premier (school clothes)</v>
      </c>
      <c r="D284" s="8" t="str">
        <f aca="false">IF($C284="","",Recurring!$C$22)</f>
        <v>Expense</v>
      </c>
      <c r="E284" s="118" t="n">
        <f aca="false">IF($C284="","",IF(SUMIFS(Overrides!$E$9:$E$108,Overrides!$B$9:$B$108,$C284,Overrides!$C$9:$C$108,$L284)&gt;0,SUMIFS(Overrides!$E$9:$E$108,Overrides!$B$9:$B$108,$C284,Overrides!$C$9:$C$108,$L284),Recurring!$D$22))</f>
        <v>314.95</v>
      </c>
      <c r="F284" s="119"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19" t="str">
        <f aca="false">IF($L284="","",IF(SUMIFS(Overrides!$D$9:$D$108,Overrides!$B$9:$B$108,$C284,Overrides!$C$9:$C$108,$L284)&gt;0,SUMIFS(Overrides!$D$9:$D$108,Overrides!$B$9:$B$108,$C284,Overrides!$C$9:$C$108,$L284),$L284))</f>
        <v/>
      </c>
      <c r="H284" s="120" t="n">
        <f aca="false">IF($G284="",0,IF(AND($G284&gt;='Cash Flow'!$E$6,$G284&lt;'Cash Flow'!$E$6+91),1,0))</f>
        <v>0</v>
      </c>
      <c r="I284" s="120" t="str">
        <f aca="false">IF($H284=1,MAX(1,INT(($G284-'Cash Flow'!$E$6)/7)+1),"")</f>
        <v/>
      </c>
      <c r="J284" s="8" t="str">
        <f aca="false">IF($H284=1,$G284*10000+ROW(),"")</f>
        <v/>
      </c>
      <c r="K284" s="8" t="str">
        <f aca="false">IF($H284=1,$I284*1000+COUNTIFS($I$4:$I$483,$I284,$J$4:$J$483,"&lt;"&amp;$J284)+1,"")</f>
        <v/>
      </c>
      <c r="L284" s="121"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17" t="n">
        <v>18</v>
      </c>
      <c r="B285" s="117" t="n">
        <v>10</v>
      </c>
      <c r="C285" s="8" t="str">
        <f aca="false">IF(OR(Recurring!$B$22="",Recurring!$H$22&lt;&gt;"Yes",Recurring!$D$22=""),"",Recurring!$B$22)</f>
        <v>Sneaker Premier (school clothes)</v>
      </c>
      <c r="D285" s="8" t="str">
        <f aca="false">IF($C285="","",Recurring!$C$22)</f>
        <v>Expense</v>
      </c>
      <c r="E285" s="118" t="n">
        <f aca="false">IF($C285="","",IF(SUMIFS(Overrides!$E$9:$E$108,Overrides!$B$9:$B$108,$C285,Overrides!$C$9:$C$108,$L285)&gt;0,SUMIFS(Overrides!$E$9:$E$108,Overrides!$B$9:$B$108,$C285,Overrides!$C$9:$C$108,$L285),Recurring!$D$22))</f>
        <v>314.95</v>
      </c>
      <c r="F285" s="119"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19" t="str">
        <f aca="false">IF($L285="","",IF(SUMIFS(Overrides!$D$9:$D$108,Overrides!$B$9:$B$108,$C285,Overrides!$C$9:$C$108,$L285)&gt;0,SUMIFS(Overrides!$D$9:$D$108,Overrides!$B$9:$B$108,$C285,Overrides!$C$9:$C$108,$L285),$L285))</f>
        <v/>
      </c>
      <c r="H285" s="120" t="n">
        <f aca="false">IF($G285="",0,IF(AND($G285&gt;='Cash Flow'!$E$6,$G285&lt;'Cash Flow'!$E$6+91),1,0))</f>
        <v>0</v>
      </c>
      <c r="I285" s="120" t="str">
        <f aca="false">IF($H285=1,MAX(1,INT(($G285-'Cash Flow'!$E$6)/7)+1),"")</f>
        <v/>
      </c>
      <c r="J285" s="8" t="str">
        <f aca="false">IF($H285=1,$G285*10000+ROW(),"")</f>
        <v/>
      </c>
      <c r="K285" s="8" t="str">
        <f aca="false">IF($H285=1,$I285*1000+COUNTIFS($I$4:$I$483,$I285,$J$4:$J$483,"&lt;"&amp;$J285)+1,"")</f>
        <v/>
      </c>
      <c r="L285" s="121"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17" t="n">
        <v>18</v>
      </c>
      <c r="B286" s="117" t="n">
        <v>11</v>
      </c>
      <c r="C286" s="8" t="str">
        <f aca="false">IF(OR(Recurring!$B$22="",Recurring!$H$22&lt;&gt;"Yes",Recurring!$D$22=""),"",Recurring!$B$22)</f>
        <v>Sneaker Premier (school clothes)</v>
      </c>
      <c r="D286" s="8" t="str">
        <f aca="false">IF($C286="","",Recurring!$C$22)</f>
        <v>Expense</v>
      </c>
      <c r="E286" s="118" t="n">
        <f aca="false">IF($C286="","",IF(SUMIFS(Overrides!$E$9:$E$108,Overrides!$B$9:$B$108,$C286,Overrides!$C$9:$C$108,$L286)&gt;0,SUMIFS(Overrides!$E$9:$E$108,Overrides!$B$9:$B$108,$C286,Overrides!$C$9:$C$108,$L286),Recurring!$D$22))</f>
        <v>314.95</v>
      </c>
      <c r="F286" s="119"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19" t="str">
        <f aca="false">IF($L286="","",IF(SUMIFS(Overrides!$D$9:$D$108,Overrides!$B$9:$B$108,$C286,Overrides!$C$9:$C$108,$L286)&gt;0,SUMIFS(Overrides!$D$9:$D$108,Overrides!$B$9:$B$108,$C286,Overrides!$C$9:$C$108,$L286),$L286))</f>
        <v/>
      </c>
      <c r="H286" s="120" t="n">
        <f aca="false">IF($G286="",0,IF(AND($G286&gt;='Cash Flow'!$E$6,$G286&lt;'Cash Flow'!$E$6+91),1,0))</f>
        <v>0</v>
      </c>
      <c r="I286" s="120" t="str">
        <f aca="false">IF($H286=1,MAX(1,INT(($G286-'Cash Flow'!$E$6)/7)+1),"")</f>
        <v/>
      </c>
      <c r="J286" s="8" t="str">
        <f aca="false">IF($H286=1,$G286*10000+ROW(),"")</f>
        <v/>
      </c>
      <c r="K286" s="8" t="str">
        <f aca="false">IF($H286=1,$I286*1000+COUNTIFS($I$4:$I$483,$I286,$J$4:$J$483,"&lt;"&amp;$J286)+1,"")</f>
        <v/>
      </c>
      <c r="L286" s="121"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17" t="n">
        <v>18</v>
      </c>
      <c r="B287" s="117" t="n">
        <v>12</v>
      </c>
      <c r="C287" s="8" t="str">
        <f aca="false">IF(OR(Recurring!$B$22="",Recurring!$H$22&lt;&gt;"Yes",Recurring!$D$22=""),"",Recurring!$B$22)</f>
        <v>Sneaker Premier (school clothes)</v>
      </c>
      <c r="D287" s="8" t="str">
        <f aca="false">IF($C287="","",Recurring!$C$22)</f>
        <v>Expense</v>
      </c>
      <c r="E287" s="118" t="n">
        <f aca="false">IF($C287="","",IF(SUMIFS(Overrides!$E$9:$E$108,Overrides!$B$9:$B$108,$C287,Overrides!$C$9:$C$108,$L287)&gt;0,SUMIFS(Overrides!$E$9:$E$108,Overrides!$B$9:$B$108,$C287,Overrides!$C$9:$C$108,$L287),Recurring!$D$22))</f>
        <v>314.95</v>
      </c>
      <c r="F287" s="119"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19" t="str">
        <f aca="false">IF($L287="","",IF(SUMIFS(Overrides!$D$9:$D$108,Overrides!$B$9:$B$108,$C287,Overrides!$C$9:$C$108,$L287)&gt;0,SUMIFS(Overrides!$D$9:$D$108,Overrides!$B$9:$B$108,$C287,Overrides!$C$9:$C$108,$L287),$L287))</f>
        <v/>
      </c>
      <c r="H287" s="120" t="n">
        <f aca="false">IF($G287="",0,IF(AND($G287&gt;='Cash Flow'!$E$6,$G287&lt;'Cash Flow'!$E$6+91),1,0))</f>
        <v>0</v>
      </c>
      <c r="I287" s="120" t="str">
        <f aca="false">IF($H287=1,MAX(1,INT(($G287-'Cash Flow'!$E$6)/7)+1),"")</f>
        <v/>
      </c>
      <c r="J287" s="8" t="str">
        <f aca="false">IF($H287=1,$G287*10000+ROW(),"")</f>
        <v/>
      </c>
      <c r="K287" s="8" t="str">
        <f aca="false">IF($H287=1,$I287*1000+COUNTIFS($I$4:$I$483,$I287,$J$4:$J$483,"&lt;"&amp;$J287)+1,"")</f>
        <v/>
      </c>
      <c r="L287" s="121"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17" t="n">
        <v>18</v>
      </c>
      <c r="B288" s="117" t="n">
        <v>13</v>
      </c>
      <c r="C288" s="8" t="str">
        <f aca="false">IF(OR(Recurring!$B$22="",Recurring!$H$22&lt;&gt;"Yes",Recurring!$D$22=""),"",Recurring!$B$22)</f>
        <v>Sneaker Premier (school clothes)</v>
      </c>
      <c r="D288" s="8" t="str">
        <f aca="false">IF($C288="","",Recurring!$C$22)</f>
        <v>Expense</v>
      </c>
      <c r="E288" s="118" t="n">
        <f aca="false">IF($C288="","",IF(SUMIFS(Overrides!$E$9:$E$108,Overrides!$B$9:$B$108,$C288,Overrides!$C$9:$C$108,$L288)&gt;0,SUMIFS(Overrides!$E$9:$E$108,Overrides!$B$9:$B$108,$C288,Overrides!$C$9:$C$108,$L288),Recurring!$D$22))</f>
        <v>314.95</v>
      </c>
      <c r="F288" s="119"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19" t="str">
        <f aca="false">IF($L288="","",IF(SUMIFS(Overrides!$D$9:$D$108,Overrides!$B$9:$B$108,$C288,Overrides!$C$9:$C$108,$L288)&gt;0,SUMIFS(Overrides!$D$9:$D$108,Overrides!$B$9:$B$108,$C288,Overrides!$C$9:$C$108,$L288),$L288))</f>
        <v/>
      </c>
      <c r="H288" s="120" t="n">
        <f aca="false">IF($G288="",0,IF(AND($G288&gt;='Cash Flow'!$E$6,$G288&lt;'Cash Flow'!$E$6+91),1,0))</f>
        <v>0</v>
      </c>
      <c r="I288" s="120" t="str">
        <f aca="false">IF($H288=1,MAX(1,INT(($G288-'Cash Flow'!$E$6)/7)+1),"")</f>
        <v/>
      </c>
      <c r="J288" s="8" t="str">
        <f aca="false">IF($H288=1,$G288*10000+ROW(),"")</f>
        <v/>
      </c>
      <c r="K288" s="8" t="str">
        <f aca="false">IF($H288=1,$I288*1000+COUNTIFS($I$4:$I$483,$I288,$J$4:$J$483,"&lt;"&amp;$J288)+1,"")</f>
        <v/>
      </c>
      <c r="L288" s="121"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17" t="n">
        <v>18</v>
      </c>
      <c r="B289" s="117" t="n">
        <v>14</v>
      </c>
      <c r="C289" s="8" t="str">
        <f aca="false">IF(OR(Recurring!$B$22="",Recurring!$H$22&lt;&gt;"Yes",Recurring!$D$22=""),"",Recurring!$B$22)</f>
        <v>Sneaker Premier (school clothes)</v>
      </c>
      <c r="D289" s="8" t="str">
        <f aca="false">IF($C289="","",Recurring!$C$22)</f>
        <v>Expense</v>
      </c>
      <c r="E289" s="118" t="n">
        <f aca="false">IF($C289="","",IF(SUMIFS(Overrides!$E$9:$E$108,Overrides!$B$9:$B$108,$C289,Overrides!$C$9:$C$108,$L289)&gt;0,SUMIFS(Overrides!$E$9:$E$108,Overrides!$B$9:$B$108,$C289,Overrides!$C$9:$C$108,$L289),Recurring!$D$22))</f>
        <v>314.95</v>
      </c>
      <c r="F289" s="119"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19" t="str">
        <f aca="false">IF($L289="","",IF(SUMIFS(Overrides!$D$9:$D$108,Overrides!$B$9:$B$108,$C289,Overrides!$C$9:$C$108,$L289)&gt;0,SUMIFS(Overrides!$D$9:$D$108,Overrides!$B$9:$B$108,$C289,Overrides!$C$9:$C$108,$L289),$L289))</f>
        <v/>
      </c>
      <c r="H289" s="120" t="n">
        <f aca="false">IF($G289="",0,IF(AND($G289&gt;='Cash Flow'!$E$6,$G289&lt;'Cash Flow'!$E$6+91),1,0))</f>
        <v>0</v>
      </c>
      <c r="I289" s="120" t="str">
        <f aca="false">IF($H289=1,MAX(1,INT(($G289-'Cash Flow'!$E$6)/7)+1),"")</f>
        <v/>
      </c>
      <c r="J289" s="8" t="str">
        <f aca="false">IF($H289=1,$G289*10000+ROW(),"")</f>
        <v/>
      </c>
      <c r="K289" s="8" t="str">
        <f aca="false">IF($H289=1,$I289*1000+COUNTIFS($I$4:$I$483,$I289,$J$4:$J$483,"&lt;"&amp;$J289)+1,"")</f>
        <v/>
      </c>
      <c r="L289" s="121"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17" t="n">
        <v>18</v>
      </c>
      <c r="B290" s="117" t="n">
        <v>15</v>
      </c>
      <c r="C290" s="8" t="str">
        <f aca="false">IF(OR(Recurring!$B$22="",Recurring!$H$22&lt;&gt;"Yes",Recurring!$D$22=""),"",Recurring!$B$22)</f>
        <v>Sneaker Premier (school clothes)</v>
      </c>
      <c r="D290" s="8" t="str">
        <f aca="false">IF($C290="","",Recurring!$C$22)</f>
        <v>Expense</v>
      </c>
      <c r="E290" s="118" t="n">
        <f aca="false">IF($C290="","",IF(SUMIFS(Overrides!$E$9:$E$108,Overrides!$B$9:$B$108,$C290,Overrides!$C$9:$C$108,$L290)&gt;0,SUMIFS(Overrides!$E$9:$E$108,Overrides!$B$9:$B$108,$C290,Overrides!$C$9:$C$108,$L290),Recurring!$D$22))</f>
        <v>314.95</v>
      </c>
      <c r="F290" s="119"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19" t="str">
        <f aca="false">IF($L290="","",IF(SUMIFS(Overrides!$D$9:$D$108,Overrides!$B$9:$B$108,$C290,Overrides!$C$9:$C$108,$L290)&gt;0,SUMIFS(Overrides!$D$9:$D$108,Overrides!$B$9:$B$108,$C290,Overrides!$C$9:$C$108,$L290),$L290))</f>
        <v/>
      </c>
      <c r="H290" s="120" t="n">
        <f aca="false">IF($G290="",0,IF(AND($G290&gt;='Cash Flow'!$E$6,$G290&lt;'Cash Flow'!$E$6+91),1,0))</f>
        <v>0</v>
      </c>
      <c r="I290" s="120" t="str">
        <f aca="false">IF($H290=1,MAX(1,INT(($G290-'Cash Flow'!$E$6)/7)+1),"")</f>
        <v/>
      </c>
      <c r="J290" s="8" t="str">
        <f aca="false">IF($H290=1,$G290*10000+ROW(),"")</f>
        <v/>
      </c>
      <c r="K290" s="8" t="str">
        <f aca="false">IF($H290=1,$I290*1000+COUNTIFS($I$4:$I$483,$I290,$J$4:$J$483,"&lt;"&amp;$J290)+1,"")</f>
        <v/>
      </c>
      <c r="L290" s="121"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17" t="n">
        <v>18</v>
      </c>
      <c r="B291" s="117" t="n">
        <v>16</v>
      </c>
      <c r="C291" s="8" t="str">
        <f aca="false">IF(OR(Recurring!$B$22="",Recurring!$H$22&lt;&gt;"Yes",Recurring!$D$22=""),"",Recurring!$B$22)</f>
        <v>Sneaker Premier (school clothes)</v>
      </c>
      <c r="D291" s="8" t="str">
        <f aca="false">IF($C291="","",Recurring!$C$22)</f>
        <v>Expense</v>
      </c>
      <c r="E291" s="118" t="n">
        <f aca="false">IF($C291="","",IF(SUMIFS(Overrides!$E$9:$E$108,Overrides!$B$9:$B$108,$C291,Overrides!$C$9:$C$108,$L291)&gt;0,SUMIFS(Overrides!$E$9:$E$108,Overrides!$B$9:$B$108,$C291,Overrides!$C$9:$C$108,$L291),Recurring!$D$22))</f>
        <v>314.95</v>
      </c>
      <c r="F291" s="119"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19" t="str">
        <f aca="false">IF($L291="","",IF(SUMIFS(Overrides!$D$9:$D$108,Overrides!$B$9:$B$108,$C291,Overrides!$C$9:$C$108,$L291)&gt;0,SUMIFS(Overrides!$D$9:$D$108,Overrides!$B$9:$B$108,$C291,Overrides!$C$9:$C$108,$L291),$L291))</f>
        <v/>
      </c>
      <c r="H291" s="120" t="n">
        <f aca="false">IF($G291="",0,IF(AND($G291&gt;='Cash Flow'!$E$6,$G291&lt;'Cash Flow'!$E$6+91),1,0))</f>
        <v>0</v>
      </c>
      <c r="I291" s="120" t="str">
        <f aca="false">IF($H291=1,MAX(1,INT(($G291-'Cash Flow'!$E$6)/7)+1),"")</f>
        <v/>
      </c>
      <c r="J291" s="8" t="str">
        <f aca="false">IF($H291=1,$G291*10000+ROW(),"")</f>
        <v/>
      </c>
      <c r="K291" s="8" t="str">
        <f aca="false">IF($H291=1,$I291*1000+COUNTIFS($I$4:$I$483,$I291,$J$4:$J$483,"&lt;"&amp;$J291)+1,"")</f>
        <v/>
      </c>
      <c r="L291" s="121"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17" t="n">
        <v>19</v>
      </c>
      <c r="B292" s="117" t="n">
        <v>1</v>
      </c>
      <c r="C292" s="8" t="str">
        <f aca="false">IF(OR(Recurring!$B$23="",Recurring!$H$23&lt;&gt;"Yes",Recurring!$D$23=""),"",Recurring!$B$23)</f>
        <v>Earnin' advance</v>
      </c>
      <c r="D292" s="8" t="str">
        <f aca="false">IF($C292="","",Recurring!$C$23)</f>
        <v>Income</v>
      </c>
      <c r="E292" s="118" t="n">
        <f aca="false">IF($C292="","",IF(SUMIFS(Overrides!$E$9:$E$108,Overrides!$B$9:$B$108,$C292,Overrides!$C$9:$C$108,$L292)&gt;0,SUMIFS(Overrides!$E$9:$E$108,Overrides!$B$9:$B$108,$C292,Overrides!$C$9:$C$108,$L292),Recurring!$D$23))</f>
        <v>100</v>
      </c>
      <c r="F292" s="119" t="n">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46263</v>
      </c>
      <c r="G292" s="119" t="n">
        <f aca="false">IF($L292="","",IF(SUMIFS(Overrides!$D$9:$D$108,Overrides!$B$9:$B$108,$C292,Overrides!$C$9:$C$108,$L292)&gt;0,SUMIFS(Overrides!$D$9:$D$108,Overrides!$B$9:$B$108,$C292,Overrides!$C$9:$C$108,$L292),$L292))</f>
        <v>46263</v>
      </c>
      <c r="H292" s="120" t="n">
        <f aca="false">IF($G292="",0,IF(AND($G292&gt;='Cash Flow'!$E$6-90,$G292&lt;'Cash Flow'!$E$6+91),1,0))</f>
        <v>1</v>
      </c>
      <c r="I292" s="120" t="n">
        <f aca="false">IF($H292=1,MAX(1,INT(($G292-'Cash Flow'!$E$6)/7)+1),"")</f>
        <v>3</v>
      </c>
      <c r="J292" s="8" t="n">
        <f aca="false">IF($H292=1,$G292*10000+ROW(),"")</f>
        <v>462630292</v>
      </c>
      <c r="K292" s="8" t="n">
        <f aca="false">IF($H292=1,$I292*1000+COUNTIFS($I$4:$I$483,$I292,$J$4:$J$483,"&lt;"&amp;$J292)+1,"")</f>
        <v>3001</v>
      </c>
      <c r="L292" s="121" t="n">
        <f aca="false">IF($F292="","",IF(Recurring!$G$23="Move Before",IF(WEEKDAY($F292,2)=6,$F292-1,IF(WEEKDAY($F292,2)=7,$F292-2,$F292)),IF(Recurring!$G$23="Move After",IF(WEEKDAY($F292,2)=6,$F292+2,IF(WEEKDAY($F292,2)=7,$F292+1,$F292)),$F292)))</f>
        <v>46263</v>
      </c>
      <c r="M292" s="1" t="str">
        <f aca="true">IF(AND($H292=1,$D292="Expense",$G292&gt;TODAY(),$E292&gt;=100),$G292*100000+ROW(),"")</f>
        <v/>
      </c>
      <c r="N292" s="1" t="str">
        <f aca="true">IF(AND($H292=1,$D292="Income",$G292&gt;TODAY()),$G292*100000+ROW(),"")</f>
        <v/>
      </c>
    </row>
    <row r="293" customFormat="false" ht="15" hidden="false" customHeight="true" outlineLevel="0" collapsed="false">
      <c r="A293" s="117" t="n">
        <v>19</v>
      </c>
      <c r="B293" s="117" t="n">
        <v>2</v>
      </c>
      <c r="C293" s="8" t="str">
        <f aca="false">IF(OR(Recurring!$B$23="",Recurring!$H$23&lt;&gt;"Yes",Recurring!$D$23=""),"",Recurring!$B$23)</f>
        <v>Earnin' advance</v>
      </c>
      <c r="D293" s="8" t="str">
        <f aca="false">IF($C293="","",Recurring!$C$23)</f>
        <v>Income</v>
      </c>
      <c r="E293" s="118" t="n">
        <f aca="false">IF($C293="","",IF(SUMIFS(Overrides!$E$9:$E$108,Overrides!$B$9:$B$108,$C293,Overrides!$C$9:$C$108,$L293)&gt;0,SUMIFS(Overrides!$E$9:$E$108,Overrides!$B$9:$B$108,$C293,Overrides!$C$9:$C$108,$L293),Recurring!$D$23))</f>
        <v>100</v>
      </c>
      <c r="F293" s="119"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19" t="str">
        <f aca="false">IF($L293="","",IF(SUMIFS(Overrides!$D$9:$D$108,Overrides!$B$9:$B$108,$C293,Overrides!$C$9:$C$108,$L293)&gt;0,SUMIFS(Overrides!$D$9:$D$108,Overrides!$B$9:$B$108,$C293,Overrides!$C$9:$C$108,$L293),$L293))</f>
        <v/>
      </c>
      <c r="H293" s="120" t="n">
        <f aca="false">IF($G293="",0,IF(AND($G293&gt;='Cash Flow'!$E$6,$G293&lt;'Cash Flow'!$E$6+91),1,0))</f>
        <v>0</v>
      </c>
      <c r="I293" s="120" t="str">
        <f aca="false">IF($H293=1,MAX(1,INT(($G293-'Cash Flow'!$E$6)/7)+1),"")</f>
        <v/>
      </c>
      <c r="J293" s="8" t="str">
        <f aca="false">IF($H293=1,$G293*10000+ROW(),"")</f>
        <v/>
      </c>
      <c r="K293" s="8" t="str">
        <f aca="false">IF($H293=1,$I293*1000+COUNTIFS($I$4:$I$483,$I293,$J$4:$J$483,"&lt;"&amp;$J293)+1,"")</f>
        <v/>
      </c>
      <c r="L293" s="121"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17" t="n">
        <v>19</v>
      </c>
      <c r="B294" s="117" t="n">
        <v>3</v>
      </c>
      <c r="C294" s="8" t="str">
        <f aca="false">IF(OR(Recurring!$B$23="",Recurring!$H$23&lt;&gt;"Yes",Recurring!$D$23=""),"",Recurring!$B$23)</f>
        <v>Earnin' advance</v>
      </c>
      <c r="D294" s="8" t="str">
        <f aca="false">IF($C294="","",Recurring!$C$23)</f>
        <v>Income</v>
      </c>
      <c r="E294" s="118" t="n">
        <f aca="false">IF($C294="","",IF(SUMIFS(Overrides!$E$9:$E$108,Overrides!$B$9:$B$108,$C294,Overrides!$C$9:$C$108,$L294)&gt;0,SUMIFS(Overrides!$E$9:$E$108,Overrides!$B$9:$B$108,$C294,Overrides!$C$9:$C$108,$L294),Recurring!$D$23))</f>
        <v>100</v>
      </c>
      <c r="F294" s="119"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19" t="str">
        <f aca="false">IF($L294="","",IF(SUMIFS(Overrides!$D$9:$D$108,Overrides!$B$9:$B$108,$C294,Overrides!$C$9:$C$108,$L294)&gt;0,SUMIFS(Overrides!$D$9:$D$108,Overrides!$B$9:$B$108,$C294,Overrides!$C$9:$C$108,$L294),$L294))</f>
        <v/>
      </c>
      <c r="H294" s="120" t="n">
        <f aca="false">IF($G294="",0,IF(AND($G294&gt;='Cash Flow'!$E$6,$G294&lt;'Cash Flow'!$E$6+91),1,0))</f>
        <v>0</v>
      </c>
      <c r="I294" s="120" t="str">
        <f aca="false">IF($H294=1,MAX(1,INT(($G294-'Cash Flow'!$E$6)/7)+1),"")</f>
        <v/>
      </c>
      <c r="J294" s="8" t="str">
        <f aca="false">IF($H294=1,$G294*10000+ROW(),"")</f>
        <v/>
      </c>
      <c r="K294" s="8" t="str">
        <f aca="false">IF($H294=1,$I294*1000+COUNTIFS($I$4:$I$483,$I294,$J$4:$J$483,"&lt;"&amp;$J294)+1,"")</f>
        <v/>
      </c>
      <c r="L294" s="121"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17" t="n">
        <v>19</v>
      </c>
      <c r="B295" s="117" t="n">
        <v>4</v>
      </c>
      <c r="C295" s="8" t="str">
        <f aca="false">IF(OR(Recurring!$B$23="",Recurring!$H$23&lt;&gt;"Yes",Recurring!$D$23=""),"",Recurring!$B$23)</f>
        <v>Earnin' advance</v>
      </c>
      <c r="D295" s="8" t="str">
        <f aca="false">IF($C295="","",Recurring!$C$23)</f>
        <v>Income</v>
      </c>
      <c r="E295" s="118" t="n">
        <f aca="false">IF($C295="","",IF(SUMIFS(Overrides!$E$9:$E$108,Overrides!$B$9:$B$108,$C295,Overrides!$C$9:$C$108,$L295)&gt;0,SUMIFS(Overrides!$E$9:$E$108,Overrides!$B$9:$B$108,$C295,Overrides!$C$9:$C$108,$L295),Recurring!$D$23))</f>
        <v>100</v>
      </c>
      <c r="F295" s="119"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19" t="str">
        <f aca="false">IF($L295="","",IF(SUMIFS(Overrides!$D$9:$D$108,Overrides!$B$9:$B$108,$C295,Overrides!$C$9:$C$108,$L295)&gt;0,SUMIFS(Overrides!$D$9:$D$108,Overrides!$B$9:$B$108,$C295,Overrides!$C$9:$C$108,$L295),$L295))</f>
        <v/>
      </c>
      <c r="H295" s="120" t="n">
        <f aca="false">IF($G295="",0,IF(AND($G295&gt;='Cash Flow'!$E$6,$G295&lt;'Cash Flow'!$E$6+91),1,0))</f>
        <v>0</v>
      </c>
      <c r="I295" s="120" t="str">
        <f aca="false">IF($H295=1,MAX(1,INT(($G295-'Cash Flow'!$E$6)/7)+1),"")</f>
        <v/>
      </c>
      <c r="J295" s="8" t="str">
        <f aca="false">IF($H295=1,$G295*10000+ROW(),"")</f>
        <v/>
      </c>
      <c r="K295" s="8" t="str">
        <f aca="false">IF($H295=1,$I295*1000+COUNTIFS($I$4:$I$483,$I295,$J$4:$J$483,"&lt;"&amp;$J295)+1,"")</f>
        <v/>
      </c>
      <c r="L295" s="121"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17" t="n">
        <v>19</v>
      </c>
      <c r="B296" s="117" t="n">
        <v>5</v>
      </c>
      <c r="C296" s="8" t="str">
        <f aca="false">IF(OR(Recurring!$B$23="",Recurring!$H$23&lt;&gt;"Yes",Recurring!$D$23=""),"",Recurring!$B$23)</f>
        <v>Earnin' advance</v>
      </c>
      <c r="D296" s="8" t="str">
        <f aca="false">IF($C296="","",Recurring!$C$23)</f>
        <v>Income</v>
      </c>
      <c r="E296" s="118" t="n">
        <f aca="false">IF($C296="","",IF(SUMIFS(Overrides!$E$9:$E$108,Overrides!$B$9:$B$108,$C296,Overrides!$C$9:$C$108,$L296)&gt;0,SUMIFS(Overrides!$E$9:$E$108,Overrides!$B$9:$B$108,$C296,Overrides!$C$9:$C$108,$L296),Recurring!$D$23))</f>
        <v>100</v>
      </c>
      <c r="F296" s="119"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19" t="str">
        <f aca="false">IF($L296="","",IF(SUMIFS(Overrides!$D$9:$D$108,Overrides!$B$9:$B$108,$C296,Overrides!$C$9:$C$108,$L296)&gt;0,SUMIFS(Overrides!$D$9:$D$108,Overrides!$B$9:$B$108,$C296,Overrides!$C$9:$C$108,$L296),$L296))</f>
        <v/>
      </c>
      <c r="H296" s="120" t="n">
        <f aca="false">IF($G296="",0,IF(AND($G296&gt;='Cash Flow'!$E$6,$G296&lt;'Cash Flow'!$E$6+91),1,0))</f>
        <v>0</v>
      </c>
      <c r="I296" s="120" t="str">
        <f aca="false">IF($H296=1,MAX(1,INT(($G296-'Cash Flow'!$E$6)/7)+1),"")</f>
        <v/>
      </c>
      <c r="J296" s="8" t="str">
        <f aca="false">IF($H296=1,$G296*10000+ROW(),"")</f>
        <v/>
      </c>
      <c r="K296" s="8" t="str">
        <f aca="false">IF($H296=1,$I296*1000+COUNTIFS($I$4:$I$483,$I296,$J$4:$J$483,"&lt;"&amp;$J296)+1,"")</f>
        <v/>
      </c>
      <c r="L296" s="121"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17" t="n">
        <v>19</v>
      </c>
      <c r="B297" s="117" t="n">
        <v>6</v>
      </c>
      <c r="C297" s="8" t="str">
        <f aca="false">IF(OR(Recurring!$B$23="",Recurring!$H$23&lt;&gt;"Yes",Recurring!$D$23=""),"",Recurring!$B$23)</f>
        <v>Earnin' advance</v>
      </c>
      <c r="D297" s="8" t="str">
        <f aca="false">IF($C297="","",Recurring!$C$23)</f>
        <v>Income</v>
      </c>
      <c r="E297" s="118" t="n">
        <f aca="false">IF($C297="","",IF(SUMIFS(Overrides!$E$9:$E$108,Overrides!$B$9:$B$108,$C297,Overrides!$C$9:$C$108,$L297)&gt;0,SUMIFS(Overrides!$E$9:$E$108,Overrides!$B$9:$B$108,$C297,Overrides!$C$9:$C$108,$L297),Recurring!$D$23))</f>
        <v>100</v>
      </c>
      <c r="F297" s="119"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19" t="str">
        <f aca="false">IF($L297="","",IF(SUMIFS(Overrides!$D$9:$D$108,Overrides!$B$9:$B$108,$C297,Overrides!$C$9:$C$108,$L297)&gt;0,SUMIFS(Overrides!$D$9:$D$108,Overrides!$B$9:$B$108,$C297,Overrides!$C$9:$C$108,$L297),$L297))</f>
        <v/>
      </c>
      <c r="H297" s="120" t="n">
        <f aca="false">IF($G297="",0,IF(AND($G297&gt;='Cash Flow'!$E$6,$G297&lt;'Cash Flow'!$E$6+91),1,0))</f>
        <v>0</v>
      </c>
      <c r="I297" s="120" t="str">
        <f aca="false">IF($H297=1,MAX(1,INT(($G297-'Cash Flow'!$E$6)/7)+1),"")</f>
        <v/>
      </c>
      <c r="J297" s="8" t="str">
        <f aca="false">IF($H297=1,$G297*10000+ROW(),"")</f>
        <v/>
      </c>
      <c r="K297" s="8" t="str">
        <f aca="false">IF($H297=1,$I297*1000+COUNTIFS($I$4:$I$483,$I297,$J$4:$J$483,"&lt;"&amp;$J297)+1,"")</f>
        <v/>
      </c>
      <c r="L297" s="121"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17" t="n">
        <v>19</v>
      </c>
      <c r="B298" s="117" t="n">
        <v>7</v>
      </c>
      <c r="C298" s="8" t="str">
        <f aca="false">IF(OR(Recurring!$B$23="",Recurring!$H$23&lt;&gt;"Yes",Recurring!$D$23=""),"",Recurring!$B$23)</f>
        <v>Earnin' advance</v>
      </c>
      <c r="D298" s="8" t="str">
        <f aca="false">IF($C298="","",Recurring!$C$23)</f>
        <v>Income</v>
      </c>
      <c r="E298" s="118" t="n">
        <f aca="false">IF($C298="","",IF(SUMIFS(Overrides!$E$9:$E$108,Overrides!$B$9:$B$108,$C298,Overrides!$C$9:$C$108,$L298)&gt;0,SUMIFS(Overrides!$E$9:$E$108,Overrides!$B$9:$B$108,$C298,Overrides!$C$9:$C$108,$L298),Recurring!$D$23))</f>
        <v>100</v>
      </c>
      <c r="F298" s="119"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19" t="str">
        <f aca="false">IF($L298="","",IF(SUMIFS(Overrides!$D$9:$D$108,Overrides!$B$9:$B$108,$C298,Overrides!$C$9:$C$108,$L298)&gt;0,SUMIFS(Overrides!$D$9:$D$108,Overrides!$B$9:$B$108,$C298,Overrides!$C$9:$C$108,$L298),$L298))</f>
        <v/>
      </c>
      <c r="H298" s="120" t="n">
        <f aca="false">IF($G298="",0,IF(AND($G298&gt;='Cash Flow'!$E$6,$G298&lt;'Cash Flow'!$E$6+91),1,0))</f>
        <v>0</v>
      </c>
      <c r="I298" s="120" t="str">
        <f aca="false">IF($H298=1,MAX(1,INT(($G298-'Cash Flow'!$E$6)/7)+1),"")</f>
        <v/>
      </c>
      <c r="J298" s="8" t="str">
        <f aca="false">IF($H298=1,$G298*10000+ROW(),"")</f>
        <v/>
      </c>
      <c r="K298" s="8" t="str">
        <f aca="false">IF($H298=1,$I298*1000+COUNTIFS($I$4:$I$483,$I298,$J$4:$J$483,"&lt;"&amp;$J298)+1,"")</f>
        <v/>
      </c>
      <c r="L298" s="121"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17" t="n">
        <v>19</v>
      </c>
      <c r="B299" s="117" t="n">
        <v>8</v>
      </c>
      <c r="C299" s="8" t="str">
        <f aca="false">IF(OR(Recurring!$B$23="",Recurring!$H$23&lt;&gt;"Yes",Recurring!$D$23=""),"",Recurring!$B$23)</f>
        <v>Earnin' advance</v>
      </c>
      <c r="D299" s="8" t="str">
        <f aca="false">IF($C299="","",Recurring!$C$23)</f>
        <v>Income</v>
      </c>
      <c r="E299" s="118" t="n">
        <f aca="false">IF($C299="","",IF(SUMIFS(Overrides!$E$9:$E$108,Overrides!$B$9:$B$108,$C299,Overrides!$C$9:$C$108,$L299)&gt;0,SUMIFS(Overrides!$E$9:$E$108,Overrides!$B$9:$B$108,$C299,Overrides!$C$9:$C$108,$L299),Recurring!$D$23))</f>
        <v>100</v>
      </c>
      <c r="F299" s="119"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19" t="str">
        <f aca="false">IF($L299="","",IF(SUMIFS(Overrides!$D$9:$D$108,Overrides!$B$9:$B$108,$C299,Overrides!$C$9:$C$108,$L299)&gt;0,SUMIFS(Overrides!$D$9:$D$108,Overrides!$B$9:$B$108,$C299,Overrides!$C$9:$C$108,$L299),$L299))</f>
        <v/>
      </c>
      <c r="H299" s="120" t="n">
        <f aca="false">IF($G299="",0,IF(AND($G299&gt;='Cash Flow'!$E$6,$G299&lt;'Cash Flow'!$E$6+91),1,0))</f>
        <v>0</v>
      </c>
      <c r="I299" s="120" t="str">
        <f aca="false">IF($H299=1,MAX(1,INT(($G299-'Cash Flow'!$E$6)/7)+1),"")</f>
        <v/>
      </c>
      <c r="J299" s="8" t="str">
        <f aca="false">IF($H299=1,$G299*10000+ROW(),"")</f>
        <v/>
      </c>
      <c r="K299" s="8" t="str">
        <f aca="false">IF($H299=1,$I299*1000+COUNTIFS($I$4:$I$483,$I299,$J$4:$J$483,"&lt;"&amp;$J299)+1,"")</f>
        <v/>
      </c>
      <c r="L299" s="121"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17" t="n">
        <v>19</v>
      </c>
      <c r="B300" s="117" t="n">
        <v>9</v>
      </c>
      <c r="C300" s="8" t="str">
        <f aca="false">IF(OR(Recurring!$B$23="",Recurring!$H$23&lt;&gt;"Yes",Recurring!$D$23=""),"",Recurring!$B$23)</f>
        <v>Earnin' advance</v>
      </c>
      <c r="D300" s="8" t="str">
        <f aca="false">IF($C300="","",Recurring!$C$23)</f>
        <v>Income</v>
      </c>
      <c r="E300" s="118" t="n">
        <f aca="false">IF($C300="","",IF(SUMIFS(Overrides!$E$9:$E$108,Overrides!$B$9:$B$108,$C300,Overrides!$C$9:$C$108,$L300)&gt;0,SUMIFS(Overrides!$E$9:$E$108,Overrides!$B$9:$B$108,$C300,Overrides!$C$9:$C$108,$L300),Recurring!$D$23))</f>
        <v>100</v>
      </c>
      <c r="F300" s="119"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19" t="str">
        <f aca="false">IF($L300="","",IF(SUMIFS(Overrides!$D$9:$D$108,Overrides!$B$9:$B$108,$C300,Overrides!$C$9:$C$108,$L300)&gt;0,SUMIFS(Overrides!$D$9:$D$108,Overrides!$B$9:$B$108,$C300,Overrides!$C$9:$C$108,$L300),$L300))</f>
        <v/>
      </c>
      <c r="H300" s="120" t="n">
        <f aca="false">IF($G300="",0,IF(AND($G300&gt;='Cash Flow'!$E$6,$G300&lt;'Cash Flow'!$E$6+91),1,0))</f>
        <v>0</v>
      </c>
      <c r="I300" s="120" t="str">
        <f aca="false">IF($H300=1,MAX(1,INT(($G300-'Cash Flow'!$E$6)/7)+1),"")</f>
        <v/>
      </c>
      <c r="J300" s="8" t="str">
        <f aca="false">IF($H300=1,$G300*10000+ROW(),"")</f>
        <v/>
      </c>
      <c r="K300" s="8" t="str">
        <f aca="false">IF($H300=1,$I300*1000+COUNTIFS($I$4:$I$483,$I300,$J$4:$J$483,"&lt;"&amp;$J300)+1,"")</f>
        <v/>
      </c>
      <c r="L300" s="121"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17" t="n">
        <v>19</v>
      </c>
      <c r="B301" s="117" t="n">
        <v>10</v>
      </c>
      <c r="C301" s="8" t="str">
        <f aca="false">IF(OR(Recurring!$B$23="",Recurring!$H$23&lt;&gt;"Yes",Recurring!$D$23=""),"",Recurring!$B$23)</f>
        <v>Earnin' advance</v>
      </c>
      <c r="D301" s="8" t="str">
        <f aca="false">IF($C301="","",Recurring!$C$23)</f>
        <v>Income</v>
      </c>
      <c r="E301" s="118" t="n">
        <f aca="false">IF($C301="","",IF(SUMIFS(Overrides!$E$9:$E$108,Overrides!$B$9:$B$108,$C301,Overrides!$C$9:$C$108,$L301)&gt;0,SUMIFS(Overrides!$E$9:$E$108,Overrides!$B$9:$B$108,$C301,Overrides!$C$9:$C$108,$L301),Recurring!$D$23))</f>
        <v>100</v>
      </c>
      <c r="F301" s="119"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19" t="str">
        <f aca="false">IF($L301="","",IF(SUMIFS(Overrides!$D$9:$D$108,Overrides!$B$9:$B$108,$C301,Overrides!$C$9:$C$108,$L301)&gt;0,SUMIFS(Overrides!$D$9:$D$108,Overrides!$B$9:$B$108,$C301,Overrides!$C$9:$C$108,$L301),$L301))</f>
        <v/>
      </c>
      <c r="H301" s="120" t="n">
        <f aca="false">IF($G301="",0,IF(AND($G301&gt;='Cash Flow'!$E$6,$G301&lt;'Cash Flow'!$E$6+91),1,0))</f>
        <v>0</v>
      </c>
      <c r="I301" s="120" t="str">
        <f aca="false">IF($H301=1,MAX(1,INT(($G301-'Cash Flow'!$E$6)/7)+1),"")</f>
        <v/>
      </c>
      <c r="J301" s="8" t="str">
        <f aca="false">IF($H301=1,$G301*10000+ROW(),"")</f>
        <v/>
      </c>
      <c r="K301" s="8" t="str">
        <f aca="false">IF($H301=1,$I301*1000+COUNTIFS($I$4:$I$483,$I301,$J$4:$J$483,"&lt;"&amp;$J301)+1,"")</f>
        <v/>
      </c>
      <c r="L301" s="121"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17" t="n">
        <v>19</v>
      </c>
      <c r="B302" s="117" t="n">
        <v>11</v>
      </c>
      <c r="C302" s="8" t="str">
        <f aca="false">IF(OR(Recurring!$B$23="",Recurring!$H$23&lt;&gt;"Yes",Recurring!$D$23=""),"",Recurring!$B$23)</f>
        <v>Earnin' advance</v>
      </c>
      <c r="D302" s="8" t="str">
        <f aca="false">IF($C302="","",Recurring!$C$23)</f>
        <v>Income</v>
      </c>
      <c r="E302" s="118" t="n">
        <f aca="false">IF($C302="","",IF(SUMIFS(Overrides!$E$9:$E$108,Overrides!$B$9:$B$108,$C302,Overrides!$C$9:$C$108,$L302)&gt;0,SUMIFS(Overrides!$E$9:$E$108,Overrides!$B$9:$B$108,$C302,Overrides!$C$9:$C$108,$L302),Recurring!$D$23))</f>
        <v>100</v>
      </c>
      <c r="F302" s="119"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19" t="str">
        <f aca="false">IF($L302="","",IF(SUMIFS(Overrides!$D$9:$D$108,Overrides!$B$9:$B$108,$C302,Overrides!$C$9:$C$108,$L302)&gt;0,SUMIFS(Overrides!$D$9:$D$108,Overrides!$B$9:$B$108,$C302,Overrides!$C$9:$C$108,$L302),$L302))</f>
        <v/>
      </c>
      <c r="H302" s="120" t="n">
        <f aca="false">IF($G302="",0,IF(AND($G302&gt;='Cash Flow'!$E$6,$G302&lt;'Cash Flow'!$E$6+91),1,0))</f>
        <v>0</v>
      </c>
      <c r="I302" s="120" t="str">
        <f aca="false">IF($H302=1,MAX(1,INT(($G302-'Cash Flow'!$E$6)/7)+1),"")</f>
        <v/>
      </c>
      <c r="J302" s="8" t="str">
        <f aca="false">IF($H302=1,$G302*10000+ROW(),"")</f>
        <v/>
      </c>
      <c r="K302" s="8" t="str">
        <f aca="false">IF($H302=1,$I302*1000+COUNTIFS($I$4:$I$483,$I302,$J$4:$J$483,"&lt;"&amp;$J302)+1,"")</f>
        <v/>
      </c>
      <c r="L302" s="121"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17" t="n">
        <v>19</v>
      </c>
      <c r="B303" s="117" t="n">
        <v>12</v>
      </c>
      <c r="C303" s="8" t="str">
        <f aca="false">IF(OR(Recurring!$B$23="",Recurring!$H$23&lt;&gt;"Yes",Recurring!$D$23=""),"",Recurring!$B$23)</f>
        <v>Earnin' advance</v>
      </c>
      <c r="D303" s="8" t="str">
        <f aca="false">IF($C303="","",Recurring!$C$23)</f>
        <v>Income</v>
      </c>
      <c r="E303" s="118" t="n">
        <f aca="false">IF($C303="","",IF(SUMIFS(Overrides!$E$9:$E$108,Overrides!$B$9:$B$108,$C303,Overrides!$C$9:$C$108,$L303)&gt;0,SUMIFS(Overrides!$E$9:$E$108,Overrides!$B$9:$B$108,$C303,Overrides!$C$9:$C$108,$L303),Recurring!$D$23))</f>
        <v>100</v>
      </c>
      <c r="F303" s="119"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19" t="str">
        <f aca="false">IF($L303="","",IF(SUMIFS(Overrides!$D$9:$D$108,Overrides!$B$9:$B$108,$C303,Overrides!$C$9:$C$108,$L303)&gt;0,SUMIFS(Overrides!$D$9:$D$108,Overrides!$B$9:$B$108,$C303,Overrides!$C$9:$C$108,$L303),$L303))</f>
        <v/>
      </c>
      <c r="H303" s="120" t="n">
        <f aca="false">IF($G303="",0,IF(AND($G303&gt;='Cash Flow'!$E$6,$G303&lt;'Cash Flow'!$E$6+91),1,0))</f>
        <v>0</v>
      </c>
      <c r="I303" s="120" t="str">
        <f aca="false">IF($H303=1,MAX(1,INT(($G303-'Cash Flow'!$E$6)/7)+1),"")</f>
        <v/>
      </c>
      <c r="J303" s="8" t="str">
        <f aca="false">IF($H303=1,$G303*10000+ROW(),"")</f>
        <v/>
      </c>
      <c r="K303" s="8" t="str">
        <f aca="false">IF($H303=1,$I303*1000+COUNTIFS($I$4:$I$483,$I303,$J$4:$J$483,"&lt;"&amp;$J303)+1,"")</f>
        <v/>
      </c>
      <c r="L303" s="121"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17" t="n">
        <v>19</v>
      </c>
      <c r="B304" s="117" t="n">
        <v>13</v>
      </c>
      <c r="C304" s="8" t="str">
        <f aca="false">IF(OR(Recurring!$B$23="",Recurring!$H$23&lt;&gt;"Yes",Recurring!$D$23=""),"",Recurring!$B$23)</f>
        <v>Earnin' advance</v>
      </c>
      <c r="D304" s="8" t="str">
        <f aca="false">IF($C304="","",Recurring!$C$23)</f>
        <v>Income</v>
      </c>
      <c r="E304" s="118" t="n">
        <f aca="false">IF($C304="","",IF(SUMIFS(Overrides!$E$9:$E$108,Overrides!$B$9:$B$108,$C304,Overrides!$C$9:$C$108,$L304)&gt;0,SUMIFS(Overrides!$E$9:$E$108,Overrides!$B$9:$B$108,$C304,Overrides!$C$9:$C$108,$L304),Recurring!$D$23))</f>
        <v>100</v>
      </c>
      <c r="F304" s="119"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19" t="str">
        <f aca="false">IF($L304="","",IF(SUMIFS(Overrides!$D$9:$D$108,Overrides!$B$9:$B$108,$C304,Overrides!$C$9:$C$108,$L304)&gt;0,SUMIFS(Overrides!$D$9:$D$108,Overrides!$B$9:$B$108,$C304,Overrides!$C$9:$C$108,$L304),$L304))</f>
        <v/>
      </c>
      <c r="H304" s="120" t="n">
        <f aca="false">IF($G304="",0,IF(AND($G304&gt;='Cash Flow'!$E$6,$G304&lt;'Cash Flow'!$E$6+91),1,0))</f>
        <v>0</v>
      </c>
      <c r="I304" s="120" t="str">
        <f aca="false">IF($H304=1,MAX(1,INT(($G304-'Cash Flow'!$E$6)/7)+1),"")</f>
        <v/>
      </c>
      <c r="J304" s="8" t="str">
        <f aca="false">IF($H304=1,$G304*10000+ROW(),"")</f>
        <v/>
      </c>
      <c r="K304" s="8" t="str">
        <f aca="false">IF($H304=1,$I304*1000+COUNTIFS($I$4:$I$483,$I304,$J$4:$J$483,"&lt;"&amp;$J304)+1,"")</f>
        <v/>
      </c>
      <c r="L304" s="121"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17" t="n">
        <v>19</v>
      </c>
      <c r="B305" s="117" t="n">
        <v>14</v>
      </c>
      <c r="C305" s="8" t="str">
        <f aca="false">IF(OR(Recurring!$B$23="",Recurring!$H$23&lt;&gt;"Yes",Recurring!$D$23=""),"",Recurring!$B$23)</f>
        <v>Earnin' advance</v>
      </c>
      <c r="D305" s="8" t="str">
        <f aca="false">IF($C305="","",Recurring!$C$23)</f>
        <v>Income</v>
      </c>
      <c r="E305" s="118" t="n">
        <f aca="false">IF($C305="","",IF(SUMIFS(Overrides!$E$9:$E$108,Overrides!$B$9:$B$108,$C305,Overrides!$C$9:$C$108,$L305)&gt;0,SUMIFS(Overrides!$E$9:$E$108,Overrides!$B$9:$B$108,$C305,Overrides!$C$9:$C$108,$L305),Recurring!$D$23))</f>
        <v>100</v>
      </c>
      <c r="F305" s="119"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19" t="str">
        <f aca="false">IF($L305="","",IF(SUMIFS(Overrides!$D$9:$D$108,Overrides!$B$9:$B$108,$C305,Overrides!$C$9:$C$108,$L305)&gt;0,SUMIFS(Overrides!$D$9:$D$108,Overrides!$B$9:$B$108,$C305,Overrides!$C$9:$C$108,$L305),$L305))</f>
        <v/>
      </c>
      <c r="H305" s="120" t="n">
        <f aca="false">IF($G305="",0,IF(AND($G305&gt;='Cash Flow'!$E$6,$G305&lt;'Cash Flow'!$E$6+91),1,0))</f>
        <v>0</v>
      </c>
      <c r="I305" s="120" t="str">
        <f aca="false">IF($H305=1,MAX(1,INT(($G305-'Cash Flow'!$E$6)/7)+1),"")</f>
        <v/>
      </c>
      <c r="J305" s="8" t="str">
        <f aca="false">IF($H305=1,$G305*10000+ROW(),"")</f>
        <v/>
      </c>
      <c r="K305" s="8" t="str">
        <f aca="false">IF($H305=1,$I305*1000+COUNTIFS($I$4:$I$483,$I305,$J$4:$J$483,"&lt;"&amp;$J305)+1,"")</f>
        <v/>
      </c>
      <c r="L305" s="121"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17" t="n">
        <v>19</v>
      </c>
      <c r="B306" s="117" t="n">
        <v>15</v>
      </c>
      <c r="C306" s="8" t="str">
        <f aca="false">IF(OR(Recurring!$B$23="",Recurring!$H$23&lt;&gt;"Yes",Recurring!$D$23=""),"",Recurring!$B$23)</f>
        <v>Earnin' advance</v>
      </c>
      <c r="D306" s="8" t="str">
        <f aca="false">IF($C306="","",Recurring!$C$23)</f>
        <v>Income</v>
      </c>
      <c r="E306" s="118" t="n">
        <f aca="false">IF($C306="","",IF(SUMIFS(Overrides!$E$9:$E$108,Overrides!$B$9:$B$108,$C306,Overrides!$C$9:$C$108,$L306)&gt;0,SUMIFS(Overrides!$E$9:$E$108,Overrides!$B$9:$B$108,$C306,Overrides!$C$9:$C$108,$L306),Recurring!$D$23))</f>
        <v>100</v>
      </c>
      <c r="F306" s="119"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19" t="str">
        <f aca="false">IF($L306="","",IF(SUMIFS(Overrides!$D$9:$D$108,Overrides!$B$9:$B$108,$C306,Overrides!$C$9:$C$108,$L306)&gt;0,SUMIFS(Overrides!$D$9:$D$108,Overrides!$B$9:$B$108,$C306,Overrides!$C$9:$C$108,$L306),$L306))</f>
        <v/>
      </c>
      <c r="H306" s="120" t="n">
        <f aca="false">IF($G306="",0,IF(AND($G306&gt;='Cash Flow'!$E$6,$G306&lt;'Cash Flow'!$E$6+91),1,0))</f>
        <v>0</v>
      </c>
      <c r="I306" s="120" t="str">
        <f aca="false">IF($H306=1,MAX(1,INT(($G306-'Cash Flow'!$E$6)/7)+1),"")</f>
        <v/>
      </c>
      <c r="J306" s="8" t="str">
        <f aca="false">IF($H306=1,$G306*10000+ROW(),"")</f>
        <v/>
      </c>
      <c r="K306" s="8" t="str">
        <f aca="false">IF($H306=1,$I306*1000+COUNTIFS($I$4:$I$483,$I306,$J$4:$J$483,"&lt;"&amp;$J306)+1,"")</f>
        <v/>
      </c>
      <c r="L306" s="121"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17" t="n">
        <v>19</v>
      </c>
      <c r="B307" s="117" t="n">
        <v>16</v>
      </c>
      <c r="C307" s="8" t="str">
        <f aca="false">IF(OR(Recurring!$B$23="",Recurring!$H$23&lt;&gt;"Yes",Recurring!$D$23=""),"",Recurring!$B$23)</f>
        <v>Earnin' advance</v>
      </c>
      <c r="D307" s="8" t="str">
        <f aca="false">IF($C307="","",Recurring!$C$23)</f>
        <v>Income</v>
      </c>
      <c r="E307" s="118" t="n">
        <f aca="false">IF($C307="","",IF(SUMIFS(Overrides!$E$9:$E$108,Overrides!$B$9:$B$108,$C307,Overrides!$C$9:$C$108,$L307)&gt;0,SUMIFS(Overrides!$E$9:$E$108,Overrides!$B$9:$B$108,$C307,Overrides!$C$9:$C$108,$L307),Recurring!$D$23))</f>
        <v>100</v>
      </c>
      <c r="F307" s="119"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19" t="str">
        <f aca="false">IF($L307="","",IF(SUMIFS(Overrides!$D$9:$D$108,Overrides!$B$9:$B$108,$C307,Overrides!$C$9:$C$108,$L307)&gt;0,SUMIFS(Overrides!$D$9:$D$108,Overrides!$B$9:$B$108,$C307,Overrides!$C$9:$C$108,$L307),$L307))</f>
        <v/>
      </c>
      <c r="H307" s="120" t="n">
        <f aca="false">IF($G307="",0,IF(AND($G307&gt;='Cash Flow'!$E$6,$G307&lt;'Cash Flow'!$E$6+91),1,0))</f>
        <v>0</v>
      </c>
      <c r="I307" s="120" t="str">
        <f aca="false">IF($H307=1,MAX(1,INT(($G307-'Cash Flow'!$E$6)/7)+1),"")</f>
        <v/>
      </c>
      <c r="J307" s="8" t="str">
        <f aca="false">IF($H307=1,$G307*10000+ROW(),"")</f>
        <v/>
      </c>
      <c r="K307" s="8" t="str">
        <f aca="false">IF($H307=1,$I307*1000+COUNTIFS($I$4:$I$483,$I307,$J$4:$J$483,"&lt;"&amp;$J307)+1,"")</f>
        <v/>
      </c>
      <c r="L307" s="121"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17" t="n">
        <v>20</v>
      </c>
      <c r="B308" s="117" t="n">
        <v>1</v>
      </c>
      <c r="C308" s="8" t="str">
        <f aca="false">IF(OR(Recurring!$B$24="",Recurring!$H$24&lt;&gt;"Yes",Recurring!$D$24=""),"",Recurring!$B$24)</f>
        <v>Earnin' repayment</v>
      </c>
      <c r="D308" s="8" t="str">
        <f aca="false">IF($C308="","",Recurring!$C$24)</f>
        <v>Expense</v>
      </c>
      <c r="E308" s="118" t="n">
        <f aca="false">IF($C308="","",IF(SUMIFS(Overrides!$E$9:$E$108,Overrides!$B$9:$B$108,$C308,Overrides!$C$9:$C$108,$L308)&gt;0,SUMIFS(Overrides!$E$9:$E$108,Overrides!$B$9:$B$108,$C308,Overrides!$C$9:$C$108,$L308),Recurring!$D$24))</f>
        <v>107.99</v>
      </c>
      <c r="F308" s="119" t="n">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46261</v>
      </c>
      <c r="G308" s="119" t="n">
        <f aca="false">IF($L308="","",IF(SUMIFS(Overrides!$D$9:$D$108,Overrides!$B$9:$B$108,$C308,Overrides!$C$9:$C$108,$L308)&gt;0,SUMIFS(Overrides!$D$9:$D$108,Overrides!$B$9:$B$108,$C308,Overrides!$C$9:$C$108,$L308),$L308))</f>
        <v>46261</v>
      </c>
      <c r="H308" s="120" t="n">
        <f aca="false">IF($G308="",0,IF(AND($G308&gt;='Cash Flow'!$E$6-90,$G308&lt;'Cash Flow'!$E$6+91),1,0))</f>
        <v>1</v>
      </c>
      <c r="I308" s="120" t="n">
        <f aca="false">IF($H308=1,MAX(1,INT(($G308-'Cash Flow'!$E$6)/7)+1),"")</f>
        <v>2</v>
      </c>
      <c r="J308" s="8" t="n">
        <f aca="false">IF($H308=1,$G308*10000+ROW(),"")</f>
        <v>462610308</v>
      </c>
      <c r="K308" s="8" t="n">
        <f aca="false">IF($H308=1,$I308*1000+COUNTIFS($I$4:$I$483,$I308,$J$4:$J$483,"&lt;"&amp;$J308)+1,"")</f>
        <v>2006</v>
      </c>
      <c r="L308" s="121" t="n">
        <f aca="false">IF($F308="","",IF(Recurring!$G$24="Move Before",IF(WEEKDAY($F308,2)=6,$F308-1,IF(WEEKDAY($F308,2)=7,$F308-2,$F308)),IF(Recurring!$G$24="Move After",IF(WEEKDAY($F308,2)=6,$F308+2,IF(WEEKDAY($F308,2)=7,$F308+1,$F308)),$F308)))</f>
        <v>46261</v>
      </c>
      <c r="M308" s="1" t="str">
        <f aca="true">IF(AND($H308=1,$D308="Expense",$G308&gt;TODAY(),$E308&gt;=100),$G308*100000+ROW(),"")</f>
        <v/>
      </c>
      <c r="N308" s="1" t="str">
        <f aca="true">IF(AND($H308=1,$D308="Income",$G308&gt;TODAY()),$G308*100000+ROW(),"")</f>
        <v/>
      </c>
    </row>
    <row r="309" customFormat="false" ht="15" hidden="false" customHeight="true" outlineLevel="0" collapsed="false">
      <c r="A309" s="117" t="n">
        <v>20</v>
      </c>
      <c r="B309" s="117" t="n">
        <v>2</v>
      </c>
      <c r="C309" s="8" t="str">
        <f aca="false">IF(OR(Recurring!$B$24="",Recurring!$H$24&lt;&gt;"Yes",Recurring!$D$24=""),"",Recurring!$B$24)</f>
        <v>Earnin' repayment</v>
      </c>
      <c r="D309" s="8" t="str">
        <f aca="false">IF($C309="","",Recurring!$C$24)</f>
        <v>Expense</v>
      </c>
      <c r="E309" s="118" t="n">
        <f aca="false">IF($C309="","",IF(SUMIFS(Overrides!$E$9:$E$108,Overrides!$B$9:$B$108,$C309,Overrides!$C$9:$C$108,$L309)&gt;0,SUMIFS(Overrides!$E$9:$E$108,Overrides!$B$9:$B$108,$C309,Overrides!$C$9:$C$108,$L309),Recurring!$D$24))</f>
        <v>107.99</v>
      </c>
      <c r="F309" s="119"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19" t="str">
        <f aca="false">IF($L309="","",IF(SUMIFS(Overrides!$D$9:$D$108,Overrides!$B$9:$B$108,$C309,Overrides!$C$9:$C$108,$L309)&gt;0,SUMIFS(Overrides!$D$9:$D$108,Overrides!$B$9:$B$108,$C309,Overrides!$C$9:$C$108,$L309),$L309))</f>
        <v/>
      </c>
      <c r="H309" s="120" t="n">
        <f aca="false">IF($G309="",0,IF(AND($G309&gt;='Cash Flow'!$E$6,$G309&lt;'Cash Flow'!$E$6+91),1,0))</f>
        <v>0</v>
      </c>
      <c r="I309" s="120" t="str">
        <f aca="false">IF($H309=1,MAX(1,INT(($G309-'Cash Flow'!$E$6)/7)+1),"")</f>
        <v/>
      </c>
      <c r="J309" s="8" t="str">
        <f aca="false">IF($H309=1,$G309*10000+ROW(),"")</f>
        <v/>
      </c>
      <c r="K309" s="8" t="str">
        <f aca="false">IF($H309=1,$I309*1000+COUNTIFS($I$4:$I$483,$I309,$J$4:$J$483,"&lt;"&amp;$J309)+1,"")</f>
        <v/>
      </c>
      <c r="L309" s="121"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17" t="n">
        <v>20</v>
      </c>
      <c r="B310" s="117" t="n">
        <v>3</v>
      </c>
      <c r="C310" s="8" t="str">
        <f aca="false">IF(OR(Recurring!$B$24="",Recurring!$H$24&lt;&gt;"Yes",Recurring!$D$24=""),"",Recurring!$B$24)</f>
        <v>Earnin' repayment</v>
      </c>
      <c r="D310" s="8" t="str">
        <f aca="false">IF($C310="","",Recurring!$C$24)</f>
        <v>Expense</v>
      </c>
      <c r="E310" s="118" t="n">
        <f aca="false">IF($C310="","",IF(SUMIFS(Overrides!$E$9:$E$108,Overrides!$B$9:$B$108,$C310,Overrides!$C$9:$C$108,$L310)&gt;0,SUMIFS(Overrides!$E$9:$E$108,Overrides!$B$9:$B$108,$C310,Overrides!$C$9:$C$108,$L310),Recurring!$D$24))</f>
        <v>107.99</v>
      </c>
      <c r="F310" s="119"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19" t="str">
        <f aca="false">IF($L310="","",IF(SUMIFS(Overrides!$D$9:$D$108,Overrides!$B$9:$B$108,$C310,Overrides!$C$9:$C$108,$L310)&gt;0,SUMIFS(Overrides!$D$9:$D$108,Overrides!$B$9:$B$108,$C310,Overrides!$C$9:$C$108,$L310),$L310))</f>
        <v/>
      </c>
      <c r="H310" s="120" t="n">
        <f aca="false">IF($G310="",0,IF(AND($G310&gt;='Cash Flow'!$E$6,$G310&lt;'Cash Flow'!$E$6+91),1,0))</f>
        <v>0</v>
      </c>
      <c r="I310" s="120" t="str">
        <f aca="false">IF($H310=1,MAX(1,INT(($G310-'Cash Flow'!$E$6)/7)+1),"")</f>
        <v/>
      </c>
      <c r="J310" s="8" t="str">
        <f aca="false">IF($H310=1,$G310*10000+ROW(),"")</f>
        <v/>
      </c>
      <c r="K310" s="8" t="str">
        <f aca="false">IF($H310=1,$I310*1000+COUNTIFS($I$4:$I$483,$I310,$J$4:$J$483,"&lt;"&amp;$J310)+1,"")</f>
        <v/>
      </c>
      <c r="L310" s="121"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17" t="n">
        <v>20</v>
      </c>
      <c r="B311" s="117" t="n">
        <v>4</v>
      </c>
      <c r="C311" s="8" t="str">
        <f aca="false">IF(OR(Recurring!$B$24="",Recurring!$H$24&lt;&gt;"Yes",Recurring!$D$24=""),"",Recurring!$B$24)</f>
        <v>Earnin' repayment</v>
      </c>
      <c r="D311" s="8" t="str">
        <f aca="false">IF($C311="","",Recurring!$C$24)</f>
        <v>Expense</v>
      </c>
      <c r="E311" s="118" t="n">
        <f aca="false">IF($C311="","",IF(SUMIFS(Overrides!$E$9:$E$108,Overrides!$B$9:$B$108,$C311,Overrides!$C$9:$C$108,$L311)&gt;0,SUMIFS(Overrides!$E$9:$E$108,Overrides!$B$9:$B$108,$C311,Overrides!$C$9:$C$108,$L311),Recurring!$D$24))</f>
        <v>107.99</v>
      </c>
      <c r="F311" s="119"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19" t="str">
        <f aca="false">IF($L311="","",IF(SUMIFS(Overrides!$D$9:$D$108,Overrides!$B$9:$B$108,$C311,Overrides!$C$9:$C$108,$L311)&gt;0,SUMIFS(Overrides!$D$9:$D$108,Overrides!$B$9:$B$108,$C311,Overrides!$C$9:$C$108,$L311),$L311))</f>
        <v/>
      </c>
      <c r="H311" s="120" t="n">
        <f aca="false">IF($G311="",0,IF(AND($G311&gt;='Cash Flow'!$E$6,$G311&lt;'Cash Flow'!$E$6+91),1,0))</f>
        <v>0</v>
      </c>
      <c r="I311" s="120" t="str">
        <f aca="false">IF($H311=1,MAX(1,INT(($G311-'Cash Flow'!$E$6)/7)+1),"")</f>
        <v/>
      </c>
      <c r="J311" s="8" t="str">
        <f aca="false">IF($H311=1,$G311*10000+ROW(),"")</f>
        <v/>
      </c>
      <c r="K311" s="8" t="str">
        <f aca="false">IF($H311=1,$I311*1000+COUNTIFS($I$4:$I$483,$I311,$J$4:$J$483,"&lt;"&amp;$J311)+1,"")</f>
        <v/>
      </c>
      <c r="L311" s="121"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17" t="n">
        <v>20</v>
      </c>
      <c r="B312" s="117" t="n">
        <v>5</v>
      </c>
      <c r="C312" s="8" t="str">
        <f aca="false">IF(OR(Recurring!$B$24="",Recurring!$H$24&lt;&gt;"Yes",Recurring!$D$24=""),"",Recurring!$B$24)</f>
        <v>Earnin' repayment</v>
      </c>
      <c r="D312" s="8" t="str">
        <f aca="false">IF($C312="","",Recurring!$C$24)</f>
        <v>Expense</v>
      </c>
      <c r="E312" s="118" t="n">
        <f aca="false">IF($C312="","",IF(SUMIFS(Overrides!$E$9:$E$108,Overrides!$B$9:$B$108,$C312,Overrides!$C$9:$C$108,$L312)&gt;0,SUMIFS(Overrides!$E$9:$E$108,Overrides!$B$9:$B$108,$C312,Overrides!$C$9:$C$108,$L312),Recurring!$D$24))</f>
        <v>107.99</v>
      </c>
      <c r="F312" s="119"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19" t="str">
        <f aca="false">IF($L312="","",IF(SUMIFS(Overrides!$D$9:$D$108,Overrides!$B$9:$B$108,$C312,Overrides!$C$9:$C$108,$L312)&gt;0,SUMIFS(Overrides!$D$9:$D$108,Overrides!$B$9:$B$108,$C312,Overrides!$C$9:$C$108,$L312),$L312))</f>
        <v/>
      </c>
      <c r="H312" s="120" t="n">
        <f aca="false">IF($G312="",0,IF(AND($G312&gt;='Cash Flow'!$E$6,$G312&lt;'Cash Flow'!$E$6+91),1,0))</f>
        <v>0</v>
      </c>
      <c r="I312" s="120" t="str">
        <f aca="false">IF($H312=1,MAX(1,INT(($G312-'Cash Flow'!$E$6)/7)+1),"")</f>
        <v/>
      </c>
      <c r="J312" s="8" t="str">
        <f aca="false">IF($H312=1,$G312*10000+ROW(),"")</f>
        <v/>
      </c>
      <c r="K312" s="8" t="str">
        <f aca="false">IF($H312=1,$I312*1000+COUNTIFS($I$4:$I$483,$I312,$J$4:$J$483,"&lt;"&amp;$J312)+1,"")</f>
        <v/>
      </c>
      <c r="L312" s="121"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17" t="n">
        <v>20</v>
      </c>
      <c r="B313" s="117" t="n">
        <v>6</v>
      </c>
      <c r="C313" s="8" t="str">
        <f aca="false">IF(OR(Recurring!$B$24="",Recurring!$H$24&lt;&gt;"Yes",Recurring!$D$24=""),"",Recurring!$B$24)</f>
        <v>Earnin' repayment</v>
      </c>
      <c r="D313" s="8" t="str">
        <f aca="false">IF($C313="","",Recurring!$C$24)</f>
        <v>Expense</v>
      </c>
      <c r="E313" s="118" t="n">
        <f aca="false">IF($C313="","",IF(SUMIFS(Overrides!$E$9:$E$108,Overrides!$B$9:$B$108,$C313,Overrides!$C$9:$C$108,$L313)&gt;0,SUMIFS(Overrides!$E$9:$E$108,Overrides!$B$9:$B$108,$C313,Overrides!$C$9:$C$108,$L313),Recurring!$D$24))</f>
        <v>107.99</v>
      </c>
      <c r="F313" s="119"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19" t="str">
        <f aca="false">IF($L313="","",IF(SUMIFS(Overrides!$D$9:$D$108,Overrides!$B$9:$B$108,$C313,Overrides!$C$9:$C$108,$L313)&gt;0,SUMIFS(Overrides!$D$9:$D$108,Overrides!$B$9:$B$108,$C313,Overrides!$C$9:$C$108,$L313),$L313))</f>
        <v/>
      </c>
      <c r="H313" s="120" t="n">
        <f aca="false">IF($G313="",0,IF(AND($G313&gt;='Cash Flow'!$E$6,$G313&lt;'Cash Flow'!$E$6+91),1,0))</f>
        <v>0</v>
      </c>
      <c r="I313" s="120" t="str">
        <f aca="false">IF($H313=1,MAX(1,INT(($G313-'Cash Flow'!$E$6)/7)+1),"")</f>
        <v/>
      </c>
      <c r="J313" s="8" t="str">
        <f aca="false">IF($H313=1,$G313*10000+ROW(),"")</f>
        <v/>
      </c>
      <c r="K313" s="8" t="str">
        <f aca="false">IF($H313=1,$I313*1000+COUNTIFS($I$4:$I$483,$I313,$J$4:$J$483,"&lt;"&amp;$J313)+1,"")</f>
        <v/>
      </c>
      <c r="L313" s="121"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17" t="n">
        <v>20</v>
      </c>
      <c r="B314" s="117" t="n">
        <v>7</v>
      </c>
      <c r="C314" s="8" t="str">
        <f aca="false">IF(OR(Recurring!$B$24="",Recurring!$H$24&lt;&gt;"Yes",Recurring!$D$24=""),"",Recurring!$B$24)</f>
        <v>Earnin' repayment</v>
      </c>
      <c r="D314" s="8" t="str">
        <f aca="false">IF($C314="","",Recurring!$C$24)</f>
        <v>Expense</v>
      </c>
      <c r="E314" s="118" t="n">
        <f aca="false">IF($C314="","",IF(SUMIFS(Overrides!$E$9:$E$108,Overrides!$B$9:$B$108,$C314,Overrides!$C$9:$C$108,$L314)&gt;0,SUMIFS(Overrides!$E$9:$E$108,Overrides!$B$9:$B$108,$C314,Overrides!$C$9:$C$108,$L314),Recurring!$D$24))</f>
        <v>107.99</v>
      </c>
      <c r="F314" s="119"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19" t="str">
        <f aca="false">IF($L314="","",IF(SUMIFS(Overrides!$D$9:$D$108,Overrides!$B$9:$B$108,$C314,Overrides!$C$9:$C$108,$L314)&gt;0,SUMIFS(Overrides!$D$9:$D$108,Overrides!$B$9:$B$108,$C314,Overrides!$C$9:$C$108,$L314),$L314))</f>
        <v/>
      </c>
      <c r="H314" s="120" t="n">
        <f aca="false">IF($G314="",0,IF(AND($G314&gt;='Cash Flow'!$E$6,$G314&lt;'Cash Flow'!$E$6+91),1,0))</f>
        <v>0</v>
      </c>
      <c r="I314" s="120" t="str">
        <f aca="false">IF($H314=1,MAX(1,INT(($G314-'Cash Flow'!$E$6)/7)+1),"")</f>
        <v/>
      </c>
      <c r="J314" s="8" t="str">
        <f aca="false">IF($H314=1,$G314*10000+ROW(),"")</f>
        <v/>
      </c>
      <c r="K314" s="8" t="str">
        <f aca="false">IF($H314=1,$I314*1000+COUNTIFS($I$4:$I$483,$I314,$J$4:$J$483,"&lt;"&amp;$J314)+1,"")</f>
        <v/>
      </c>
      <c r="L314" s="121"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17" t="n">
        <v>20</v>
      </c>
      <c r="B315" s="117" t="n">
        <v>8</v>
      </c>
      <c r="C315" s="8" t="str">
        <f aca="false">IF(OR(Recurring!$B$24="",Recurring!$H$24&lt;&gt;"Yes",Recurring!$D$24=""),"",Recurring!$B$24)</f>
        <v>Earnin' repayment</v>
      </c>
      <c r="D315" s="8" t="str">
        <f aca="false">IF($C315="","",Recurring!$C$24)</f>
        <v>Expense</v>
      </c>
      <c r="E315" s="118" t="n">
        <f aca="false">IF($C315="","",IF(SUMIFS(Overrides!$E$9:$E$108,Overrides!$B$9:$B$108,$C315,Overrides!$C$9:$C$108,$L315)&gt;0,SUMIFS(Overrides!$E$9:$E$108,Overrides!$B$9:$B$108,$C315,Overrides!$C$9:$C$108,$L315),Recurring!$D$24))</f>
        <v>107.99</v>
      </c>
      <c r="F315" s="119"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19" t="str">
        <f aca="false">IF($L315="","",IF(SUMIFS(Overrides!$D$9:$D$108,Overrides!$B$9:$B$108,$C315,Overrides!$C$9:$C$108,$L315)&gt;0,SUMIFS(Overrides!$D$9:$D$108,Overrides!$B$9:$B$108,$C315,Overrides!$C$9:$C$108,$L315),$L315))</f>
        <v/>
      </c>
      <c r="H315" s="120" t="n">
        <f aca="false">IF($G315="",0,IF(AND($G315&gt;='Cash Flow'!$E$6,$G315&lt;'Cash Flow'!$E$6+91),1,0))</f>
        <v>0</v>
      </c>
      <c r="I315" s="120" t="str">
        <f aca="false">IF($H315=1,MAX(1,INT(($G315-'Cash Flow'!$E$6)/7)+1),"")</f>
        <v/>
      </c>
      <c r="J315" s="8" t="str">
        <f aca="false">IF($H315=1,$G315*10000+ROW(),"")</f>
        <v/>
      </c>
      <c r="K315" s="8" t="str">
        <f aca="false">IF($H315=1,$I315*1000+COUNTIFS($I$4:$I$483,$I315,$J$4:$J$483,"&lt;"&amp;$J315)+1,"")</f>
        <v/>
      </c>
      <c r="L315" s="121"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17" t="n">
        <v>20</v>
      </c>
      <c r="B316" s="117" t="n">
        <v>9</v>
      </c>
      <c r="C316" s="8" t="str">
        <f aca="false">IF(OR(Recurring!$B$24="",Recurring!$H$24&lt;&gt;"Yes",Recurring!$D$24=""),"",Recurring!$B$24)</f>
        <v>Earnin' repayment</v>
      </c>
      <c r="D316" s="8" t="str">
        <f aca="false">IF($C316="","",Recurring!$C$24)</f>
        <v>Expense</v>
      </c>
      <c r="E316" s="118" t="n">
        <f aca="false">IF($C316="","",IF(SUMIFS(Overrides!$E$9:$E$108,Overrides!$B$9:$B$108,$C316,Overrides!$C$9:$C$108,$L316)&gt;0,SUMIFS(Overrides!$E$9:$E$108,Overrides!$B$9:$B$108,$C316,Overrides!$C$9:$C$108,$L316),Recurring!$D$24))</f>
        <v>107.99</v>
      </c>
      <c r="F316" s="119"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19" t="str">
        <f aca="false">IF($L316="","",IF(SUMIFS(Overrides!$D$9:$D$108,Overrides!$B$9:$B$108,$C316,Overrides!$C$9:$C$108,$L316)&gt;0,SUMIFS(Overrides!$D$9:$D$108,Overrides!$B$9:$B$108,$C316,Overrides!$C$9:$C$108,$L316),$L316))</f>
        <v/>
      </c>
      <c r="H316" s="120" t="n">
        <f aca="false">IF($G316="",0,IF(AND($G316&gt;='Cash Flow'!$E$6,$G316&lt;'Cash Flow'!$E$6+91),1,0))</f>
        <v>0</v>
      </c>
      <c r="I316" s="120" t="str">
        <f aca="false">IF($H316=1,MAX(1,INT(($G316-'Cash Flow'!$E$6)/7)+1),"")</f>
        <v/>
      </c>
      <c r="J316" s="8" t="str">
        <f aca="false">IF($H316=1,$G316*10000+ROW(),"")</f>
        <v/>
      </c>
      <c r="K316" s="8" t="str">
        <f aca="false">IF($H316=1,$I316*1000+COUNTIFS($I$4:$I$483,$I316,$J$4:$J$483,"&lt;"&amp;$J316)+1,"")</f>
        <v/>
      </c>
      <c r="L316" s="121"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17" t="n">
        <v>20</v>
      </c>
      <c r="B317" s="117" t="n">
        <v>10</v>
      </c>
      <c r="C317" s="8" t="str">
        <f aca="false">IF(OR(Recurring!$B$24="",Recurring!$H$24&lt;&gt;"Yes",Recurring!$D$24=""),"",Recurring!$B$24)</f>
        <v>Earnin' repayment</v>
      </c>
      <c r="D317" s="8" t="str">
        <f aca="false">IF($C317="","",Recurring!$C$24)</f>
        <v>Expense</v>
      </c>
      <c r="E317" s="118" t="n">
        <f aca="false">IF($C317="","",IF(SUMIFS(Overrides!$E$9:$E$108,Overrides!$B$9:$B$108,$C317,Overrides!$C$9:$C$108,$L317)&gt;0,SUMIFS(Overrides!$E$9:$E$108,Overrides!$B$9:$B$108,$C317,Overrides!$C$9:$C$108,$L317),Recurring!$D$24))</f>
        <v>107.99</v>
      </c>
      <c r="F317" s="119"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19" t="str">
        <f aca="false">IF($L317="","",IF(SUMIFS(Overrides!$D$9:$D$108,Overrides!$B$9:$B$108,$C317,Overrides!$C$9:$C$108,$L317)&gt;0,SUMIFS(Overrides!$D$9:$D$108,Overrides!$B$9:$B$108,$C317,Overrides!$C$9:$C$108,$L317),$L317))</f>
        <v/>
      </c>
      <c r="H317" s="120" t="n">
        <f aca="false">IF($G317="",0,IF(AND($G317&gt;='Cash Flow'!$E$6,$G317&lt;'Cash Flow'!$E$6+91),1,0))</f>
        <v>0</v>
      </c>
      <c r="I317" s="120" t="str">
        <f aca="false">IF($H317=1,MAX(1,INT(($G317-'Cash Flow'!$E$6)/7)+1),"")</f>
        <v/>
      </c>
      <c r="J317" s="8" t="str">
        <f aca="false">IF($H317=1,$G317*10000+ROW(),"")</f>
        <v/>
      </c>
      <c r="K317" s="8" t="str">
        <f aca="false">IF($H317=1,$I317*1000+COUNTIFS($I$4:$I$483,$I317,$J$4:$J$483,"&lt;"&amp;$J317)+1,"")</f>
        <v/>
      </c>
      <c r="L317" s="121"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17" t="n">
        <v>20</v>
      </c>
      <c r="B318" s="117" t="n">
        <v>11</v>
      </c>
      <c r="C318" s="8" t="str">
        <f aca="false">IF(OR(Recurring!$B$24="",Recurring!$H$24&lt;&gt;"Yes",Recurring!$D$24=""),"",Recurring!$B$24)</f>
        <v>Earnin' repayment</v>
      </c>
      <c r="D318" s="8" t="str">
        <f aca="false">IF($C318="","",Recurring!$C$24)</f>
        <v>Expense</v>
      </c>
      <c r="E318" s="118" t="n">
        <f aca="false">IF($C318="","",IF(SUMIFS(Overrides!$E$9:$E$108,Overrides!$B$9:$B$108,$C318,Overrides!$C$9:$C$108,$L318)&gt;0,SUMIFS(Overrides!$E$9:$E$108,Overrides!$B$9:$B$108,$C318,Overrides!$C$9:$C$108,$L318),Recurring!$D$24))</f>
        <v>107.99</v>
      </c>
      <c r="F318" s="119"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19" t="str">
        <f aca="false">IF($L318="","",IF(SUMIFS(Overrides!$D$9:$D$108,Overrides!$B$9:$B$108,$C318,Overrides!$C$9:$C$108,$L318)&gt;0,SUMIFS(Overrides!$D$9:$D$108,Overrides!$B$9:$B$108,$C318,Overrides!$C$9:$C$108,$L318),$L318))</f>
        <v/>
      </c>
      <c r="H318" s="120" t="n">
        <f aca="false">IF($G318="",0,IF(AND($G318&gt;='Cash Flow'!$E$6,$G318&lt;'Cash Flow'!$E$6+91),1,0))</f>
        <v>0</v>
      </c>
      <c r="I318" s="120" t="str">
        <f aca="false">IF($H318=1,MAX(1,INT(($G318-'Cash Flow'!$E$6)/7)+1),"")</f>
        <v/>
      </c>
      <c r="J318" s="8" t="str">
        <f aca="false">IF($H318=1,$G318*10000+ROW(),"")</f>
        <v/>
      </c>
      <c r="K318" s="8" t="str">
        <f aca="false">IF($H318=1,$I318*1000+COUNTIFS($I$4:$I$483,$I318,$J$4:$J$483,"&lt;"&amp;$J318)+1,"")</f>
        <v/>
      </c>
      <c r="L318" s="121"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17" t="n">
        <v>20</v>
      </c>
      <c r="B319" s="117" t="n">
        <v>12</v>
      </c>
      <c r="C319" s="8" t="str">
        <f aca="false">IF(OR(Recurring!$B$24="",Recurring!$H$24&lt;&gt;"Yes",Recurring!$D$24=""),"",Recurring!$B$24)</f>
        <v>Earnin' repayment</v>
      </c>
      <c r="D319" s="8" t="str">
        <f aca="false">IF($C319="","",Recurring!$C$24)</f>
        <v>Expense</v>
      </c>
      <c r="E319" s="118" t="n">
        <f aca="false">IF($C319="","",IF(SUMIFS(Overrides!$E$9:$E$108,Overrides!$B$9:$B$108,$C319,Overrides!$C$9:$C$108,$L319)&gt;0,SUMIFS(Overrides!$E$9:$E$108,Overrides!$B$9:$B$108,$C319,Overrides!$C$9:$C$108,$L319),Recurring!$D$24))</f>
        <v>107.99</v>
      </c>
      <c r="F319" s="119"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19" t="str">
        <f aca="false">IF($L319="","",IF(SUMIFS(Overrides!$D$9:$D$108,Overrides!$B$9:$B$108,$C319,Overrides!$C$9:$C$108,$L319)&gt;0,SUMIFS(Overrides!$D$9:$D$108,Overrides!$B$9:$B$108,$C319,Overrides!$C$9:$C$108,$L319),$L319))</f>
        <v/>
      </c>
      <c r="H319" s="120" t="n">
        <f aca="false">IF($G319="",0,IF(AND($G319&gt;='Cash Flow'!$E$6,$G319&lt;'Cash Flow'!$E$6+91),1,0))</f>
        <v>0</v>
      </c>
      <c r="I319" s="120" t="str">
        <f aca="false">IF($H319=1,MAX(1,INT(($G319-'Cash Flow'!$E$6)/7)+1),"")</f>
        <v/>
      </c>
      <c r="J319" s="8" t="str">
        <f aca="false">IF($H319=1,$G319*10000+ROW(),"")</f>
        <v/>
      </c>
      <c r="K319" s="8" t="str">
        <f aca="false">IF($H319=1,$I319*1000+COUNTIFS($I$4:$I$483,$I319,$J$4:$J$483,"&lt;"&amp;$J319)+1,"")</f>
        <v/>
      </c>
      <c r="L319" s="121"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17" t="n">
        <v>20</v>
      </c>
      <c r="B320" s="117" t="n">
        <v>13</v>
      </c>
      <c r="C320" s="8" t="str">
        <f aca="false">IF(OR(Recurring!$B$24="",Recurring!$H$24&lt;&gt;"Yes",Recurring!$D$24=""),"",Recurring!$B$24)</f>
        <v>Earnin' repayment</v>
      </c>
      <c r="D320" s="8" t="str">
        <f aca="false">IF($C320="","",Recurring!$C$24)</f>
        <v>Expense</v>
      </c>
      <c r="E320" s="118" t="n">
        <f aca="false">IF($C320="","",IF(SUMIFS(Overrides!$E$9:$E$108,Overrides!$B$9:$B$108,$C320,Overrides!$C$9:$C$108,$L320)&gt;0,SUMIFS(Overrides!$E$9:$E$108,Overrides!$B$9:$B$108,$C320,Overrides!$C$9:$C$108,$L320),Recurring!$D$24))</f>
        <v>107.99</v>
      </c>
      <c r="F320" s="119"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19" t="str">
        <f aca="false">IF($L320="","",IF(SUMIFS(Overrides!$D$9:$D$108,Overrides!$B$9:$B$108,$C320,Overrides!$C$9:$C$108,$L320)&gt;0,SUMIFS(Overrides!$D$9:$D$108,Overrides!$B$9:$B$108,$C320,Overrides!$C$9:$C$108,$L320),$L320))</f>
        <v/>
      </c>
      <c r="H320" s="120" t="n">
        <f aca="false">IF($G320="",0,IF(AND($G320&gt;='Cash Flow'!$E$6,$G320&lt;'Cash Flow'!$E$6+91),1,0))</f>
        <v>0</v>
      </c>
      <c r="I320" s="120" t="str">
        <f aca="false">IF($H320=1,MAX(1,INT(($G320-'Cash Flow'!$E$6)/7)+1),"")</f>
        <v/>
      </c>
      <c r="J320" s="8" t="str">
        <f aca="false">IF($H320=1,$G320*10000+ROW(),"")</f>
        <v/>
      </c>
      <c r="K320" s="8" t="str">
        <f aca="false">IF($H320=1,$I320*1000+COUNTIFS($I$4:$I$483,$I320,$J$4:$J$483,"&lt;"&amp;$J320)+1,"")</f>
        <v/>
      </c>
      <c r="L320" s="121"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17" t="n">
        <v>20</v>
      </c>
      <c r="B321" s="117" t="n">
        <v>14</v>
      </c>
      <c r="C321" s="8" t="str">
        <f aca="false">IF(OR(Recurring!$B$24="",Recurring!$H$24&lt;&gt;"Yes",Recurring!$D$24=""),"",Recurring!$B$24)</f>
        <v>Earnin' repayment</v>
      </c>
      <c r="D321" s="8" t="str">
        <f aca="false">IF($C321="","",Recurring!$C$24)</f>
        <v>Expense</v>
      </c>
      <c r="E321" s="118" t="n">
        <f aca="false">IF($C321="","",IF(SUMIFS(Overrides!$E$9:$E$108,Overrides!$B$9:$B$108,$C321,Overrides!$C$9:$C$108,$L321)&gt;0,SUMIFS(Overrides!$E$9:$E$108,Overrides!$B$9:$B$108,$C321,Overrides!$C$9:$C$108,$L321),Recurring!$D$24))</f>
        <v>107.99</v>
      </c>
      <c r="F321" s="119"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19" t="str">
        <f aca="false">IF($L321="","",IF(SUMIFS(Overrides!$D$9:$D$108,Overrides!$B$9:$B$108,$C321,Overrides!$C$9:$C$108,$L321)&gt;0,SUMIFS(Overrides!$D$9:$D$108,Overrides!$B$9:$B$108,$C321,Overrides!$C$9:$C$108,$L321),$L321))</f>
        <v/>
      </c>
      <c r="H321" s="120" t="n">
        <f aca="false">IF($G321="",0,IF(AND($G321&gt;='Cash Flow'!$E$6,$G321&lt;'Cash Flow'!$E$6+91),1,0))</f>
        <v>0</v>
      </c>
      <c r="I321" s="120" t="str">
        <f aca="false">IF($H321=1,MAX(1,INT(($G321-'Cash Flow'!$E$6)/7)+1),"")</f>
        <v/>
      </c>
      <c r="J321" s="8" t="str">
        <f aca="false">IF($H321=1,$G321*10000+ROW(),"")</f>
        <v/>
      </c>
      <c r="K321" s="8" t="str">
        <f aca="false">IF($H321=1,$I321*1000+COUNTIFS($I$4:$I$483,$I321,$J$4:$J$483,"&lt;"&amp;$J321)+1,"")</f>
        <v/>
      </c>
      <c r="L321" s="121"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17" t="n">
        <v>20</v>
      </c>
      <c r="B322" s="117" t="n">
        <v>15</v>
      </c>
      <c r="C322" s="8" t="str">
        <f aca="false">IF(OR(Recurring!$B$24="",Recurring!$H$24&lt;&gt;"Yes",Recurring!$D$24=""),"",Recurring!$B$24)</f>
        <v>Earnin' repayment</v>
      </c>
      <c r="D322" s="8" t="str">
        <f aca="false">IF($C322="","",Recurring!$C$24)</f>
        <v>Expense</v>
      </c>
      <c r="E322" s="118" t="n">
        <f aca="false">IF($C322="","",IF(SUMIFS(Overrides!$E$9:$E$108,Overrides!$B$9:$B$108,$C322,Overrides!$C$9:$C$108,$L322)&gt;0,SUMIFS(Overrides!$E$9:$E$108,Overrides!$B$9:$B$108,$C322,Overrides!$C$9:$C$108,$L322),Recurring!$D$24))</f>
        <v>107.99</v>
      </c>
      <c r="F322" s="119"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19" t="str">
        <f aca="false">IF($L322="","",IF(SUMIFS(Overrides!$D$9:$D$108,Overrides!$B$9:$B$108,$C322,Overrides!$C$9:$C$108,$L322)&gt;0,SUMIFS(Overrides!$D$9:$D$108,Overrides!$B$9:$B$108,$C322,Overrides!$C$9:$C$108,$L322),$L322))</f>
        <v/>
      </c>
      <c r="H322" s="120" t="n">
        <f aca="false">IF($G322="",0,IF(AND($G322&gt;='Cash Flow'!$E$6,$G322&lt;'Cash Flow'!$E$6+91),1,0))</f>
        <v>0</v>
      </c>
      <c r="I322" s="120" t="str">
        <f aca="false">IF($H322=1,MAX(1,INT(($G322-'Cash Flow'!$E$6)/7)+1),"")</f>
        <v/>
      </c>
      <c r="J322" s="8" t="str">
        <f aca="false">IF($H322=1,$G322*10000+ROW(),"")</f>
        <v/>
      </c>
      <c r="K322" s="8" t="str">
        <f aca="false">IF($H322=1,$I322*1000+COUNTIFS($I$4:$I$483,$I322,$J$4:$J$483,"&lt;"&amp;$J322)+1,"")</f>
        <v/>
      </c>
      <c r="L322" s="121"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17" t="n">
        <v>20</v>
      </c>
      <c r="B323" s="117" t="n">
        <v>16</v>
      </c>
      <c r="C323" s="8" t="str">
        <f aca="false">IF(OR(Recurring!$B$24="",Recurring!$H$24&lt;&gt;"Yes",Recurring!$D$24=""),"",Recurring!$B$24)</f>
        <v>Earnin' repayment</v>
      </c>
      <c r="D323" s="8" t="str">
        <f aca="false">IF($C323="","",Recurring!$C$24)</f>
        <v>Expense</v>
      </c>
      <c r="E323" s="118" t="n">
        <f aca="false">IF($C323="","",IF(SUMIFS(Overrides!$E$9:$E$108,Overrides!$B$9:$B$108,$C323,Overrides!$C$9:$C$108,$L323)&gt;0,SUMIFS(Overrides!$E$9:$E$108,Overrides!$B$9:$B$108,$C323,Overrides!$C$9:$C$108,$L323),Recurring!$D$24))</f>
        <v>107.99</v>
      </c>
      <c r="F323" s="119"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19" t="str">
        <f aca="false">IF($L323="","",IF(SUMIFS(Overrides!$D$9:$D$108,Overrides!$B$9:$B$108,$C323,Overrides!$C$9:$C$108,$L323)&gt;0,SUMIFS(Overrides!$D$9:$D$108,Overrides!$B$9:$B$108,$C323,Overrides!$C$9:$C$108,$L323),$L323))</f>
        <v/>
      </c>
      <c r="H323" s="120" t="n">
        <f aca="false">IF($G323="",0,IF(AND($G323&gt;='Cash Flow'!$E$6,$G323&lt;'Cash Flow'!$E$6+91),1,0))</f>
        <v>0</v>
      </c>
      <c r="I323" s="120" t="str">
        <f aca="false">IF($H323=1,MAX(1,INT(($G323-'Cash Flow'!$E$6)/7)+1),"")</f>
        <v/>
      </c>
      <c r="J323" s="8" t="str">
        <f aca="false">IF($H323=1,$G323*10000+ROW(),"")</f>
        <v/>
      </c>
      <c r="K323" s="8" t="str">
        <f aca="false">IF($H323=1,$I323*1000+COUNTIFS($I$4:$I$483,$I323,$J$4:$J$483,"&lt;"&amp;$J323)+1,"")</f>
        <v/>
      </c>
      <c r="L323" s="121"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17" t="n">
        <v>21</v>
      </c>
      <c r="B324" s="117" t="n">
        <v>1</v>
      </c>
      <c r="C324" s="8" t="str">
        <f aca="false">IF(OR(Recurring!$B$25="",Recurring!$H$25&lt;&gt;"Yes",Recurring!$D$25=""),"",Recurring!$B$25)</f>
        <v>Earnin' repayment</v>
      </c>
      <c r="D324" s="8" t="str">
        <f aca="false">IF($C324="","",Recurring!$C$25)</f>
        <v>Expense</v>
      </c>
      <c r="E324" s="118" t="n">
        <f aca="false">IF($C324="","",IF(SUMIFS(Overrides!$E$9:$E$108,Overrides!$B$9:$B$108,$C324,Overrides!$C$9:$C$108,$L324)&gt;0,SUMIFS(Overrides!$E$9:$E$108,Overrides!$B$9:$B$108,$C324,Overrides!$C$9:$C$108,$L324),Recurring!$D$25))</f>
        <v>107.99</v>
      </c>
      <c r="F324" s="119" t="n">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46269</v>
      </c>
      <c r="G324" s="119" t="n">
        <f aca="false">IF($L324="","",IF(SUMIFS(Overrides!$D$9:$D$108,Overrides!$B$9:$B$108,$C324,Overrides!$C$9:$C$108,$L324)&gt;0,SUMIFS(Overrides!$D$9:$D$108,Overrides!$B$9:$B$108,$C324,Overrides!$C$9:$C$108,$L324),$L324))</f>
        <v>46269</v>
      </c>
      <c r="H324" s="120" t="n">
        <f aca="false">IF($G324="",0,IF(AND($G324&gt;='Cash Flow'!$E$6-90,$G324&lt;'Cash Flow'!$E$6+91),1,0))</f>
        <v>1</v>
      </c>
      <c r="I324" s="120" t="n">
        <f aca="false">IF($H324=1,MAX(1,INT(($G324-'Cash Flow'!$E$6)/7)+1),"")</f>
        <v>3</v>
      </c>
      <c r="J324" s="8" t="n">
        <f aca="false">IF($H324=1,$G324*10000+ROW(),"")</f>
        <v>462690324</v>
      </c>
      <c r="K324" s="8" t="n">
        <f aca="false">IF($H324=1,$I324*1000+COUNTIFS($I$4:$I$483,$I324,$J$4:$J$483,"&lt;"&amp;$J324)+1,"")</f>
        <v>3008</v>
      </c>
      <c r="L324" s="121" t="n">
        <f aca="false">IF($F324="","",IF(Recurring!$G$25="Move Before",IF(WEEKDAY($F324,2)=6,$F324-1,IF(WEEKDAY($F324,2)=7,$F324-2,$F324)),IF(Recurring!$G$25="Move After",IF(WEEKDAY($F324,2)=6,$F324+2,IF(WEEKDAY($F324,2)=7,$F324+1,$F324)),$F324)))</f>
        <v>46269</v>
      </c>
      <c r="M324" s="1" t="n">
        <f aca="true">IF(AND($H324=1,$D324="Expense",$G324&gt;TODAY(),$E324&gt;=100),$G324*100000+ROW(),"")</f>
        <v>4626900324</v>
      </c>
      <c r="N324" s="1" t="str">
        <f aca="true">IF(AND($H324=1,$D324="Income",$G324&gt;TODAY()),$G324*100000+ROW(),"")</f>
        <v/>
      </c>
    </row>
    <row r="325" customFormat="false" ht="15" hidden="false" customHeight="true" outlineLevel="0" collapsed="false">
      <c r="A325" s="117" t="n">
        <v>21</v>
      </c>
      <c r="B325" s="117" t="n">
        <v>2</v>
      </c>
      <c r="C325" s="8" t="str">
        <f aca="false">IF(OR(Recurring!$B$25="",Recurring!$H$25&lt;&gt;"Yes",Recurring!$D$25=""),"",Recurring!$B$25)</f>
        <v>Earnin' repayment</v>
      </c>
      <c r="D325" s="8" t="str">
        <f aca="false">IF($C325="","",Recurring!$C$25)</f>
        <v>Expense</v>
      </c>
      <c r="E325" s="118" t="n">
        <f aca="false">IF($C325="","",IF(SUMIFS(Overrides!$E$9:$E$108,Overrides!$B$9:$B$108,$C325,Overrides!$C$9:$C$108,$L325)&gt;0,SUMIFS(Overrides!$E$9:$E$108,Overrides!$B$9:$B$108,$C325,Overrides!$C$9:$C$108,$L325),Recurring!$D$25))</f>
        <v>107.99</v>
      </c>
      <c r="F325" s="119"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19" t="str">
        <f aca="false">IF($L325="","",IF(SUMIFS(Overrides!$D$9:$D$108,Overrides!$B$9:$B$108,$C325,Overrides!$C$9:$C$108,$L325)&gt;0,SUMIFS(Overrides!$D$9:$D$108,Overrides!$B$9:$B$108,$C325,Overrides!$C$9:$C$108,$L325),$L325))</f>
        <v/>
      </c>
      <c r="H325" s="120" t="n">
        <f aca="false">IF($G325="",0,IF(AND($G325&gt;='Cash Flow'!$E$6,$G325&lt;'Cash Flow'!$E$6+91),1,0))</f>
        <v>0</v>
      </c>
      <c r="I325" s="120" t="str">
        <f aca="false">IF($H325=1,MAX(1,INT(($G325-'Cash Flow'!$E$6)/7)+1),"")</f>
        <v/>
      </c>
      <c r="J325" s="8" t="str">
        <f aca="false">IF($H325=1,$G325*10000+ROW(),"")</f>
        <v/>
      </c>
      <c r="K325" s="8" t="str">
        <f aca="false">IF($H325=1,$I325*1000+COUNTIFS($I$4:$I$483,$I325,$J$4:$J$483,"&lt;"&amp;$J325)+1,"")</f>
        <v/>
      </c>
      <c r="L325" s="121"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17" t="n">
        <v>21</v>
      </c>
      <c r="B326" s="117" t="n">
        <v>3</v>
      </c>
      <c r="C326" s="8" t="str">
        <f aca="false">IF(OR(Recurring!$B$25="",Recurring!$H$25&lt;&gt;"Yes",Recurring!$D$25=""),"",Recurring!$B$25)</f>
        <v>Earnin' repayment</v>
      </c>
      <c r="D326" s="8" t="str">
        <f aca="false">IF($C326="","",Recurring!$C$25)</f>
        <v>Expense</v>
      </c>
      <c r="E326" s="118" t="n">
        <f aca="false">IF($C326="","",IF(SUMIFS(Overrides!$E$9:$E$108,Overrides!$B$9:$B$108,$C326,Overrides!$C$9:$C$108,$L326)&gt;0,SUMIFS(Overrides!$E$9:$E$108,Overrides!$B$9:$B$108,$C326,Overrides!$C$9:$C$108,$L326),Recurring!$D$25))</f>
        <v>107.99</v>
      </c>
      <c r="F326" s="119"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19" t="str">
        <f aca="false">IF($L326="","",IF(SUMIFS(Overrides!$D$9:$D$108,Overrides!$B$9:$B$108,$C326,Overrides!$C$9:$C$108,$L326)&gt;0,SUMIFS(Overrides!$D$9:$D$108,Overrides!$B$9:$B$108,$C326,Overrides!$C$9:$C$108,$L326),$L326))</f>
        <v/>
      </c>
      <c r="H326" s="120" t="n">
        <f aca="false">IF($G326="",0,IF(AND($G326&gt;='Cash Flow'!$E$6,$G326&lt;'Cash Flow'!$E$6+91),1,0))</f>
        <v>0</v>
      </c>
      <c r="I326" s="120" t="str">
        <f aca="false">IF($H326=1,MAX(1,INT(($G326-'Cash Flow'!$E$6)/7)+1),"")</f>
        <v/>
      </c>
      <c r="J326" s="8" t="str">
        <f aca="false">IF($H326=1,$G326*10000+ROW(),"")</f>
        <v/>
      </c>
      <c r="K326" s="8" t="str">
        <f aca="false">IF($H326=1,$I326*1000+COUNTIFS($I$4:$I$483,$I326,$J$4:$J$483,"&lt;"&amp;$J326)+1,"")</f>
        <v/>
      </c>
      <c r="L326" s="121"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17" t="n">
        <v>21</v>
      </c>
      <c r="B327" s="117" t="n">
        <v>4</v>
      </c>
      <c r="C327" s="8" t="str">
        <f aca="false">IF(OR(Recurring!$B$25="",Recurring!$H$25&lt;&gt;"Yes",Recurring!$D$25=""),"",Recurring!$B$25)</f>
        <v>Earnin' repayment</v>
      </c>
      <c r="D327" s="8" t="str">
        <f aca="false">IF($C327="","",Recurring!$C$25)</f>
        <v>Expense</v>
      </c>
      <c r="E327" s="118" t="n">
        <f aca="false">IF($C327="","",IF(SUMIFS(Overrides!$E$9:$E$108,Overrides!$B$9:$B$108,$C327,Overrides!$C$9:$C$108,$L327)&gt;0,SUMIFS(Overrides!$E$9:$E$108,Overrides!$B$9:$B$108,$C327,Overrides!$C$9:$C$108,$L327),Recurring!$D$25))</f>
        <v>107.99</v>
      </c>
      <c r="F327" s="119"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19" t="str">
        <f aca="false">IF($L327="","",IF(SUMIFS(Overrides!$D$9:$D$108,Overrides!$B$9:$B$108,$C327,Overrides!$C$9:$C$108,$L327)&gt;0,SUMIFS(Overrides!$D$9:$D$108,Overrides!$B$9:$B$108,$C327,Overrides!$C$9:$C$108,$L327),$L327))</f>
        <v/>
      </c>
      <c r="H327" s="120" t="n">
        <f aca="false">IF($G327="",0,IF(AND($G327&gt;='Cash Flow'!$E$6,$G327&lt;'Cash Flow'!$E$6+91),1,0))</f>
        <v>0</v>
      </c>
      <c r="I327" s="120" t="str">
        <f aca="false">IF($H327=1,MAX(1,INT(($G327-'Cash Flow'!$E$6)/7)+1),"")</f>
        <v/>
      </c>
      <c r="J327" s="8" t="str">
        <f aca="false">IF($H327=1,$G327*10000+ROW(),"")</f>
        <v/>
      </c>
      <c r="K327" s="8" t="str">
        <f aca="false">IF($H327=1,$I327*1000+COUNTIFS($I$4:$I$483,$I327,$J$4:$J$483,"&lt;"&amp;$J327)+1,"")</f>
        <v/>
      </c>
      <c r="L327" s="121"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17" t="n">
        <v>21</v>
      </c>
      <c r="B328" s="117" t="n">
        <v>5</v>
      </c>
      <c r="C328" s="8" t="str">
        <f aca="false">IF(OR(Recurring!$B$25="",Recurring!$H$25&lt;&gt;"Yes",Recurring!$D$25=""),"",Recurring!$B$25)</f>
        <v>Earnin' repayment</v>
      </c>
      <c r="D328" s="8" t="str">
        <f aca="false">IF($C328="","",Recurring!$C$25)</f>
        <v>Expense</v>
      </c>
      <c r="E328" s="118" t="n">
        <f aca="false">IF($C328="","",IF(SUMIFS(Overrides!$E$9:$E$108,Overrides!$B$9:$B$108,$C328,Overrides!$C$9:$C$108,$L328)&gt;0,SUMIFS(Overrides!$E$9:$E$108,Overrides!$B$9:$B$108,$C328,Overrides!$C$9:$C$108,$L328),Recurring!$D$25))</f>
        <v>107.99</v>
      </c>
      <c r="F328" s="119"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19" t="str">
        <f aca="false">IF($L328="","",IF(SUMIFS(Overrides!$D$9:$D$108,Overrides!$B$9:$B$108,$C328,Overrides!$C$9:$C$108,$L328)&gt;0,SUMIFS(Overrides!$D$9:$D$108,Overrides!$B$9:$B$108,$C328,Overrides!$C$9:$C$108,$L328),$L328))</f>
        <v/>
      </c>
      <c r="H328" s="120" t="n">
        <f aca="false">IF($G328="",0,IF(AND($G328&gt;='Cash Flow'!$E$6,$G328&lt;'Cash Flow'!$E$6+91),1,0))</f>
        <v>0</v>
      </c>
      <c r="I328" s="120" t="str">
        <f aca="false">IF($H328=1,MAX(1,INT(($G328-'Cash Flow'!$E$6)/7)+1),"")</f>
        <v/>
      </c>
      <c r="J328" s="8" t="str">
        <f aca="false">IF($H328=1,$G328*10000+ROW(),"")</f>
        <v/>
      </c>
      <c r="K328" s="8" t="str">
        <f aca="false">IF($H328=1,$I328*1000+COUNTIFS($I$4:$I$483,$I328,$J$4:$J$483,"&lt;"&amp;$J328)+1,"")</f>
        <v/>
      </c>
      <c r="L328" s="121"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17" t="n">
        <v>21</v>
      </c>
      <c r="B329" s="117" t="n">
        <v>6</v>
      </c>
      <c r="C329" s="8" t="str">
        <f aca="false">IF(OR(Recurring!$B$25="",Recurring!$H$25&lt;&gt;"Yes",Recurring!$D$25=""),"",Recurring!$B$25)</f>
        <v>Earnin' repayment</v>
      </c>
      <c r="D329" s="8" t="str">
        <f aca="false">IF($C329="","",Recurring!$C$25)</f>
        <v>Expense</v>
      </c>
      <c r="E329" s="118" t="n">
        <f aca="false">IF($C329="","",IF(SUMIFS(Overrides!$E$9:$E$108,Overrides!$B$9:$B$108,$C329,Overrides!$C$9:$C$108,$L329)&gt;0,SUMIFS(Overrides!$E$9:$E$108,Overrides!$B$9:$B$108,$C329,Overrides!$C$9:$C$108,$L329),Recurring!$D$25))</f>
        <v>107.99</v>
      </c>
      <c r="F329" s="119"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19" t="str">
        <f aca="false">IF($L329="","",IF(SUMIFS(Overrides!$D$9:$D$108,Overrides!$B$9:$B$108,$C329,Overrides!$C$9:$C$108,$L329)&gt;0,SUMIFS(Overrides!$D$9:$D$108,Overrides!$B$9:$B$108,$C329,Overrides!$C$9:$C$108,$L329),$L329))</f>
        <v/>
      </c>
      <c r="H329" s="120" t="n">
        <f aca="false">IF($G329="",0,IF(AND($G329&gt;='Cash Flow'!$E$6,$G329&lt;'Cash Flow'!$E$6+91),1,0))</f>
        <v>0</v>
      </c>
      <c r="I329" s="120" t="str">
        <f aca="false">IF($H329=1,MAX(1,INT(($G329-'Cash Flow'!$E$6)/7)+1),"")</f>
        <v/>
      </c>
      <c r="J329" s="8" t="str">
        <f aca="false">IF($H329=1,$G329*10000+ROW(),"")</f>
        <v/>
      </c>
      <c r="K329" s="8" t="str">
        <f aca="false">IF($H329=1,$I329*1000+COUNTIFS($I$4:$I$483,$I329,$J$4:$J$483,"&lt;"&amp;$J329)+1,"")</f>
        <v/>
      </c>
      <c r="L329" s="121"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17" t="n">
        <v>21</v>
      </c>
      <c r="B330" s="117" t="n">
        <v>7</v>
      </c>
      <c r="C330" s="8" t="str">
        <f aca="false">IF(OR(Recurring!$B$25="",Recurring!$H$25&lt;&gt;"Yes",Recurring!$D$25=""),"",Recurring!$B$25)</f>
        <v>Earnin' repayment</v>
      </c>
      <c r="D330" s="8" t="str">
        <f aca="false">IF($C330="","",Recurring!$C$25)</f>
        <v>Expense</v>
      </c>
      <c r="E330" s="118" t="n">
        <f aca="false">IF($C330="","",IF(SUMIFS(Overrides!$E$9:$E$108,Overrides!$B$9:$B$108,$C330,Overrides!$C$9:$C$108,$L330)&gt;0,SUMIFS(Overrides!$E$9:$E$108,Overrides!$B$9:$B$108,$C330,Overrides!$C$9:$C$108,$L330),Recurring!$D$25))</f>
        <v>107.99</v>
      </c>
      <c r="F330" s="119"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19" t="str">
        <f aca="false">IF($L330="","",IF(SUMIFS(Overrides!$D$9:$D$108,Overrides!$B$9:$B$108,$C330,Overrides!$C$9:$C$108,$L330)&gt;0,SUMIFS(Overrides!$D$9:$D$108,Overrides!$B$9:$B$108,$C330,Overrides!$C$9:$C$108,$L330),$L330))</f>
        <v/>
      </c>
      <c r="H330" s="120" t="n">
        <f aca="false">IF($G330="",0,IF(AND($G330&gt;='Cash Flow'!$E$6,$G330&lt;'Cash Flow'!$E$6+91),1,0))</f>
        <v>0</v>
      </c>
      <c r="I330" s="120" t="str">
        <f aca="false">IF($H330=1,MAX(1,INT(($G330-'Cash Flow'!$E$6)/7)+1),"")</f>
        <v/>
      </c>
      <c r="J330" s="8" t="str">
        <f aca="false">IF($H330=1,$G330*10000+ROW(),"")</f>
        <v/>
      </c>
      <c r="K330" s="8" t="str">
        <f aca="false">IF($H330=1,$I330*1000+COUNTIFS($I$4:$I$483,$I330,$J$4:$J$483,"&lt;"&amp;$J330)+1,"")</f>
        <v/>
      </c>
      <c r="L330" s="121"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17" t="n">
        <v>21</v>
      </c>
      <c r="B331" s="117" t="n">
        <v>8</v>
      </c>
      <c r="C331" s="8" t="str">
        <f aca="false">IF(OR(Recurring!$B$25="",Recurring!$H$25&lt;&gt;"Yes",Recurring!$D$25=""),"",Recurring!$B$25)</f>
        <v>Earnin' repayment</v>
      </c>
      <c r="D331" s="8" t="str">
        <f aca="false">IF($C331="","",Recurring!$C$25)</f>
        <v>Expense</v>
      </c>
      <c r="E331" s="118" t="n">
        <f aca="false">IF($C331="","",IF(SUMIFS(Overrides!$E$9:$E$108,Overrides!$B$9:$B$108,$C331,Overrides!$C$9:$C$108,$L331)&gt;0,SUMIFS(Overrides!$E$9:$E$108,Overrides!$B$9:$B$108,$C331,Overrides!$C$9:$C$108,$L331),Recurring!$D$25))</f>
        <v>107.99</v>
      </c>
      <c r="F331" s="119"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19" t="str">
        <f aca="false">IF($L331="","",IF(SUMIFS(Overrides!$D$9:$D$108,Overrides!$B$9:$B$108,$C331,Overrides!$C$9:$C$108,$L331)&gt;0,SUMIFS(Overrides!$D$9:$D$108,Overrides!$B$9:$B$108,$C331,Overrides!$C$9:$C$108,$L331),$L331))</f>
        <v/>
      </c>
      <c r="H331" s="120" t="n">
        <f aca="false">IF($G331="",0,IF(AND($G331&gt;='Cash Flow'!$E$6,$G331&lt;'Cash Flow'!$E$6+91),1,0))</f>
        <v>0</v>
      </c>
      <c r="I331" s="120" t="str">
        <f aca="false">IF($H331=1,MAX(1,INT(($G331-'Cash Flow'!$E$6)/7)+1),"")</f>
        <v/>
      </c>
      <c r="J331" s="8" t="str">
        <f aca="false">IF($H331=1,$G331*10000+ROW(),"")</f>
        <v/>
      </c>
      <c r="K331" s="8" t="str">
        <f aca="false">IF($H331=1,$I331*1000+COUNTIFS($I$4:$I$483,$I331,$J$4:$J$483,"&lt;"&amp;$J331)+1,"")</f>
        <v/>
      </c>
      <c r="L331" s="121"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17" t="n">
        <v>21</v>
      </c>
      <c r="B332" s="117" t="n">
        <v>9</v>
      </c>
      <c r="C332" s="8" t="str">
        <f aca="false">IF(OR(Recurring!$B$25="",Recurring!$H$25&lt;&gt;"Yes",Recurring!$D$25=""),"",Recurring!$B$25)</f>
        <v>Earnin' repayment</v>
      </c>
      <c r="D332" s="8" t="str">
        <f aca="false">IF($C332="","",Recurring!$C$25)</f>
        <v>Expense</v>
      </c>
      <c r="E332" s="118" t="n">
        <f aca="false">IF($C332="","",IF(SUMIFS(Overrides!$E$9:$E$108,Overrides!$B$9:$B$108,$C332,Overrides!$C$9:$C$108,$L332)&gt;0,SUMIFS(Overrides!$E$9:$E$108,Overrides!$B$9:$B$108,$C332,Overrides!$C$9:$C$108,$L332),Recurring!$D$25))</f>
        <v>107.99</v>
      </c>
      <c r="F332" s="119"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19" t="str">
        <f aca="false">IF($L332="","",IF(SUMIFS(Overrides!$D$9:$D$108,Overrides!$B$9:$B$108,$C332,Overrides!$C$9:$C$108,$L332)&gt;0,SUMIFS(Overrides!$D$9:$D$108,Overrides!$B$9:$B$108,$C332,Overrides!$C$9:$C$108,$L332),$L332))</f>
        <v/>
      </c>
      <c r="H332" s="120" t="n">
        <f aca="false">IF($G332="",0,IF(AND($G332&gt;='Cash Flow'!$E$6,$G332&lt;'Cash Flow'!$E$6+91),1,0))</f>
        <v>0</v>
      </c>
      <c r="I332" s="120" t="str">
        <f aca="false">IF($H332=1,MAX(1,INT(($G332-'Cash Flow'!$E$6)/7)+1),"")</f>
        <v/>
      </c>
      <c r="J332" s="8" t="str">
        <f aca="false">IF($H332=1,$G332*10000+ROW(),"")</f>
        <v/>
      </c>
      <c r="K332" s="8" t="str">
        <f aca="false">IF($H332=1,$I332*1000+COUNTIFS($I$4:$I$483,$I332,$J$4:$J$483,"&lt;"&amp;$J332)+1,"")</f>
        <v/>
      </c>
      <c r="L332" s="121"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17" t="n">
        <v>21</v>
      </c>
      <c r="B333" s="117" t="n">
        <v>10</v>
      </c>
      <c r="C333" s="8" t="str">
        <f aca="false">IF(OR(Recurring!$B$25="",Recurring!$H$25&lt;&gt;"Yes",Recurring!$D$25=""),"",Recurring!$B$25)</f>
        <v>Earnin' repayment</v>
      </c>
      <c r="D333" s="8" t="str">
        <f aca="false">IF($C333="","",Recurring!$C$25)</f>
        <v>Expense</v>
      </c>
      <c r="E333" s="118" t="n">
        <f aca="false">IF($C333="","",IF(SUMIFS(Overrides!$E$9:$E$108,Overrides!$B$9:$B$108,$C333,Overrides!$C$9:$C$108,$L333)&gt;0,SUMIFS(Overrides!$E$9:$E$108,Overrides!$B$9:$B$108,$C333,Overrides!$C$9:$C$108,$L333),Recurring!$D$25))</f>
        <v>107.99</v>
      </c>
      <c r="F333" s="119"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19" t="str">
        <f aca="false">IF($L333="","",IF(SUMIFS(Overrides!$D$9:$D$108,Overrides!$B$9:$B$108,$C333,Overrides!$C$9:$C$108,$L333)&gt;0,SUMIFS(Overrides!$D$9:$D$108,Overrides!$B$9:$B$108,$C333,Overrides!$C$9:$C$108,$L333),$L333))</f>
        <v/>
      </c>
      <c r="H333" s="120" t="n">
        <f aca="false">IF($G333="",0,IF(AND($G333&gt;='Cash Flow'!$E$6,$G333&lt;'Cash Flow'!$E$6+91),1,0))</f>
        <v>0</v>
      </c>
      <c r="I333" s="120" t="str">
        <f aca="false">IF($H333=1,MAX(1,INT(($G333-'Cash Flow'!$E$6)/7)+1),"")</f>
        <v/>
      </c>
      <c r="J333" s="8" t="str">
        <f aca="false">IF($H333=1,$G333*10000+ROW(),"")</f>
        <v/>
      </c>
      <c r="K333" s="8" t="str">
        <f aca="false">IF($H333=1,$I333*1000+COUNTIFS($I$4:$I$483,$I333,$J$4:$J$483,"&lt;"&amp;$J333)+1,"")</f>
        <v/>
      </c>
      <c r="L333" s="121"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17" t="n">
        <v>21</v>
      </c>
      <c r="B334" s="117" t="n">
        <v>11</v>
      </c>
      <c r="C334" s="8" t="str">
        <f aca="false">IF(OR(Recurring!$B$25="",Recurring!$H$25&lt;&gt;"Yes",Recurring!$D$25=""),"",Recurring!$B$25)</f>
        <v>Earnin' repayment</v>
      </c>
      <c r="D334" s="8" t="str">
        <f aca="false">IF($C334="","",Recurring!$C$25)</f>
        <v>Expense</v>
      </c>
      <c r="E334" s="118" t="n">
        <f aca="false">IF($C334="","",IF(SUMIFS(Overrides!$E$9:$E$108,Overrides!$B$9:$B$108,$C334,Overrides!$C$9:$C$108,$L334)&gt;0,SUMIFS(Overrides!$E$9:$E$108,Overrides!$B$9:$B$108,$C334,Overrides!$C$9:$C$108,$L334),Recurring!$D$25))</f>
        <v>107.99</v>
      </c>
      <c r="F334" s="119"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19" t="str">
        <f aca="false">IF($L334="","",IF(SUMIFS(Overrides!$D$9:$D$108,Overrides!$B$9:$B$108,$C334,Overrides!$C$9:$C$108,$L334)&gt;0,SUMIFS(Overrides!$D$9:$D$108,Overrides!$B$9:$B$108,$C334,Overrides!$C$9:$C$108,$L334),$L334))</f>
        <v/>
      </c>
      <c r="H334" s="120" t="n">
        <f aca="false">IF($G334="",0,IF(AND($G334&gt;='Cash Flow'!$E$6,$G334&lt;'Cash Flow'!$E$6+91),1,0))</f>
        <v>0</v>
      </c>
      <c r="I334" s="120" t="str">
        <f aca="false">IF($H334=1,MAX(1,INT(($G334-'Cash Flow'!$E$6)/7)+1),"")</f>
        <v/>
      </c>
      <c r="J334" s="8" t="str">
        <f aca="false">IF($H334=1,$G334*10000+ROW(),"")</f>
        <v/>
      </c>
      <c r="K334" s="8" t="str">
        <f aca="false">IF($H334=1,$I334*1000+COUNTIFS($I$4:$I$483,$I334,$J$4:$J$483,"&lt;"&amp;$J334)+1,"")</f>
        <v/>
      </c>
      <c r="L334" s="121"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17" t="n">
        <v>21</v>
      </c>
      <c r="B335" s="117" t="n">
        <v>12</v>
      </c>
      <c r="C335" s="8" t="str">
        <f aca="false">IF(OR(Recurring!$B$25="",Recurring!$H$25&lt;&gt;"Yes",Recurring!$D$25=""),"",Recurring!$B$25)</f>
        <v>Earnin' repayment</v>
      </c>
      <c r="D335" s="8" t="str">
        <f aca="false">IF($C335="","",Recurring!$C$25)</f>
        <v>Expense</v>
      </c>
      <c r="E335" s="118" t="n">
        <f aca="false">IF($C335="","",IF(SUMIFS(Overrides!$E$9:$E$108,Overrides!$B$9:$B$108,$C335,Overrides!$C$9:$C$108,$L335)&gt;0,SUMIFS(Overrides!$E$9:$E$108,Overrides!$B$9:$B$108,$C335,Overrides!$C$9:$C$108,$L335),Recurring!$D$25))</f>
        <v>107.99</v>
      </c>
      <c r="F335" s="119"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19" t="str">
        <f aca="false">IF($L335="","",IF(SUMIFS(Overrides!$D$9:$D$108,Overrides!$B$9:$B$108,$C335,Overrides!$C$9:$C$108,$L335)&gt;0,SUMIFS(Overrides!$D$9:$D$108,Overrides!$B$9:$B$108,$C335,Overrides!$C$9:$C$108,$L335),$L335))</f>
        <v/>
      </c>
      <c r="H335" s="120" t="n">
        <f aca="false">IF($G335="",0,IF(AND($G335&gt;='Cash Flow'!$E$6,$G335&lt;'Cash Flow'!$E$6+91),1,0))</f>
        <v>0</v>
      </c>
      <c r="I335" s="120" t="str">
        <f aca="false">IF($H335=1,MAX(1,INT(($G335-'Cash Flow'!$E$6)/7)+1),"")</f>
        <v/>
      </c>
      <c r="J335" s="8" t="str">
        <f aca="false">IF($H335=1,$G335*10000+ROW(),"")</f>
        <v/>
      </c>
      <c r="K335" s="8" t="str">
        <f aca="false">IF($H335=1,$I335*1000+COUNTIFS($I$4:$I$483,$I335,$J$4:$J$483,"&lt;"&amp;$J335)+1,"")</f>
        <v/>
      </c>
      <c r="L335" s="121"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17" t="n">
        <v>21</v>
      </c>
      <c r="B336" s="117" t="n">
        <v>13</v>
      </c>
      <c r="C336" s="8" t="str">
        <f aca="false">IF(OR(Recurring!$B$25="",Recurring!$H$25&lt;&gt;"Yes",Recurring!$D$25=""),"",Recurring!$B$25)</f>
        <v>Earnin' repayment</v>
      </c>
      <c r="D336" s="8" t="str">
        <f aca="false">IF($C336="","",Recurring!$C$25)</f>
        <v>Expense</v>
      </c>
      <c r="E336" s="118" t="n">
        <f aca="false">IF($C336="","",IF(SUMIFS(Overrides!$E$9:$E$108,Overrides!$B$9:$B$108,$C336,Overrides!$C$9:$C$108,$L336)&gt;0,SUMIFS(Overrides!$E$9:$E$108,Overrides!$B$9:$B$108,$C336,Overrides!$C$9:$C$108,$L336),Recurring!$D$25))</f>
        <v>107.99</v>
      </c>
      <c r="F336" s="119"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19" t="str">
        <f aca="false">IF($L336="","",IF(SUMIFS(Overrides!$D$9:$D$108,Overrides!$B$9:$B$108,$C336,Overrides!$C$9:$C$108,$L336)&gt;0,SUMIFS(Overrides!$D$9:$D$108,Overrides!$B$9:$B$108,$C336,Overrides!$C$9:$C$108,$L336),$L336))</f>
        <v/>
      </c>
      <c r="H336" s="120" t="n">
        <f aca="false">IF($G336="",0,IF(AND($G336&gt;='Cash Flow'!$E$6,$G336&lt;'Cash Flow'!$E$6+91),1,0))</f>
        <v>0</v>
      </c>
      <c r="I336" s="120" t="str">
        <f aca="false">IF($H336=1,MAX(1,INT(($G336-'Cash Flow'!$E$6)/7)+1),"")</f>
        <v/>
      </c>
      <c r="J336" s="8" t="str">
        <f aca="false">IF($H336=1,$G336*10000+ROW(),"")</f>
        <v/>
      </c>
      <c r="K336" s="8" t="str">
        <f aca="false">IF($H336=1,$I336*1000+COUNTIFS($I$4:$I$483,$I336,$J$4:$J$483,"&lt;"&amp;$J336)+1,"")</f>
        <v/>
      </c>
      <c r="L336" s="121"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17" t="n">
        <v>21</v>
      </c>
      <c r="B337" s="117" t="n">
        <v>14</v>
      </c>
      <c r="C337" s="8" t="str">
        <f aca="false">IF(OR(Recurring!$B$25="",Recurring!$H$25&lt;&gt;"Yes",Recurring!$D$25=""),"",Recurring!$B$25)</f>
        <v>Earnin' repayment</v>
      </c>
      <c r="D337" s="8" t="str">
        <f aca="false">IF($C337="","",Recurring!$C$25)</f>
        <v>Expense</v>
      </c>
      <c r="E337" s="118" t="n">
        <f aca="false">IF($C337="","",IF(SUMIFS(Overrides!$E$9:$E$108,Overrides!$B$9:$B$108,$C337,Overrides!$C$9:$C$108,$L337)&gt;0,SUMIFS(Overrides!$E$9:$E$108,Overrides!$B$9:$B$108,$C337,Overrides!$C$9:$C$108,$L337),Recurring!$D$25))</f>
        <v>107.99</v>
      </c>
      <c r="F337" s="119"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19" t="str">
        <f aca="false">IF($L337="","",IF(SUMIFS(Overrides!$D$9:$D$108,Overrides!$B$9:$B$108,$C337,Overrides!$C$9:$C$108,$L337)&gt;0,SUMIFS(Overrides!$D$9:$D$108,Overrides!$B$9:$B$108,$C337,Overrides!$C$9:$C$108,$L337),$L337))</f>
        <v/>
      </c>
      <c r="H337" s="120" t="n">
        <f aca="false">IF($G337="",0,IF(AND($G337&gt;='Cash Flow'!$E$6,$G337&lt;'Cash Flow'!$E$6+91),1,0))</f>
        <v>0</v>
      </c>
      <c r="I337" s="120" t="str">
        <f aca="false">IF($H337=1,MAX(1,INT(($G337-'Cash Flow'!$E$6)/7)+1),"")</f>
        <v/>
      </c>
      <c r="J337" s="8" t="str">
        <f aca="false">IF($H337=1,$G337*10000+ROW(),"")</f>
        <v/>
      </c>
      <c r="K337" s="8" t="str">
        <f aca="false">IF($H337=1,$I337*1000+COUNTIFS($I$4:$I$483,$I337,$J$4:$J$483,"&lt;"&amp;$J337)+1,"")</f>
        <v/>
      </c>
      <c r="L337" s="121"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17" t="n">
        <v>21</v>
      </c>
      <c r="B338" s="117" t="n">
        <v>15</v>
      </c>
      <c r="C338" s="8" t="str">
        <f aca="false">IF(OR(Recurring!$B$25="",Recurring!$H$25&lt;&gt;"Yes",Recurring!$D$25=""),"",Recurring!$B$25)</f>
        <v>Earnin' repayment</v>
      </c>
      <c r="D338" s="8" t="str">
        <f aca="false">IF($C338="","",Recurring!$C$25)</f>
        <v>Expense</v>
      </c>
      <c r="E338" s="118" t="n">
        <f aca="false">IF($C338="","",IF(SUMIFS(Overrides!$E$9:$E$108,Overrides!$B$9:$B$108,$C338,Overrides!$C$9:$C$108,$L338)&gt;0,SUMIFS(Overrides!$E$9:$E$108,Overrides!$B$9:$B$108,$C338,Overrides!$C$9:$C$108,$L338),Recurring!$D$25))</f>
        <v>107.99</v>
      </c>
      <c r="F338" s="119"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19" t="str">
        <f aca="false">IF($L338="","",IF(SUMIFS(Overrides!$D$9:$D$108,Overrides!$B$9:$B$108,$C338,Overrides!$C$9:$C$108,$L338)&gt;0,SUMIFS(Overrides!$D$9:$D$108,Overrides!$B$9:$B$108,$C338,Overrides!$C$9:$C$108,$L338),$L338))</f>
        <v/>
      </c>
      <c r="H338" s="120" t="n">
        <f aca="false">IF($G338="",0,IF(AND($G338&gt;='Cash Flow'!$E$6,$G338&lt;'Cash Flow'!$E$6+91),1,0))</f>
        <v>0</v>
      </c>
      <c r="I338" s="120" t="str">
        <f aca="false">IF($H338=1,MAX(1,INT(($G338-'Cash Flow'!$E$6)/7)+1),"")</f>
        <v/>
      </c>
      <c r="J338" s="8" t="str">
        <f aca="false">IF($H338=1,$G338*10000+ROW(),"")</f>
        <v/>
      </c>
      <c r="K338" s="8" t="str">
        <f aca="false">IF($H338=1,$I338*1000+COUNTIFS($I$4:$I$483,$I338,$J$4:$J$483,"&lt;"&amp;$J338)+1,"")</f>
        <v/>
      </c>
      <c r="L338" s="121"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17" t="n">
        <v>21</v>
      </c>
      <c r="B339" s="117" t="n">
        <v>16</v>
      </c>
      <c r="C339" s="8" t="str">
        <f aca="false">IF(OR(Recurring!$B$25="",Recurring!$H$25&lt;&gt;"Yes",Recurring!$D$25=""),"",Recurring!$B$25)</f>
        <v>Earnin' repayment</v>
      </c>
      <c r="D339" s="8" t="str">
        <f aca="false">IF($C339="","",Recurring!$C$25)</f>
        <v>Expense</v>
      </c>
      <c r="E339" s="118" t="n">
        <f aca="false">IF($C339="","",IF(SUMIFS(Overrides!$E$9:$E$108,Overrides!$B$9:$B$108,$C339,Overrides!$C$9:$C$108,$L339)&gt;0,SUMIFS(Overrides!$E$9:$E$108,Overrides!$B$9:$B$108,$C339,Overrides!$C$9:$C$108,$L339),Recurring!$D$25))</f>
        <v>107.99</v>
      </c>
      <c r="F339" s="119"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19" t="str">
        <f aca="false">IF($L339="","",IF(SUMIFS(Overrides!$D$9:$D$108,Overrides!$B$9:$B$108,$C339,Overrides!$C$9:$C$108,$L339)&gt;0,SUMIFS(Overrides!$D$9:$D$108,Overrides!$B$9:$B$108,$C339,Overrides!$C$9:$C$108,$L339),$L339))</f>
        <v/>
      </c>
      <c r="H339" s="120" t="n">
        <f aca="false">IF($G339="",0,IF(AND($G339&gt;='Cash Flow'!$E$6,$G339&lt;'Cash Flow'!$E$6+91),1,0))</f>
        <v>0</v>
      </c>
      <c r="I339" s="120" t="str">
        <f aca="false">IF($H339=1,MAX(1,INT(($G339-'Cash Flow'!$E$6)/7)+1),"")</f>
        <v/>
      </c>
      <c r="J339" s="8" t="str">
        <f aca="false">IF($H339=1,$G339*10000+ROW(),"")</f>
        <v/>
      </c>
      <c r="K339" s="8" t="str">
        <f aca="false">IF($H339=1,$I339*1000+COUNTIFS($I$4:$I$483,$I339,$J$4:$J$483,"&lt;"&amp;$J339)+1,"")</f>
        <v/>
      </c>
      <c r="L339" s="121"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17" t="n">
        <v>22</v>
      </c>
      <c r="B340" s="117" t="n">
        <v>1</v>
      </c>
      <c r="C340" s="8" t="str">
        <f aca="false">IF(OR(Recurring!$B$26="",Recurring!$H$26&lt;&gt;"Yes",Recurring!$D$26=""),"",Recurring!$B$26)</f>
        <v>Microsoft (2nd subscription)</v>
      </c>
      <c r="D340" s="8" t="str">
        <f aca="false">IF($C340="","",Recurring!$C$26)</f>
        <v>Expense</v>
      </c>
      <c r="E340" s="118" t="n">
        <f aca="false">IF($C340="","",IF(SUMIFS(Overrides!$E$9:$E$108,Overrides!$B$9:$B$108,$C340,Overrides!$C$9:$C$108,$L340)&gt;0,SUMIFS(Overrides!$E$9:$E$108,Overrides!$B$9:$B$108,$C340,Overrides!$C$9:$C$108,$L340),Recurring!$D$26))</f>
        <v>2.39</v>
      </c>
      <c r="F340" s="119" t="n">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46257</v>
      </c>
      <c r="G340" s="119" t="n">
        <f aca="false">IF($L340="","",IF(SUMIFS(Overrides!$D$9:$D$108,Overrides!$B$9:$B$108,$C340,Overrides!$C$9:$C$108,$L340)&gt;0,SUMIFS(Overrides!$D$9:$D$108,Overrides!$B$9:$B$108,$C340,Overrides!$C$9:$C$108,$L340),$L340))</f>
        <v>46257</v>
      </c>
      <c r="H340" s="120" t="n">
        <f aca="false">IF($G340="",0,IF(AND($G340&gt;='Cash Flow'!$E$6-90,$G340&lt;'Cash Flow'!$E$6+91),1,0))</f>
        <v>1</v>
      </c>
      <c r="I340" s="120" t="n">
        <f aca="false">IF($H340=1,MAX(1,INT(($G340-'Cash Flow'!$E$6)/7)+1),"")</f>
        <v>2</v>
      </c>
      <c r="J340" s="8" t="n">
        <f aca="false">IF($H340=1,$G340*10000+ROW(),"")</f>
        <v>462570340</v>
      </c>
      <c r="K340" s="8" t="n">
        <f aca="false">IF($H340=1,$I340*1000+COUNTIFS($I$4:$I$483,$I340,$J$4:$J$483,"&lt;"&amp;$J340)+1,"")</f>
        <v>2003</v>
      </c>
      <c r="L340" s="121" t="n">
        <f aca="false">IF($F340="","",IF(Recurring!$G$26="Move Before",IF(WEEKDAY($F340,2)=6,$F340-1,IF(WEEKDAY($F340,2)=7,$F340-2,$F340)),IF(Recurring!$G$26="Move After",IF(WEEKDAY($F340,2)=6,$F340+2,IF(WEEKDAY($F340,2)=7,$F340+1,$F340)),$F340)))</f>
        <v>46257</v>
      </c>
      <c r="M340" s="1" t="str">
        <f aca="true">IF(AND($H340=1,$D340="Expense",$G340&gt;TODAY(),$E340&gt;=100),$G340*100000+ROW(),"")</f>
        <v/>
      </c>
      <c r="N340" s="1" t="str">
        <f aca="true">IF(AND($H340=1,$D340="Income",$G340&gt;TODAY()),$G340*100000+ROW(),"")</f>
        <v/>
      </c>
    </row>
    <row r="341" customFormat="false" ht="15" hidden="false" customHeight="true" outlineLevel="0" collapsed="false">
      <c r="A341" s="117" t="n">
        <v>22</v>
      </c>
      <c r="B341" s="117" t="n">
        <v>2</v>
      </c>
      <c r="C341" s="8" t="str">
        <f aca="false">IF(OR(Recurring!$B$26="",Recurring!$H$26&lt;&gt;"Yes",Recurring!$D$26=""),"",Recurring!$B$26)</f>
        <v>Microsoft (2nd subscription)</v>
      </c>
      <c r="D341" s="8" t="str">
        <f aca="false">IF($C341="","",Recurring!$C$26)</f>
        <v>Expense</v>
      </c>
      <c r="E341" s="118" t="n">
        <f aca="false">IF($C341="","",IF(SUMIFS(Overrides!$E$9:$E$108,Overrides!$B$9:$B$108,$C341,Overrides!$C$9:$C$108,$L341)&gt;0,SUMIFS(Overrides!$E$9:$E$108,Overrides!$B$9:$B$108,$C341,Overrides!$C$9:$C$108,$L341),Recurring!$D$26))</f>
        <v>2.39</v>
      </c>
      <c r="F341" s="119" t="n">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46288</v>
      </c>
      <c r="G341" s="119" t="n">
        <f aca="false">IF($L341="","",IF(SUMIFS(Overrides!$D$9:$D$108,Overrides!$B$9:$B$108,$C341,Overrides!$C$9:$C$108,$L341)&gt;0,SUMIFS(Overrides!$D$9:$D$108,Overrides!$B$9:$B$108,$C341,Overrides!$C$9:$C$108,$L341),$L341))</f>
        <v>46288</v>
      </c>
      <c r="H341" s="120" t="n">
        <f aca="false">IF($G341="",0,IF(AND($G341&gt;='Cash Flow'!$E$6,$G341&lt;'Cash Flow'!$E$6+91),1,0))</f>
        <v>1</v>
      </c>
      <c r="I341" s="120" t="n">
        <f aca="false">IF($H341=1,MAX(1,INT(($G341-'Cash Flow'!$E$6)/7)+1),"")</f>
        <v>6</v>
      </c>
      <c r="J341" s="8" t="n">
        <f aca="false">IF($H341=1,$G341*10000+ROW(),"")</f>
        <v>462880341</v>
      </c>
      <c r="K341" s="8" t="n">
        <f aca="false">IF($H341=1,$I341*1000+COUNTIFS($I$4:$I$483,$I341,$J$4:$J$483,"&lt;"&amp;$J341)+1,"")</f>
        <v>6004</v>
      </c>
      <c r="L341" s="121" t="n">
        <f aca="false">IF($F341="","",IF(Recurring!$G$26="Move Before",IF(WEEKDAY($F341,2)=6,$F341-1,IF(WEEKDAY($F341,2)=7,$F341-2,$F341)),IF(Recurring!$G$26="Move After",IF(WEEKDAY($F341,2)=6,$F341+2,IF(WEEKDAY($F341,2)=7,$F341+1,$F341)),$F341)))</f>
        <v>46288</v>
      </c>
      <c r="M341" s="1" t="str">
        <f aca="true">IF(AND($H341=1,$D341="Expense",$G341&gt;TODAY(),$E341&gt;=100),$G341*100000+ROW(),"")</f>
        <v/>
      </c>
      <c r="N341" s="1" t="str">
        <f aca="true">IF(AND($H341=1,$D341="Income",$G341&gt;TODAY()),$G341*100000+ROW(),"")</f>
        <v/>
      </c>
    </row>
    <row r="342" customFormat="false" ht="15" hidden="false" customHeight="true" outlineLevel="0" collapsed="false">
      <c r="A342" s="117" t="n">
        <v>22</v>
      </c>
      <c r="B342" s="117" t="n">
        <v>3</v>
      </c>
      <c r="C342" s="8" t="str">
        <f aca="false">IF(OR(Recurring!$B$26="",Recurring!$H$26&lt;&gt;"Yes",Recurring!$D$26=""),"",Recurring!$B$26)</f>
        <v>Microsoft (2nd subscription)</v>
      </c>
      <c r="D342" s="8" t="str">
        <f aca="false">IF($C342="","",Recurring!$C$26)</f>
        <v>Expense</v>
      </c>
      <c r="E342" s="118" t="n">
        <f aca="false">IF($C342="","",IF(SUMIFS(Overrides!$E$9:$E$108,Overrides!$B$9:$B$108,$C342,Overrides!$C$9:$C$108,$L342)&gt;0,SUMIFS(Overrides!$E$9:$E$108,Overrides!$B$9:$B$108,$C342,Overrides!$C$9:$C$108,$L342),Recurring!$D$26))</f>
        <v>2.39</v>
      </c>
      <c r="F342" s="119" t="n">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46318</v>
      </c>
      <c r="G342" s="119" t="n">
        <f aca="false">IF($L342="","",IF(SUMIFS(Overrides!$D$9:$D$108,Overrides!$B$9:$B$108,$C342,Overrides!$C$9:$C$108,$L342)&gt;0,SUMIFS(Overrides!$D$9:$D$108,Overrides!$B$9:$B$108,$C342,Overrides!$C$9:$C$108,$L342),$L342))</f>
        <v>46318</v>
      </c>
      <c r="H342" s="120" t="n">
        <f aca="false">IF($G342="",0,IF(AND($G342&gt;='Cash Flow'!$E$6,$G342&lt;'Cash Flow'!$E$6+91),1,0))</f>
        <v>1</v>
      </c>
      <c r="I342" s="120" t="n">
        <f aca="false">IF($H342=1,MAX(1,INT(($G342-'Cash Flow'!$E$6)/7)+1),"")</f>
        <v>10</v>
      </c>
      <c r="J342" s="8" t="n">
        <f aca="false">IF($H342=1,$G342*10000+ROW(),"")</f>
        <v>463180342</v>
      </c>
      <c r="K342" s="8" t="n">
        <f aca="false">IF($H342=1,$I342*1000+COUNTIFS($I$4:$I$483,$I342,$J$4:$J$483,"&lt;"&amp;$J342)+1,"")</f>
        <v>10005</v>
      </c>
      <c r="L342" s="121" t="n">
        <f aca="false">IF($F342="","",IF(Recurring!$G$26="Move Before",IF(WEEKDAY($F342,2)=6,$F342-1,IF(WEEKDAY($F342,2)=7,$F342-2,$F342)),IF(Recurring!$G$26="Move After",IF(WEEKDAY($F342,2)=6,$F342+2,IF(WEEKDAY($F342,2)=7,$F342+1,$F342)),$F342)))</f>
        <v>46318</v>
      </c>
      <c r="M342" s="1" t="str">
        <f aca="true">IF(AND($H342=1,$D342="Expense",$G342&gt;TODAY(),$E342&gt;=100),$G342*100000+ROW(),"")</f>
        <v/>
      </c>
      <c r="N342" s="1" t="str">
        <f aca="true">IF(AND($H342=1,$D342="Income",$G342&gt;TODAY()),$G342*100000+ROW(),"")</f>
        <v/>
      </c>
    </row>
    <row r="343" customFormat="false" ht="15" hidden="false" customHeight="true" outlineLevel="0" collapsed="false">
      <c r="A343" s="117" t="n">
        <v>22</v>
      </c>
      <c r="B343" s="117" t="n">
        <v>4</v>
      </c>
      <c r="C343" s="8" t="str">
        <f aca="false">IF(OR(Recurring!$B$26="",Recurring!$H$26&lt;&gt;"Yes",Recurring!$D$26=""),"",Recurring!$B$26)</f>
        <v>Microsoft (2nd subscription)</v>
      </c>
      <c r="D343" s="8" t="str">
        <f aca="false">IF($C343="","",Recurring!$C$26)</f>
        <v>Expense</v>
      </c>
      <c r="E343" s="118" t="n">
        <f aca="false">IF($C343="","",IF(SUMIFS(Overrides!$E$9:$E$108,Overrides!$B$9:$B$108,$C343,Overrides!$C$9:$C$108,$L343)&gt;0,SUMIFS(Overrides!$E$9:$E$108,Overrides!$B$9:$B$108,$C343,Overrides!$C$9:$C$108,$L343),Recurring!$D$26))</f>
        <v>2.39</v>
      </c>
      <c r="F343" s="119" t="n">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46349</v>
      </c>
      <c r="G343" s="119" t="n">
        <f aca="false">IF($L343="","",IF(SUMIFS(Overrides!$D$9:$D$108,Overrides!$B$9:$B$108,$C343,Overrides!$C$9:$C$108,$L343)&gt;0,SUMIFS(Overrides!$D$9:$D$108,Overrides!$B$9:$B$108,$C343,Overrides!$C$9:$C$108,$L343),$L343))</f>
        <v>46349</v>
      </c>
      <c r="H343" s="120" t="n">
        <f aca="false">IF($G343="",0,IF(AND($G343&gt;='Cash Flow'!$E$6,$G343&lt;'Cash Flow'!$E$6+91),1,0))</f>
        <v>0</v>
      </c>
      <c r="I343" s="120" t="str">
        <f aca="false">IF($H343=1,MAX(1,INT(($G343-'Cash Flow'!$E$6)/7)+1),"")</f>
        <v/>
      </c>
      <c r="J343" s="8" t="str">
        <f aca="false">IF($H343=1,$G343*10000+ROW(),"")</f>
        <v/>
      </c>
      <c r="K343" s="8" t="str">
        <f aca="false">IF($H343=1,$I343*1000+COUNTIFS($I$4:$I$483,$I343,$J$4:$J$483,"&lt;"&amp;$J343)+1,"")</f>
        <v/>
      </c>
      <c r="L343" s="121" t="n">
        <f aca="false">IF($F343="","",IF(Recurring!$G$26="Move Before",IF(WEEKDAY($F343,2)=6,$F343-1,IF(WEEKDAY($F343,2)=7,$F343-2,$F343)),IF(Recurring!$G$26="Move After",IF(WEEKDAY($F343,2)=6,$F343+2,IF(WEEKDAY($F343,2)=7,$F343+1,$F343)),$F343)))</f>
        <v>46349</v>
      </c>
      <c r="M343" s="1" t="str">
        <f aca="true">IF(AND($H343=1,$D343="Expense",$G343&gt;TODAY(),$E343&gt;=100),$G343*100000+ROW(),"")</f>
        <v/>
      </c>
      <c r="N343" s="1" t="str">
        <f aca="true">IF(AND($H343=1,$D343="Income",$G343&gt;TODAY()),$G343*100000+ROW(),"")</f>
        <v/>
      </c>
    </row>
    <row r="344" customFormat="false" ht="15" hidden="false" customHeight="true" outlineLevel="0" collapsed="false">
      <c r="A344" s="117" t="n">
        <v>22</v>
      </c>
      <c r="B344" s="117" t="n">
        <v>5</v>
      </c>
      <c r="C344" s="8" t="str">
        <f aca="false">IF(OR(Recurring!$B$26="",Recurring!$H$26&lt;&gt;"Yes",Recurring!$D$26=""),"",Recurring!$B$26)</f>
        <v>Microsoft (2nd subscription)</v>
      </c>
      <c r="D344" s="8" t="str">
        <f aca="false">IF($C344="","",Recurring!$C$26)</f>
        <v>Expense</v>
      </c>
      <c r="E344" s="118" t="n">
        <f aca="false">IF($C344="","",IF(SUMIFS(Overrides!$E$9:$E$108,Overrides!$B$9:$B$108,$C344,Overrides!$C$9:$C$108,$L344)&gt;0,SUMIFS(Overrides!$E$9:$E$108,Overrides!$B$9:$B$108,$C344,Overrides!$C$9:$C$108,$L344),Recurring!$D$26))</f>
        <v>2.39</v>
      </c>
      <c r="F344" s="119" t="n">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46379</v>
      </c>
      <c r="G344" s="119" t="n">
        <f aca="false">IF($L344="","",IF(SUMIFS(Overrides!$D$9:$D$108,Overrides!$B$9:$B$108,$C344,Overrides!$C$9:$C$108,$L344)&gt;0,SUMIFS(Overrides!$D$9:$D$108,Overrides!$B$9:$B$108,$C344,Overrides!$C$9:$C$108,$L344),$L344))</f>
        <v>46379</v>
      </c>
      <c r="H344" s="120" t="n">
        <f aca="false">IF($G344="",0,IF(AND($G344&gt;='Cash Flow'!$E$6,$G344&lt;'Cash Flow'!$E$6+91),1,0))</f>
        <v>0</v>
      </c>
      <c r="I344" s="120" t="str">
        <f aca="false">IF($H344=1,MAX(1,INT(($G344-'Cash Flow'!$E$6)/7)+1),"")</f>
        <v/>
      </c>
      <c r="J344" s="8" t="str">
        <f aca="false">IF($H344=1,$G344*10000+ROW(),"")</f>
        <v/>
      </c>
      <c r="K344" s="8" t="str">
        <f aca="false">IF($H344=1,$I344*1000+COUNTIFS($I$4:$I$483,$I344,$J$4:$J$483,"&lt;"&amp;$J344)+1,"")</f>
        <v/>
      </c>
      <c r="L344" s="121" t="n">
        <f aca="false">IF($F344="","",IF(Recurring!$G$26="Move Before",IF(WEEKDAY($F344,2)=6,$F344-1,IF(WEEKDAY($F344,2)=7,$F344-2,$F344)),IF(Recurring!$G$26="Move After",IF(WEEKDAY($F344,2)=6,$F344+2,IF(WEEKDAY($F344,2)=7,$F344+1,$F344)),$F344)))</f>
        <v>46379</v>
      </c>
      <c r="M344" s="1" t="str">
        <f aca="true">IF(AND($H344=1,$D344="Expense",$G344&gt;TODAY(),$E344&gt;=100),$G344*100000+ROW(),"")</f>
        <v/>
      </c>
      <c r="N344" s="1" t="str">
        <f aca="true">IF(AND($H344=1,$D344="Income",$G344&gt;TODAY()),$G344*100000+ROW(),"")</f>
        <v/>
      </c>
    </row>
    <row r="345" customFormat="false" ht="15" hidden="false" customHeight="true" outlineLevel="0" collapsed="false">
      <c r="A345" s="117" t="n">
        <v>22</v>
      </c>
      <c r="B345" s="117" t="n">
        <v>6</v>
      </c>
      <c r="C345" s="8" t="str">
        <f aca="false">IF(OR(Recurring!$B$26="",Recurring!$H$26&lt;&gt;"Yes",Recurring!$D$26=""),"",Recurring!$B$26)</f>
        <v>Microsoft (2nd subscription)</v>
      </c>
      <c r="D345" s="8" t="str">
        <f aca="false">IF($C345="","",Recurring!$C$26)</f>
        <v>Expense</v>
      </c>
      <c r="E345" s="118" t="n">
        <f aca="false">IF($C345="","",IF(SUMIFS(Overrides!$E$9:$E$108,Overrides!$B$9:$B$108,$C345,Overrides!$C$9:$C$108,$L345)&gt;0,SUMIFS(Overrides!$E$9:$E$108,Overrides!$B$9:$B$108,$C345,Overrides!$C$9:$C$108,$L345),Recurring!$D$26))</f>
        <v>2.39</v>
      </c>
      <c r="F345" s="119" t="n">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46410</v>
      </c>
      <c r="G345" s="119" t="n">
        <f aca="false">IF($L345="","",IF(SUMIFS(Overrides!$D$9:$D$108,Overrides!$B$9:$B$108,$C345,Overrides!$C$9:$C$108,$L345)&gt;0,SUMIFS(Overrides!$D$9:$D$108,Overrides!$B$9:$B$108,$C345,Overrides!$C$9:$C$108,$L345),$L345))</f>
        <v>46410</v>
      </c>
      <c r="H345" s="120" t="n">
        <f aca="false">IF($G345="",0,IF(AND($G345&gt;='Cash Flow'!$E$6,$G345&lt;'Cash Flow'!$E$6+91),1,0))</f>
        <v>0</v>
      </c>
      <c r="I345" s="120" t="str">
        <f aca="false">IF($H345=1,MAX(1,INT(($G345-'Cash Flow'!$E$6)/7)+1),"")</f>
        <v/>
      </c>
      <c r="J345" s="8" t="str">
        <f aca="false">IF($H345=1,$G345*10000+ROW(),"")</f>
        <v/>
      </c>
      <c r="K345" s="8" t="str">
        <f aca="false">IF($H345=1,$I345*1000+COUNTIFS($I$4:$I$483,$I345,$J$4:$J$483,"&lt;"&amp;$J345)+1,"")</f>
        <v/>
      </c>
      <c r="L345" s="121" t="n">
        <f aca="false">IF($F345="","",IF(Recurring!$G$26="Move Before",IF(WEEKDAY($F345,2)=6,$F345-1,IF(WEEKDAY($F345,2)=7,$F345-2,$F345)),IF(Recurring!$G$26="Move After",IF(WEEKDAY($F345,2)=6,$F345+2,IF(WEEKDAY($F345,2)=7,$F345+1,$F345)),$F345)))</f>
        <v>46410</v>
      </c>
      <c r="M345" s="1" t="str">
        <f aca="true">IF(AND($H345=1,$D345="Expense",$G345&gt;TODAY(),$E345&gt;=100),$G345*100000+ROW(),"")</f>
        <v/>
      </c>
      <c r="N345" s="1" t="str">
        <f aca="true">IF(AND($H345=1,$D345="Income",$G345&gt;TODAY()),$G345*100000+ROW(),"")</f>
        <v/>
      </c>
    </row>
    <row r="346" customFormat="false" ht="15" hidden="false" customHeight="true" outlineLevel="0" collapsed="false">
      <c r="A346" s="117" t="n">
        <v>22</v>
      </c>
      <c r="B346" s="117" t="n">
        <v>7</v>
      </c>
      <c r="C346" s="8" t="str">
        <f aca="false">IF(OR(Recurring!$B$26="",Recurring!$H$26&lt;&gt;"Yes",Recurring!$D$26=""),"",Recurring!$B$26)</f>
        <v>Microsoft (2nd subscription)</v>
      </c>
      <c r="D346" s="8" t="str">
        <f aca="false">IF($C346="","",Recurring!$C$26)</f>
        <v>Expense</v>
      </c>
      <c r="E346" s="118" t="n">
        <f aca="false">IF($C346="","",IF(SUMIFS(Overrides!$E$9:$E$108,Overrides!$B$9:$B$108,$C346,Overrides!$C$9:$C$108,$L346)&gt;0,SUMIFS(Overrides!$E$9:$E$108,Overrides!$B$9:$B$108,$C346,Overrides!$C$9:$C$108,$L346),Recurring!$D$26))</f>
        <v>2.39</v>
      </c>
      <c r="F346" s="119" t="n">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46441</v>
      </c>
      <c r="G346" s="119" t="n">
        <f aca="false">IF($L346="","",IF(SUMIFS(Overrides!$D$9:$D$108,Overrides!$B$9:$B$108,$C346,Overrides!$C$9:$C$108,$L346)&gt;0,SUMIFS(Overrides!$D$9:$D$108,Overrides!$B$9:$B$108,$C346,Overrides!$C$9:$C$108,$L346),$L346))</f>
        <v>46441</v>
      </c>
      <c r="H346" s="120" t="n">
        <f aca="false">IF($G346="",0,IF(AND($G346&gt;='Cash Flow'!$E$6,$G346&lt;'Cash Flow'!$E$6+91),1,0))</f>
        <v>0</v>
      </c>
      <c r="I346" s="120" t="str">
        <f aca="false">IF($H346=1,MAX(1,INT(($G346-'Cash Flow'!$E$6)/7)+1),"")</f>
        <v/>
      </c>
      <c r="J346" s="8" t="str">
        <f aca="false">IF($H346=1,$G346*10000+ROW(),"")</f>
        <v/>
      </c>
      <c r="K346" s="8" t="str">
        <f aca="false">IF($H346=1,$I346*1000+COUNTIFS($I$4:$I$483,$I346,$J$4:$J$483,"&lt;"&amp;$J346)+1,"")</f>
        <v/>
      </c>
      <c r="L346" s="121" t="n">
        <f aca="false">IF($F346="","",IF(Recurring!$G$26="Move Before",IF(WEEKDAY($F346,2)=6,$F346-1,IF(WEEKDAY($F346,2)=7,$F346-2,$F346)),IF(Recurring!$G$26="Move After",IF(WEEKDAY($F346,2)=6,$F346+2,IF(WEEKDAY($F346,2)=7,$F346+1,$F346)),$F346)))</f>
        <v>46441</v>
      </c>
      <c r="M346" s="1" t="str">
        <f aca="true">IF(AND($H346=1,$D346="Expense",$G346&gt;TODAY(),$E346&gt;=100),$G346*100000+ROW(),"")</f>
        <v/>
      </c>
      <c r="N346" s="1" t="str">
        <f aca="true">IF(AND($H346=1,$D346="Income",$G346&gt;TODAY()),$G346*100000+ROW(),"")</f>
        <v/>
      </c>
    </row>
    <row r="347" customFormat="false" ht="15" hidden="false" customHeight="true" outlineLevel="0" collapsed="false">
      <c r="A347" s="117" t="n">
        <v>22</v>
      </c>
      <c r="B347" s="117" t="n">
        <v>8</v>
      </c>
      <c r="C347" s="8" t="str">
        <f aca="false">IF(OR(Recurring!$B$26="",Recurring!$H$26&lt;&gt;"Yes",Recurring!$D$26=""),"",Recurring!$B$26)</f>
        <v>Microsoft (2nd subscription)</v>
      </c>
      <c r="D347" s="8" t="str">
        <f aca="false">IF($C347="","",Recurring!$C$26)</f>
        <v>Expense</v>
      </c>
      <c r="E347" s="118" t="n">
        <f aca="false">IF($C347="","",IF(SUMIFS(Overrides!$E$9:$E$108,Overrides!$B$9:$B$108,$C347,Overrides!$C$9:$C$108,$L347)&gt;0,SUMIFS(Overrides!$E$9:$E$108,Overrides!$B$9:$B$108,$C347,Overrides!$C$9:$C$108,$L347),Recurring!$D$26))</f>
        <v>2.39</v>
      </c>
      <c r="F347" s="119" t="n">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46469</v>
      </c>
      <c r="G347" s="119" t="n">
        <f aca="false">IF($L347="","",IF(SUMIFS(Overrides!$D$9:$D$108,Overrides!$B$9:$B$108,$C347,Overrides!$C$9:$C$108,$L347)&gt;0,SUMIFS(Overrides!$D$9:$D$108,Overrides!$B$9:$B$108,$C347,Overrides!$C$9:$C$108,$L347),$L347))</f>
        <v>46469</v>
      </c>
      <c r="H347" s="120" t="n">
        <f aca="false">IF($G347="",0,IF(AND($G347&gt;='Cash Flow'!$E$6,$G347&lt;'Cash Flow'!$E$6+91),1,0))</f>
        <v>0</v>
      </c>
      <c r="I347" s="120" t="str">
        <f aca="false">IF($H347=1,MAX(1,INT(($G347-'Cash Flow'!$E$6)/7)+1),"")</f>
        <v/>
      </c>
      <c r="J347" s="8" t="str">
        <f aca="false">IF($H347=1,$G347*10000+ROW(),"")</f>
        <v/>
      </c>
      <c r="K347" s="8" t="str">
        <f aca="false">IF($H347=1,$I347*1000+COUNTIFS($I$4:$I$483,$I347,$J$4:$J$483,"&lt;"&amp;$J347)+1,"")</f>
        <v/>
      </c>
      <c r="L347" s="121" t="n">
        <f aca="false">IF($F347="","",IF(Recurring!$G$26="Move Before",IF(WEEKDAY($F347,2)=6,$F347-1,IF(WEEKDAY($F347,2)=7,$F347-2,$F347)),IF(Recurring!$G$26="Move After",IF(WEEKDAY($F347,2)=6,$F347+2,IF(WEEKDAY($F347,2)=7,$F347+1,$F347)),$F347)))</f>
        <v>46469</v>
      </c>
      <c r="M347" s="1" t="str">
        <f aca="true">IF(AND($H347=1,$D347="Expense",$G347&gt;TODAY(),$E347&gt;=100),$G347*100000+ROW(),"")</f>
        <v/>
      </c>
      <c r="N347" s="1" t="str">
        <f aca="true">IF(AND($H347=1,$D347="Income",$G347&gt;TODAY()),$G347*100000+ROW(),"")</f>
        <v/>
      </c>
    </row>
    <row r="348" customFormat="false" ht="15" hidden="false" customHeight="true" outlineLevel="0" collapsed="false">
      <c r="A348" s="117" t="n">
        <v>22</v>
      </c>
      <c r="B348" s="117" t="n">
        <v>9</v>
      </c>
      <c r="C348" s="8" t="str">
        <f aca="false">IF(OR(Recurring!$B$26="",Recurring!$H$26&lt;&gt;"Yes",Recurring!$D$26=""),"",Recurring!$B$26)</f>
        <v>Microsoft (2nd subscription)</v>
      </c>
      <c r="D348" s="8" t="str">
        <f aca="false">IF($C348="","",Recurring!$C$26)</f>
        <v>Expense</v>
      </c>
      <c r="E348" s="118" t="n">
        <f aca="false">IF($C348="","",IF(SUMIFS(Overrides!$E$9:$E$108,Overrides!$B$9:$B$108,$C348,Overrides!$C$9:$C$108,$L348)&gt;0,SUMIFS(Overrides!$E$9:$E$108,Overrides!$B$9:$B$108,$C348,Overrides!$C$9:$C$108,$L348),Recurring!$D$26))</f>
        <v>2.39</v>
      </c>
      <c r="F348" s="119" t="n">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46500</v>
      </c>
      <c r="G348" s="119" t="n">
        <f aca="false">IF($L348="","",IF(SUMIFS(Overrides!$D$9:$D$108,Overrides!$B$9:$B$108,$C348,Overrides!$C$9:$C$108,$L348)&gt;0,SUMIFS(Overrides!$D$9:$D$108,Overrides!$B$9:$B$108,$C348,Overrides!$C$9:$C$108,$L348),$L348))</f>
        <v>46500</v>
      </c>
      <c r="H348" s="120" t="n">
        <f aca="false">IF($G348="",0,IF(AND($G348&gt;='Cash Flow'!$E$6,$G348&lt;'Cash Flow'!$E$6+91),1,0))</f>
        <v>0</v>
      </c>
      <c r="I348" s="120" t="str">
        <f aca="false">IF($H348=1,MAX(1,INT(($G348-'Cash Flow'!$E$6)/7)+1),"")</f>
        <v/>
      </c>
      <c r="J348" s="8" t="str">
        <f aca="false">IF($H348=1,$G348*10000+ROW(),"")</f>
        <v/>
      </c>
      <c r="K348" s="8" t="str">
        <f aca="false">IF($H348=1,$I348*1000+COUNTIFS($I$4:$I$483,$I348,$J$4:$J$483,"&lt;"&amp;$J348)+1,"")</f>
        <v/>
      </c>
      <c r="L348" s="121" t="n">
        <f aca="false">IF($F348="","",IF(Recurring!$G$26="Move Before",IF(WEEKDAY($F348,2)=6,$F348-1,IF(WEEKDAY($F348,2)=7,$F348-2,$F348)),IF(Recurring!$G$26="Move After",IF(WEEKDAY($F348,2)=6,$F348+2,IF(WEEKDAY($F348,2)=7,$F348+1,$F348)),$F348)))</f>
        <v>46500</v>
      </c>
      <c r="M348" s="1" t="str">
        <f aca="true">IF(AND($H348=1,$D348="Expense",$G348&gt;TODAY(),$E348&gt;=100),$G348*100000+ROW(),"")</f>
        <v/>
      </c>
      <c r="N348" s="1" t="str">
        <f aca="true">IF(AND($H348=1,$D348="Income",$G348&gt;TODAY()),$G348*100000+ROW(),"")</f>
        <v/>
      </c>
    </row>
    <row r="349" customFormat="false" ht="15" hidden="false" customHeight="true" outlineLevel="0" collapsed="false">
      <c r="A349" s="117" t="n">
        <v>22</v>
      </c>
      <c r="B349" s="117" t="n">
        <v>10</v>
      </c>
      <c r="C349" s="8" t="str">
        <f aca="false">IF(OR(Recurring!$B$26="",Recurring!$H$26&lt;&gt;"Yes",Recurring!$D$26=""),"",Recurring!$B$26)</f>
        <v>Microsoft (2nd subscription)</v>
      </c>
      <c r="D349" s="8" t="str">
        <f aca="false">IF($C349="","",Recurring!$C$26)</f>
        <v>Expense</v>
      </c>
      <c r="E349" s="118" t="n">
        <f aca="false">IF($C349="","",IF(SUMIFS(Overrides!$E$9:$E$108,Overrides!$B$9:$B$108,$C349,Overrides!$C$9:$C$108,$L349)&gt;0,SUMIFS(Overrides!$E$9:$E$108,Overrides!$B$9:$B$108,$C349,Overrides!$C$9:$C$108,$L349),Recurring!$D$26))</f>
        <v>2.39</v>
      </c>
      <c r="F349" s="119" t="n">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46530</v>
      </c>
      <c r="G349" s="119" t="n">
        <f aca="false">IF($L349="","",IF(SUMIFS(Overrides!$D$9:$D$108,Overrides!$B$9:$B$108,$C349,Overrides!$C$9:$C$108,$L349)&gt;0,SUMIFS(Overrides!$D$9:$D$108,Overrides!$B$9:$B$108,$C349,Overrides!$C$9:$C$108,$L349),$L349))</f>
        <v>46530</v>
      </c>
      <c r="H349" s="120" t="n">
        <f aca="false">IF($G349="",0,IF(AND($G349&gt;='Cash Flow'!$E$6,$G349&lt;'Cash Flow'!$E$6+91),1,0))</f>
        <v>0</v>
      </c>
      <c r="I349" s="120" t="str">
        <f aca="false">IF($H349=1,MAX(1,INT(($G349-'Cash Flow'!$E$6)/7)+1),"")</f>
        <v/>
      </c>
      <c r="J349" s="8" t="str">
        <f aca="false">IF($H349=1,$G349*10000+ROW(),"")</f>
        <v/>
      </c>
      <c r="K349" s="8" t="str">
        <f aca="false">IF($H349=1,$I349*1000+COUNTIFS($I$4:$I$483,$I349,$J$4:$J$483,"&lt;"&amp;$J349)+1,"")</f>
        <v/>
      </c>
      <c r="L349" s="121" t="n">
        <f aca="false">IF($F349="","",IF(Recurring!$G$26="Move Before",IF(WEEKDAY($F349,2)=6,$F349-1,IF(WEEKDAY($F349,2)=7,$F349-2,$F349)),IF(Recurring!$G$26="Move After",IF(WEEKDAY($F349,2)=6,$F349+2,IF(WEEKDAY($F349,2)=7,$F349+1,$F349)),$F349)))</f>
        <v>46530</v>
      </c>
      <c r="M349" s="1" t="str">
        <f aca="true">IF(AND($H349=1,$D349="Expense",$G349&gt;TODAY(),$E349&gt;=100),$G349*100000+ROW(),"")</f>
        <v/>
      </c>
      <c r="N349" s="1" t="str">
        <f aca="true">IF(AND($H349=1,$D349="Income",$G349&gt;TODAY()),$G349*100000+ROW(),"")</f>
        <v/>
      </c>
    </row>
    <row r="350" customFormat="false" ht="15" hidden="false" customHeight="true" outlineLevel="0" collapsed="false">
      <c r="A350" s="117" t="n">
        <v>22</v>
      </c>
      <c r="B350" s="117" t="n">
        <v>11</v>
      </c>
      <c r="C350" s="8" t="str">
        <f aca="false">IF(OR(Recurring!$B$26="",Recurring!$H$26&lt;&gt;"Yes",Recurring!$D$26=""),"",Recurring!$B$26)</f>
        <v>Microsoft (2nd subscription)</v>
      </c>
      <c r="D350" s="8" t="str">
        <f aca="false">IF($C350="","",Recurring!$C$26)</f>
        <v>Expense</v>
      </c>
      <c r="E350" s="118" t="n">
        <f aca="false">IF($C350="","",IF(SUMIFS(Overrides!$E$9:$E$108,Overrides!$B$9:$B$108,$C350,Overrides!$C$9:$C$108,$L350)&gt;0,SUMIFS(Overrides!$E$9:$E$108,Overrides!$B$9:$B$108,$C350,Overrides!$C$9:$C$108,$L350),Recurring!$D$26))</f>
        <v>2.39</v>
      </c>
      <c r="F350" s="119" t="n">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46561</v>
      </c>
      <c r="G350" s="119" t="n">
        <f aca="false">IF($L350="","",IF(SUMIFS(Overrides!$D$9:$D$108,Overrides!$B$9:$B$108,$C350,Overrides!$C$9:$C$108,$L350)&gt;0,SUMIFS(Overrides!$D$9:$D$108,Overrides!$B$9:$B$108,$C350,Overrides!$C$9:$C$108,$L350),$L350))</f>
        <v>46561</v>
      </c>
      <c r="H350" s="120" t="n">
        <f aca="false">IF($G350="",0,IF(AND($G350&gt;='Cash Flow'!$E$6,$G350&lt;'Cash Flow'!$E$6+91),1,0))</f>
        <v>0</v>
      </c>
      <c r="I350" s="120" t="str">
        <f aca="false">IF($H350=1,MAX(1,INT(($G350-'Cash Flow'!$E$6)/7)+1),"")</f>
        <v/>
      </c>
      <c r="J350" s="8" t="str">
        <f aca="false">IF($H350=1,$G350*10000+ROW(),"")</f>
        <v/>
      </c>
      <c r="K350" s="8" t="str">
        <f aca="false">IF($H350=1,$I350*1000+COUNTIFS($I$4:$I$483,$I350,$J$4:$J$483,"&lt;"&amp;$J350)+1,"")</f>
        <v/>
      </c>
      <c r="L350" s="121" t="n">
        <f aca="false">IF($F350="","",IF(Recurring!$G$26="Move Before",IF(WEEKDAY($F350,2)=6,$F350-1,IF(WEEKDAY($F350,2)=7,$F350-2,$F350)),IF(Recurring!$G$26="Move After",IF(WEEKDAY($F350,2)=6,$F350+2,IF(WEEKDAY($F350,2)=7,$F350+1,$F350)),$F350)))</f>
        <v>46561</v>
      </c>
      <c r="M350" s="1" t="str">
        <f aca="true">IF(AND($H350=1,$D350="Expense",$G350&gt;TODAY(),$E350&gt;=100),$G350*100000+ROW(),"")</f>
        <v/>
      </c>
      <c r="N350" s="1" t="str">
        <f aca="true">IF(AND($H350=1,$D350="Income",$G350&gt;TODAY()),$G350*100000+ROW(),"")</f>
        <v/>
      </c>
    </row>
    <row r="351" customFormat="false" ht="15" hidden="false" customHeight="true" outlineLevel="0" collapsed="false">
      <c r="A351" s="117" t="n">
        <v>22</v>
      </c>
      <c r="B351" s="117" t="n">
        <v>12</v>
      </c>
      <c r="C351" s="8" t="str">
        <f aca="false">IF(OR(Recurring!$B$26="",Recurring!$H$26&lt;&gt;"Yes",Recurring!$D$26=""),"",Recurring!$B$26)</f>
        <v>Microsoft (2nd subscription)</v>
      </c>
      <c r="D351" s="8" t="str">
        <f aca="false">IF($C351="","",Recurring!$C$26)</f>
        <v>Expense</v>
      </c>
      <c r="E351" s="118" t="n">
        <f aca="false">IF($C351="","",IF(SUMIFS(Overrides!$E$9:$E$108,Overrides!$B$9:$B$108,$C351,Overrides!$C$9:$C$108,$L351)&gt;0,SUMIFS(Overrides!$E$9:$E$108,Overrides!$B$9:$B$108,$C351,Overrides!$C$9:$C$108,$L351),Recurring!$D$26))</f>
        <v>2.39</v>
      </c>
      <c r="F351" s="119" t="n">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46591</v>
      </c>
      <c r="G351" s="119" t="n">
        <f aca="false">IF($L351="","",IF(SUMIFS(Overrides!$D$9:$D$108,Overrides!$B$9:$B$108,$C351,Overrides!$C$9:$C$108,$L351)&gt;0,SUMIFS(Overrides!$D$9:$D$108,Overrides!$B$9:$B$108,$C351,Overrides!$C$9:$C$108,$L351),$L351))</f>
        <v>46591</v>
      </c>
      <c r="H351" s="120" t="n">
        <f aca="false">IF($G351="",0,IF(AND($G351&gt;='Cash Flow'!$E$6,$G351&lt;'Cash Flow'!$E$6+91),1,0))</f>
        <v>0</v>
      </c>
      <c r="I351" s="120" t="str">
        <f aca="false">IF($H351=1,MAX(1,INT(($G351-'Cash Flow'!$E$6)/7)+1),"")</f>
        <v/>
      </c>
      <c r="J351" s="8" t="str">
        <f aca="false">IF($H351=1,$G351*10000+ROW(),"")</f>
        <v/>
      </c>
      <c r="K351" s="8" t="str">
        <f aca="false">IF($H351=1,$I351*1000+COUNTIFS($I$4:$I$483,$I351,$J$4:$J$483,"&lt;"&amp;$J351)+1,"")</f>
        <v/>
      </c>
      <c r="L351" s="121" t="n">
        <f aca="false">IF($F351="","",IF(Recurring!$G$26="Move Before",IF(WEEKDAY($F351,2)=6,$F351-1,IF(WEEKDAY($F351,2)=7,$F351-2,$F351)),IF(Recurring!$G$26="Move After",IF(WEEKDAY($F351,2)=6,$F351+2,IF(WEEKDAY($F351,2)=7,$F351+1,$F351)),$F351)))</f>
        <v>46591</v>
      </c>
      <c r="M351" s="1" t="str">
        <f aca="true">IF(AND($H351=1,$D351="Expense",$G351&gt;TODAY(),$E351&gt;=100),$G351*100000+ROW(),"")</f>
        <v/>
      </c>
      <c r="N351" s="1" t="str">
        <f aca="true">IF(AND($H351=1,$D351="Income",$G351&gt;TODAY()),$G351*100000+ROW(),"")</f>
        <v/>
      </c>
    </row>
    <row r="352" customFormat="false" ht="15" hidden="false" customHeight="true" outlineLevel="0" collapsed="false">
      <c r="A352" s="117" t="n">
        <v>22</v>
      </c>
      <c r="B352" s="117" t="n">
        <v>13</v>
      </c>
      <c r="C352" s="8" t="str">
        <f aca="false">IF(OR(Recurring!$B$26="",Recurring!$H$26&lt;&gt;"Yes",Recurring!$D$26=""),"",Recurring!$B$26)</f>
        <v>Microsoft (2nd subscription)</v>
      </c>
      <c r="D352" s="8" t="str">
        <f aca="false">IF($C352="","",Recurring!$C$26)</f>
        <v>Expense</v>
      </c>
      <c r="E352" s="118" t="n">
        <f aca="false">IF($C352="","",IF(SUMIFS(Overrides!$E$9:$E$108,Overrides!$B$9:$B$108,$C352,Overrides!$C$9:$C$108,$L352)&gt;0,SUMIFS(Overrides!$E$9:$E$108,Overrides!$B$9:$B$108,$C352,Overrides!$C$9:$C$108,$L352),Recurring!$D$26))</f>
        <v>2.39</v>
      </c>
      <c r="F352" s="119" t="n">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46622</v>
      </c>
      <c r="G352" s="119" t="n">
        <f aca="false">IF($L352="","",IF(SUMIFS(Overrides!$D$9:$D$108,Overrides!$B$9:$B$108,$C352,Overrides!$C$9:$C$108,$L352)&gt;0,SUMIFS(Overrides!$D$9:$D$108,Overrides!$B$9:$B$108,$C352,Overrides!$C$9:$C$108,$L352),$L352))</f>
        <v>46622</v>
      </c>
      <c r="H352" s="120" t="n">
        <f aca="false">IF($G352="",0,IF(AND($G352&gt;='Cash Flow'!$E$6,$G352&lt;'Cash Flow'!$E$6+91),1,0))</f>
        <v>0</v>
      </c>
      <c r="I352" s="120" t="str">
        <f aca="false">IF($H352=1,MAX(1,INT(($G352-'Cash Flow'!$E$6)/7)+1),"")</f>
        <v/>
      </c>
      <c r="J352" s="8" t="str">
        <f aca="false">IF($H352=1,$G352*10000+ROW(),"")</f>
        <v/>
      </c>
      <c r="K352" s="8" t="str">
        <f aca="false">IF($H352=1,$I352*1000+COUNTIFS($I$4:$I$483,$I352,$J$4:$J$483,"&lt;"&amp;$J352)+1,"")</f>
        <v/>
      </c>
      <c r="L352" s="121" t="n">
        <f aca="false">IF($F352="","",IF(Recurring!$G$26="Move Before",IF(WEEKDAY($F352,2)=6,$F352-1,IF(WEEKDAY($F352,2)=7,$F352-2,$F352)),IF(Recurring!$G$26="Move After",IF(WEEKDAY($F352,2)=6,$F352+2,IF(WEEKDAY($F352,2)=7,$F352+1,$F352)),$F352)))</f>
        <v>46622</v>
      </c>
      <c r="M352" s="1" t="str">
        <f aca="true">IF(AND($H352=1,$D352="Expense",$G352&gt;TODAY(),$E352&gt;=100),$G352*100000+ROW(),"")</f>
        <v/>
      </c>
      <c r="N352" s="1" t="str">
        <f aca="true">IF(AND($H352=1,$D352="Income",$G352&gt;TODAY()),$G352*100000+ROW(),"")</f>
        <v/>
      </c>
    </row>
    <row r="353" customFormat="false" ht="15" hidden="false" customHeight="true" outlineLevel="0" collapsed="false">
      <c r="A353" s="117" t="n">
        <v>22</v>
      </c>
      <c r="B353" s="117" t="n">
        <v>14</v>
      </c>
      <c r="C353" s="8" t="str">
        <f aca="false">IF(OR(Recurring!$B$26="",Recurring!$H$26&lt;&gt;"Yes",Recurring!$D$26=""),"",Recurring!$B$26)</f>
        <v>Microsoft (2nd subscription)</v>
      </c>
      <c r="D353" s="8" t="str">
        <f aca="false">IF($C353="","",Recurring!$C$26)</f>
        <v>Expense</v>
      </c>
      <c r="E353" s="118" t="n">
        <f aca="false">IF($C353="","",IF(SUMIFS(Overrides!$E$9:$E$108,Overrides!$B$9:$B$108,$C353,Overrides!$C$9:$C$108,$L353)&gt;0,SUMIFS(Overrides!$E$9:$E$108,Overrides!$B$9:$B$108,$C353,Overrides!$C$9:$C$108,$L353),Recurring!$D$26))</f>
        <v>2.39</v>
      </c>
      <c r="F353" s="119" t="n">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46653</v>
      </c>
      <c r="G353" s="119" t="n">
        <f aca="false">IF($L353="","",IF(SUMIFS(Overrides!$D$9:$D$108,Overrides!$B$9:$B$108,$C353,Overrides!$C$9:$C$108,$L353)&gt;0,SUMIFS(Overrides!$D$9:$D$108,Overrides!$B$9:$B$108,$C353,Overrides!$C$9:$C$108,$L353),$L353))</f>
        <v>46653</v>
      </c>
      <c r="H353" s="120" t="n">
        <f aca="false">IF($G353="",0,IF(AND($G353&gt;='Cash Flow'!$E$6,$G353&lt;'Cash Flow'!$E$6+91),1,0))</f>
        <v>0</v>
      </c>
      <c r="I353" s="120" t="str">
        <f aca="false">IF($H353=1,MAX(1,INT(($G353-'Cash Flow'!$E$6)/7)+1),"")</f>
        <v/>
      </c>
      <c r="J353" s="8" t="str">
        <f aca="false">IF($H353=1,$G353*10000+ROW(),"")</f>
        <v/>
      </c>
      <c r="K353" s="8" t="str">
        <f aca="false">IF($H353=1,$I353*1000+COUNTIFS($I$4:$I$483,$I353,$J$4:$J$483,"&lt;"&amp;$J353)+1,"")</f>
        <v/>
      </c>
      <c r="L353" s="121" t="n">
        <f aca="false">IF($F353="","",IF(Recurring!$G$26="Move Before",IF(WEEKDAY($F353,2)=6,$F353-1,IF(WEEKDAY($F353,2)=7,$F353-2,$F353)),IF(Recurring!$G$26="Move After",IF(WEEKDAY($F353,2)=6,$F353+2,IF(WEEKDAY($F353,2)=7,$F353+1,$F353)),$F353)))</f>
        <v>46653</v>
      </c>
      <c r="M353" s="1" t="str">
        <f aca="true">IF(AND($H353=1,$D353="Expense",$G353&gt;TODAY(),$E353&gt;=100),$G353*100000+ROW(),"")</f>
        <v/>
      </c>
      <c r="N353" s="1" t="str">
        <f aca="true">IF(AND($H353=1,$D353="Income",$G353&gt;TODAY()),$G353*100000+ROW(),"")</f>
        <v/>
      </c>
    </row>
    <row r="354" customFormat="false" ht="15" hidden="false" customHeight="true" outlineLevel="0" collapsed="false">
      <c r="A354" s="117" t="n">
        <v>22</v>
      </c>
      <c r="B354" s="117" t="n">
        <v>15</v>
      </c>
      <c r="C354" s="8" t="str">
        <f aca="false">IF(OR(Recurring!$B$26="",Recurring!$H$26&lt;&gt;"Yes",Recurring!$D$26=""),"",Recurring!$B$26)</f>
        <v>Microsoft (2nd subscription)</v>
      </c>
      <c r="D354" s="8" t="str">
        <f aca="false">IF($C354="","",Recurring!$C$26)</f>
        <v>Expense</v>
      </c>
      <c r="E354" s="118" t="n">
        <f aca="false">IF($C354="","",IF(SUMIFS(Overrides!$E$9:$E$108,Overrides!$B$9:$B$108,$C354,Overrides!$C$9:$C$108,$L354)&gt;0,SUMIFS(Overrides!$E$9:$E$108,Overrides!$B$9:$B$108,$C354,Overrides!$C$9:$C$108,$L354),Recurring!$D$26))</f>
        <v>2.39</v>
      </c>
      <c r="F354" s="119" t="n">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46683</v>
      </c>
      <c r="G354" s="119" t="n">
        <f aca="false">IF($L354="","",IF(SUMIFS(Overrides!$D$9:$D$108,Overrides!$B$9:$B$108,$C354,Overrides!$C$9:$C$108,$L354)&gt;0,SUMIFS(Overrides!$D$9:$D$108,Overrides!$B$9:$B$108,$C354,Overrides!$C$9:$C$108,$L354),$L354))</f>
        <v>46683</v>
      </c>
      <c r="H354" s="120" t="n">
        <f aca="false">IF($G354="",0,IF(AND($G354&gt;='Cash Flow'!$E$6,$G354&lt;'Cash Flow'!$E$6+91),1,0))</f>
        <v>0</v>
      </c>
      <c r="I354" s="120" t="str">
        <f aca="false">IF($H354=1,MAX(1,INT(($G354-'Cash Flow'!$E$6)/7)+1),"")</f>
        <v/>
      </c>
      <c r="J354" s="8" t="str">
        <f aca="false">IF($H354=1,$G354*10000+ROW(),"")</f>
        <v/>
      </c>
      <c r="K354" s="8" t="str">
        <f aca="false">IF($H354=1,$I354*1000+COUNTIFS($I$4:$I$483,$I354,$J$4:$J$483,"&lt;"&amp;$J354)+1,"")</f>
        <v/>
      </c>
      <c r="L354" s="121" t="n">
        <f aca="false">IF($F354="","",IF(Recurring!$G$26="Move Before",IF(WEEKDAY($F354,2)=6,$F354-1,IF(WEEKDAY($F354,2)=7,$F354-2,$F354)),IF(Recurring!$G$26="Move After",IF(WEEKDAY($F354,2)=6,$F354+2,IF(WEEKDAY($F354,2)=7,$F354+1,$F354)),$F354)))</f>
        <v>46683</v>
      </c>
      <c r="M354" s="1" t="str">
        <f aca="true">IF(AND($H354=1,$D354="Expense",$G354&gt;TODAY(),$E354&gt;=100),$G354*100000+ROW(),"")</f>
        <v/>
      </c>
      <c r="N354" s="1" t="str">
        <f aca="true">IF(AND($H354=1,$D354="Income",$G354&gt;TODAY()),$G354*100000+ROW(),"")</f>
        <v/>
      </c>
    </row>
    <row r="355" customFormat="false" ht="15" hidden="false" customHeight="true" outlineLevel="0" collapsed="false">
      <c r="A355" s="117" t="n">
        <v>22</v>
      </c>
      <c r="B355" s="117" t="n">
        <v>16</v>
      </c>
      <c r="C355" s="8" t="str">
        <f aca="false">IF(OR(Recurring!$B$26="",Recurring!$H$26&lt;&gt;"Yes",Recurring!$D$26=""),"",Recurring!$B$26)</f>
        <v>Microsoft (2nd subscription)</v>
      </c>
      <c r="D355" s="8" t="str">
        <f aca="false">IF($C355="","",Recurring!$C$26)</f>
        <v>Expense</v>
      </c>
      <c r="E355" s="118" t="n">
        <f aca="false">IF($C355="","",IF(SUMIFS(Overrides!$E$9:$E$108,Overrides!$B$9:$B$108,$C355,Overrides!$C$9:$C$108,$L355)&gt;0,SUMIFS(Overrides!$E$9:$E$108,Overrides!$B$9:$B$108,$C355,Overrides!$C$9:$C$108,$L355),Recurring!$D$26))</f>
        <v>2.39</v>
      </c>
      <c r="F355" s="119" t="n">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46714</v>
      </c>
      <c r="G355" s="119" t="n">
        <f aca="false">IF($L355="","",IF(SUMIFS(Overrides!$D$9:$D$108,Overrides!$B$9:$B$108,$C355,Overrides!$C$9:$C$108,$L355)&gt;0,SUMIFS(Overrides!$D$9:$D$108,Overrides!$B$9:$B$108,$C355,Overrides!$C$9:$C$108,$L355),$L355))</f>
        <v>46714</v>
      </c>
      <c r="H355" s="120" t="n">
        <f aca="false">IF($G355="",0,IF(AND($G355&gt;='Cash Flow'!$E$6,$G355&lt;'Cash Flow'!$E$6+91),1,0))</f>
        <v>0</v>
      </c>
      <c r="I355" s="120" t="str">
        <f aca="false">IF($H355=1,MAX(1,INT(($G355-'Cash Flow'!$E$6)/7)+1),"")</f>
        <v/>
      </c>
      <c r="J355" s="8" t="str">
        <f aca="false">IF($H355=1,$G355*10000+ROW(),"")</f>
        <v/>
      </c>
      <c r="K355" s="8" t="str">
        <f aca="false">IF($H355=1,$I355*1000+COUNTIFS($I$4:$I$483,$I355,$J$4:$J$483,"&lt;"&amp;$J355)+1,"")</f>
        <v/>
      </c>
      <c r="L355" s="121" t="n">
        <f aca="false">IF($F355="","",IF(Recurring!$G$26="Move Before",IF(WEEKDAY($F355,2)=6,$F355-1,IF(WEEKDAY($F355,2)=7,$F355-2,$F355)),IF(Recurring!$G$26="Move After",IF(WEEKDAY($F355,2)=6,$F355+2,IF(WEEKDAY($F355,2)=7,$F355+1,$F355)),$F355)))</f>
        <v>46714</v>
      </c>
      <c r="M355" s="1" t="str">
        <f aca="true">IF(AND($H355=1,$D355="Expense",$G355&gt;TODAY(),$E355&gt;=100),$G355*100000+ROW(),"")</f>
        <v/>
      </c>
      <c r="N355" s="1" t="str">
        <f aca="true">IF(AND($H355=1,$D355="Income",$G355&gt;TODAY()),$G355*100000+ROW(),"")</f>
        <v/>
      </c>
    </row>
    <row r="356" customFormat="false" ht="15" hidden="false" customHeight="true" outlineLevel="0" collapsed="false">
      <c r="A356" s="117" t="n">
        <v>23</v>
      </c>
      <c r="B356" s="117" t="n">
        <v>1</v>
      </c>
      <c r="C356" s="8" t="str">
        <f aca="false">IF(OR(Recurring!$B$27="",Recurring!$H$27&lt;&gt;"Yes",Recurring!$D$27=""),"",Recurring!$B$27)</f>
        <v>Earnin'</v>
      </c>
      <c r="D356" s="8" t="str">
        <f aca="false">IF($C356="","",Recurring!$C$27)</f>
        <v>Income</v>
      </c>
      <c r="E356" s="118" t="n">
        <f aca="false">IF($C356="","",IF(SUMIFS(Overrides!$E$9:$E$108,Overrides!$B$9:$B$108,$C356,Overrides!$C$9:$C$108,$L356)&gt;0,SUMIFS(Overrides!$E$9:$E$108,Overrides!$B$9:$B$108,$C356,Overrides!$C$9:$C$108,$L356),Recurring!$D$27))</f>
        <v>100</v>
      </c>
      <c r="F356" s="119" t="n">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46258</v>
      </c>
      <c r="G356" s="119" t="n">
        <f aca="false">IF($L356="","",IF(SUMIFS(Overrides!$D$9:$D$108,Overrides!$B$9:$B$108,$C356,Overrides!$C$9:$C$108,$L356)&gt;0,SUMIFS(Overrides!$D$9:$D$108,Overrides!$B$9:$B$108,$C356,Overrides!$C$9:$C$108,$L356),$L356))</f>
        <v>46258</v>
      </c>
      <c r="H356" s="120" t="n">
        <f aca="false">IF($G356="",0,IF(AND($G356&gt;='Cash Flow'!$E$6-90,$G356&lt;'Cash Flow'!$E$6+91),1,0))</f>
        <v>1</v>
      </c>
      <c r="I356" s="120" t="n">
        <f aca="false">IF($H356=1,MAX(1,INT(($G356-'Cash Flow'!$E$6)/7)+1),"")</f>
        <v>2</v>
      </c>
      <c r="J356" s="8" t="n">
        <f aca="false">IF($H356=1,$G356*10000+ROW(),"")</f>
        <v>462580356</v>
      </c>
      <c r="K356" s="8" t="n">
        <f aca="false">IF($H356=1,$I356*1000+COUNTIFS($I$4:$I$483,$I356,$J$4:$J$483,"&lt;"&amp;$J356)+1,"")</f>
        <v>2004</v>
      </c>
      <c r="L356" s="121" t="n">
        <f aca="false">IF($F356="","",IF(Recurring!$G$27="Move Before",IF(WEEKDAY($F356,2)=6,$F356-1,IF(WEEKDAY($F356,2)=7,$F356-2,$F356)),IF(Recurring!$G$27="Move After",IF(WEEKDAY($F356,2)=6,$F356+2,IF(WEEKDAY($F356,2)=7,$F356+1,$F356)),$F356)))</f>
        <v>46258</v>
      </c>
      <c r="M356" s="1" t="str">
        <f aca="true">IF(AND($H356=1,$D356="Expense",$G356&gt;TODAY(),$E356&gt;=100),$G356*100000+ROW(),"")</f>
        <v/>
      </c>
      <c r="N356" s="1" t="str">
        <f aca="true">IF(AND($H356=1,$D356="Income",$G356&gt;TODAY()),$G356*100000+ROW(),"")</f>
        <v/>
      </c>
    </row>
    <row r="357" customFormat="false" ht="15" hidden="false" customHeight="true" outlineLevel="0" collapsed="false">
      <c r="A357" s="117" t="n">
        <v>23</v>
      </c>
      <c r="B357" s="117" t="n">
        <v>2</v>
      </c>
      <c r="C357" s="8" t="str">
        <f aca="false">IF(OR(Recurring!$B$27="",Recurring!$H$27&lt;&gt;"Yes",Recurring!$D$27=""),"",Recurring!$B$27)</f>
        <v>Earnin'</v>
      </c>
      <c r="D357" s="8" t="str">
        <f aca="false">IF($C357="","",Recurring!$C$27)</f>
        <v>Income</v>
      </c>
      <c r="E357" s="118" t="n">
        <f aca="false">IF($C357="","",IF(SUMIFS(Overrides!$E$9:$E$108,Overrides!$B$9:$B$108,$C357,Overrides!$C$9:$C$108,$L357)&gt;0,SUMIFS(Overrides!$E$9:$E$108,Overrides!$B$9:$B$108,$C357,Overrides!$C$9:$C$108,$L357),Recurring!$D$27))</f>
        <v>100</v>
      </c>
      <c r="F357" s="119"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19" t="str">
        <f aca="false">IF($L357="","",IF(SUMIFS(Overrides!$D$9:$D$108,Overrides!$B$9:$B$108,$C357,Overrides!$C$9:$C$108,$L357)&gt;0,SUMIFS(Overrides!$D$9:$D$108,Overrides!$B$9:$B$108,$C357,Overrides!$C$9:$C$108,$L357),$L357))</f>
        <v/>
      </c>
      <c r="H357" s="120" t="n">
        <f aca="false">IF($G357="",0,IF(AND($G357&gt;='Cash Flow'!$E$6,$G357&lt;'Cash Flow'!$E$6+91),1,0))</f>
        <v>0</v>
      </c>
      <c r="I357" s="120" t="str">
        <f aca="false">IF($H357=1,MAX(1,INT(($G357-'Cash Flow'!$E$6)/7)+1),"")</f>
        <v/>
      </c>
      <c r="J357" s="8" t="str">
        <f aca="false">IF($H357=1,$G357*10000+ROW(),"")</f>
        <v/>
      </c>
      <c r="K357" s="8" t="str">
        <f aca="false">IF($H357=1,$I357*1000+COUNTIFS($I$4:$I$483,$I357,$J$4:$J$483,"&lt;"&amp;$J357)+1,"")</f>
        <v/>
      </c>
      <c r="L357" s="121"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17" t="n">
        <v>23</v>
      </c>
      <c r="B358" s="117" t="n">
        <v>3</v>
      </c>
      <c r="C358" s="8" t="str">
        <f aca="false">IF(OR(Recurring!$B$27="",Recurring!$H$27&lt;&gt;"Yes",Recurring!$D$27=""),"",Recurring!$B$27)</f>
        <v>Earnin'</v>
      </c>
      <c r="D358" s="8" t="str">
        <f aca="false">IF($C358="","",Recurring!$C$27)</f>
        <v>Income</v>
      </c>
      <c r="E358" s="118" t="n">
        <f aca="false">IF($C358="","",IF(SUMIFS(Overrides!$E$9:$E$108,Overrides!$B$9:$B$108,$C358,Overrides!$C$9:$C$108,$L358)&gt;0,SUMIFS(Overrides!$E$9:$E$108,Overrides!$B$9:$B$108,$C358,Overrides!$C$9:$C$108,$L358),Recurring!$D$27))</f>
        <v>100</v>
      </c>
      <c r="F358" s="119"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19" t="str">
        <f aca="false">IF($L358="","",IF(SUMIFS(Overrides!$D$9:$D$108,Overrides!$B$9:$B$108,$C358,Overrides!$C$9:$C$108,$L358)&gt;0,SUMIFS(Overrides!$D$9:$D$108,Overrides!$B$9:$B$108,$C358,Overrides!$C$9:$C$108,$L358),$L358))</f>
        <v/>
      </c>
      <c r="H358" s="120" t="n">
        <f aca="false">IF($G358="",0,IF(AND($G358&gt;='Cash Flow'!$E$6,$G358&lt;'Cash Flow'!$E$6+91),1,0))</f>
        <v>0</v>
      </c>
      <c r="I358" s="120" t="str">
        <f aca="false">IF($H358=1,MAX(1,INT(($G358-'Cash Flow'!$E$6)/7)+1),"")</f>
        <v/>
      </c>
      <c r="J358" s="8" t="str">
        <f aca="false">IF($H358=1,$G358*10000+ROW(),"")</f>
        <v/>
      </c>
      <c r="K358" s="8" t="str">
        <f aca="false">IF($H358=1,$I358*1000+COUNTIFS($I$4:$I$483,$I358,$J$4:$J$483,"&lt;"&amp;$J358)+1,"")</f>
        <v/>
      </c>
      <c r="L358" s="121"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17" t="n">
        <v>23</v>
      </c>
      <c r="B359" s="117" t="n">
        <v>4</v>
      </c>
      <c r="C359" s="8" t="str">
        <f aca="false">IF(OR(Recurring!$B$27="",Recurring!$H$27&lt;&gt;"Yes",Recurring!$D$27=""),"",Recurring!$B$27)</f>
        <v>Earnin'</v>
      </c>
      <c r="D359" s="8" t="str">
        <f aca="false">IF($C359="","",Recurring!$C$27)</f>
        <v>Income</v>
      </c>
      <c r="E359" s="118" t="n">
        <f aca="false">IF($C359="","",IF(SUMIFS(Overrides!$E$9:$E$108,Overrides!$B$9:$B$108,$C359,Overrides!$C$9:$C$108,$L359)&gt;0,SUMIFS(Overrides!$E$9:$E$108,Overrides!$B$9:$B$108,$C359,Overrides!$C$9:$C$108,$L359),Recurring!$D$27))</f>
        <v>100</v>
      </c>
      <c r="F359" s="119"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19" t="str">
        <f aca="false">IF($L359="","",IF(SUMIFS(Overrides!$D$9:$D$108,Overrides!$B$9:$B$108,$C359,Overrides!$C$9:$C$108,$L359)&gt;0,SUMIFS(Overrides!$D$9:$D$108,Overrides!$B$9:$B$108,$C359,Overrides!$C$9:$C$108,$L359),$L359))</f>
        <v/>
      </c>
      <c r="H359" s="120" t="n">
        <f aca="false">IF($G359="",0,IF(AND($G359&gt;='Cash Flow'!$E$6,$G359&lt;'Cash Flow'!$E$6+91),1,0))</f>
        <v>0</v>
      </c>
      <c r="I359" s="120" t="str">
        <f aca="false">IF($H359=1,MAX(1,INT(($G359-'Cash Flow'!$E$6)/7)+1),"")</f>
        <v/>
      </c>
      <c r="J359" s="8" t="str">
        <f aca="false">IF($H359=1,$G359*10000+ROW(),"")</f>
        <v/>
      </c>
      <c r="K359" s="8" t="str">
        <f aca="false">IF($H359=1,$I359*1000+COUNTIFS($I$4:$I$483,$I359,$J$4:$J$483,"&lt;"&amp;$J359)+1,"")</f>
        <v/>
      </c>
      <c r="L359" s="121"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17" t="n">
        <v>23</v>
      </c>
      <c r="B360" s="117" t="n">
        <v>5</v>
      </c>
      <c r="C360" s="8" t="str">
        <f aca="false">IF(OR(Recurring!$B$27="",Recurring!$H$27&lt;&gt;"Yes",Recurring!$D$27=""),"",Recurring!$B$27)</f>
        <v>Earnin'</v>
      </c>
      <c r="D360" s="8" t="str">
        <f aca="false">IF($C360="","",Recurring!$C$27)</f>
        <v>Income</v>
      </c>
      <c r="E360" s="118" t="n">
        <f aca="false">IF($C360="","",IF(SUMIFS(Overrides!$E$9:$E$108,Overrides!$B$9:$B$108,$C360,Overrides!$C$9:$C$108,$L360)&gt;0,SUMIFS(Overrides!$E$9:$E$108,Overrides!$B$9:$B$108,$C360,Overrides!$C$9:$C$108,$L360),Recurring!$D$27))</f>
        <v>100</v>
      </c>
      <c r="F360" s="119"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19" t="str">
        <f aca="false">IF($L360="","",IF(SUMIFS(Overrides!$D$9:$D$108,Overrides!$B$9:$B$108,$C360,Overrides!$C$9:$C$108,$L360)&gt;0,SUMIFS(Overrides!$D$9:$D$108,Overrides!$B$9:$B$108,$C360,Overrides!$C$9:$C$108,$L360),$L360))</f>
        <v/>
      </c>
      <c r="H360" s="120" t="n">
        <f aca="false">IF($G360="",0,IF(AND($G360&gt;='Cash Flow'!$E$6,$G360&lt;'Cash Flow'!$E$6+91),1,0))</f>
        <v>0</v>
      </c>
      <c r="I360" s="120" t="str">
        <f aca="false">IF($H360=1,MAX(1,INT(($G360-'Cash Flow'!$E$6)/7)+1),"")</f>
        <v/>
      </c>
      <c r="J360" s="8" t="str">
        <f aca="false">IF($H360=1,$G360*10000+ROW(),"")</f>
        <v/>
      </c>
      <c r="K360" s="8" t="str">
        <f aca="false">IF($H360=1,$I360*1000+COUNTIFS($I$4:$I$483,$I360,$J$4:$J$483,"&lt;"&amp;$J360)+1,"")</f>
        <v/>
      </c>
      <c r="L360" s="121"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17" t="n">
        <v>23</v>
      </c>
      <c r="B361" s="117" t="n">
        <v>6</v>
      </c>
      <c r="C361" s="8" t="str">
        <f aca="false">IF(OR(Recurring!$B$27="",Recurring!$H$27&lt;&gt;"Yes",Recurring!$D$27=""),"",Recurring!$B$27)</f>
        <v>Earnin'</v>
      </c>
      <c r="D361" s="8" t="str">
        <f aca="false">IF($C361="","",Recurring!$C$27)</f>
        <v>Income</v>
      </c>
      <c r="E361" s="118" t="n">
        <f aca="false">IF($C361="","",IF(SUMIFS(Overrides!$E$9:$E$108,Overrides!$B$9:$B$108,$C361,Overrides!$C$9:$C$108,$L361)&gt;0,SUMIFS(Overrides!$E$9:$E$108,Overrides!$B$9:$B$108,$C361,Overrides!$C$9:$C$108,$L361),Recurring!$D$27))</f>
        <v>100</v>
      </c>
      <c r="F361" s="119"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19" t="str">
        <f aca="false">IF($L361="","",IF(SUMIFS(Overrides!$D$9:$D$108,Overrides!$B$9:$B$108,$C361,Overrides!$C$9:$C$108,$L361)&gt;0,SUMIFS(Overrides!$D$9:$D$108,Overrides!$B$9:$B$108,$C361,Overrides!$C$9:$C$108,$L361),$L361))</f>
        <v/>
      </c>
      <c r="H361" s="120" t="n">
        <f aca="false">IF($G361="",0,IF(AND($G361&gt;='Cash Flow'!$E$6,$G361&lt;'Cash Flow'!$E$6+91),1,0))</f>
        <v>0</v>
      </c>
      <c r="I361" s="120" t="str">
        <f aca="false">IF($H361=1,MAX(1,INT(($G361-'Cash Flow'!$E$6)/7)+1),"")</f>
        <v/>
      </c>
      <c r="J361" s="8" t="str">
        <f aca="false">IF($H361=1,$G361*10000+ROW(),"")</f>
        <v/>
      </c>
      <c r="K361" s="8" t="str">
        <f aca="false">IF($H361=1,$I361*1000+COUNTIFS($I$4:$I$483,$I361,$J$4:$J$483,"&lt;"&amp;$J361)+1,"")</f>
        <v/>
      </c>
      <c r="L361" s="121"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17" t="n">
        <v>23</v>
      </c>
      <c r="B362" s="117" t="n">
        <v>7</v>
      </c>
      <c r="C362" s="8" t="str">
        <f aca="false">IF(OR(Recurring!$B$27="",Recurring!$H$27&lt;&gt;"Yes",Recurring!$D$27=""),"",Recurring!$B$27)</f>
        <v>Earnin'</v>
      </c>
      <c r="D362" s="8" t="str">
        <f aca="false">IF($C362="","",Recurring!$C$27)</f>
        <v>Income</v>
      </c>
      <c r="E362" s="118" t="n">
        <f aca="false">IF($C362="","",IF(SUMIFS(Overrides!$E$9:$E$108,Overrides!$B$9:$B$108,$C362,Overrides!$C$9:$C$108,$L362)&gt;0,SUMIFS(Overrides!$E$9:$E$108,Overrides!$B$9:$B$108,$C362,Overrides!$C$9:$C$108,$L362),Recurring!$D$27))</f>
        <v>100</v>
      </c>
      <c r="F362" s="119"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19" t="str">
        <f aca="false">IF($L362="","",IF(SUMIFS(Overrides!$D$9:$D$108,Overrides!$B$9:$B$108,$C362,Overrides!$C$9:$C$108,$L362)&gt;0,SUMIFS(Overrides!$D$9:$D$108,Overrides!$B$9:$B$108,$C362,Overrides!$C$9:$C$108,$L362),$L362))</f>
        <v/>
      </c>
      <c r="H362" s="120" t="n">
        <f aca="false">IF($G362="",0,IF(AND($G362&gt;='Cash Flow'!$E$6,$G362&lt;'Cash Flow'!$E$6+91),1,0))</f>
        <v>0</v>
      </c>
      <c r="I362" s="120" t="str">
        <f aca="false">IF($H362=1,MAX(1,INT(($G362-'Cash Flow'!$E$6)/7)+1),"")</f>
        <v/>
      </c>
      <c r="J362" s="8" t="str">
        <f aca="false">IF($H362=1,$G362*10000+ROW(),"")</f>
        <v/>
      </c>
      <c r="K362" s="8" t="str">
        <f aca="false">IF($H362=1,$I362*1000+COUNTIFS($I$4:$I$483,$I362,$J$4:$J$483,"&lt;"&amp;$J362)+1,"")</f>
        <v/>
      </c>
      <c r="L362" s="121"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17" t="n">
        <v>23</v>
      </c>
      <c r="B363" s="117" t="n">
        <v>8</v>
      </c>
      <c r="C363" s="8" t="str">
        <f aca="false">IF(OR(Recurring!$B$27="",Recurring!$H$27&lt;&gt;"Yes",Recurring!$D$27=""),"",Recurring!$B$27)</f>
        <v>Earnin'</v>
      </c>
      <c r="D363" s="8" t="str">
        <f aca="false">IF($C363="","",Recurring!$C$27)</f>
        <v>Income</v>
      </c>
      <c r="E363" s="118" t="n">
        <f aca="false">IF($C363="","",IF(SUMIFS(Overrides!$E$9:$E$108,Overrides!$B$9:$B$108,$C363,Overrides!$C$9:$C$108,$L363)&gt;0,SUMIFS(Overrides!$E$9:$E$108,Overrides!$B$9:$B$108,$C363,Overrides!$C$9:$C$108,$L363),Recurring!$D$27))</f>
        <v>100</v>
      </c>
      <c r="F363" s="119"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19" t="str">
        <f aca="false">IF($L363="","",IF(SUMIFS(Overrides!$D$9:$D$108,Overrides!$B$9:$B$108,$C363,Overrides!$C$9:$C$108,$L363)&gt;0,SUMIFS(Overrides!$D$9:$D$108,Overrides!$B$9:$B$108,$C363,Overrides!$C$9:$C$108,$L363),$L363))</f>
        <v/>
      </c>
      <c r="H363" s="120" t="n">
        <f aca="false">IF($G363="",0,IF(AND($G363&gt;='Cash Flow'!$E$6,$G363&lt;'Cash Flow'!$E$6+91),1,0))</f>
        <v>0</v>
      </c>
      <c r="I363" s="120" t="str">
        <f aca="false">IF($H363=1,MAX(1,INT(($G363-'Cash Flow'!$E$6)/7)+1),"")</f>
        <v/>
      </c>
      <c r="J363" s="8" t="str">
        <f aca="false">IF($H363=1,$G363*10000+ROW(),"")</f>
        <v/>
      </c>
      <c r="K363" s="8" t="str">
        <f aca="false">IF($H363=1,$I363*1000+COUNTIFS($I$4:$I$483,$I363,$J$4:$J$483,"&lt;"&amp;$J363)+1,"")</f>
        <v/>
      </c>
      <c r="L363" s="121"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17" t="n">
        <v>23</v>
      </c>
      <c r="B364" s="117" t="n">
        <v>9</v>
      </c>
      <c r="C364" s="8" t="str">
        <f aca="false">IF(OR(Recurring!$B$27="",Recurring!$H$27&lt;&gt;"Yes",Recurring!$D$27=""),"",Recurring!$B$27)</f>
        <v>Earnin'</v>
      </c>
      <c r="D364" s="8" t="str">
        <f aca="false">IF($C364="","",Recurring!$C$27)</f>
        <v>Income</v>
      </c>
      <c r="E364" s="118" t="n">
        <f aca="false">IF($C364="","",IF(SUMIFS(Overrides!$E$9:$E$108,Overrides!$B$9:$B$108,$C364,Overrides!$C$9:$C$108,$L364)&gt;0,SUMIFS(Overrides!$E$9:$E$108,Overrides!$B$9:$B$108,$C364,Overrides!$C$9:$C$108,$L364),Recurring!$D$27))</f>
        <v>100</v>
      </c>
      <c r="F364" s="119"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19" t="str">
        <f aca="false">IF($L364="","",IF(SUMIFS(Overrides!$D$9:$D$108,Overrides!$B$9:$B$108,$C364,Overrides!$C$9:$C$108,$L364)&gt;0,SUMIFS(Overrides!$D$9:$D$108,Overrides!$B$9:$B$108,$C364,Overrides!$C$9:$C$108,$L364),$L364))</f>
        <v/>
      </c>
      <c r="H364" s="120" t="n">
        <f aca="false">IF($G364="",0,IF(AND($G364&gt;='Cash Flow'!$E$6,$G364&lt;'Cash Flow'!$E$6+91),1,0))</f>
        <v>0</v>
      </c>
      <c r="I364" s="120" t="str">
        <f aca="false">IF($H364=1,MAX(1,INT(($G364-'Cash Flow'!$E$6)/7)+1),"")</f>
        <v/>
      </c>
      <c r="J364" s="8" t="str">
        <f aca="false">IF($H364=1,$G364*10000+ROW(),"")</f>
        <v/>
      </c>
      <c r="K364" s="8" t="str">
        <f aca="false">IF($H364=1,$I364*1000+COUNTIFS($I$4:$I$483,$I364,$J$4:$J$483,"&lt;"&amp;$J364)+1,"")</f>
        <v/>
      </c>
      <c r="L364" s="121"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17" t="n">
        <v>23</v>
      </c>
      <c r="B365" s="117" t="n">
        <v>10</v>
      </c>
      <c r="C365" s="8" t="str">
        <f aca="false">IF(OR(Recurring!$B$27="",Recurring!$H$27&lt;&gt;"Yes",Recurring!$D$27=""),"",Recurring!$B$27)</f>
        <v>Earnin'</v>
      </c>
      <c r="D365" s="8" t="str">
        <f aca="false">IF($C365="","",Recurring!$C$27)</f>
        <v>Income</v>
      </c>
      <c r="E365" s="118" t="n">
        <f aca="false">IF($C365="","",IF(SUMIFS(Overrides!$E$9:$E$108,Overrides!$B$9:$B$108,$C365,Overrides!$C$9:$C$108,$L365)&gt;0,SUMIFS(Overrides!$E$9:$E$108,Overrides!$B$9:$B$108,$C365,Overrides!$C$9:$C$108,$L365),Recurring!$D$27))</f>
        <v>100</v>
      </c>
      <c r="F365" s="119"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19" t="str">
        <f aca="false">IF($L365="","",IF(SUMIFS(Overrides!$D$9:$D$108,Overrides!$B$9:$B$108,$C365,Overrides!$C$9:$C$108,$L365)&gt;0,SUMIFS(Overrides!$D$9:$D$108,Overrides!$B$9:$B$108,$C365,Overrides!$C$9:$C$108,$L365),$L365))</f>
        <v/>
      </c>
      <c r="H365" s="120" t="n">
        <f aca="false">IF($G365="",0,IF(AND($G365&gt;='Cash Flow'!$E$6,$G365&lt;'Cash Flow'!$E$6+91),1,0))</f>
        <v>0</v>
      </c>
      <c r="I365" s="120" t="str">
        <f aca="false">IF($H365=1,MAX(1,INT(($G365-'Cash Flow'!$E$6)/7)+1),"")</f>
        <v/>
      </c>
      <c r="J365" s="8" t="str">
        <f aca="false">IF($H365=1,$G365*10000+ROW(),"")</f>
        <v/>
      </c>
      <c r="K365" s="8" t="str">
        <f aca="false">IF($H365=1,$I365*1000+COUNTIFS($I$4:$I$483,$I365,$J$4:$J$483,"&lt;"&amp;$J365)+1,"")</f>
        <v/>
      </c>
      <c r="L365" s="121"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17" t="n">
        <v>23</v>
      </c>
      <c r="B366" s="117" t="n">
        <v>11</v>
      </c>
      <c r="C366" s="8" t="str">
        <f aca="false">IF(OR(Recurring!$B$27="",Recurring!$H$27&lt;&gt;"Yes",Recurring!$D$27=""),"",Recurring!$B$27)</f>
        <v>Earnin'</v>
      </c>
      <c r="D366" s="8" t="str">
        <f aca="false">IF($C366="","",Recurring!$C$27)</f>
        <v>Income</v>
      </c>
      <c r="E366" s="118" t="n">
        <f aca="false">IF($C366="","",IF(SUMIFS(Overrides!$E$9:$E$108,Overrides!$B$9:$B$108,$C366,Overrides!$C$9:$C$108,$L366)&gt;0,SUMIFS(Overrides!$E$9:$E$108,Overrides!$B$9:$B$108,$C366,Overrides!$C$9:$C$108,$L366),Recurring!$D$27))</f>
        <v>100</v>
      </c>
      <c r="F366" s="119"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19" t="str">
        <f aca="false">IF($L366="","",IF(SUMIFS(Overrides!$D$9:$D$108,Overrides!$B$9:$B$108,$C366,Overrides!$C$9:$C$108,$L366)&gt;0,SUMIFS(Overrides!$D$9:$D$108,Overrides!$B$9:$B$108,$C366,Overrides!$C$9:$C$108,$L366),$L366))</f>
        <v/>
      </c>
      <c r="H366" s="120" t="n">
        <f aca="false">IF($G366="",0,IF(AND($G366&gt;='Cash Flow'!$E$6,$G366&lt;'Cash Flow'!$E$6+91),1,0))</f>
        <v>0</v>
      </c>
      <c r="I366" s="120" t="str">
        <f aca="false">IF($H366=1,MAX(1,INT(($G366-'Cash Flow'!$E$6)/7)+1),"")</f>
        <v/>
      </c>
      <c r="J366" s="8" t="str">
        <f aca="false">IF($H366=1,$G366*10000+ROW(),"")</f>
        <v/>
      </c>
      <c r="K366" s="8" t="str">
        <f aca="false">IF($H366=1,$I366*1000+COUNTIFS($I$4:$I$483,$I366,$J$4:$J$483,"&lt;"&amp;$J366)+1,"")</f>
        <v/>
      </c>
      <c r="L366" s="121"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17" t="n">
        <v>23</v>
      </c>
      <c r="B367" s="117" t="n">
        <v>12</v>
      </c>
      <c r="C367" s="8" t="str">
        <f aca="false">IF(OR(Recurring!$B$27="",Recurring!$H$27&lt;&gt;"Yes",Recurring!$D$27=""),"",Recurring!$B$27)</f>
        <v>Earnin'</v>
      </c>
      <c r="D367" s="8" t="str">
        <f aca="false">IF($C367="","",Recurring!$C$27)</f>
        <v>Income</v>
      </c>
      <c r="E367" s="118" t="n">
        <f aca="false">IF($C367="","",IF(SUMIFS(Overrides!$E$9:$E$108,Overrides!$B$9:$B$108,$C367,Overrides!$C$9:$C$108,$L367)&gt;0,SUMIFS(Overrides!$E$9:$E$108,Overrides!$B$9:$B$108,$C367,Overrides!$C$9:$C$108,$L367),Recurring!$D$27))</f>
        <v>100</v>
      </c>
      <c r="F367" s="119"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19" t="str">
        <f aca="false">IF($L367="","",IF(SUMIFS(Overrides!$D$9:$D$108,Overrides!$B$9:$B$108,$C367,Overrides!$C$9:$C$108,$L367)&gt;0,SUMIFS(Overrides!$D$9:$D$108,Overrides!$B$9:$B$108,$C367,Overrides!$C$9:$C$108,$L367),$L367))</f>
        <v/>
      </c>
      <c r="H367" s="120" t="n">
        <f aca="false">IF($G367="",0,IF(AND($G367&gt;='Cash Flow'!$E$6,$G367&lt;'Cash Flow'!$E$6+91),1,0))</f>
        <v>0</v>
      </c>
      <c r="I367" s="120" t="str">
        <f aca="false">IF($H367=1,MAX(1,INT(($G367-'Cash Flow'!$E$6)/7)+1),"")</f>
        <v/>
      </c>
      <c r="J367" s="8" t="str">
        <f aca="false">IF($H367=1,$G367*10000+ROW(),"")</f>
        <v/>
      </c>
      <c r="K367" s="8" t="str">
        <f aca="false">IF($H367=1,$I367*1000+COUNTIFS($I$4:$I$483,$I367,$J$4:$J$483,"&lt;"&amp;$J367)+1,"")</f>
        <v/>
      </c>
      <c r="L367" s="121"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17" t="n">
        <v>23</v>
      </c>
      <c r="B368" s="117" t="n">
        <v>13</v>
      </c>
      <c r="C368" s="8" t="str">
        <f aca="false">IF(OR(Recurring!$B$27="",Recurring!$H$27&lt;&gt;"Yes",Recurring!$D$27=""),"",Recurring!$B$27)</f>
        <v>Earnin'</v>
      </c>
      <c r="D368" s="8" t="str">
        <f aca="false">IF($C368="","",Recurring!$C$27)</f>
        <v>Income</v>
      </c>
      <c r="E368" s="118" t="n">
        <f aca="false">IF($C368="","",IF(SUMIFS(Overrides!$E$9:$E$108,Overrides!$B$9:$B$108,$C368,Overrides!$C$9:$C$108,$L368)&gt;0,SUMIFS(Overrides!$E$9:$E$108,Overrides!$B$9:$B$108,$C368,Overrides!$C$9:$C$108,$L368),Recurring!$D$27))</f>
        <v>100</v>
      </c>
      <c r="F368" s="119"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19" t="str">
        <f aca="false">IF($L368="","",IF(SUMIFS(Overrides!$D$9:$D$108,Overrides!$B$9:$B$108,$C368,Overrides!$C$9:$C$108,$L368)&gt;0,SUMIFS(Overrides!$D$9:$D$108,Overrides!$B$9:$B$108,$C368,Overrides!$C$9:$C$108,$L368),$L368))</f>
        <v/>
      </c>
      <c r="H368" s="120" t="n">
        <f aca="false">IF($G368="",0,IF(AND($G368&gt;='Cash Flow'!$E$6,$G368&lt;'Cash Flow'!$E$6+91),1,0))</f>
        <v>0</v>
      </c>
      <c r="I368" s="120" t="str">
        <f aca="false">IF($H368=1,MAX(1,INT(($G368-'Cash Flow'!$E$6)/7)+1),"")</f>
        <v/>
      </c>
      <c r="J368" s="8" t="str">
        <f aca="false">IF($H368=1,$G368*10000+ROW(),"")</f>
        <v/>
      </c>
      <c r="K368" s="8" t="str">
        <f aca="false">IF($H368=1,$I368*1000+COUNTIFS($I$4:$I$483,$I368,$J$4:$J$483,"&lt;"&amp;$J368)+1,"")</f>
        <v/>
      </c>
      <c r="L368" s="121"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17" t="n">
        <v>23</v>
      </c>
      <c r="B369" s="117" t="n">
        <v>14</v>
      </c>
      <c r="C369" s="8" t="str">
        <f aca="false">IF(OR(Recurring!$B$27="",Recurring!$H$27&lt;&gt;"Yes",Recurring!$D$27=""),"",Recurring!$B$27)</f>
        <v>Earnin'</v>
      </c>
      <c r="D369" s="8" t="str">
        <f aca="false">IF($C369="","",Recurring!$C$27)</f>
        <v>Income</v>
      </c>
      <c r="E369" s="118" t="n">
        <f aca="false">IF($C369="","",IF(SUMIFS(Overrides!$E$9:$E$108,Overrides!$B$9:$B$108,$C369,Overrides!$C$9:$C$108,$L369)&gt;0,SUMIFS(Overrides!$E$9:$E$108,Overrides!$B$9:$B$108,$C369,Overrides!$C$9:$C$108,$L369),Recurring!$D$27))</f>
        <v>100</v>
      </c>
      <c r="F369" s="119"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19" t="str">
        <f aca="false">IF($L369="","",IF(SUMIFS(Overrides!$D$9:$D$108,Overrides!$B$9:$B$108,$C369,Overrides!$C$9:$C$108,$L369)&gt;0,SUMIFS(Overrides!$D$9:$D$108,Overrides!$B$9:$B$108,$C369,Overrides!$C$9:$C$108,$L369),$L369))</f>
        <v/>
      </c>
      <c r="H369" s="120" t="n">
        <f aca="false">IF($G369="",0,IF(AND($G369&gt;='Cash Flow'!$E$6,$G369&lt;'Cash Flow'!$E$6+91),1,0))</f>
        <v>0</v>
      </c>
      <c r="I369" s="120" t="str">
        <f aca="false">IF($H369=1,MAX(1,INT(($G369-'Cash Flow'!$E$6)/7)+1),"")</f>
        <v/>
      </c>
      <c r="J369" s="8" t="str">
        <f aca="false">IF($H369=1,$G369*10000+ROW(),"")</f>
        <v/>
      </c>
      <c r="K369" s="8" t="str">
        <f aca="false">IF($H369=1,$I369*1000+COUNTIFS($I$4:$I$483,$I369,$J$4:$J$483,"&lt;"&amp;$J369)+1,"")</f>
        <v/>
      </c>
      <c r="L369" s="121"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17" t="n">
        <v>23</v>
      </c>
      <c r="B370" s="117" t="n">
        <v>15</v>
      </c>
      <c r="C370" s="8" t="str">
        <f aca="false">IF(OR(Recurring!$B$27="",Recurring!$H$27&lt;&gt;"Yes",Recurring!$D$27=""),"",Recurring!$B$27)</f>
        <v>Earnin'</v>
      </c>
      <c r="D370" s="8" t="str">
        <f aca="false">IF($C370="","",Recurring!$C$27)</f>
        <v>Income</v>
      </c>
      <c r="E370" s="118" t="n">
        <f aca="false">IF($C370="","",IF(SUMIFS(Overrides!$E$9:$E$108,Overrides!$B$9:$B$108,$C370,Overrides!$C$9:$C$108,$L370)&gt;0,SUMIFS(Overrides!$E$9:$E$108,Overrides!$B$9:$B$108,$C370,Overrides!$C$9:$C$108,$L370),Recurring!$D$27))</f>
        <v>100</v>
      </c>
      <c r="F370" s="119"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19" t="str">
        <f aca="false">IF($L370="","",IF(SUMIFS(Overrides!$D$9:$D$108,Overrides!$B$9:$B$108,$C370,Overrides!$C$9:$C$108,$L370)&gt;0,SUMIFS(Overrides!$D$9:$D$108,Overrides!$B$9:$B$108,$C370,Overrides!$C$9:$C$108,$L370),$L370))</f>
        <v/>
      </c>
      <c r="H370" s="120" t="n">
        <f aca="false">IF($G370="",0,IF(AND($G370&gt;='Cash Flow'!$E$6,$G370&lt;'Cash Flow'!$E$6+91),1,0))</f>
        <v>0</v>
      </c>
      <c r="I370" s="120" t="str">
        <f aca="false">IF($H370=1,MAX(1,INT(($G370-'Cash Flow'!$E$6)/7)+1),"")</f>
        <v/>
      </c>
      <c r="J370" s="8" t="str">
        <f aca="false">IF($H370=1,$G370*10000+ROW(),"")</f>
        <v/>
      </c>
      <c r="K370" s="8" t="str">
        <f aca="false">IF($H370=1,$I370*1000+COUNTIFS($I$4:$I$483,$I370,$J$4:$J$483,"&lt;"&amp;$J370)+1,"")</f>
        <v/>
      </c>
      <c r="L370" s="121"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17" t="n">
        <v>23</v>
      </c>
      <c r="B371" s="117" t="n">
        <v>16</v>
      </c>
      <c r="C371" s="8" t="str">
        <f aca="false">IF(OR(Recurring!$B$27="",Recurring!$H$27&lt;&gt;"Yes",Recurring!$D$27=""),"",Recurring!$B$27)</f>
        <v>Earnin'</v>
      </c>
      <c r="D371" s="8" t="str">
        <f aca="false">IF($C371="","",Recurring!$C$27)</f>
        <v>Income</v>
      </c>
      <c r="E371" s="118" t="n">
        <f aca="false">IF($C371="","",IF(SUMIFS(Overrides!$E$9:$E$108,Overrides!$B$9:$B$108,$C371,Overrides!$C$9:$C$108,$L371)&gt;0,SUMIFS(Overrides!$E$9:$E$108,Overrides!$B$9:$B$108,$C371,Overrides!$C$9:$C$108,$L371),Recurring!$D$27))</f>
        <v>100</v>
      </c>
      <c r="F371" s="119"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19" t="str">
        <f aca="false">IF($L371="","",IF(SUMIFS(Overrides!$D$9:$D$108,Overrides!$B$9:$B$108,$C371,Overrides!$C$9:$C$108,$L371)&gt;0,SUMIFS(Overrides!$D$9:$D$108,Overrides!$B$9:$B$108,$C371,Overrides!$C$9:$C$108,$L371),$L371))</f>
        <v/>
      </c>
      <c r="H371" s="120" t="n">
        <f aca="false">IF($G371="",0,IF(AND($G371&gt;='Cash Flow'!$E$6,$G371&lt;'Cash Flow'!$E$6+91),1,0))</f>
        <v>0</v>
      </c>
      <c r="I371" s="120" t="str">
        <f aca="false">IF($H371=1,MAX(1,INT(($G371-'Cash Flow'!$E$6)/7)+1),"")</f>
        <v/>
      </c>
      <c r="J371" s="8" t="str">
        <f aca="false">IF($H371=1,$G371*10000+ROW(),"")</f>
        <v/>
      </c>
      <c r="K371" s="8" t="str">
        <f aca="false">IF($H371=1,$I371*1000+COUNTIFS($I$4:$I$483,$I371,$J$4:$J$483,"&lt;"&amp;$J371)+1,"")</f>
        <v/>
      </c>
      <c r="L371" s="121"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17" t="n">
        <v>24</v>
      </c>
      <c r="B372" s="117" t="n">
        <v>1</v>
      </c>
      <c r="C372" s="8" t="str">
        <f aca="false">IF(OR(Recurring!$B$28="",Recurring!$H$28&lt;&gt;"Yes",Recurring!$D$28=""),"",Recurring!$B$28)</f>
        <v/>
      </c>
      <c r="D372" s="8" t="str">
        <f aca="false">IF($C372="","",Recurring!$C$28)</f>
        <v/>
      </c>
      <c r="E372" s="118" t="str">
        <f aca="false">IF($C372="","",IF(SUMIFS(Overrides!$E$9:$E$108,Overrides!$B$9:$B$108,$C372,Overrides!$C$9:$C$108,$L372)&gt;0,SUMIFS(Overrides!$E$9:$E$108,Overrides!$B$9:$B$108,$C372,Overrides!$C$9:$C$108,$L372),Recurring!$D$28))</f>
        <v/>
      </c>
      <c r="F372" s="119"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19" t="str">
        <f aca="false">IF($L372="","",IF(SUMIFS(Overrides!$D$9:$D$108,Overrides!$B$9:$B$108,$C372,Overrides!$C$9:$C$108,$L372)&gt;0,SUMIFS(Overrides!$D$9:$D$108,Overrides!$B$9:$B$108,$C372,Overrides!$C$9:$C$108,$L372),$L372))</f>
        <v/>
      </c>
      <c r="H372" s="120" t="n">
        <f aca="false">IF($G372="",0,IF(AND($G372&gt;='Cash Flow'!$E$6-90,$G372&lt;'Cash Flow'!$E$6+91),1,0))</f>
        <v>0</v>
      </c>
      <c r="I372" s="120" t="str">
        <f aca="false">IF($H372=1,MAX(1,INT(($G372-'Cash Flow'!$E$6)/7)+1),"")</f>
        <v/>
      </c>
      <c r="J372" s="8" t="str">
        <f aca="false">IF($H372=1,$G372*10000+ROW(),"")</f>
        <v/>
      </c>
      <c r="K372" s="8" t="str">
        <f aca="false">IF($H372=1,$I372*1000+COUNTIFS($I$4:$I$483,$I372,$J$4:$J$483,"&lt;"&amp;$J372)+1,"")</f>
        <v/>
      </c>
      <c r="L372" s="121"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17" t="n">
        <v>24</v>
      </c>
      <c r="B373" s="117" t="n">
        <v>2</v>
      </c>
      <c r="C373" s="8" t="str">
        <f aca="false">IF(OR(Recurring!$B$28="",Recurring!$H$28&lt;&gt;"Yes",Recurring!$D$28=""),"",Recurring!$B$28)</f>
        <v/>
      </c>
      <c r="D373" s="8" t="str">
        <f aca="false">IF($C373="","",Recurring!$C$28)</f>
        <v/>
      </c>
      <c r="E373" s="118" t="str">
        <f aca="false">IF($C373="","",IF(SUMIFS(Overrides!$E$9:$E$108,Overrides!$B$9:$B$108,$C373,Overrides!$C$9:$C$108,$L373)&gt;0,SUMIFS(Overrides!$E$9:$E$108,Overrides!$B$9:$B$108,$C373,Overrides!$C$9:$C$108,$L373),Recurring!$D$28))</f>
        <v/>
      </c>
      <c r="F373" s="119"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19" t="str">
        <f aca="false">IF($L373="","",IF(SUMIFS(Overrides!$D$9:$D$108,Overrides!$B$9:$B$108,$C373,Overrides!$C$9:$C$108,$L373)&gt;0,SUMIFS(Overrides!$D$9:$D$108,Overrides!$B$9:$B$108,$C373,Overrides!$C$9:$C$108,$L373),$L373))</f>
        <v/>
      </c>
      <c r="H373" s="120" t="n">
        <f aca="false">IF($G373="",0,IF(AND($G373&gt;='Cash Flow'!$E$6,$G373&lt;'Cash Flow'!$E$6+91),1,0))</f>
        <v>0</v>
      </c>
      <c r="I373" s="120" t="str">
        <f aca="false">IF($H373=1,MAX(1,INT(($G373-'Cash Flow'!$E$6)/7)+1),"")</f>
        <v/>
      </c>
      <c r="J373" s="8" t="str">
        <f aca="false">IF($H373=1,$G373*10000+ROW(),"")</f>
        <v/>
      </c>
      <c r="K373" s="8" t="str">
        <f aca="false">IF($H373=1,$I373*1000+COUNTIFS($I$4:$I$483,$I373,$J$4:$J$483,"&lt;"&amp;$J373)+1,"")</f>
        <v/>
      </c>
      <c r="L373" s="121"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17" t="n">
        <v>24</v>
      </c>
      <c r="B374" s="117" t="n">
        <v>3</v>
      </c>
      <c r="C374" s="8" t="str">
        <f aca="false">IF(OR(Recurring!$B$28="",Recurring!$H$28&lt;&gt;"Yes",Recurring!$D$28=""),"",Recurring!$B$28)</f>
        <v/>
      </c>
      <c r="D374" s="8" t="str">
        <f aca="false">IF($C374="","",Recurring!$C$28)</f>
        <v/>
      </c>
      <c r="E374" s="118" t="str">
        <f aca="false">IF($C374="","",IF(SUMIFS(Overrides!$E$9:$E$108,Overrides!$B$9:$B$108,$C374,Overrides!$C$9:$C$108,$L374)&gt;0,SUMIFS(Overrides!$E$9:$E$108,Overrides!$B$9:$B$108,$C374,Overrides!$C$9:$C$108,$L374),Recurring!$D$28))</f>
        <v/>
      </c>
      <c r="F374" s="119"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19" t="str">
        <f aca="false">IF($L374="","",IF(SUMIFS(Overrides!$D$9:$D$108,Overrides!$B$9:$B$108,$C374,Overrides!$C$9:$C$108,$L374)&gt;0,SUMIFS(Overrides!$D$9:$D$108,Overrides!$B$9:$B$108,$C374,Overrides!$C$9:$C$108,$L374),$L374))</f>
        <v/>
      </c>
      <c r="H374" s="120" t="n">
        <f aca="false">IF($G374="",0,IF(AND($G374&gt;='Cash Flow'!$E$6,$G374&lt;'Cash Flow'!$E$6+91),1,0))</f>
        <v>0</v>
      </c>
      <c r="I374" s="120" t="str">
        <f aca="false">IF($H374=1,MAX(1,INT(($G374-'Cash Flow'!$E$6)/7)+1),"")</f>
        <v/>
      </c>
      <c r="J374" s="8" t="str">
        <f aca="false">IF($H374=1,$G374*10000+ROW(),"")</f>
        <v/>
      </c>
      <c r="K374" s="8" t="str">
        <f aca="false">IF($H374=1,$I374*1000+COUNTIFS($I$4:$I$483,$I374,$J$4:$J$483,"&lt;"&amp;$J374)+1,"")</f>
        <v/>
      </c>
      <c r="L374" s="121"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17" t="n">
        <v>24</v>
      </c>
      <c r="B375" s="117" t="n">
        <v>4</v>
      </c>
      <c r="C375" s="8" t="str">
        <f aca="false">IF(OR(Recurring!$B$28="",Recurring!$H$28&lt;&gt;"Yes",Recurring!$D$28=""),"",Recurring!$B$28)</f>
        <v/>
      </c>
      <c r="D375" s="8" t="str">
        <f aca="false">IF($C375="","",Recurring!$C$28)</f>
        <v/>
      </c>
      <c r="E375" s="118" t="str">
        <f aca="false">IF($C375="","",IF(SUMIFS(Overrides!$E$9:$E$108,Overrides!$B$9:$B$108,$C375,Overrides!$C$9:$C$108,$L375)&gt;0,SUMIFS(Overrides!$E$9:$E$108,Overrides!$B$9:$B$108,$C375,Overrides!$C$9:$C$108,$L375),Recurring!$D$28))</f>
        <v/>
      </c>
      <c r="F375" s="119"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19" t="str">
        <f aca="false">IF($L375="","",IF(SUMIFS(Overrides!$D$9:$D$108,Overrides!$B$9:$B$108,$C375,Overrides!$C$9:$C$108,$L375)&gt;0,SUMIFS(Overrides!$D$9:$D$108,Overrides!$B$9:$B$108,$C375,Overrides!$C$9:$C$108,$L375),$L375))</f>
        <v/>
      </c>
      <c r="H375" s="120" t="n">
        <f aca="false">IF($G375="",0,IF(AND($G375&gt;='Cash Flow'!$E$6,$G375&lt;'Cash Flow'!$E$6+91),1,0))</f>
        <v>0</v>
      </c>
      <c r="I375" s="120" t="str">
        <f aca="false">IF($H375=1,MAX(1,INT(($G375-'Cash Flow'!$E$6)/7)+1),"")</f>
        <v/>
      </c>
      <c r="J375" s="8" t="str">
        <f aca="false">IF($H375=1,$G375*10000+ROW(),"")</f>
        <v/>
      </c>
      <c r="K375" s="8" t="str">
        <f aca="false">IF($H375=1,$I375*1000+COUNTIFS($I$4:$I$483,$I375,$J$4:$J$483,"&lt;"&amp;$J375)+1,"")</f>
        <v/>
      </c>
      <c r="L375" s="121"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17" t="n">
        <v>24</v>
      </c>
      <c r="B376" s="117" t="n">
        <v>5</v>
      </c>
      <c r="C376" s="8" t="str">
        <f aca="false">IF(OR(Recurring!$B$28="",Recurring!$H$28&lt;&gt;"Yes",Recurring!$D$28=""),"",Recurring!$B$28)</f>
        <v/>
      </c>
      <c r="D376" s="8" t="str">
        <f aca="false">IF($C376="","",Recurring!$C$28)</f>
        <v/>
      </c>
      <c r="E376" s="118" t="str">
        <f aca="false">IF($C376="","",IF(SUMIFS(Overrides!$E$9:$E$108,Overrides!$B$9:$B$108,$C376,Overrides!$C$9:$C$108,$L376)&gt;0,SUMIFS(Overrides!$E$9:$E$108,Overrides!$B$9:$B$108,$C376,Overrides!$C$9:$C$108,$L376),Recurring!$D$28))</f>
        <v/>
      </c>
      <c r="F376" s="119"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19" t="str">
        <f aca="false">IF($L376="","",IF(SUMIFS(Overrides!$D$9:$D$108,Overrides!$B$9:$B$108,$C376,Overrides!$C$9:$C$108,$L376)&gt;0,SUMIFS(Overrides!$D$9:$D$108,Overrides!$B$9:$B$108,$C376,Overrides!$C$9:$C$108,$L376),$L376))</f>
        <v/>
      </c>
      <c r="H376" s="120" t="n">
        <f aca="false">IF($G376="",0,IF(AND($G376&gt;='Cash Flow'!$E$6,$G376&lt;'Cash Flow'!$E$6+91),1,0))</f>
        <v>0</v>
      </c>
      <c r="I376" s="120" t="str">
        <f aca="false">IF($H376=1,MAX(1,INT(($G376-'Cash Flow'!$E$6)/7)+1),"")</f>
        <v/>
      </c>
      <c r="J376" s="8" t="str">
        <f aca="false">IF($H376=1,$G376*10000+ROW(),"")</f>
        <v/>
      </c>
      <c r="K376" s="8" t="str">
        <f aca="false">IF($H376=1,$I376*1000+COUNTIFS($I$4:$I$483,$I376,$J$4:$J$483,"&lt;"&amp;$J376)+1,"")</f>
        <v/>
      </c>
      <c r="L376" s="121"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17" t="n">
        <v>24</v>
      </c>
      <c r="B377" s="117" t="n">
        <v>6</v>
      </c>
      <c r="C377" s="8" t="str">
        <f aca="false">IF(OR(Recurring!$B$28="",Recurring!$H$28&lt;&gt;"Yes",Recurring!$D$28=""),"",Recurring!$B$28)</f>
        <v/>
      </c>
      <c r="D377" s="8" t="str">
        <f aca="false">IF($C377="","",Recurring!$C$28)</f>
        <v/>
      </c>
      <c r="E377" s="118" t="str">
        <f aca="false">IF($C377="","",IF(SUMIFS(Overrides!$E$9:$E$108,Overrides!$B$9:$B$108,$C377,Overrides!$C$9:$C$108,$L377)&gt;0,SUMIFS(Overrides!$E$9:$E$108,Overrides!$B$9:$B$108,$C377,Overrides!$C$9:$C$108,$L377),Recurring!$D$28))</f>
        <v/>
      </c>
      <c r="F377" s="119"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19" t="str">
        <f aca="false">IF($L377="","",IF(SUMIFS(Overrides!$D$9:$D$108,Overrides!$B$9:$B$108,$C377,Overrides!$C$9:$C$108,$L377)&gt;0,SUMIFS(Overrides!$D$9:$D$108,Overrides!$B$9:$B$108,$C377,Overrides!$C$9:$C$108,$L377),$L377))</f>
        <v/>
      </c>
      <c r="H377" s="120" t="n">
        <f aca="false">IF($G377="",0,IF(AND($G377&gt;='Cash Flow'!$E$6,$G377&lt;'Cash Flow'!$E$6+91),1,0))</f>
        <v>0</v>
      </c>
      <c r="I377" s="120" t="str">
        <f aca="false">IF($H377=1,MAX(1,INT(($G377-'Cash Flow'!$E$6)/7)+1),"")</f>
        <v/>
      </c>
      <c r="J377" s="8" t="str">
        <f aca="false">IF($H377=1,$G377*10000+ROW(),"")</f>
        <v/>
      </c>
      <c r="K377" s="8" t="str">
        <f aca="false">IF($H377=1,$I377*1000+COUNTIFS($I$4:$I$483,$I377,$J$4:$J$483,"&lt;"&amp;$J377)+1,"")</f>
        <v/>
      </c>
      <c r="L377" s="121"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17" t="n">
        <v>24</v>
      </c>
      <c r="B378" s="117" t="n">
        <v>7</v>
      </c>
      <c r="C378" s="8" t="str">
        <f aca="false">IF(OR(Recurring!$B$28="",Recurring!$H$28&lt;&gt;"Yes",Recurring!$D$28=""),"",Recurring!$B$28)</f>
        <v/>
      </c>
      <c r="D378" s="8" t="str">
        <f aca="false">IF($C378="","",Recurring!$C$28)</f>
        <v/>
      </c>
      <c r="E378" s="118" t="str">
        <f aca="false">IF($C378="","",IF(SUMIFS(Overrides!$E$9:$E$108,Overrides!$B$9:$B$108,$C378,Overrides!$C$9:$C$108,$L378)&gt;0,SUMIFS(Overrides!$E$9:$E$108,Overrides!$B$9:$B$108,$C378,Overrides!$C$9:$C$108,$L378),Recurring!$D$28))</f>
        <v/>
      </c>
      <c r="F378" s="119"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19" t="str">
        <f aca="false">IF($L378="","",IF(SUMIFS(Overrides!$D$9:$D$108,Overrides!$B$9:$B$108,$C378,Overrides!$C$9:$C$108,$L378)&gt;0,SUMIFS(Overrides!$D$9:$D$108,Overrides!$B$9:$B$108,$C378,Overrides!$C$9:$C$108,$L378),$L378))</f>
        <v/>
      </c>
      <c r="H378" s="120" t="n">
        <f aca="false">IF($G378="",0,IF(AND($G378&gt;='Cash Flow'!$E$6,$G378&lt;'Cash Flow'!$E$6+91),1,0))</f>
        <v>0</v>
      </c>
      <c r="I378" s="120" t="str">
        <f aca="false">IF($H378=1,MAX(1,INT(($G378-'Cash Flow'!$E$6)/7)+1),"")</f>
        <v/>
      </c>
      <c r="J378" s="8" t="str">
        <f aca="false">IF($H378=1,$G378*10000+ROW(),"")</f>
        <v/>
      </c>
      <c r="K378" s="8" t="str">
        <f aca="false">IF($H378=1,$I378*1000+COUNTIFS($I$4:$I$483,$I378,$J$4:$J$483,"&lt;"&amp;$J378)+1,"")</f>
        <v/>
      </c>
      <c r="L378" s="121"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17" t="n">
        <v>24</v>
      </c>
      <c r="B379" s="117" t="n">
        <v>8</v>
      </c>
      <c r="C379" s="8" t="str">
        <f aca="false">IF(OR(Recurring!$B$28="",Recurring!$H$28&lt;&gt;"Yes",Recurring!$D$28=""),"",Recurring!$B$28)</f>
        <v/>
      </c>
      <c r="D379" s="8" t="str">
        <f aca="false">IF($C379="","",Recurring!$C$28)</f>
        <v/>
      </c>
      <c r="E379" s="118" t="str">
        <f aca="false">IF($C379="","",IF(SUMIFS(Overrides!$E$9:$E$108,Overrides!$B$9:$B$108,$C379,Overrides!$C$9:$C$108,$L379)&gt;0,SUMIFS(Overrides!$E$9:$E$108,Overrides!$B$9:$B$108,$C379,Overrides!$C$9:$C$108,$L379),Recurring!$D$28))</f>
        <v/>
      </c>
      <c r="F379" s="119"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19" t="str">
        <f aca="false">IF($L379="","",IF(SUMIFS(Overrides!$D$9:$D$108,Overrides!$B$9:$B$108,$C379,Overrides!$C$9:$C$108,$L379)&gt;0,SUMIFS(Overrides!$D$9:$D$108,Overrides!$B$9:$B$108,$C379,Overrides!$C$9:$C$108,$L379),$L379))</f>
        <v/>
      </c>
      <c r="H379" s="120" t="n">
        <f aca="false">IF($G379="",0,IF(AND($G379&gt;='Cash Flow'!$E$6,$G379&lt;'Cash Flow'!$E$6+91),1,0))</f>
        <v>0</v>
      </c>
      <c r="I379" s="120" t="str">
        <f aca="false">IF($H379=1,MAX(1,INT(($G379-'Cash Flow'!$E$6)/7)+1),"")</f>
        <v/>
      </c>
      <c r="J379" s="8" t="str">
        <f aca="false">IF($H379=1,$G379*10000+ROW(),"")</f>
        <v/>
      </c>
      <c r="K379" s="8" t="str">
        <f aca="false">IF($H379=1,$I379*1000+COUNTIFS($I$4:$I$483,$I379,$J$4:$J$483,"&lt;"&amp;$J379)+1,"")</f>
        <v/>
      </c>
      <c r="L379" s="121"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17" t="n">
        <v>24</v>
      </c>
      <c r="B380" s="117" t="n">
        <v>9</v>
      </c>
      <c r="C380" s="8" t="str">
        <f aca="false">IF(OR(Recurring!$B$28="",Recurring!$H$28&lt;&gt;"Yes",Recurring!$D$28=""),"",Recurring!$B$28)</f>
        <v/>
      </c>
      <c r="D380" s="8" t="str">
        <f aca="false">IF($C380="","",Recurring!$C$28)</f>
        <v/>
      </c>
      <c r="E380" s="118" t="str">
        <f aca="false">IF($C380="","",IF(SUMIFS(Overrides!$E$9:$E$108,Overrides!$B$9:$B$108,$C380,Overrides!$C$9:$C$108,$L380)&gt;0,SUMIFS(Overrides!$E$9:$E$108,Overrides!$B$9:$B$108,$C380,Overrides!$C$9:$C$108,$L380),Recurring!$D$28))</f>
        <v/>
      </c>
      <c r="F380" s="119"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19" t="str">
        <f aca="false">IF($L380="","",IF(SUMIFS(Overrides!$D$9:$D$108,Overrides!$B$9:$B$108,$C380,Overrides!$C$9:$C$108,$L380)&gt;0,SUMIFS(Overrides!$D$9:$D$108,Overrides!$B$9:$B$108,$C380,Overrides!$C$9:$C$108,$L380),$L380))</f>
        <v/>
      </c>
      <c r="H380" s="120" t="n">
        <f aca="false">IF($G380="",0,IF(AND($G380&gt;='Cash Flow'!$E$6,$G380&lt;'Cash Flow'!$E$6+91),1,0))</f>
        <v>0</v>
      </c>
      <c r="I380" s="120" t="str">
        <f aca="false">IF($H380=1,MAX(1,INT(($G380-'Cash Flow'!$E$6)/7)+1),"")</f>
        <v/>
      </c>
      <c r="J380" s="8" t="str">
        <f aca="false">IF($H380=1,$G380*10000+ROW(),"")</f>
        <v/>
      </c>
      <c r="K380" s="8" t="str">
        <f aca="false">IF($H380=1,$I380*1000+COUNTIFS($I$4:$I$483,$I380,$J$4:$J$483,"&lt;"&amp;$J380)+1,"")</f>
        <v/>
      </c>
      <c r="L380" s="121"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17" t="n">
        <v>24</v>
      </c>
      <c r="B381" s="117" t="n">
        <v>10</v>
      </c>
      <c r="C381" s="8" t="str">
        <f aca="false">IF(OR(Recurring!$B$28="",Recurring!$H$28&lt;&gt;"Yes",Recurring!$D$28=""),"",Recurring!$B$28)</f>
        <v/>
      </c>
      <c r="D381" s="8" t="str">
        <f aca="false">IF($C381="","",Recurring!$C$28)</f>
        <v/>
      </c>
      <c r="E381" s="118" t="str">
        <f aca="false">IF($C381="","",IF(SUMIFS(Overrides!$E$9:$E$108,Overrides!$B$9:$B$108,$C381,Overrides!$C$9:$C$108,$L381)&gt;0,SUMIFS(Overrides!$E$9:$E$108,Overrides!$B$9:$B$108,$C381,Overrides!$C$9:$C$108,$L381),Recurring!$D$28))</f>
        <v/>
      </c>
      <c r="F381" s="119"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19" t="str">
        <f aca="false">IF($L381="","",IF(SUMIFS(Overrides!$D$9:$D$108,Overrides!$B$9:$B$108,$C381,Overrides!$C$9:$C$108,$L381)&gt;0,SUMIFS(Overrides!$D$9:$D$108,Overrides!$B$9:$B$108,$C381,Overrides!$C$9:$C$108,$L381),$L381))</f>
        <v/>
      </c>
      <c r="H381" s="120" t="n">
        <f aca="false">IF($G381="",0,IF(AND($G381&gt;='Cash Flow'!$E$6,$G381&lt;'Cash Flow'!$E$6+91),1,0))</f>
        <v>0</v>
      </c>
      <c r="I381" s="120" t="str">
        <f aca="false">IF($H381=1,MAX(1,INT(($G381-'Cash Flow'!$E$6)/7)+1),"")</f>
        <v/>
      </c>
      <c r="J381" s="8" t="str">
        <f aca="false">IF($H381=1,$G381*10000+ROW(),"")</f>
        <v/>
      </c>
      <c r="K381" s="8" t="str">
        <f aca="false">IF($H381=1,$I381*1000+COUNTIFS($I$4:$I$483,$I381,$J$4:$J$483,"&lt;"&amp;$J381)+1,"")</f>
        <v/>
      </c>
      <c r="L381" s="121"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17" t="n">
        <v>24</v>
      </c>
      <c r="B382" s="117" t="n">
        <v>11</v>
      </c>
      <c r="C382" s="8" t="str">
        <f aca="false">IF(OR(Recurring!$B$28="",Recurring!$H$28&lt;&gt;"Yes",Recurring!$D$28=""),"",Recurring!$B$28)</f>
        <v/>
      </c>
      <c r="D382" s="8" t="str">
        <f aca="false">IF($C382="","",Recurring!$C$28)</f>
        <v/>
      </c>
      <c r="E382" s="118" t="str">
        <f aca="false">IF($C382="","",IF(SUMIFS(Overrides!$E$9:$E$108,Overrides!$B$9:$B$108,$C382,Overrides!$C$9:$C$108,$L382)&gt;0,SUMIFS(Overrides!$E$9:$E$108,Overrides!$B$9:$B$108,$C382,Overrides!$C$9:$C$108,$L382),Recurring!$D$28))</f>
        <v/>
      </c>
      <c r="F382" s="119"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19" t="str">
        <f aca="false">IF($L382="","",IF(SUMIFS(Overrides!$D$9:$D$108,Overrides!$B$9:$B$108,$C382,Overrides!$C$9:$C$108,$L382)&gt;0,SUMIFS(Overrides!$D$9:$D$108,Overrides!$B$9:$B$108,$C382,Overrides!$C$9:$C$108,$L382),$L382))</f>
        <v/>
      </c>
      <c r="H382" s="120" t="n">
        <f aca="false">IF($G382="",0,IF(AND($G382&gt;='Cash Flow'!$E$6,$G382&lt;'Cash Flow'!$E$6+91),1,0))</f>
        <v>0</v>
      </c>
      <c r="I382" s="120" t="str">
        <f aca="false">IF($H382=1,MAX(1,INT(($G382-'Cash Flow'!$E$6)/7)+1),"")</f>
        <v/>
      </c>
      <c r="J382" s="8" t="str">
        <f aca="false">IF($H382=1,$G382*10000+ROW(),"")</f>
        <v/>
      </c>
      <c r="K382" s="8" t="str">
        <f aca="false">IF($H382=1,$I382*1000+COUNTIFS($I$4:$I$483,$I382,$J$4:$J$483,"&lt;"&amp;$J382)+1,"")</f>
        <v/>
      </c>
      <c r="L382" s="121"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17" t="n">
        <v>24</v>
      </c>
      <c r="B383" s="117" t="n">
        <v>12</v>
      </c>
      <c r="C383" s="8" t="str">
        <f aca="false">IF(OR(Recurring!$B$28="",Recurring!$H$28&lt;&gt;"Yes",Recurring!$D$28=""),"",Recurring!$B$28)</f>
        <v/>
      </c>
      <c r="D383" s="8" t="str">
        <f aca="false">IF($C383="","",Recurring!$C$28)</f>
        <v/>
      </c>
      <c r="E383" s="118" t="str">
        <f aca="false">IF($C383="","",IF(SUMIFS(Overrides!$E$9:$E$108,Overrides!$B$9:$B$108,$C383,Overrides!$C$9:$C$108,$L383)&gt;0,SUMIFS(Overrides!$E$9:$E$108,Overrides!$B$9:$B$108,$C383,Overrides!$C$9:$C$108,$L383),Recurring!$D$28))</f>
        <v/>
      </c>
      <c r="F383" s="119"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19" t="str">
        <f aca="false">IF($L383="","",IF(SUMIFS(Overrides!$D$9:$D$108,Overrides!$B$9:$B$108,$C383,Overrides!$C$9:$C$108,$L383)&gt;0,SUMIFS(Overrides!$D$9:$D$108,Overrides!$B$9:$B$108,$C383,Overrides!$C$9:$C$108,$L383),$L383))</f>
        <v/>
      </c>
      <c r="H383" s="120" t="n">
        <f aca="false">IF($G383="",0,IF(AND($G383&gt;='Cash Flow'!$E$6,$G383&lt;'Cash Flow'!$E$6+91),1,0))</f>
        <v>0</v>
      </c>
      <c r="I383" s="120" t="str">
        <f aca="false">IF($H383=1,MAX(1,INT(($G383-'Cash Flow'!$E$6)/7)+1),"")</f>
        <v/>
      </c>
      <c r="J383" s="8" t="str">
        <f aca="false">IF($H383=1,$G383*10000+ROW(),"")</f>
        <v/>
      </c>
      <c r="K383" s="8" t="str">
        <f aca="false">IF($H383=1,$I383*1000+COUNTIFS($I$4:$I$483,$I383,$J$4:$J$483,"&lt;"&amp;$J383)+1,"")</f>
        <v/>
      </c>
      <c r="L383" s="121"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17" t="n">
        <v>24</v>
      </c>
      <c r="B384" s="117" t="n">
        <v>13</v>
      </c>
      <c r="C384" s="8" t="str">
        <f aca="false">IF(OR(Recurring!$B$28="",Recurring!$H$28&lt;&gt;"Yes",Recurring!$D$28=""),"",Recurring!$B$28)</f>
        <v/>
      </c>
      <c r="D384" s="8" t="str">
        <f aca="false">IF($C384="","",Recurring!$C$28)</f>
        <v/>
      </c>
      <c r="E384" s="118" t="str">
        <f aca="false">IF($C384="","",IF(SUMIFS(Overrides!$E$9:$E$108,Overrides!$B$9:$B$108,$C384,Overrides!$C$9:$C$108,$L384)&gt;0,SUMIFS(Overrides!$E$9:$E$108,Overrides!$B$9:$B$108,$C384,Overrides!$C$9:$C$108,$L384),Recurring!$D$28))</f>
        <v/>
      </c>
      <c r="F384" s="119"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19" t="str">
        <f aca="false">IF($L384="","",IF(SUMIFS(Overrides!$D$9:$D$108,Overrides!$B$9:$B$108,$C384,Overrides!$C$9:$C$108,$L384)&gt;0,SUMIFS(Overrides!$D$9:$D$108,Overrides!$B$9:$B$108,$C384,Overrides!$C$9:$C$108,$L384),$L384))</f>
        <v/>
      </c>
      <c r="H384" s="120" t="n">
        <f aca="false">IF($G384="",0,IF(AND($G384&gt;='Cash Flow'!$E$6,$G384&lt;'Cash Flow'!$E$6+91),1,0))</f>
        <v>0</v>
      </c>
      <c r="I384" s="120" t="str">
        <f aca="false">IF($H384=1,MAX(1,INT(($G384-'Cash Flow'!$E$6)/7)+1),"")</f>
        <v/>
      </c>
      <c r="J384" s="8" t="str">
        <f aca="false">IF($H384=1,$G384*10000+ROW(),"")</f>
        <v/>
      </c>
      <c r="K384" s="8" t="str">
        <f aca="false">IF($H384=1,$I384*1000+COUNTIFS($I$4:$I$483,$I384,$J$4:$J$483,"&lt;"&amp;$J384)+1,"")</f>
        <v/>
      </c>
      <c r="L384" s="121"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17" t="n">
        <v>24</v>
      </c>
      <c r="B385" s="117" t="n">
        <v>14</v>
      </c>
      <c r="C385" s="8" t="str">
        <f aca="false">IF(OR(Recurring!$B$28="",Recurring!$H$28&lt;&gt;"Yes",Recurring!$D$28=""),"",Recurring!$B$28)</f>
        <v/>
      </c>
      <c r="D385" s="8" t="str">
        <f aca="false">IF($C385="","",Recurring!$C$28)</f>
        <v/>
      </c>
      <c r="E385" s="118" t="str">
        <f aca="false">IF($C385="","",IF(SUMIFS(Overrides!$E$9:$E$108,Overrides!$B$9:$B$108,$C385,Overrides!$C$9:$C$108,$L385)&gt;0,SUMIFS(Overrides!$E$9:$E$108,Overrides!$B$9:$B$108,$C385,Overrides!$C$9:$C$108,$L385),Recurring!$D$28))</f>
        <v/>
      </c>
      <c r="F385" s="119"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19" t="str">
        <f aca="false">IF($L385="","",IF(SUMIFS(Overrides!$D$9:$D$108,Overrides!$B$9:$B$108,$C385,Overrides!$C$9:$C$108,$L385)&gt;0,SUMIFS(Overrides!$D$9:$D$108,Overrides!$B$9:$B$108,$C385,Overrides!$C$9:$C$108,$L385),$L385))</f>
        <v/>
      </c>
      <c r="H385" s="120" t="n">
        <f aca="false">IF($G385="",0,IF(AND($G385&gt;='Cash Flow'!$E$6,$G385&lt;'Cash Flow'!$E$6+91),1,0))</f>
        <v>0</v>
      </c>
      <c r="I385" s="120" t="str">
        <f aca="false">IF($H385=1,MAX(1,INT(($G385-'Cash Flow'!$E$6)/7)+1),"")</f>
        <v/>
      </c>
      <c r="J385" s="8" t="str">
        <f aca="false">IF($H385=1,$G385*10000+ROW(),"")</f>
        <v/>
      </c>
      <c r="K385" s="8" t="str">
        <f aca="false">IF($H385=1,$I385*1000+COUNTIFS($I$4:$I$483,$I385,$J$4:$J$483,"&lt;"&amp;$J385)+1,"")</f>
        <v/>
      </c>
      <c r="L385" s="121"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17" t="n">
        <v>24</v>
      </c>
      <c r="B386" s="117" t="n">
        <v>15</v>
      </c>
      <c r="C386" s="8" t="str">
        <f aca="false">IF(OR(Recurring!$B$28="",Recurring!$H$28&lt;&gt;"Yes",Recurring!$D$28=""),"",Recurring!$B$28)</f>
        <v/>
      </c>
      <c r="D386" s="8" t="str">
        <f aca="false">IF($C386="","",Recurring!$C$28)</f>
        <v/>
      </c>
      <c r="E386" s="118" t="str">
        <f aca="false">IF($C386="","",IF(SUMIFS(Overrides!$E$9:$E$108,Overrides!$B$9:$B$108,$C386,Overrides!$C$9:$C$108,$L386)&gt;0,SUMIFS(Overrides!$E$9:$E$108,Overrides!$B$9:$B$108,$C386,Overrides!$C$9:$C$108,$L386),Recurring!$D$28))</f>
        <v/>
      </c>
      <c r="F386" s="119"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19" t="str">
        <f aca="false">IF($L386="","",IF(SUMIFS(Overrides!$D$9:$D$108,Overrides!$B$9:$B$108,$C386,Overrides!$C$9:$C$108,$L386)&gt;0,SUMIFS(Overrides!$D$9:$D$108,Overrides!$B$9:$B$108,$C386,Overrides!$C$9:$C$108,$L386),$L386))</f>
        <v/>
      </c>
      <c r="H386" s="120" t="n">
        <f aca="false">IF($G386="",0,IF(AND($G386&gt;='Cash Flow'!$E$6,$G386&lt;'Cash Flow'!$E$6+91),1,0))</f>
        <v>0</v>
      </c>
      <c r="I386" s="120" t="str">
        <f aca="false">IF($H386=1,MAX(1,INT(($G386-'Cash Flow'!$E$6)/7)+1),"")</f>
        <v/>
      </c>
      <c r="J386" s="8" t="str">
        <f aca="false">IF($H386=1,$G386*10000+ROW(),"")</f>
        <v/>
      </c>
      <c r="K386" s="8" t="str">
        <f aca="false">IF($H386=1,$I386*1000+COUNTIFS($I$4:$I$483,$I386,$J$4:$J$483,"&lt;"&amp;$J386)+1,"")</f>
        <v/>
      </c>
      <c r="L386" s="121"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17" t="n">
        <v>24</v>
      </c>
      <c r="B387" s="117" t="n">
        <v>16</v>
      </c>
      <c r="C387" s="8" t="str">
        <f aca="false">IF(OR(Recurring!$B$28="",Recurring!$H$28&lt;&gt;"Yes",Recurring!$D$28=""),"",Recurring!$B$28)</f>
        <v/>
      </c>
      <c r="D387" s="8" t="str">
        <f aca="false">IF($C387="","",Recurring!$C$28)</f>
        <v/>
      </c>
      <c r="E387" s="118" t="str">
        <f aca="false">IF($C387="","",IF(SUMIFS(Overrides!$E$9:$E$108,Overrides!$B$9:$B$108,$C387,Overrides!$C$9:$C$108,$L387)&gt;0,SUMIFS(Overrides!$E$9:$E$108,Overrides!$B$9:$B$108,$C387,Overrides!$C$9:$C$108,$L387),Recurring!$D$28))</f>
        <v/>
      </c>
      <c r="F387" s="119"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19" t="str">
        <f aca="false">IF($L387="","",IF(SUMIFS(Overrides!$D$9:$D$108,Overrides!$B$9:$B$108,$C387,Overrides!$C$9:$C$108,$L387)&gt;0,SUMIFS(Overrides!$D$9:$D$108,Overrides!$B$9:$B$108,$C387,Overrides!$C$9:$C$108,$L387),$L387))</f>
        <v/>
      </c>
      <c r="H387" s="120" t="n">
        <f aca="false">IF($G387="",0,IF(AND($G387&gt;='Cash Flow'!$E$6,$G387&lt;'Cash Flow'!$E$6+91),1,0))</f>
        <v>0</v>
      </c>
      <c r="I387" s="120" t="str">
        <f aca="false">IF($H387=1,MAX(1,INT(($G387-'Cash Flow'!$E$6)/7)+1),"")</f>
        <v/>
      </c>
      <c r="J387" s="8" t="str">
        <f aca="false">IF($H387=1,$G387*10000+ROW(),"")</f>
        <v/>
      </c>
      <c r="K387" s="8" t="str">
        <f aca="false">IF($H387=1,$I387*1000+COUNTIFS($I$4:$I$483,$I387,$J$4:$J$483,"&lt;"&amp;$J387)+1,"")</f>
        <v/>
      </c>
      <c r="L387" s="121"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17" t="n">
        <v>25</v>
      </c>
      <c r="B388" s="117" t="n">
        <v>1</v>
      </c>
      <c r="C388" s="8" t="str">
        <f aca="false">IF(OR(Recurring!$B$29="",Recurring!$H$29&lt;&gt;"Yes",Recurring!$D$29=""),"",Recurring!$B$29)</f>
        <v/>
      </c>
      <c r="D388" s="8" t="str">
        <f aca="false">IF($C388="","",Recurring!$C$29)</f>
        <v/>
      </c>
      <c r="E388" s="118" t="str">
        <f aca="false">IF($C388="","",IF(SUMIFS(Overrides!$E$9:$E$108,Overrides!$B$9:$B$108,$C388,Overrides!$C$9:$C$108,$L388)&gt;0,SUMIFS(Overrides!$E$9:$E$108,Overrides!$B$9:$B$108,$C388,Overrides!$C$9:$C$108,$L388),Recurring!$D$29))</f>
        <v/>
      </c>
      <c r="F388" s="119"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19" t="str">
        <f aca="false">IF($L388="","",IF(SUMIFS(Overrides!$D$9:$D$108,Overrides!$B$9:$B$108,$C388,Overrides!$C$9:$C$108,$L388)&gt;0,SUMIFS(Overrides!$D$9:$D$108,Overrides!$B$9:$B$108,$C388,Overrides!$C$9:$C$108,$L388),$L388))</f>
        <v/>
      </c>
      <c r="H388" s="120" t="n">
        <f aca="false">IF($G388="",0,IF(AND($G388&gt;='Cash Flow'!$E$6-90,$G388&lt;'Cash Flow'!$E$6+91),1,0))</f>
        <v>0</v>
      </c>
      <c r="I388" s="120" t="str">
        <f aca="false">IF($H388=1,MAX(1,INT(($G388-'Cash Flow'!$E$6)/7)+1),"")</f>
        <v/>
      </c>
      <c r="J388" s="8" t="str">
        <f aca="false">IF($H388=1,$G388*10000+ROW(),"")</f>
        <v/>
      </c>
      <c r="K388" s="8" t="str">
        <f aca="false">IF($H388=1,$I388*1000+COUNTIFS($I$4:$I$483,$I388,$J$4:$J$483,"&lt;"&amp;$J388)+1,"")</f>
        <v/>
      </c>
      <c r="L388" s="121"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17" t="n">
        <v>25</v>
      </c>
      <c r="B389" s="117" t="n">
        <v>2</v>
      </c>
      <c r="C389" s="8" t="str">
        <f aca="false">IF(OR(Recurring!$B$29="",Recurring!$H$29&lt;&gt;"Yes",Recurring!$D$29=""),"",Recurring!$B$29)</f>
        <v/>
      </c>
      <c r="D389" s="8" t="str">
        <f aca="false">IF($C389="","",Recurring!$C$29)</f>
        <v/>
      </c>
      <c r="E389" s="118" t="str">
        <f aca="false">IF($C389="","",IF(SUMIFS(Overrides!$E$9:$E$108,Overrides!$B$9:$B$108,$C389,Overrides!$C$9:$C$108,$L389)&gt;0,SUMIFS(Overrides!$E$9:$E$108,Overrides!$B$9:$B$108,$C389,Overrides!$C$9:$C$108,$L389),Recurring!$D$29))</f>
        <v/>
      </c>
      <c r="F389" s="119"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19" t="str">
        <f aca="false">IF($L389="","",IF(SUMIFS(Overrides!$D$9:$D$108,Overrides!$B$9:$B$108,$C389,Overrides!$C$9:$C$108,$L389)&gt;0,SUMIFS(Overrides!$D$9:$D$108,Overrides!$B$9:$B$108,$C389,Overrides!$C$9:$C$108,$L389),$L389))</f>
        <v/>
      </c>
      <c r="H389" s="120" t="n">
        <f aca="false">IF($G389="",0,IF(AND($G389&gt;='Cash Flow'!$E$6,$G389&lt;'Cash Flow'!$E$6+91),1,0))</f>
        <v>0</v>
      </c>
      <c r="I389" s="120" t="str">
        <f aca="false">IF($H389=1,MAX(1,INT(($G389-'Cash Flow'!$E$6)/7)+1),"")</f>
        <v/>
      </c>
      <c r="J389" s="8" t="str">
        <f aca="false">IF($H389=1,$G389*10000+ROW(),"")</f>
        <v/>
      </c>
      <c r="K389" s="8" t="str">
        <f aca="false">IF($H389=1,$I389*1000+COUNTIFS($I$4:$I$483,$I389,$J$4:$J$483,"&lt;"&amp;$J389)+1,"")</f>
        <v/>
      </c>
      <c r="L389" s="121"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17" t="n">
        <v>25</v>
      </c>
      <c r="B390" s="117" t="n">
        <v>3</v>
      </c>
      <c r="C390" s="8" t="str">
        <f aca="false">IF(OR(Recurring!$B$29="",Recurring!$H$29&lt;&gt;"Yes",Recurring!$D$29=""),"",Recurring!$B$29)</f>
        <v/>
      </c>
      <c r="D390" s="8" t="str">
        <f aca="false">IF($C390="","",Recurring!$C$29)</f>
        <v/>
      </c>
      <c r="E390" s="118" t="str">
        <f aca="false">IF($C390="","",IF(SUMIFS(Overrides!$E$9:$E$108,Overrides!$B$9:$B$108,$C390,Overrides!$C$9:$C$108,$L390)&gt;0,SUMIFS(Overrides!$E$9:$E$108,Overrides!$B$9:$B$108,$C390,Overrides!$C$9:$C$108,$L390),Recurring!$D$29))</f>
        <v/>
      </c>
      <c r="F390" s="119"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19" t="str">
        <f aca="false">IF($L390="","",IF(SUMIFS(Overrides!$D$9:$D$108,Overrides!$B$9:$B$108,$C390,Overrides!$C$9:$C$108,$L390)&gt;0,SUMIFS(Overrides!$D$9:$D$108,Overrides!$B$9:$B$108,$C390,Overrides!$C$9:$C$108,$L390),$L390))</f>
        <v/>
      </c>
      <c r="H390" s="120" t="n">
        <f aca="false">IF($G390="",0,IF(AND($G390&gt;='Cash Flow'!$E$6,$G390&lt;'Cash Flow'!$E$6+91),1,0))</f>
        <v>0</v>
      </c>
      <c r="I390" s="120" t="str">
        <f aca="false">IF($H390=1,MAX(1,INT(($G390-'Cash Flow'!$E$6)/7)+1),"")</f>
        <v/>
      </c>
      <c r="J390" s="8" t="str">
        <f aca="false">IF($H390=1,$G390*10000+ROW(),"")</f>
        <v/>
      </c>
      <c r="K390" s="8" t="str">
        <f aca="false">IF($H390=1,$I390*1000+COUNTIFS($I$4:$I$483,$I390,$J$4:$J$483,"&lt;"&amp;$J390)+1,"")</f>
        <v/>
      </c>
      <c r="L390" s="121"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17" t="n">
        <v>25</v>
      </c>
      <c r="B391" s="117" t="n">
        <v>4</v>
      </c>
      <c r="C391" s="8" t="str">
        <f aca="false">IF(OR(Recurring!$B$29="",Recurring!$H$29&lt;&gt;"Yes",Recurring!$D$29=""),"",Recurring!$B$29)</f>
        <v/>
      </c>
      <c r="D391" s="8" t="str">
        <f aca="false">IF($C391="","",Recurring!$C$29)</f>
        <v/>
      </c>
      <c r="E391" s="118" t="str">
        <f aca="false">IF($C391="","",IF(SUMIFS(Overrides!$E$9:$E$108,Overrides!$B$9:$B$108,$C391,Overrides!$C$9:$C$108,$L391)&gt;0,SUMIFS(Overrides!$E$9:$E$108,Overrides!$B$9:$B$108,$C391,Overrides!$C$9:$C$108,$L391),Recurring!$D$29))</f>
        <v/>
      </c>
      <c r="F391" s="119"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19" t="str">
        <f aca="false">IF($L391="","",IF(SUMIFS(Overrides!$D$9:$D$108,Overrides!$B$9:$B$108,$C391,Overrides!$C$9:$C$108,$L391)&gt;0,SUMIFS(Overrides!$D$9:$D$108,Overrides!$B$9:$B$108,$C391,Overrides!$C$9:$C$108,$L391),$L391))</f>
        <v/>
      </c>
      <c r="H391" s="120" t="n">
        <f aca="false">IF($G391="",0,IF(AND($G391&gt;='Cash Flow'!$E$6,$G391&lt;'Cash Flow'!$E$6+91),1,0))</f>
        <v>0</v>
      </c>
      <c r="I391" s="120" t="str">
        <f aca="false">IF($H391=1,MAX(1,INT(($G391-'Cash Flow'!$E$6)/7)+1),"")</f>
        <v/>
      </c>
      <c r="J391" s="8" t="str">
        <f aca="false">IF($H391=1,$G391*10000+ROW(),"")</f>
        <v/>
      </c>
      <c r="K391" s="8" t="str">
        <f aca="false">IF($H391=1,$I391*1000+COUNTIFS($I$4:$I$483,$I391,$J$4:$J$483,"&lt;"&amp;$J391)+1,"")</f>
        <v/>
      </c>
      <c r="L391" s="121"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17" t="n">
        <v>25</v>
      </c>
      <c r="B392" s="117" t="n">
        <v>5</v>
      </c>
      <c r="C392" s="8" t="str">
        <f aca="false">IF(OR(Recurring!$B$29="",Recurring!$H$29&lt;&gt;"Yes",Recurring!$D$29=""),"",Recurring!$B$29)</f>
        <v/>
      </c>
      <c r="D392" s="8" t="str">
        <f aca="false">IF($C392="","",Recurring!$C$29)</f>
        <v/>
      </c>
      <c r="E392" s="118" t="str">
        <f aca="false">IF($C392="","",IF(SUMIFS(Overrides!$E$9:$E$108,Overrides!$B$9:$B$108,$C392,Overrides!$C$9:$C$108,$L392)&gt;0,SUMIFS(Overrides!$E$9:$E$108,Overrides!$B$9:$B$108,$C392,Overrides!$C$9:$C$108,$L392),Recurring!$D$29))</f>
        <v/>
      </c>
      <c r="F392" s="119"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19" t="str">
        <f aca="false">IF($L392="","",IF(SUMIFS(Overrides!$D$9:$D$108,Overrides!$B$9:$B$108,$C392,Overrides!$C$9:$C$108,$L392)&gt;0,SUMIFS(Overrides!$D$9:$D$108,Overrides!$B$9:$B$108,$C392,Overrides!$C$9:$C$108,$L392),$L392))</f>
        <v/>
      </c>
      <c r="H392" s="120" t="n">
        <f aca="false">IF($G392="",0,IF(AND($G392&gt;='Cash Flow'!$E$6,$G392&lt;'Cash Flow'!$E$6+91),1,0))</f>
        <v>0</v>
      </c>
      <c r="I392" s="120" t="str">
        <f aca="false">IF($H392=1,MAX(1,INT(($G392-'Cash Flow'!$E$6)/7)+1),"")</f>
        <v/>
      </c>
      <c r="J392" s="8" t="str">
        <f aca="false">IF($H392=1,$G392*10000+ROW(),"")</f>
        <v/>
      </c>
      <c r="K392" s="8" t="str">
        <f aca="false">IF($H392=1,$I392*1000+COUNTIFS($I$4:$I$483,$I392,$J$4:$J$483,"&lt;"&amp;$J392)+1,"")</f>
        <v/>
      </c>
      <c r="L392" s="121"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17" t="n">
        <v>25</v>
      </c>
      <c r="B393" s="117" t="n">
        <v>6</v>
      </c>
      <c r="C393" s="8" t="str">
        <f aca="false">IF(OR(Recurring!$B$29="",Recurring!$H$29&lt;&gt;"Yes",Recurring!$D$29=""),"",Recurring!$B$29)</f>
        <v/>
      </c>
      <c r="D393" s="8" t="str">
        <f aca="false">IF($C393="","",Recurring!$C$29)</f>
        <v/>
      </c>
      <c r="E393" s="118" t="str">
        <f aca="false">IF($C393="","",IF(SUMIFS(Overrides!$E$9:$E$108,Overrides!$B$9:$B$108,$C393,Overrides!$C$9:$C$108,$L393)&gt;0,SUMIFS(Overrides!$E$9:$E$108,Overrides!$B$9:$B$108,$C393,Overrides!$C$9:$C$108,$L393),Recurring!$D$29))</f>
        <v/>
      </c>
      <c r="F393" s="119"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19" t="str">
        <f aca="false">IF($L393="","",IF(SUMIFS(Overrides!$D$9:$D$108,Overrides!$B$9:$B$108,$C393,Overrides!$C$9:$C$108,$L393)&gt;0,SUMIFS(Overrides!$D$9:$D$108,Overrides!$B$9:$B$108,$C393,Overrides!$C$9:$C$108,$L393),$L393))</f>
        <v/>
      </c>
      <c r="H393" s="120" t="n">
        <f aca="false">IF($G393="",0,IF(AND($G393&gt;='Cash Flow'!$E$6,$G393&lt;'Cash Flow'!$E$6+91),1,0))</f>
        <v>0</v>
      </c>
      <c r="I393" s="120" t="str">
        <f aca="false">IF($H393=1,MAX(1,INT(($G393-'Cash Flow'!$E$6)/7)+1),"")</f>
        <v/>
      </c>
      <c r="J393" s="8" t="str">
        <f aca="false">IF($H393=1,$G393*10000+ROW(),"")</f>
        <v/>
      </c>
      <c r="K393" s="8" t="str">
        <f aca="false">IF($H393=1,$I393*1000+COUNTIFS($I$4:$I$483,$I393,$J$4:$J$483,"&lt;"&amp;$J393)+1,"")</f>
        <v/>
      </c>
      <c r="L393" s="121"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17" t="n">
        <v>25</v>
      </c>
      <c r="B394" s="117" t="n">
        <v>7</v>
      </c>
      <c r="C394" s="8" t="str">
        <f aca="false">IF(OR(Recurring!$B$29="",Recurring!$H$29&lt;&gt;"Yes",Recurring!$D$29=""),"",Recurring!$B$29)</f>
        <v/>
      </c>
      <c r="D394" s="8" t="str">
        <f aca="false">IF($C394="","",Recurring!$C$29)</f>
        <v/>
      </c>
      <c r="E394" s="118" t="str">
        <f aca="false">IF($C394="","",IF(SUMIFS(Overrides!$E$9:$E$108,Overrides!$B$9:$B$108,$C394,Overrides!$C$9:$C$108,$L394)&gt;0,SUMIFS(Overrides!$E$9:$E$108,Overrides!$B$9:$B$108,$C394,Overrides!$C$9:$C$108,$L394),Recurring!$D$29))</f>
        <v/>
      </c>
      <c r="F394" s="119"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19" t="str">
        <f aca="false">IF($L394="","",IF(SUMIFS(Overrides!$D$9:$D$108,Overrides!$B$9:$B$108,$C394,Overrides!$C$9:$C$108,$L394)&gt;0,SUMIFS(Overrides!$D$9:$D$108,Overrides!$B$9:$B$108,$C394,Overrides!$C$9:$C$108,$L394),$L394))</f>
        <v/>
      </c>
      <c r="H394" s="120" t="n">
        <f aca="false">IF($G394="",0,IF(AND($G394&gt;='Cash Flow'!$E$6,$G394&lt;'Cash Flow'!$E$6+91),1,0))</f>
        <v>0</v>
      </c>
      <c r="I394" s="120" t="str">
        <f aca="false">IF($H394=1,MAX(1,INT(($G394-'Cash Flow'!$E$6)/7)+1),"")</f>
        <v/>
      </c>
      <c r="J394" s="8" t="str">
        <f aca="false">IF($H394=1,$G394*10000+ROW(),"")</f>
        <v/>
      </c>
      <c r="K394" s="8" t="str">
        <f aca="false">IF($H394=1,$I394*1000+COUNTIFS($I$4:$I$483,$I394,$J$4:$J$483,"&lt;"&amp;$J394)+1,"")</f>
        <v/>
      </c>
      <c r="L394" s="121"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17" t="n">
        <v>25</v>
      </c>
      <c r="B395" s="117" t="n">
        <v>8</v>
      </c>
      <c r="C395" s="8" t="str">
        <f aca="false">IF(OR(Recurring!$B$29="",Recurring!$H$29&lt;&gt;"Yes",Recurring!$D$29=""),"",Recurring!$B$29)</f>
        <v/>
      </c>
      <c r="D395" s="8" t="str">
        <f aca="false">IF($C395="","",Recurring!$C$29)</f>
        <v/>
      </c>
      <c r="E395" s="118" t="str">
        <f aca="false">IF($C395="","",IF(SUMIFS(Overrides!$E$9:$E$108,Overrides!$B$9:$B$108,$C395,Overrides!$C$9:$C$108,$L395)&gt;0,SUMIFS(Overrides!$E$9:$E$108,Overrides!$B$9:$B$108,$C395,Overrides!$C$9:$C$108,$L395),Recurring!$D$29))</f>
        <v/>
      </c>
      <c r="F395" s="119"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19" t="str">
        <f aca="false">IF($L395="","",IF(SUMIFS(Overrides!$D$9:$D$108,Overrides!$B$9:$B$108,$C395,Overrides!$C$9:$C$108,$L395)&gt;0,SUMIFS(Overrides!$D$9:$D$108,Overrides!$B$9:$B$108,$C395,Overrides!$C$9:$C$108,$L395),$L395))</f>
        <v/>
      </c>
      <c r="H395" s="120" t="n">
        <f aca="false">IF($G395="",0,IF(AND($G395&gt;='Cash Flow'!$E$6,$G395&lt;'Cash Flow'!$E$6+91),1,0))</f>
        <v>0</v>
      </c>
      <c r="I395" s="120" t="str">
        <f aca="false">IF($H395=1,MAX(1,INT(($G395-'Cash Flow'!$E$6)/7)+1),"")</f>
        <v/>
      </c>
      <c r="J395" s="8" t="str">
        <f aca="false">IF($H395=1,$G395*10000+ROW(),"")</f>
        <v/>
      </c>
      <c r="K395" s="8" t="str">
        <f aca="false">IF($H395=1,$I395*1000+COUNTIFS($I$4:$I$483,$I395,$J$4:$J$483,"&lt;"&amp;$J395)+1,"")</f>
        <v/>
      </c>
      <c r="L395" s="121"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17" t="n">
        <v>25</v>
      </c>
      <c r="B396" s="117" t="n">
        <v>9</v>
      </c>
      <c r="C396" s="8" t="str">
        <f aca="false">IF(OR(Recurring!$B$29="",Recurring!$H$29&lt;&gt;"Yes",Recurring!$D$29=""),"",Recurring!$B$29)</f>
        <v/>
      </c>
      <c r="D396" s="8" t="str">
        <f aca="false">IF($C396="","",Recurring!$C$29)</f>
        <v/>
      </c>
      <c r="E396" s="118" t="str">
        <f aca="false">IF($C396="","",IF(SUMIFS(Overrides!$E$9:$E$108,Overrides!$B$9:$B$108,$C396,Overrides!$C$9:$C$108,$L396)&gt;0,SUMIFS(Overrides!$E$9:$E$108,Overrides!$B$9:$B$108,$C396,Overrides!$C$9:$C$108,$L396),Recurring!$D$29))</f>
        <v/>
      </c>
      <c r="F396" s="119"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19" t="str">
        <f aca="false">IF($L396="","",IF(SUMIFS(Overrides!$D$9:$D$108,Overrides!$B$9:$B$108,$C396,Overrides!$C$9:$C$108,$L396)&gt;0,SUMIFS(Overrides!$D$9:$D$108,Overrides!$B$9:$B$108,$C396,Overrides!$C$9:$C$108,$L396),$L396))</f>
        <v/>
      </c>
      <c r="H396" s="120" t="n">
        <f aca="false">IF($G396="",0,IF(AND($G396&gt;='Cash Flow'!$E$6,$G396&lt;'Cash Flow'!$E$6+91),1,0))</f>
        <v>0</v>
      </c>
      <c r="I396" s="120" t="str">
        <f aca="false">IF($H396=1,MAX(1,INT(($G396-'Cash Flow'!$E$6)/7)+1),"")</f>
        <v/>
      </c>
      <c r="J396" s="8" t="str">
        <f aca="false">IF($H396=1,$G396*10000+ROW(),"")</f>
        <v/>
      </c>
      <c r="K396" s="8" t="str">
        <f aca="false">IF($H396=1,$I396*1000+COUNTIFS($I$4:$I$483,$I396,$J$4:$J$483,"&lt;"&amp;$J396)+1,"")</f>
        <v/>
      </c>
      <c r="L396" s="121"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17" t="n">
        <v>25</v>
      </c>
      <c r="B397" s="117" t="n">
        <v>10</v>
      </c>
      <c r="C397" s="8" t="str">
        <f aca="false">IF(OR(Recurring!$B$29="",Recurring!$H$29&lt;&gt;"Yes",Recurring!$D$29=""),"",Recurring!$B$29)</f>
        <v/>
      </c>
      <c r="D397" s="8" t="str">
        <f aca="false">IF($C397="","",Recurring!$C$29)</f>
        <v/>
      </c>
      <c r="E397" s="118" t="str">
        <f aca="false">IF($C397="","",IF(SUMIFS(Overrides!$E$9:$E$108,Overrides!$B$9:$B$108,$C397,Overrides!$C$9:$C$108,$L397)&gt;0,SUMIFS(Overrides!$E$9:$E$108,Overrides!$B$9:$B$108,$C397,Overrides!$C$9:$C$108,$L397),Recurring!$D$29))</f>
        <v/>
      </c>
      <c r="F397" s="119"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19" t="str">
        <f aca="false">IF($L397="","",IF(SUMIFS(Overrides!$D$9:$D$108,Overrides!$B$9:$B$108,$C397,Overrides!$C$9:$C$108,$L397)&gt;0,SUMIFS(Overrides!$D$9:$D$108,Overrides!$B$9:$B$108,$C397,Overrides!$C$9:$C$108,$L397),$L397))</f>
        <v/>
      </c>
      <c r="H397" s="120" t="n">
        <f aca="false">IF($G397="",0,IF(AND($G397&gt;='Cash Flow'!$E$6,$G397&lt;'Cash Flow'!$E$6+91),1,0))</f>
        <v>0</v>
      </c>
      <c r="I397" s="120" t="str">
        <f aca="false">IF($H397=1,MAX(1,INT(($G397-'Cash Flow'!$E$6)/7)+1),"")</f>
        <v/>
      </c>
      <c r="J397" s="8" t="str">
        <f aca="false">IF($H397=1,$G397*10000+ROW(),"")</f>
        <v/>
      </c>
      <c r="K397" s="8" t="str">
        <f aca="false">IF($H397=1,$I397*1000+COUNTIFS($I$4:$I$483,$I397,$J$4:$J$483,"&lt;"&amp;$J397)+1,"")</f>
        <v/>
      </c>
      <c r="L397" s="121"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17" t="n">
        <v>25</v>
      </c>
      <c r="B398" s="117" t="n">
        <v>11</v>
      </c>
      <c r="C398" s="8" t="str">
        <f aca="false">IF(OR(Recurring!$B$29="",Recurring!$H$29&lt;&gt;"Yes",Recurring!$D$29=""),"",Recurring!$B$29)</f>
        <v/>
      </c>
      <c r="D398" s="8" t="str">
        <f aca="false">IF($C398="","",Recurring!$C$29)</f>
        <v/>
      </c>
      <c r="E398" s="118" t="str">
        <f aca="false">IF($C398="","",IF(SUMIFS(Overrides!$E$9:$E$108,Overrides!$B$9:$B$108,$C398,Overrides!$C$9:$C$108,$L398)&gt;0,SUMIFS(Overrides!$E$9:$E$108,Overrides!$B$9:$B$108,$C398,Overrides!$C$9:$C$108,$L398),Recurring!$D$29))</f>
        <v/>
      </c>
      <c r="F398" s="119"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19" t="str">
        <f aca="false">IF($L398="","",IF(SUMIFS(Overrides!$D$9:$D$108,Overrides!$B$9:$B$108,$C398,Overrides!$C$9:$C$108,$L398)&gt;0,SUMIFS(Overrides!$D$9:$D$108,Overrides!$B$9:$B$108,$C398,Overrides!$C$9:$C$108,$L398),$L398))</f>
        <v/>
      </c>
      <c r="H398" s="120" t="n">
        <f aca="false">IF($G398="",0,IF(AND($G398&gt;='Cash Flow'!$E$6,$G398&lt;'Cash Flow'!$E$6+91),1,0))</f>
        <v>0</v>
      </c>
      <c r="I398" s="120" t="str">
        <f aca="false">IF($H398=1,MAX(1,INT(($G398-'Cash Flow'!$E$6)/7)+1),"")</f>
        <v/>
      </c>
      <c r="J398" s="8" t="str">
        <f aca="false">IF($H398=1,$G398*10000+ROW(),"")</f>
        <v/>
      </c>
      <c r="K398" s="8" t="str">
        <f aca="false">IF($H398=1,$I398*1000+COUNTIFS($I$4:$I$483,$I398,$J$4:$J$483,"&lt;"&amp;$J398)+1,"")</f>
        <v/>
      </c>
      <c r="L398" s="121"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17" t="n">
        <v>25</v>
      </c>
      <c r="B399" s="117" t="n">
        <v>12</v>
      </c>
      <c r="C399" s="8" t="str">
        <f aca="false">IF(OR(Recurring!$B$29="",Recurring!$H$29&lt;&gt;"Yes",Recurring!$D$29=""),"",Recurring!$B$29)</f>
        <v/>
      </c>
      <c r="D399" s="8" t="str">
        <f aca="false">IF($C399="","",Recurring!$C$29)</f>
        <v/>
      </c>
      <c r="E399" s="118" t="str">
        <f aca="false">IF($C399="","",IF(SUMIFS(Overrides!$E$9:$E$108,Overrides!$B$9:$B$108,$C399,Overrides!$C$9:$C$108,$L399)&gt;0,SUMIFS(Overrides!$E$9:$E$108,Overrides!$B$9:$B$108,$C399,Overrides!$C$9:$C$108,$L399),Recurring!$D$29))</f>
        <v/>
      </c>
      <c r="F399" s="119"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19" t="str">
        <f aca="false">IF($L399="","",IF(SUMIFS(Overrides!$D$9:$D$108,Overrides!$B$9:$B$108,$C399,Overrides!$C$9:$C$108,$L399)&gt;0,SUMIFS(Overrides!$D$9:$D$108,Overrides!$B$9:$B$108,$C399,Overrides!$C$9:$C$108,$L399),$L399))</f>
        <v/>
      </c>
      <c r="H399" s="120" t="n">
        <f aca="false">IF($G399="",0,IF(AND($G399&gt;='Cash Flow'!$E$6,$G399&lt;'Cash Flow'!$E$6+91),1,0))</f>
        <v>0</v>
      </c>
      <c r="I399" s="120" t="str">
        <f aca="false">IF($H399=1,MAX(1,INT(($G399-'Cash Flow'!$E$6)/7)+1),"")</f>
        <v/>
      </c>
      <c r="J399" s="8" t="str">
        <f aca="false">IF($H399=1,$G399*10000+ROW(),"")</f>
        <v/>
      </c>
      <c r="K399" s="8" t="str">
        <f aca="false">IF($H399=1,$I399*1000+COUNTIFS($I$4:$I$483,$I399,$J$4:$J$483,"&lt;"&amp;$J399)+1,"")</f>
        <v/>
      </c>
      <c r="L399" s="121"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17" t="n">
        <v>25</v>
      </c>
      <c r="B400" s="117" t="n">
        <v>13</v>
      </c>
      <c r="C400" s="8" t="str">
        <f aca="false">IF(OR(Recurring!$B$29="",Recurring!$H$29&lt;&gt;"Yes",Recurring!$D$29=""),"",Recurring!$B$29)</f>
        <v/>
      </c>
      <c r="D400" s="8" t="str">
        <f aca="false">IF($C400="","",Recurring!$C$29)</f>
        <v/>
      </c>
      <c r="E400" s="118" t="str">
        <f aca="false">IF($C400="","",IF(SUMIFS(Overrides!$E$9:$E$108,Overrides!$B$9:$B$108,$C400,Overrides!$C$9:$C$108,$L400)&gt;0,SUMIFS(Overrides!$E$9:$E$108,Overrides!$B$9:$B$108,$C400,Overrides!$C$9:$C$108,$L400),Recurring!$D$29))</f>
        <v/>
      </c>
      <c r="F400" s="119"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19" t="str">
        <f aca="false">IF($L400="","",IF(SUMIFS(Overrides!$D$9:$D$108,Overrides!$B$9:$B$108,$C400,Overrides!$C$9:$C$108,$L400)&gt;0,SUMIFS(Overrides!$D$9:$D$108,Overrides!$B$9:$B$108,$C400,Overrides!$C$9:$C$108,$L400),$L400))</f>
        <v/>
      </c>
      <c r="H400" s="120" t="n">
        <f aca="false">IF($G400="",0,IF(AND($G400&gt;='Cash Flow'!$E$6,$G400&lt;'Cash Flow'!$E$6+91),1,0))</f>
        <v>0</v>
      </c>
      <c r="I400" s="120" t="str">
        <f aca="false">IF($H400=1,MAX(1,INT(($G400-'Cash Flow'!$E$6)/7)+1),"")</f>
        <v/>
      </c>
      <c r="J400" s="8" t="str">
        <f aca="false">IF($H400=1,$G400*10000+ROW(),"")</f>
        <v/>
      </c>
      <c r="K400" s="8" t="str">
        <f aca="false">IF($H400=1,$I400*1000+COUNTIFS($I$4:$I$483,$I400,$J$4:$J$483,"&lt;"&amp;$J400)+1,"")</f>
        <v/>
      </c>
      <c r="L400" s="121"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17" t="n">
        <v>25</v>
      </c>
      <c r="B401" s="117" t="n">
        <v>14</v>
      </c>
      <c r="C401" s="8" t="str">
        <f aca="false">IF(OR(Recurring!$B$29="",Recurring!$H$29&lt;&gt;"Yes",Recurring!$D$29=""),"",Recurring!$B$29)</f>
        <v/>
      </c>
      <c r="D401" s="8" t="str">
        <f aca="false">IF($C401="","",Recurring!$C$29)</f>
        <v/>
      </c>
      <c r="E401" s="118" t="str">
        <f aca="false">IF($C401="","",IF(SUMIFS(Overrides!$E$9:$E$108,Overrides!$B$9:$B$108,$C401,Overrides!$C$9:$C$108,$L401)&gt;0,SUMIFS(Overrides!$E$9:$E$108,Overrides!$B$9:$B$108,$C401,Overrides!$C$9:$C$108,$L401),Recurring!$D$29))</f>
        <v/>
      </c>
      <c r="F401" s="119"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19" t="str">
        <f aca="false">IF($L401="","",IF(SUMIFS(Overrides!$D$9:$D$108,Overrides!$B$9:$B$108,$C401,Overrides!$C$9:$C$108,$L401)&gt;0,SUMIFS(Overrides!$D$9:$D$108,Overrides!$B$9:$B$108,$C401,Overrides!$C$9:$C$108,$L401),$L401))</f>
        <v/>
      </c>
      <c r="H401" s="120" t="n">
        <f aca="false">IF($G401="",0,IF(AND($G401&gt;='Cash Flow'!$E$6,$G401&lt;'Cash Flow'!$E$6+91),1,0))</f>
        <v>0</v>
      </c>
      <c r="I401" s="120" t="str">
        <f aca="false">IF($H401=1,MAX(1,INT(($G401-'Cash Flow'!$E$6)/7)+1),"")</f>
        <v/>
      </c>
      <c r="J401" s="8" t="str">
        <f aca="false">IF($H401=1,$G401*10000+ROW(),"")</f>
        <v/>
      </c>
      <c r="K401" s="8" t="str">
        <f aca="false">IF($H401=1,$I401*1000+COUNTIFS($I$4:$I$483,$I401,$J$4:$J$483,"&lt;"&amp;$J401)+1,"")</f>
        <v/>
      </c>
      <c r="L401" s="121"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17" t="n">
        <v>25</v>
      </c>
      <c r="B402" s="117" t="n">
        <v>15</v>
      </c>
      <c r="C402" s="8" t="str">
        <f aca="false">IF(OR(Recurring!$B$29="",Recurring!$H$29&lt;&gt;"Yes",Recurring!$D$29=""),"",Recurring!$B$29)</f>
        <v/>
      </c>
      <c r="D402" s="8" t="str">
        <f aca="false">IF($C402="","",Recurring!$C$29)</f>
        <v/>
      </c>
      <c r="E402" s="118" t="str">
        <f aca="false">IF($C402="","",IF(SUMIFS(Overrides!$E$9:$E$108,Overrides!$B$9:$B$108,$C402,Overrides!$C$9:$C$108,$L402)&gt;0,SUMIFS(Overrides!$E$9:$E$108,Overrides!$B$9:$B$108,$C402,Overrides!$C$9:$C$108,$L402),Recurring!$D$29))</f>
        <v/>
      </c>
      <c r="F402" s="119"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19" t="str">
        <f aca="false">IF($L402="","",IF(SUMIFS(Overrides!$D$9:$D$108,Overrides!$B$9:$B$108,$C402,Overrides!$C$9:$C$108,$L402)&gt;0,SUMIFS(Overrides!$D$9:$D$108,Overrides!$B$9:$B$108,$C402,Overrides!$C$9:$C$108,$L402),$L402))</f>
        <v/>
      </c>
      <c r="H402" s="120" t="n">
        <f aca="false">IF($G402="",0,IF(AND($G402&gt;='Cash Flow'!$E$6,$G402&lt;'Cash Flow'!$E$6+91),1,0))</f>
        <v>0</v>
      </c>
      <c r="I402" s="120" t="str">
        <f aca="false">IF($H402=1,MAX(1,INT(($G402-'Cash Flow'!$E$6)/7)+1),"")</f>
        <v/>
      </c>
      <c r="J402" s="8" t="str">
        <f aca="false">IF($H402=1,$G402*10000+ROW(),"")</f>
        <v/>
      </c>
      <c r="K402" s="8" t="str">
        <f aca="false">IF($H402=1,$I402*1000+COUNTIFS($I$4:$I$483,$I402,$J$4:$J$483,"&lt;"&amp;$J402)+1,"")</f>
        <v/>
      </c>
      <c r="L402" s="121"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17" t="n">
        <v>25</v>
      </c>
      <c r="B403" s="117" t="n">
        <v>16</v>
      </c>
      <c r="C403" s="8" t="str">
        <f aca="false">IF(OR(Recurring!$B$29="",Recurring!$H$29&lt;&gt;"Yes",Recurring!$D$29=""),"",Recurring!$B$29)</f>
        <v/>
      </c>
      <c r="D403" s="8" t="str">
        <f aca="false">IF($C403="","",Recurring!$C$29)</f>
        <v/>
      </c>
      <c r="E403" s="118" t="str">
        <f aca="false">IF($C403="","",IF(SUMIFS(Overrides!$E$9:$E$108,Overrides!$B$9:$B$108,$C403,Overrides!$C$9:$C$108,$L403)&gt;0,SUMIFS(Overrides!$E$9:$E$108,Overrides!$B$9:$B$108,$C403,Overrides!$C$9:$C$108,$L403),Recurring!$D$29))</f>
        <v/>
      </c>
      <c r="F403" s="119"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19" t="str">
        <f aca="false">IF($L403="","",IF(SUMIFS(Overrides!$D$9:$D$108,Overrides!$B$9:$B$108,$C403,Overrides!$C$9:$C$108,$L403)&gt;0,SUMIFS(Overrides!$D$9:$D$108,Overrides!$B$9:$B$108,$C403,Overrides!$C$9:$C$108,$L403),$L403))</f>
        <v/>
      </c>
      <c r="H403" s="120" t="n">
        <f aca="false">IF($G403="",0,IF(AND($G403&gt;='Cash Flow'!$E$6,$G403&lt;'Cash Flow'!$E$6+91),1,0))</f>
        <v>0</v>
      </c>
      <c r="I403" s="120" t="str">
        <f aca="false">IF($H403=1,MAX(1,INT(($G403-'Cash Flow'!$E$6)/7)+1),"")</f>
        <v/>
      </c>
      <c r="J403" s="8" t="str">
        <f aca="false">IF($H403=1,$G403*10000+ROW(),"")</f>
        <v/>
      </c>
      <c r="K403" s="8" t="str">
        <f aca="false">IF($H403=1,$I403*1000+COUNTIFS($I$4:$I$483,$I403,$J$4:$J$483,"&lt;"&amp;$J403)+1,"")</f>
        <v/>
      </c>
      <c r="L403" s="121"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17" t="n">
        <v>26</v>
      </c>
      <c r="B404" s="117" t="n">
        <v>1</v>
      </c>
      <c r="C404" s="8" t="str">
        <f aca="false">IF(OR(Recurring!$B$30="",Recurring!$H$30&lt;&gt;"Yes",Recurring!$D$30=""),"",Recurring!$B$30)</f>
        <v/>
      </c>
      <c r="D404" s="8" t="str">
        <f aca="false">IF($C404="","",Recurring!$C$30)</f>
        <v/>
      </c>
      <c r="E404" s="118" t="str">
        <f aca="false">IF($C404="","",IF(SUMIFS(Overrides!$E$9:$E$108,Overrides!$B$9:$B$108,$C404,Overrides!$C$9:$C$108,$L404)&gt;0,SUMIFS(Overrides!$E$9:$E$108,Overrides!$B$9:$B$108,$C404,Overrides!$C$9:$C$108,$L404),Recurring!$D$30))</f>
        <v/>
      </c>
      <c r="F404" s="119"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19" t="str">
        <f aca="false">IF($L404="","",IF(SUMIFS(Overrides!$D$9:$D$108,Overrides!$B$9:$B$108,$C404,Overrides!$C$9:$C$108,$L404)&gt;0,SUMIFS(Overrides!$D$9:$D$108,Overrides!$B$9:$B$108,$C404,Overrides!$C$9:$C$108,$L404),$L404))</f>
        <v/>
      </c>
      <c r="H404" s="120" t="n">
        <f aca="false">IF($G404="",0,IF(AND($G404&gt;='Cash Flow'!$E$6-90,$G404&lt;'Cash Flow'!$E$6+91),1,0))</f>
        <v>0</v>
      </c>
      <c r="I404" s="120" t="str">
        <f aca="false">IF($H404=1,MAX(1,INT(($G404-'Cash Flow'!$E$6)/7)+1),"")</f>
        <v/>
      </c>
      <c r="J404" s="8" t="str">
        <f aca="false">IF($H404=1,$G404*10000+ROW(),"")</f>
        <v/>
      </c>
      <c r="K404" s="8" t="str">
        <f aca="false">IF($H404=1,$I404*1000+COUNTIFS($I$4:$I$483,$I404,$J$4:$J$483,"&lt;"&amp;$J404)+1,"")</f>
        <v/>
      </c>
      <c r="L404" s="121"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17" t="n">
        <v>26</v>
      </c>
      <c r="B405" s="117" t="n">
        <v>2</v>
      </c>
      <c r="C405" s="8" t="str">
        <f aca="false">IF(OR(Recurring!$B$30="",Recurring!$H$30&lt;&gt;"Yes",Recurring!$D$30=""),"",Recurring!$B$30)</f>
        <v/>
      </c>
      <c r="D405" s="8" t="str">
        <f aca="false">IF($C405="","",Recurring!$C$30)</f>
        <v/>
      </c>
      <c r="E405" s="118" t="str">
        <f aca="false">IF($C405="","",IF(SUMIFS(Overrides!$E$9:$E$108,Overrides!$B$9:$B$108,$C405,Overrides!$C$9:$C$108,$L405)&gt;0,SUMIFS(Overrides!$E$9:$E$108,Overrides!$B$9:$B$108,$C405,Overrides!$C$9:$C$108,$L405),Recurring!$D$30))</f>
        <v/>
      </c>
      <c r="F405" s="119"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19" t="str">
        <f aca="false">IF($L405="","",IF(SUMIFS(Overrides!$D$9:$D$108,Overrides!$B$9:$B$108,$C405,Overrides!$C$9:$C$108,$L405)&gt;0,SUMIFS(Overrides!$D$9:$D$108,Overrides!$B$9:$B$108,$C405,Overrides!$C$9:$C$108,$L405),$L405))</f>
        <v/>
      </c>
      <c r="H405" s="120" t="n">
        <f aca="false">IF($G405="",0,IF(AND($G405&gt;='Cash Flow'!$E$6,$G405&lt;'Cash Flow'!$E$6+91),1,0))</f>
        <v>0</v>
      </c>
      <c r="I405" s="120" t="str">
        <f aca="false">IF($H405=1,MAX(1,INT(($G405-'Cash Flow'!$E$6)/7)+1),"")</f>
        <v/>
      </c>
      <c r="J405" s="8" t="str">
        <f aca="false">IF($H405=1,$G405*10000+ROW(),"")</f>
        <v/>
      </c>
      <c r="K405" s="8" t="str">
        <f aca="false">IF($H405=1,$I405*1000+COUNTIFS($I$4:$I$483,$I405,$J$4:$J$483,"&lt;"&amp;$J405)+1,"")</f>
        <v/>
      </c>
      <c r="L405" s="121"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17" t="n">
        <v>26</v>
      </c>
      <c r="B406" s="117" t="n">
        <v>3</v>
      </c>
      <c r="C406" s="8" t="str">
        <f aca="false">IF(OR(Recurring!$B$30="",Recurring!$H$30&lt;&gt;"Yes",Recurring!$D$30=""),"",Recurring!$B$30)</f>
        <v/>
      </c>
      <c r="D406" s="8" t="str">
        <f aca="false">IF($C406="","",Recurring!$C$30)</f>
        <v/>
      </c>
      <c r="E406" s="118" t="str">
        <f aca="false">IF($C406="","",IF(SUMIFS(Overrides!$E$9:$E$108,Overrides!$B$9:$B$108,$C406,Overrides!$C$9:$C$108,$L406)&gt;0,SUMIFS(Overrides!$E$9:$E$108,Overrides!$B$9:$B$108,$C406,Overrides!$C$9:$C$108,$L406),Recurring!$D$30))</f>
        <v/>
      </c>
      <c r="F406" s="119"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19" t="str">
        <f aca="false">IF($L406="","",IF(SUMIFS(Overrides!$D$9:$D$108,Overrides!$B$9:$B$108,$C406,Overrides!$C$9:$C$108,$L406)&gt;0,SUMIFS(Overrides!$D$9:$D$108,Overrides!$B$9:$B$108,$C406,Overrides!$C$9:$C$108,$L406),$L406))</f>
        <v/>
      </c>
      <c r="H406" s="120" t="n">
        <f aca="false">IF($G406="",0,IF(AND($G406&gt;='Cash Flow'!$E$6,$G406&lt;'Cash Flow'!$E$6+91),1,0))</f>
        <v>0</v>
      </c>
      <c r="I406" s="120" t="str">
        <f aca="false">IF($H406=1,MAX(1,INT(($G406-'Cash Flow'!$E$6)/7)+1),"")</f>
        <v/>
      </c>
      <c r="J406" s="8" t="str">
        <f aca="false">IF($H406=1,$G406*10000+ROW(),"")</f>
        <v/>
      </c>
      <c r="K406" s="8" t="str">
        <f aca="false">IF($H406=1,$I406*1000+COUNTIFS($I$4:$I$483,$I406,$J$4:$J$483,"&lt;"&amp;$J406)+1,"")</f>
        <v/>
      </c>
      <c r="L406" s="121"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17" t="n">
        <v>26</v>
      </c>
      <c r="B407" s="117" t="n">
        <v>4</v>
      </c>
      <c r="C407" s="8" t="str">
        <f aca="false">IF(OR(Recurring!$B$30="",Recurring!$H$30&lt;&gt;"Yes",Recurring!$D$30=""),"",Recurring!$B$30)</f>
        <v/>
      </c>
      <c r="D407" s="8" t="str">
        <f aca="false">IF($C407="","",Recurring!$C$30)</f>
        <v/>
      </c>
      <c r="E407" s="118" t="str">
        <f aca="false">IF($C407="","",IF(SUMIFS(Overrides!$E$9:$E$108,Overrides!$B$9:$B$108,$C407,Overrides!$C$9:$C$108,$L407)&gt;0,SUMIFS(Overrides!$E$9:$E$108,Overrides!$B$9:$B$108,$C407,Overrides!$C$9:$C$108,$L407),Recurring!$D$30))</f>
        <v/>
      </c>
      <c r="F407" s="119"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19" t="str">
        <f aca="false">IF($L407="","",IF(SUMIFS(Overrides!$D$9:$D$108,Overrides!$B$9:$B$108,$C407,Overrides!$C$9:$C$108,$L407)&gt;0,SUMIFS(Overrides!$D$9:$D$108,Overrides!$B$9:$B$108,$C407,Overrides!$C$9:$C$108,$L407),$L407))</f>
        <v/>
      </c>
      <c r="H407" s="120" t="n">
        <f aca="false">IF($G407="",0,IF(AND($G407&gt;='Cash Flow'!$E$6,$G407&lt;'Cash Flow'!$E$6+91),1,0))</f>
        <v>0</v>
      </c>
      <c r="I407" s="120" t="str">
        <f aca="false">IF($H407=1,MAX(1,INT(($G407-'Cash Flow'!$E$6)/7)+1),"")</f>
        <v/>
      </c>
      <c r="J407" s="8" t="str">
        <f aca="false">IF($H407=1,$G407*10000+ROW(),"")</f>
        <v/>
      </c>
      <c r="K407" s="8" t="str">
        <f aca="false">IF($H407=1,$I407*1000+COUNTIFS($I$4:$I$483,$I407,$J$4:$J$483,"&lt;"&amp;$J407)+1,"")</f>
        <v/>
      </c>
      <c r="L407" s="121"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17" t="n">
        <v>26</v>
      </c>
      <c r="B408" s="117" t="n">
        <v>5</v>
      </c>
      <c r="C408" s="8" t="str">
        <f aca="false">IF(OR(Recurring!$B$30="",Recurring!$H$30&lt;&gt;"Yes",Recurring!$D$30=""),"",Recurring!$B$30)</f>
        <v/>
      </c>
      <c r="D408" s="8" t="str">
        <f aca="false">IF($C408="","",Recurring!$C$30)</f>
        <v/>
      </c>
      <c r="E408" s="118" t="str">
        <f aca="false">IF($C408="","",IF(SUMIFS(Overrides!$E$9:$E$108,Overrides!$B$9:$B$108,$C408,Overrides!$C$9:$C$108,$L408)&gt;0,SUMIFS(Overrides!$E$9:$E$108,Overrides!$B$9:$B$108,$C408,Overrides!$C$9:$C$108,$L408),Recurring!$D$30))</f>
        <v/>
      </c>
      <c r="F408" s="119"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19" t="str">
        <f aca="false">IF($L408="","",IF(SUMIFS(Overrides!$D$9:$D$108,Overrides!$B$9:$B$108,$C408,Overrides!$C$9:$C$108,$L408)&gt;0,SUMIFS(Overrides!$D$9:$D$108,Overrides!$B$9:$B$108,$C408,Overrides!$C$9:$C$108,$L408),$L408))</f>
        <v/>
      </c>
      <c r="H408" s="120" t="n">
        <f aca="false">IF($G408="",0,IF(AND($G408&gt;='Cash Flow'!$E$6,$G408&lt;'Cash Flow'!$E$6+91),1,0))</f>
        <v>0</v>
      </c>
      <c r="I408" s="120" t="str">
        <f aca="false">IF($H408=1,MAX(1,INT(($G408-'Cash Flow'!$E$6)/7)+1),"")</f>
        <v/>
      </c>
      <c r="J408" s="8" t="str">
        <f aca="false">IF($H408=1,$G408*10000+ROW(),"")</f>
        <v/>
      </c>
      <c r="K408" s="8" t="str">
        <f aca="false">IF($H408=1,$I408*1000+COUNTIFS($I$4:$I$483,$I408,$J$4:$J$483,"&lt;"&amp;$J408)+1,"")</f>
        <v/>
      </c>
      <c r="L408" s="121"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17" t="n">
        <v>26</v>
      </c>
      <c r="B409" s="117" t="n">
        <v>6</v>
      </c>
      <c r="C409" s="8" t="str">
        <f aca="false">IF(OR(Recurring!$B$30="",Recurring!$H$30&lt;&gt;"Yes",Recurring!$D$30=""),"",Recurring!$B$30)</f>
        <v/>
      </c>
      <c r="D409" s="8" t="str">
        <f aca="false">IF($C409="","",Recurring!$C$30)</f>
        <v/>
      </c>
      <c r="E409" s="118" t="str">
        <f aca="false">IF($C409="","",IF(SUMIFS(Overrides!$E$9:$E$108,Overrides!$B$9:$B$108,$C409,Overrides!$C$9:$C$108,$L409)&gt;0,SUMIFS(Overrides!$E$9:$E$108,Overrides!$B$9:$B$108,$C409,Overrides!$C$9:$C$108,$L409),Recurring!$D$30))</f>
        <v/>
      </c>
      <c r="F409" s="119"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19" t="str">
        <f aca="false">IF($L409="","",IF(SUMIFS(Overrides!$D$9:$D$108,Overrides!$B$9:$B$108,$C409,Overrides!$C$9:$C$108,$L409)&gt;0,SUMIFS(Overrides!$D$9:$D$108,Overrides!$B$9:$B$108,$C409,Overrides!$C$9:$C$108,$L409),$L409))</f>
        <v/>
      </c>
      <c r="H409" s="120" t="n">
        <f aca="false">IF($G409="",0,IF(AND($G409&gt;='Cash Flow'!$E$6,$G409&lt;'Cash Flow'!$E$6+91),1,0))</f>
        <v>0</v>
      </c>
      <c r="I409" s="120" t="str">
        <f aca="false">IF($H409=1,MAX(1,INT(($G409-'Cash Flow'!$E$6)/7)+1),"")</f>
        <v/>
      </c>
      <c r="J409" s="8" t="str">
        <f aca="false">IF($H409=1,$G409*10000+ROW(),"")</f>
        <v/>
      </c>
      <c r="K409" s="8" t="str">
        <f aca="false">IF($H409=1,$I409*1000+COUNTIFS($I$4:$I$483,$I409,$J$4:$J$483,"&lt;"&amp;$J409)+1,"")</f>
        <v/>
      </c>
      <c r="L409" s="121"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17" t="n">
        <v>26</v>
      </c>
      <c r="B410" s="117" t="n">
        <v>7</v>
      </c>
      <c r="C410" s="8" t="str">
        <f aca="false">IF(OR(Recurring!$B$30="",Recurring!$H$30&lt;&gt;"Yes",Recurring!$D$30=""),"",Recurring!$B$30)</f>
        <v/>
      </c>
      <c r="D410" s="8" t="str">
        <f aca="false">IF($C410="","",Recurring!$C$30)</f>
        <v/>
      </c>
      <c r="E410" s="118" t="str">
        <f aca="false">IF($C410="","",IF(SUMIFS(Overrides!$E$9:$E$108,Overrides!$B$9:$B$108,$C410,Overrides!$C$9:$C$108,$L410)&gt;0,SUMIFS(Overrides!$E$9:$E$108,Overrides!$B$9:$B$108,$C410,Overrides!$C$9:$C$108,$L410),Recurring!$D$30))</f>
        <v/>
      </c>
      <c r="F410" s="119"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19" t="str">
        <f aca="false">IF($L410="","",IF(SUMIFS(Overrides!$D$9:$D$108,Overrides!$B$9:$B$108,$C410,Overrides!$C$9:$C$108,$L410)&gt;0,SUMIFS(Overrides!$D$9:$D$108,Overrides!$B$9:$B$108,$C410,Overrides!$C$9:$C$108,$L410),$L410))</f>
        <v/>
      </c>
      <c r="H410" s="120" t="n">
        <f aca="false">IF($G410="",0,IF(AND($G410&gt;='Cash Flow'!$E$6,$G410&lt;'Cash Flow'!$E$6+91),1,0))</f>
        <v>0</v>
      </c>
      <c r="I410" s="120" t="str">
        <f aca="false">IF($H410=1,MAX(1,INT(($G410-'Cash Flow'!$E$6)/7)+1),"")</f>
        <v/>
      </c>
      <c r="J410" s="8" t="str">
        <f aca="false">IF($H410=1,$G410*10000+ROW(),"")</f>
        <v/>
      </c>
      <c r="K410" s="8" t="str">
        <f aca="false">IF($H410=1,$I410*1000+COUNTIFS($I$4:$I$483,$I410,$J$4:$J$483,"&lt;"&amp;$J410)+1,"")</f>
        <v/>
      </c>
      <c r="L410" s="121"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17" t="n">
        <v>26</v>
      </c>
      <c r="B411" s="117" t="n">
        <v>8</v>
      </c>
      <c r="C411" s="8" t="str">
        <f aca="false">IF(OR(Recurring!$B$30="",Recurring!$H$30&lt;&gt;"Yes",Recurring!$D$30=""),"",Recurring!$B$30)</f>
        <v/>
      </c>
      <c r="D411" s="8" t="str">
        <f aca="false">IF($C411="","",Recurring!$C$30)</f>
        <v/>
      </c>
      <c r="E411" s="118" t="str">
        <f aca="false">IF($C411="","",IF(SUMIFS(Overrides!$E$9:$E$108,Overrides!$B$9:$B$108,$C411,Overrides!$C$9:$C$108,$L411)&gt;0,SUMIFS(Overrides!$E$9:$E$108,Overrides!$B$9:$B$108,$C411,Overrides!$C$9:$C$108,$L411),Recurring!$D$30))</f>
        <v/>
      </c>
      <c r="F411" s="119"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19" t="str">
        <f aca="false">IF($L411="","",IF(SUMIFS(Overrides!$D$9:$D$108,Overrides!$B$9:$B$108,$C411,Overrides!$C$9:$C$108,$L411)&gt;0,SUMIFS(Overrides!$D$9:$D$108,Overrides!$B$9:$B$108,$C411,Overrides!$C$9:$C$108,$L411),$L411))</f>
        <v/>
      </c>
      <c r="H411" s="120" t="n">
        <f aca="false">IF($G411="",0,IF(AND($G411&gt;='Cash Flow'!$E$6,$G411&lt;'Cash Flow'!$E$6+91),1,0))</f>
        <v>0</v>
      </c>
      <c r="I411" s="120" t="str">
        <f aca="false">IF($H411=1,MAX(1,INT(($G411-'Cash Flow'!$E$6)/7)+1),"")</f>
        <v/>
      </c>
      <c r="J411" s="8" t="str">
        <f aca="false">IF($H411=1,$G411*10000+ROW(),"")</f>
        <v/>
      </c>
      <c r="K411" s="8" t="str">
        <f aca="false">IF($H411=1,$I411*1000+COUNTIFS($I$4:$I$483,$I411,$J$4:$J$483,"&lt;"&amp;$J411)+1,"")</f>
        <v/>
      </c>
      <c r="L411" s="121"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17" t="n">
        <v>26</v>
      </c>
      <c r="B412" s="117" t="n">
        <v>9</v>
      </c>
      <c r="C412" s="8" t="str">
        <f aca="false">IF(OR(Recurring!$B$30="",Recurring!$H$30&lt;&gt;"Yes",Recurring!$D$30=""),"",Recurring!$B$30)</f>
        <v/>
      </c>
      <c r="D412" s="8" t="str">
        <f aca="false">IF($C412="","",Recurring!$C$30)</f>
        <v/>
      </c>
      <c r="E412" s="118" t="str">
        <f aca="false">IF($C412="","",IF(SUMIFS(Overrides!$E$9:$E$108,Overrides!$B$9:$B$108,$C412,Overrides!$C$9:$C$108,$L412)&gt;0,SUMIFS(Overrides!$E$9:$E$108,Overrides!$B$9:$B$108,$C412,Overrides!$C$9:$C$108,$L412),Recurring!$D$30))</f>
        <v/>
      </c>
      <c r="F412" s="119"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19" t="str">
        <f aca="false">IF($L412="","",IF(SUMIFS(Overrides!$D$9:$D$108,Overrides!$B$9:$B$108,$C412,Overrides!$C$9:$C$108,$L412)&gt;0,SUMIFS(Overrides!$D$9:$D$108,Overrides!$B$9:$B$108,$C412,Overrides!$C$9:$C$108,$L412),$L412))</f>
        <v/>
      </c>
      <c r="H412" s="120" t="n">
        <f aca="false">IF($G412="",0,IF(AND($G412&gt;='Cash Flow'!$E$6,$G412&lt;'Cash Flow'!$E$6+91),1,0))</f>
        <v>0</v>
      </c>
      <c r="I412" s="120" t="str">
        <f aca="false">IF($H412=1,MAX(1,INT(($G412-'Cash Flow'!$E$6)/7)+1),"")</f>
        <v/>
      </c>
      <c r="J412" s="8" t="str">
        <f aca="false">IF($H412=1,$G412*10000+ROW(),"")</f>
        <v/>
      </c>
      <c r="K412" s="8" t="str">
        <f aca="false">IF($H412=1,$I412*1000+COUNTIFS($I$4:$I$483,$I412,$J$4:$J$483,"&lt;"&amp;$J412)+1,"")</f>
        <v/>
      </c>
      <c r="L412" s="121"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17" t="n">
        <v>26</v>
      </c>
      <c r="B413" s="117" t="n">
        <v>10</v>
      </c>
      <c r="C413" s="8" t="str">
        <f aca="false">IF(OR(Recurring!$B$30="",Recurring!$H$30&lt;&gt;"Yes",Recurring!$D$30=""),"",Recurring!$B$30)</f>
        <v/>
      </c>
      <c r="D413" s="8" t="str">
        <f aca="false">IF($C413="","",Recurring!$C$30)</f>
        <v/>
      </c>
      <c r="E413" s="118" t="str">
        <f aca="false">IF($C413="","",IF(SUMIFS(Overrides!$E$9:$E$108,Overrides!$B$9:$B$108,$C413,Overrides!$C$9:$C$108,$L413)&gt;0,SUMIFS(Overrides!$E$9:$E$108,Overrides!$B$9:$B$108,$C413,Overrides!$C$9:$C$108,$L413),Recurring!$D$30))</f>
        <v/>
      </c>
      <c r="F413" s="119"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19" t="str">
        <f aca="false">IF($L413="","",IF(SUMIFS(Overrides!$D$9:$D$108,Overrides!$B$9:$B$108,$C413,Overrides!$C$9:$C$108,$L413)&gt;0,SUMIFS(Overrides!$D$9:$D$108,Overrides!$B$9:$B$108,$C413,Overrides!$C$9:$C$108,$L413),$L413))</f>
        <v/>
      </c>
      <c r="H413" s="120" t="n">
        <f aca="false">IF($G413="",0,IF(AND($G413&gt;='Cash Flow'!$E$6,$G413&lt;'Cash Flow'!$E$6+91),1,0))</f>
        <v>0</v>
      </c>
      <c r="I413" s="120" t="str">
        <f aca="false">IF($H413=1,MAX(1,INT(($G413-'Cash Flow'!$E$6)/7)+1),"")</f>
        <v/>
      </c>
      <c r="J413" s="8" t="str">
        <f aca="false">IF($H413=1,$G413*10000+ROW(),"")</f>
        <v/>
      </c>
      <c r="K413" s="8" t="str">
        <f aca="false">IF($H413=1,$I413*1000+COUNTIFS($I$4:$I$483,$I413,$J$4:$J$483,"&lt;"&amp;$J413)+1,"")</f>
        <v/>
      </c>
      <c r="L413" s="121"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17" t="n">
        <v>26</v>
      </c>
      <c r="B414" s="117" t="n">
        <v>11</v>
      </c>
      <c r="C414" s="8" t="str">
        <f aca="false">IF(OR(Recurring!$B$30="",Recurring!$H$30&lt;&gt;"Yes",Recurring!$D$30=""),"",Recurring!$B$30)</f>
        <v/>
      </c>
      <c r="D414" s="8" t="str">
        <f aca="false">IF($C414="","",Recurring!$C$30)</f>
        <v/>
      </c>
      <c r="E414" s="118" t="str">
        <f aca="false">IF($C414="","",IF(SUMIFS(Overrides!$E$9:$E$108,Overrides!$B$9:$B$108,$C414,Overrides!$C$9:$C$108,$L414)&gt;0,SUMIFS(Overrides!$E$9:$E$108,Overrides!$B$9:$B$108,$C414,Overrides!$C$9:$C$108,$L414),Recurring!$D$30))</f>
        <v/>
      </c>
      <c r="F414" s="119"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19" t="str">
        <f aca="false">IF($L414="","",IF(SUMIFS(Overrides!$D$9:$D$108,Overrides!$B$9:$B$108,$C414,Overrides!$C$9:$C$108,$L414)&gt;0,SUMIFS(Overrides!$D$9:$D$108,Overrides!$B$9:$B$108,$C414,Overrides!$C$9:$C$108,$L414),$L414))</f>
        <v/>
      </c>
      <c r="H414" s="120" t="n">
        <f aca="false">IF($G414="",0,IF(AND($G414&gt;='Cash Flow'!$E$6,$G414&lt;'Cash Flow'!$E$6+91),1,0))</f>
        <v>0</v>
      </c>
      <c r="I414" s="120" t="str">
        <f aca="false">IF($H414=1,MAX(1,INT(($G414-'Cash Flow'!$E$6)/7)+1),"")</f>
        <v/>
      </c>
      <c r="J414" s="8" t="str">
        <f aca="false">IF($H414=1,$G414*10000+ROW(),"")</f>
        <v/>
      </c>
      <c r="K414" s="8" t="str">
        <f aca="false">IF($H414=1,$I414*1000+COUNTIFS($I$4:$I$483,$I414,$J$4:$J$483,"&lt;"&amp;$J414)+1,"")</f>
        <v/>
      </c>
      <c r="L414" s="121"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17" t="n">
        <v>26</v>
      </c>
      <c r="B415" s="117" t="n">
        <v>12</v>
      </c>
      <c r="C415" s="8" t="str">
        <f aca="false">IF(OR(Recurring!$B$30="",Recurring!$H$30&lt;&gt;"Yes",Recurring!$D$30=""),"",Recurring!$B$30)</f>
        <v/>
      </c>
      <c r="D415" s="8" t="str">
        <f aca="false">IF($C415="","",Recurring!$C$30)</f>
        <v/>
      </c>
      <c r="E415" s="118" t="str">
        <f aca="false">IF($C415="","",IF(SUMIFS(Overrides!$E$9:$E$108,Overrides!$B$9:$B$108,$C415,Overrides!$C$9:$C$108,$L415)&gt;0,SUMIFS(Overrides!$E$9:$E$108,Overrides!$B$9:$B$108,$C415,Overrides!$C$9:$C$108,$L415),Recurring!$D$30))</f>
        <v/>
      </c>
      <c r="F415" s="119"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19" t="str">
        <f aca="false">IF($L415="","",IF(SUMIFS(Overrides!$D$9:$D$108,Overrides!$B$9:$B$108,$C415,Overrides!$C$9:$C$108,$L415)&gt;0,SUMIFS(Overrides!$D$9:$D$108,Overrides!$B$9:$B$108,$C415,Overrides!$C$9:$C$108,$L415),$L415))</f>
        <v/>
      </c>
      <c r="H415" s="120" t="n">
        <f aca="false">IF($G415="",0,IF(AND($G415&gt;='Cash Flow'!$E$6,$G415&lt;'Cash Flow'!$E$6+91),1,0))</f>
        <v>0</v>
      </c>
      <c r="I415" s="120" t="str">
        <f aca="false">IF($H415=1,MAX(1,INT(($G415-'Cash Flow'!$E$6)/7)+1),"")</f>
        <v/>
      </c>
      <c r="J415" s="8" t="str">
        <f aca="false">IF($H415=1,$G415*10000+ROW(),"")</f>
        <v/>
      </c>
      <c r="K415" s="8" t="str">
        <f aca="false">IF($H415=1,$I415*1000+COUNTIFS($I$4:$I$483,$I415,$J$4:$J$483,"&lt;"&amp;$J415)+1,"")</f>
        <v/>
      </c>
      <c r="L415" s="121"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17" t="n">
        <v>26</v>
      </c>
      <c r="B416" s="117" t="n">
        <v>13</v>
      </c>
      <c r="C416" s="8" t="str">
        <f aca="false">IF(OR(Recurring!$B$30="",Recurring!$H$30&lt;&gt;"Yes",Recurring!$D$30=""),"",Recurring!$B$30)</f>
        <v/>
      </c>
      <c r="D416" s="8" t="str">
        <f aca="false">IF($C416="","",Recurring!$C$30)</f>
        <v/>
      </c>
      <c r="E416" s="118" t="str">
        <f aca="false">IF($C416="","",IF(SUMIFS(Overrides!$E$9:$E$108,Overrides!$B$9:$B$108,$C416,Overrides!$C$9:$C$108,$L416)&gt;0,SUMIFS(Overrides!$E$9:$E$108,Overrides!$B$9:$B$108,$C416,Overrides!$C$9:$C$108,$L416),Recurring!$D$30))</f>
        <v/>
      </c>
      <c r="F416" s="119"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19" t="str">
        <f aca="false">IF($L416="","",IF(SUMIFS(Overrides!$D$9:$D$108,Overrides!$B$9:$B$108,$C416,Overrides!$C$9:$C$108,$L416)&gt;0,SUMIFS(Overrides!$D$9:$D$108,Overrides!$B$9:$B$108,$C416,Overrides!$C$9:$C$108,$L416),$L416))</f>
        <v/>
      </c>
      <c r="H416" s="120" t="n">
        <f aca="false">IF($G416="",0,IF(AND($G416&gt;='Cash Flow'!$E$6,$G416&lt;'Cash Flow'!$E$6+91),1,0))</f>
        <v>0</v>
      </c>
      <c r="I416" s="120" t="str">
        <f aca="false">IF($H416=1,MAX(1,INT(($G416-'Cash Flow'!$E$6)/7)+1),"")</f>
        <v/>
      </c>
      <c r="J416" s="8" t="str">
        <f aca="false">IF($H416=1,$G416*10000+ROW(),"")</f>
        <v/>
      </c>
      <c r="K416" s="8" t="str">
        <f aca="false">IF($H416=1,$I416*1000+COUNTIFS($I$4:$I$483,$I416,$J$4:$J$483,"&lt;"&amp;$J416)+1,"")</f>
        <v/>
      </c>
      <c r="L416" s="121"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17" t="n">
        <v>26</v>
      </c>
      <c r="B417" s="117" t="n">
        <v>14</v>
      </c>
      <c r="C417" s="8" t="str">
        <f aca="false">IF(OR(Recurring!$B$30="",Recurring!$H$30&lt;&gt;"Yes",Recurring!$D$30=""),"",Recurring!$B$30)</f>
        <v/>
      </c>
      <c r="D417" s="8" t="str">
        <f aca="false">IF($C417="","",Recurring!$C$30)</f>
        <v/>
      </c>
      <c r="E417" s="118" t="str">
        <f aca="false">IF($C417="","",IF(SUMIFS(Overrides!$E$9:$E$108,Overrides!$B$9:$B$108,$C417,Overrides!$C$9:$C$108,$L417)&gt;0,SUMIFS(Overrides!$E$9:$E$108,Overrides!$B$9:$B$108,$C417,Overrides!$C$9:$C$108,$L417),Recurring!$D$30))</f>
        <v/>
      </c>
      <c r="F417" s="119"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19" t="str">
        <f aca="false">IF($L417="","",IF(SUMIFS(Overrides!$D$9:$D$108,Overrides!$B$9:$B$108,$C417,Overrides!$C$9:$C$108,$L417)&gt;0,SUMIFS(Overrides!$D$9:$D$108,Overrides!$B$9:$B$108,$C417,Overrides!$C$9:$C$108,$L417),$L417))</f>
        <v/>
      </c>
      <c r="H417" s="120" t="n">
        <f aca="false">IF($G417="",0,IF(AND($G417&gt;='Cash Flow'!$E$6,$G417&lt;'Cash Flow'!$E$6+91),1,0))</f>
        <v>0</v>
      </c>
      <c r="I417" s="120" t="str">
        <f aca="false">IF($H417=1,MAX(1,INT(($G417-'Cash Flow'!$E$6)/7)+1),"")</f>
        <v/>
      </c>
      <c r="J417" s="8" t="str">
        <f aca="false">IF($H417=1,$G417*10000+ROW(),"")</f>
        <v/>
      </c>
      <c r="K417" s="8" t="str">
        <f aca="false">IF($H417=1,$I417*1000+COUNTIFS($I$4:$I$483,$I417,$J$4:$J$483,"&lt;"&amp;$J417)+1,"")</f>
        <v/>
      </c>
      <c r="L417" s="121"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17" t="n">
        <v>26</v>
      </c>
      <c r="B418" s="117" t="n">
        <v>15</v>
      </c>
      <c r="C418" s="8" t="str">
        <f aca="false">IF(OR(Recurring!$B$30="",Recurring!$H$30&lt;&gt;"Yes",Recurring!$D$30=""),"",Recurring!$B$30)</f>
        <v/>
      </c>
      <c r="D418" s="8" t="str">
        <f aca="false">IF($C418="","",Recurring!$C$30)</f>
        <v/>
      </c>
      <c r="E418" s="118" t="str">
        <f aca="false">IF($C418="","",IF(SUMIFS(Overrides!$E$9:$E$108,Overrides!$B$9:$B$108,$C418,Overrides!$C$9:$C$108,$L418)&gt;0,SUMIFS(Overrides!$E$9:$E$108,Overrides!$B$9:$B$108,$C418,Overrides!$C$9:$C$108,$L418),Recurring!$D$30))</f>
        <v/>
      </c>
      <c r="F418" s="119"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19" t="str">
        <f aca="false">IF($L418="","",IF(SUMIFS(Overrides!$D$9:$D$108,Overrides!$B$9:$B$108,$C418,Overrides!$C$9:$C$108,$L418)&gt;0,SUMIFS(Overrides!$D$9:$D$108,Overrides!$B$9:$B$108,$C418,Overrides!$C$9:$C$108,$L418),$L418))</f>
        <v/>
      </c>
      <c r="H418" s="120" t="n">
        <f aca="false">IF($G418="",0,IF(AND($G418&gt;='Cash Flow'!$E$6,$G418&lt;'Cash Flow'!$E$6+91),1,0))</f>
        <v>0</v>
      </c>
      <c r="I418" s="120" t="str">
        <f aca="false">IF($H418=1,MAX(1,INT(($G418-'Cash Flow'!$E$6)/7)+1),"")</f>
        <v/>
      </c>
      <c r="J418" s="8" t="str">
        <f aca="false">IF($H418=1,$G418*10000+ROW(),"")</f>
        <v/>
      </c>
      <c r="K418" s="8" t="str">
        <f aca="false">IF($H418=1,$I418*1000+COUNTIFS($I$4:$I$483,$I418,$J$4:$J$483,"&lt;"&amp;$J418)+1,"")</f>
        <v/>
      </c>
      <c r="L418" s="121"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17" t="n">
        <v>26</v>
      </c>
      <c r="B419" s="117" t="n">
        <v>16</v>
      </c>
      <c r="C419" s="8" t="str">
        <f aca="false">IF(OR(Recurring!$B$30="",Recurring!$H$30&lt;&gt;"Yes",Recurring!$D$30=""),"",Recurring!$B$30)</f>
        <v/>
      </c>
      <c r="D419" s="8" t="str">
        <f aca="false">IF($C419="","",Recurring!$C$30)</f>
        <v/>
      </c>
      <c r="E419" s="118" t="str">
        <f aca="false">IF($C419="","",IF(SUMIFS(Overrides!$E$9:$E$108,Overrides!$B$9:$B$108,$C419,Overrides!$C$9:$C$108,$L419)&gt;0,SUMIFS(Overrides!$E$9:$E$108,Overrides!$B$9:$B$108,$C419,Overrides!$C$9:$C$108,$L419),Recurring!$D$30))</f>
        <v/>
      </c>
      <c r="F419" s="119"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19" t="str">
        <f aca="false">IF($L419="","",IF(SUMIFS(Overrides!$D$9:$D$108,Overrides!$B$9:$B$108,$C419,Overrides!$C$9:$C$108,$L419)&gt;0,SUMIFS(Overrides!$D$9:$D$108,Overrides!$B$9:$B$108,$C419,Overrides!$C$9:$C$108,$L419),$L419))</f>
        <v/>
      </c>
      <c r="H419" s="120" t="n">
        <f aca="false">IF($G419="",0,IF(AND($G419&gt;='Cash Flow'!$E$6,$G419&lt;'Cash Flow'!$E$6+91),1,0))</f>
        <v>0</v>
      </c>
      <c r="I419" s="120" t="str">
        <f aca="false">IF($H419=1,MAX(1,INT(($G419-'Cash Flow'!$E$6)/7)+1),"")</f>
        <v/>
      </c>
      <c r="J419" s="8" t="str">
        <f aca="false">IF($H419=1,$G419*10000+ROW(),"")</f>
        <v/>
      </c>
      <c r="K419" s="8" t="str">
        <f aca="false">IF($H419=1,$I419*1000+COUNTIFS($I$4:$I$483,$I419,$J$4:$J$483,"&lt;"&amp;$J419)+1,"")</f>
        <v/>
      </c>
      <c r="L419" s="121"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17" t="n">
        <v>27</v>
      </c>
      <c r="B420" s="117" t="n">
        <v>1</v>
      </c>
      <c r="C420" s="8" t="str">
        <f aca="false">IF(OR(Recurring!$B$31="",Recurring!$H$31&lt;&gt;"Yes",Recurring!$D$31=""),"",Recurring!$B$31)</f>
        <v/>
      </c>
      <c r="D420" s="8" t="str">
        <f aca="false">IF($C420="","",Recurring!$C$31)</f>
        <v/>
      </c>
      <c r="E420" s="118" t="str">
        <f aca="false">IF($C420="","",IF(SUMIFS(Overrides!$E$9:$E$108,Overrides!$B$9:$B$108,$C420,Overrides!$C$9:$C$108,$L420)&gt;0,SUMIFS(Overrides!$E$9:$E$108,Overrides!$B$9:$B$108,$C420,Overrides!$C$9:$C$108,$L420),Recurring!$D$31))</f>
        <v/>
      </c>
      <c r="F420" s="119"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19" t="str">
        <f aca="false">IF($L420="","",IF(SUMIFS(Overrides!$D$9:$D$108,Overrides!$B$9:$B$108,$C420,Overrides!$C$9:$C$108,$L420)&gt;0,SUMIFS(Overrides!$D$9:$D$108,Overrides!$B$9:$B$108,$C420,Overrides!$C$9:$C$108,$L420),$L420))</f>
        <v/>
      </c>
      <c r="H420" s="120" t="n">
        <f aca="false">IF($G420="",0,IF(AND($G420&gt;='Cash Flow'!$E$6-90,$G420&lt;'Cash Flow'!$E$6+91),1,0))</f>
        <v>0</v>
      </c>
      <c r="I420" s="120" t="str">
        <f aca="false">IF($H420=1,MAX(1,INT(($G420-'Cash Flow'!$E$6)/7)+1),"")</f>
        <v/>
      </c>
      <c r="J420" s="8" t="str">
        <f aca="false">IF($H420=1,$G420*10000+ROW(),"")</f>
        <v/>
      </c>
      <c r="K420" s="8" t="str">
        <f aca="false">IF($H420=1,$I420*1000+COUNTIFS($I$4:$I$483,$I420,$J$4:$J$483,"&lt;"&amp;$J420)+1,"")</f>
        <v/>
      </c>
      <c r="L420" s="121"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17" t="n">
        <v>27</v>
      </c>
      <c r="B421" s="117" t="n">
        <v>2</v>
      </c>
      <c r="C421" s="8" t="str">
        <f aca="false">IF(OR(Recurring!$B$31="",Recurring!$H$31&lt;&gt;"Yes",Recurring!$D$31=""),"",Recurring!$B$31)</f>
        <v/>
      </c>
      <c r="D421" s="8" t="str">
        <f aca="false">IF($C421="","",Recurring!$C$31)</f>
        <v/>
      </c>
      <c r="E421" s="118" t="str">
        <f aca="false">IF($C421="","",IF(SUMIFS(Overrides!$E$9:$E$108,Overrides!$B$9:$B$108,$C421,Overrides!$C$9:$C$108,$L421)&gt;0,SUMIFS(Overrides!$E$9:$E$108,Overrides!$B$9:$B$108,$C421,Overrides!$C$9:$C$108,$L421),Recurring!$D$31))</f>
        <v/>
      </c>
      <c r="F421" s="119"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19" t="str">
        <f aca="false">IF($L421="","",IF(SUMIFS(Overrides!$D$9:$D$108,Overrides!$B$9:$B$108,$C421,Overrides!$C$9:$C$108,$L421)&gt;0,SUMIFS(Overrides!$D$9:$D$108,Overrides!$B$9:$B$108,$C421,Overrides!$C$9:$C$108,$L421),$L421))</f>
        <v/>
      </c>
      <c r="H421" s="120" t="n">
        <f aca="false">IF($G421="",0,IF(AND($G421&gt;='Cash Flow'!$E$6,$G421&lt;'Cash Flow'!$E$6+91),1,0))</f>
        <v>0</v>
      </c>
      <c r="I421" s="120" t="str">
        <f aca="false">IF($H421=1,MAX(1,INT(($G421-'Cash Flow'!$E$6)/7)+1),"")</f>
        <v/>
      </c>
      <c r="J421" s="8" t="str">
        <f aca="false">IF($H421=1,$G421*10000+ROW(),"")</f>
        <v/>
      </c>
      <c r="K421" s="8" t="str">
        <f aca="false">IF($H421=1,$I421*1000+COUNTIFS($I$4:$I$483,$I421,$J$4:$J$483,"&lt;"&amp;$J421)+1,"")</f>
        <v/>
      </c>
      <c r="L421" s="121"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17" t="n">
        <v>27</v>
      </c>
      <c r="B422" s="117" t="n">
        <v>3</v>
      </c>
      <c r="C422" s="8" t="str">
        <f aca="false">IF(OR(Recurring!$B$31="",Recurring!$H$31&lt;&gt;"Yes",Recurring!$D$31=""),"",Recurring!$B$31)</f>
        <v/>
      </c>
      <c r="D422" s="8" t="str">
        <f aca="false">IF($C422="","",Recurring!$C$31)</f>
        <v/>
      </c>
      <c r="E422" s="118" t="str">
        <f aca="false">IF($C422="","",IF(SUMIFS(Overrides!$E$9:$E$108,Overrides!$B$9:$B$108,$C422,Overrides!$C$9:$C$108,$L422)&gt;0,SUMIFS(Overrides!$E$9:$E$108,Overrides!$B$9:$B$108,$C422,Overrides!$C$9:$C$108,$L422),Recurring!$D$31))</f>
        <v/>
      </c>
      <c r="F422" s="119"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19" t="str">
        <f aca="false">IF($L422="","",IF(SUMIFS(Overrides!$D$9:$D$108,Overrides!$B$9:$B$108,$C422,Overrides!$C$9:$C$108,$L422)&gt;0,SUMIFS(Overrides!$D$9:$D$108,Overrides!$B$9:$B$108,$C422,Overrides!$C$9:$C$108,$L422),$L422))</f>
        <v/>
      </c>
      <c r="H422" s="120" t="n">
        <f aca="false">IF($G422="",0,IF(AND($G422&gt;='Cash Flow'!$E$6,$G422&lt;'Cash Flow'!$E$6+91),1,0))</f>
        <v>0</v>
      </c>
      <c r="I422" s="120" t="str">
        <f aca="false">IF($H422=1,MAX(1,INT(($G422-'Cash Flow'!$E$6)/7)+1),"")</f>
        <v/>
      </c>
      <c r="J422" s="8" t="str">
        <f aca="false">IF($H422=1,$G422*10000+ROW(),"")</f>
        <v/>
      </c>
      <c r="K422" s="8" t="str">
        <f aca="false">IF($H422=1,$I422*1000+COUNTIFS($I$4:$I$483,$I422,$J$4:$J$483,"&lt;"&amp;$J422)+1,"")</f>
        <v/>
      </c>
      <c r="L422" s="121"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17" t="n">
        <v>27</v>
      </c>
      <c r="B423" s="117" t="n">
        <v>4</v>
      </c>
      <c r="C423" s="8" t="str">
        <f aca="false">IF(OR(Recurring!$B$31="",Recurring!$H$31&lt;&gt;"Yes",Recurring!$D$31=""),"",Recurring!$B$31)</f>
        <v/>
      </c>
      <c r="D423" s="8" t="str">
        <f aca="false">IF($C423="","",Recurring!$C$31)</f>
        <v/>
      </c>
      <c r="E423" s="118" t="str">
        <f aca="false">IF($C423="","",IF(SUMIFS(Overrides!$E$9:$E$108,Overrides!$B$9:$B$108,$C423,Overrides!$C$9:$C$108,$L423)&gt;0,SUMIFS(Overrides!$E$9:$E$108,Overrides!$B$9:$B$108,$C423,Overrides!$C$9:$C$108,$L423),Recurring!$D$31))</f>
        <v/>
      </c>
      <c r="F423" s="119"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19" t="str">
        <f aca="false">IF($L423="","",IF(SUMIFS(Overrides!$D$9:$D$108,Overrides!$B$9:$B$108,$C423,Overrides!$C$9:$C$108,$L423)&gt;0,SUMIFS(Overrides!$D$9:$D$108,Overrides!$B$9:$B$108,$C423,Overrides!$C$9:$C$108,$L423),$L423))</f>
        <v/>
      </c>
      <c r="H423" s="120" t="n">
        <f aca="false">IF($G423="",0,IF(AND($G423&gt;='Cash Flow'!$E$6,$G423&lt;'Cash Flow'!$E$6+91),1,0))</f>
        <v>0</v>
      </c>
      <c r="I423" s="120" t="str">
        <f aca="false">IF($H423=1,MAX(1,INT(($G423-'Cash Flow'!$E$6)/7)+1),"")</f>
        <v/>
      </c>
      <c r="J423" s="8" t="str">
        <f aca="false">IF($H423=1,$G423*10000+ROW(),"")</f>
        <v/>
      </c>
      <c r="K423" s="8" t="str">
        <f aca="false">IF($H423=1,$I423*1000+COUNTIFS($I$4:$I$483,$I423,$J$4:$J$483,"&lt;"&amp;$J423)+1,"")</f>
        <v/>
      </c>
      <c r="L423" s="121"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17" t="n">
        <v>27</v>
      </c>
      <c r="B424" s="117" t="n">
        <v>5</v>
      </c>
      <c r="C424" s="8" t="str">
        <f aca="false">IF(OR(Recurring!$B$31="",Recurring!$H$31&lt;&gt;"Yes",Recurring!$D$31=""),"",Recurring!$B$31)</f>
        <v/>
      </c>
      <c r="D424" s="8" t="str">
        <f aca="false">IF($C424="","",Recurring!$C$31)</f>
        <v/>
      </c>
      <c r="E424" s="118" t="str">
        <f aca="false">IF($C424="","",IF(SUMIFS(Overrides!$E$9:$E$108,Overrides!$B$9:$B$108,$C424,Overrides!$C$9:$C$108,$L424)&gt;0,SUMIFS(Overrides!$E$9:$E$108,Overrides!$B$9:$B$108,$C424,Overrides!$C$9:$C$108,$L424),Recurring!$D$31))</f>
        <v/>
      </c>
      <c r="F424" s="119"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19" t="str">
        <f aca="false">IF($L424="","",IF(SUMIFS(Overrides!$D$9:$D$108,Overrides!$B$9:$B$108,$C424,Overrides!$C$9:$C$108,$L424)&gt;0,SUMIFS(Overrides!$D$9:$D$108,Overrides!$B$9:$B$108,$C424,Overrides!$C$9:$C$108,$L424),$L424))</f>
        <v/>
      </c>
      <c r="H424" s="120" t="n">
        <f aca="false">IF($G424="",0,IF(AND($G424&gt;='Cash Flow'!$E$6,$G424&lt;'Cash Flow'!$E$6+91),1,0))</f>
        <v>0</v>
      </c>
      <c r="I424" s="120" t="str">
        <f aca="false">IF($H424=1,MAX(1,INT(($G424-'Cash Flow'!$E$6)/7)+1),"")</f>
        <v/>
      </c>
      <c r="J424" s="8" t="str">
        <f aca="false">IF($H424=1,$G424*10000+ROW(),"")</f>
        <v/>
      </c>
      <c r="K424" s="8" t="str">
        <f aca="false">IF($H424=1,$I424*1000+COUNTIFS($I$4:$I$483,$I424,$J$4:$J$483,"&lt;"&amp;$J424)+1,"")</f>
        <v/>
      </c>
      <c r="L424" s="121"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17" t="n">
        <v>27</v>
      </c>
      <c r="B425" s="117" t="n">
        <v>6</v>
      </c>
      <c r="C425" s="8" t="str">
        <f aca="false">IF(OR(Recurring!$B$31="",Recurring!$H$31&lt;&gt;"Yes",Recurring!$D$31=""),"",Recurring!$B$31)</f>
        <v/>
      </c>
      <c r="D425" s="8" t="str">
        <f aca="false">IF($C425="","",Recurring!$C$31)</f>
        <v/>
      </c>
      <c r="E425" s="118" t="str">
        <f aca="false">IF($C425="","",IF(SUMIFS(Overrides!$E$9:$E$108,Overrides!$B$9:$B$108,$C425,Overrides!$C$9:$C$108,$L425)&gt;0,SUMIFS(Overrides!$E$9:$E$108,Overrides!$B$9:$B$108,$C425,Overrides!$C$9:$C$108,$L425),Recurring!$D$31))</f>
        <v/>
      </c>
      <c r="F425" s="119"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19" t="str">
        <f aca="false">IF($L425="","",IF(SUMIFS(Overrides!$D$9:$D$108,Overrides!$B$9:$B$108,$C425,Overrides!$C$9:$C$108,$L425)&gt;0,SUMIFS(Overrides!$D$9:$D$108,Overrides!$B$9:$B$108,$C425,Overrides!$C$9:$C$108,$L425),$L425))</f>
        <v/>
      </c>
      <c r="H425" s="120" t="n">
        <f aca="false">IF($G425="",0,IF(AND($G425&gt;='Cash Flow'!$E$6,$G425&lt;'Cash Flow'!$E$6+91),1,0))</f>
        <v>0</v>
      </c>
      <c r="I425" s="120" t="str">
        <f aca="false">IF($H425=1,MAX(1,INT(($G425-'Cash Flow'!$E$6)/7)+1),"")</f>
        <v/>
      </c>
      <c r="J425" s="8" t="str">
        <f aca="false">IF($H425=1,$G425*10000+ROW(),"")</f>
        <v/>
      </c>
      <c r="K425" s="8" t="str">
        <f aca="false">IF($H425=1,$I425*1000+COUNTIFS($I$4:$I$483,$I425,$J$4:$J$483,"&lt;"&amp;$J425)+1,"")</f>
        <v/>
      </c>
      <c r="L425" s="121"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17" t="n">
        <v>27</v>
      </c>
      <c r="B426" s="117" t="n">
        <v>7</v>
      </c>
      <c r="C426" s="8" t="str">
        <f aca="false">IF(OR(Recurring!$B$31="",Recurring!$H$31&lt;&gt;"Yes",Recurring!$D$31=""),"",Recurring!$B$31)</f>
        <v/>
      </c>
      <c r="D426" s="8" t="str">
        <f aca="false">IF($C426="","",Recurring!$C$31)</f>
        <v/>
      </c>
      <c r="E426" s="118" t="str">
        <f aca="false">IF($C426="","",IF(SUMIFS(Overrides!$E$9:$E$108,Overrides!$B$9:$B$108,$C426,Overrides!$C$9:$C$108,$L426)&gt;0,SUMIFS(Overrides!$E$9:$E$108,Overrides!$B$9:$B$108,$C426,Overrides!$C$9:$C$108,$L426),Recurring!$D$31))</f>
        <v/>
      </c>
      <c r="F426" s="119"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19" t="str">
        <f aca="false">IF($L426="","",IF(SUMIFS(Overrides!$D$9:$D$108,Overrides!$B$9:$B$108,$C426,Overrides!$C$9:$C$108,$L426)&gt;0,SUMIFS(Overrides!$D$9:$D$108,Overrides!$B$9:$B$108,$C426,Overrides!$C$9:$C$108,$L426),$L426))</f>
        <v/>
      </c>
      <c r="H426" s="120" t="n">
        <f aca="false">IF($G426="",0,IF(AND($G426&gt;='Cash Flow'!$E$6,$G426&lt;'Cash Flow'!$E$6+91),1,0))</f>
        <v>0</v>
      </c>
      <c r="I426" s="120" t="str">
        <f aca="false">IF($H426=1,MAX(1,INT(($G426-'Cash Flow'!$E$6)/7)+1),"")</f>
        <v/>
      </c>
      <c r="J426" s="8" t="str">
        <f aca="false">IF($H426=1,$G426*10000+ROW(),"")</f>
        <v/>
      </c>
      <c r="K426" s="8" t="str">
        <f aca="false">IF($H426=1,$I426*1000+COUNTIFS($I$4:$I$483,$I426,$J$4:$J$483,"&lt;"&amp;$J426)+1,"")</f>
        <v/>
      </c>
      <c r="L426" s="121"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17" t="n">
        <v>27</v>
      </c>
      <c r="B427" s="117" t="n">
        <v>8</v>
      </c>
      <c r="C427" s="8" t="str">
        <f aca="false">IF(OR(Recurring!$B$31="",Recurring!$H$31&lt;&gt;"Yes",Recurring!$D$31=""),"",Recurring!$B$31)</f>
        <v/>
      </c>
      <c r="D427" s="8" t="str">
        <f aca="false">IF($C427="","",Recurring!$C$31)</f>
        <v/>
      </c>
      <c r="E427" s="118" t="str">
        <f aca="false">IF($C427="","",IF(SUMIFS(Overrides!$E$9:$E$108,Overrides!$B$9:$B$108,$C427,Overrides!$C$9:$C$108,$L427)&gt;0,SUMIFS(Overrides!$E$9:$E$108,Overrides!$B$9:$B$108,$C427,Overrides!$C$9:$C$108,$L427),Recurring!$D$31))</f>
        <v/>
      </c>
      <c r="F427" s="119"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19" t="str">
        <f aca="false">IF($L427="","",IF(SUMIFS(Overrides!$D$9:$D$108,Overrides!$B$9:$B$108,$C427,Overrides!$C$9:$C$108,$L427)&gt;0,SUMIFS(Overrides!$D$9:$D$108,Overrides!$B$9:$B$108,$C427,Overrides!$C$9:$C$108,$L427),$L427))</f>
        <v/>
      </c>
      <c r="H427" s="120" t="n">
        <f aca="false">IF($G427="",0,IF(AND($G427&gt;='Cash Flow'!$E$6,$G427&lt;'Cash Flow'!$E$6+91),1,0))</f>
        <v>0</v>
      </c>
      <c r="I427" s="120" t="str">
        <f aca="false">IF($H427=1,MAX(1,INT(($G427-'Cash Flow'!$E$6)/7)+1),"")</f>
        <v/>
      </c>
      <c r="J427" s="8" t="str">
        <f aca="false">IF($H427=1,$G427*10000+ROW(),"")</f>
        <v/>
      </c>
      <c r="K427" s="8" t="str">
        <f aca="false">IF($H427=1,$I427*1000+COUNTIFS($I$4:$I$483,$I427,$J$4:$J$483,"&lt;"&amp;$J427)+1,"")</f>
        <v/>
      </c>
      <c r="L427" s="121"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17" t="n">
        <v>27</v>
      </c>
      <c r="B428" s="117" t="n">
        <v>9</v>
      </c>
      <c r="C428" s="8" t="str">
        <f aca="false">IF(OR(Recurring!$B$31="",Recurring!$H$31&lt;&gt;"Yes",Recurring!$D$31=""),"",Recurring!$B$31)</f>
        <v/>
      </c>
      <c r="D428" s="8" t="str">
        <f aca="false">IF($C428="","",Recurring!$C$31)</f>
        <v/>
      </c>
      <c r="E428" s="118" t="str">
        <f aca="false">IF($C428="","",IF(SUMIFS(Overrides!$E$9:$E$108,Overrides!$B$9:$B$108,$C428,Overrides!$C$9:$C$108,$L428)&gt;0,SUMIFS(Overrides!$E$9:$E$108,Overrides!$B$9:$B$108,$C428,Overrides!$C$9:$C$108,$L428),Recurring!$D$31))</f>
        <v/>
      </c>
      <c r="F428" s="119"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19" t="str">
        <f aca="false">IF($L428="","",IF(SUMIFS(Overrides!$D$9:$D$108,Overrides!$B$9:$B$108,$C428,Overrides!$C$9:$C$108,$L428)&gt;0,SUMIFS(Overrides!$D$9:$D$108,Overrides!$B$9:$B$108,$C428,Overrides!$C$9:$C$108,$L428),$L428))</f>
        <v/>
      </c>
      <c r="H428" s="120" t="n">
        <f aca="false">IF($G428="",0,IF(AND($G428&gt;='Cash Flow'!$E$6,$G428&lt;'Cash Flow'!$E$6+91),1,0))</f>
        <v>0</v>
      </c>
      <c r="I428" s="120" t="str">
        <f aca="false">IF($H428=1,MAX(1,INT(($G428-'Cash Flow'!$E$6)/7)+1),"")</f>
        <v/>
      </c>
      <c r="J428" s="8" t="str">
        <f aca="false">IF($H428=1,$G428*10000+ROW(),"")</f>
        <v/>
      </c>
      <c r="K428" s="8" t="str">
        <f aca="false">IF($H428=1,$I428*1000+COUNTIFS($I$4:$I$483,$I428,$J$4:$J$483,"&lt;"&amp;$J428)+1,"")</f>
        <v/>
      </c>
      <c r="L428" s="121"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17" t="n">
        <v>27</v>
      </c>
      <c r="B429" s="117" t="n">
        <v>10</v>
      </c>
      <c r="C429" s="8" t="str">
        <f aca="false">IF(OR(Recurring!$B$31="",Recurring!$H$31&lt;&gt;"Yes",Recurring!$D$31=""),"",Recurring!$B$31)</f>
        <v/>
      </c>
      <c r="D429" s="8" t="str">
        <f aca="false">IF($C429="","",Recurring!$C$31)</f>
        <v/>
      </c>
      <c r="E429" s="118" t="str">
        <f aca="false">IF($C429="","",IF(SUMIFS(Overrides!$E$9:$E$108,Overrides!$B$9:$B$108,$C429,Overrides!$C$9:$C$108,$L429)&gt;0,SUMIFS(Overrides!$E$9:$E$108,Overrides!$B$9:$B$108,$C429,Overrides!$C$9:$C$108,$L429),Recurring!$D$31))</f>
        <v/>
      </c>
      <c r="F429" s="119"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19" t="str">
        <f aca="false">IF($L429="","",IF(SUMIFS(Overrides!$D$9:$D$108,Overrides!$B$9:$B$108,$C429,Overrides!$C$9:$C$108,$L429)&gt;0,SUMIFS(Overrides!$D$9:$D$108,Overrides!$B$9:$B$108,$C429,Overrides!$C$9:$C$108,$L429),$L429))</f>
        <v/>
      </c>
      <c r="H429" s="120" t="n">
        <f aca="false">IF($G429="",0,IF(AND($G429&gt;='Cash Flow'!$E$6,$G429&lt;'Cash Flow'!$E$6+91),1,0))</f>
        <v>0</v>
      </c>
      <c r="I429" s="120" t="str">
        <f aca="false">IF($H429=1,MAX(1,INT(($G429-'Cash Flow'!$E$6)/7)+1),"")</f>
        <v/>
      </c>
      <c r="J429" s="8" t="str">
        <f aca="false">IF($H429=1,$G429*10000+ROW(),"")</f>
        <v/>
      </c>
      <c r="K429" s="8" t="str">
        <f aca="false">IF($H429=1,$I429*1000+COUNTIFS($I$4:$I$483,$I429,$J$4:$J$483,"&lt;"&amp;$J429)+1,"")</f>
        <v/>
      </c>
      <c r="L429" s="121"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17" t="n">
        <v>27</v>
      </c>
      <c r="B430" s="117" t="n">
        <v>11</v>
      </c>
      <c r="C430" s="8" t="str">
        <f aca="false">IF(OR(Recurring!$B$31="",Recurring!$H$31&lt;&gt;"Yes",Recurring!$D$31=""),"",Recurring!$B$31)</f>
        <v/>
      </c>
      <c r="D430" s="8" t="str">
        <f aca="false">IF($C430="","",Recurring!$C$31)</f>
        <v/>
      </c>
      <c r="E430" s="118" t="str">
        <f aca="false">IF($C430="","",IF(SUMIFS(Overrides!$E$9:$E$108,Overrides!$B$9:$B$108,$C430,Overrides!$C$9:$C$108,$L430)&gt;0,SUMIFS(Overrides!$E$9:$E$108,Overrides!$B$9:$B$108,$C430,Overrides!$C$9:$C$108,$L430),Recurring!$D$31))</f>
        <v/>
      </c>
      <c r="F430" s="119"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19" t="str">
        <f aca="false">IF($L430="","",IF(SUMIFS(Overrides!$D$9:$D$108,Overrides!$B$9:$B$108,$C430,Overrides!$C$9:$C$108,$L430)&gt;0,SUMIFS(Overrides!$D$9:$D$108,Overrides!$B$9:$B$108,$C430,Overrides!$C$9:$C$108,$L430),$L430))</f>
        <v/>
      </c>
      <c r="H430" s="120" t="n">
        <f aca="false">IF($G430="",0,IF(AND($G430&gt;='Cash Flow'!$E$6,$G430&lt;'Cash Flow'!$E$6+91),1,0))</f>
        <v>0</v>
      </c>
      <c r="I430" s="120" t="str">
        <f aca="false">IF($H430=1,MAX(1,INT(($G430-'Cash Flow'!$E$6)/7)+1),"")</f>
        <v/>
      </c>
      <c r="J430" s="8" t="str">
        <f aca="false">IF($H430=1,$G430*10000+ROW(),"")</f>
        <v/>
      </c>
      <c r="K430" s="8" t="str">
        <f aca="false">IF($H430=1,$I430*1000+COUNTIFS($I$4:$I$483,$I430,$J$4:$J$483,"&lt;"&amp;$J430)+1,"")</f>
        <v/>
      </c>
      <c r="L430" s="121"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17" t="n">
        <v>27</v>
      </c>
      <c r="B431" s="117" t="n">
        <v>12</v>
      </c>
      <c r="C431" s="8" t="str">
        <f aca="false">IF(OR(Recurring!$B$31="",Recurring!$H$31&lt;&gt;"Yes",Recurring!$D$31=""),"",Recurring!$B$31)</f>
        <v/>
      </c>
      <c r="D431" s="8" t="str">
        <f aca="false">IF($C431="","",Recurring!$C$31)</f>
        <v/>
      </c>
      <c r="E431" s="118" t="str">
        <f aca="false">IF($C431="","",IF(SUMIFS(Overrides!$E$9:$E$108,Overrides!$B$9:$B$108,$C431,Overrides!$C$9:$C$108,$L431)&gt;0,SUMIFS(Overrides!$E$9:$E$108,Overrides!$B$9:$B$108,$C431,Overrides!$C$9:$C$108,$L431),Recurring!$D$31))</f>
        <v/>
      </c>
      <c r="F431" s="119"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19" t="str">
        <f aca="false">IF($L431="","",IF(SUMIFS(Overrides!$D$9:$D$108,Overrides!$B$9:$B$108,$C431,Overrides!$C$9:$C$108,$L431)&gt;0,SUMIFS(Overrides!$D$9:$D$108,Overrides!$B$9:$B$108,$C431,Overrides!$C$9:$C$108,$L431),$L431))</f>
        <v/>
      </c>
      <c r="H431" s="120" t="n">
        <f aca="false">IF($G431="",0,IF(AND($G431&gt;='Cash Flow'!$E$6,$G431&lt;'Cash Flow'!$E$6+91),1,0))</f>
        <v>0</v>
      </c>
      <c r="I431" s="120" t="str">
        <f aca="false">IF($H431=1,MAX(1,INT(($G431-'Cash Flow'!$E$6)/7)+1),"")</f>
        <v/>
      </c>
      <c r="J431" s="8" t="str">
        <f aca="false">IF($H431=1,$G431*10000+ROW(),"")</f>
        <v/>
      </c>
      <c r="K431" s="8" t="str">
        <f aca="false">IF($H431=1,$I431*1000+COUNTIFS($I$4:$I$483,$I431,$J$4:$J$483,"&lt;"&amp;$J431)+1,"")</f>
        <v/>
      </c>
      <c r="L431" s="121"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17" t="n">
        <v>27</v>
      </c>
      <c r="B432" s="117" t="n">
        <v>13</v>
      </c>
      <c r="C432" s="8" t="str">
        <f aca="false">IF(OR(Recurring!$B$31="",Recurring!$H$31&lt;&gt;"Yes",Recurring!$D$31=""),"",Recurring!$B$31)</f>
        <v/>
      </c>
      <c r="D432" s="8" t="str">
        <f aca="false">IF($C432="","",Recurring!$C$31)</f>
        <v/>
      </c>
      <c r="E432" s="118" t="str">
        <f aca="false">IF($C432="","",IF(SUMIFS(Overrides!$E$9:$E$108,Overrides!$B$9:$B$108,$C432,Overrides!$C$9:$C$108,$L432)&gt;0,SUMIFS(Overrides!$E$9:$E$108,Overrides!$B$9:$B$108,$C432,Overrides!$C$9:$C$108,$L432),Recurring!$D$31))</f>
        <v/>
      </c>
      <c r="F432" s="119"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19" t="str">
        <f aca="false">IF($L432="","",IF(SUMIFS(Overrides!$D$9:$D$108,Overrides!$B$9:$B$108,$C432,Overrides!$C$9:$C$108,$L432)&gt;0,SUMIFS(Overrides!$D$9:$D$108,Overrides!$B$9:$B$108,$C432,Overrides!$C$9:$C$108,$L432),$L432))</f>
        <v/>
      </c>
      <c r="H432" s="120" t="n">
        <f aca="false">IF($G432="",0,IF(AND($G432&gt;='Cash Flow'!$E$6,$G432&lt;'Cash Flow'!$E$6+91),1,0))</f>
        <v>0</v>
      </c>
      <c r="I432" s="120" t="str">
        <f aca="false">IF($H432=1,MAX(1,INT(($G432-'Cash Flow'!$E$6)/7)+1),"")</f>
        <v/>
      </c>
      <c r="J432" s="8" t="str">
        <f aca="false">IF($H432=1,$G432*10000+ROW(),"")</f>
        <v/>
      </c>
      <c r="K432" s="8" t="str">
        <f aca="false">IF($H432=1,$I432*1000+COUNTIFS($I$4:$I$483,$I432,$J$4:$J$483,"&lt;"&amp;$J432)+1,"")</f>
        <v/>
      </c>
      <c r="L432" s="121"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17" t="n">
        <v>27</v>
      </c>
      <c r="B433" s="117" t="n">
        <v>14</v>
      </c>
      <c r="C433" s="8" t="str">
        <f aca="false">IF(OR(Recurring!$B$31="",Recurring!$H$31&lt;&gt;"Yes",Recurring!$D$31=""),"",Recurring!$B$31)</f>
        <v/>
      </c>
      <c r="D433" s="8" t="str">
        <f aca="false">IF($C433="","",Recurring!$C$31)</f>
        <v/>
      </c>
      <c r="E433" s="118" t="str">
        <f aca="false">IF($C433="","",IF(SUMIFS(Overrides!$E$9:$E$108,Overrides!$B$9:$B$108,$C433,Overrides!$C$9:$C$108,$L433)&gt;0,SUMIFS(Overrides!$E$9:$E$108,Overrides!$B$9:$B$108,$C433,Overrides!$C$9:$C$108,$L433),Recurring!$D$31))</f>
        <v/>
      </c>
      <c r="F433" s="119"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19" t="str">
        <f aca="false">IF($L433="","",IF(SUMIFS(Overrides!$D$9:$D$108,Overrides!$B$9:$B$108,$C433,Overrides!$C$9:$C$108,$L433)&gt;0,SUMIFS(Overrides!$D$9:$D$108,Overrides!$B$9:$B$108,$C433,Overrides!$C$9:$C$108,$L433),$L433))</f>
        <v/>
      </c>
      <c r="H433" s="120" t="n">
        <f aca="false">IF($G433="",0,IF(AND($G433&gt;='Cash Flow'!$E$6,$G433&lt;'Cash Flow'!$E$6+91),1,0))</f>
        <v>0</v>
      </c>
      <c r="I433" s="120" t="str">
        <f aca="false">IF($H433=1,MAX(1,INT(($G433-'Cash Flow'!$E$6)/7)+1),"")</f>
        <v/>
      </c>
      <c r="J433" s="8" t="str">
        <f aca="false">IF($H433=1,$G433*10000+ROW(),"")</f>
        <v/>
      </c>
      <c r="K433" s="8" t="str">
        <f aca="false">IF($H433=1,$I433*1000+COUNTIFS($I$4:$I$483,$I433,$J$4:$J$483,"&lt;"&amp;$J433)+1,"")</f>
        <v/>
      </c>
      <c r="L433" s="121"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17" t="n">
        <v>27</v>
      </c>
      <c r="B434" s="117" t="n">
        <v>15</v>
      </c>
      <c r="C434" s="8" t="str">
        <f aca="false">IF(OR(Recurring!$B$31="",Recurring!$H$31&lt;&gt;"Yes",Recurring!$D$31=""),"",Recurring!$B$31)</f>
        <v/>
      </c>
      <c r="D434" s="8" t="str">
        <f aca="false">IF($C434="","",Recurring!$C$31)</f>
        <v/>
      </c>
      <c r="E434" s="118" t="str">
        <f aca="false">IF($C434="","",IF(SUMIFS(Overrides!$E$9:$E$108,Overrides!$B$9:$B$108,$C434,Overrides!$C$9:$C$108,$L434)&gt;0,SUMIFS(Overrides!$E$9:$E$108,Overrides!$B$9:$B$108,$C434,Overrides!$C$9:$C$108,$L434),Recurring!$D$31))</f>
        <v/>
      </c>
      <c r="F434" s="119"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19" t="str">
        <f aca="false">IF($L434="","",IF(SUMIFS(Overrides!$D$9:$D$108,Overrides!$B$9:$B$108,$C434,Overrides!$C$9:$C$108,$L434)&gt;0,SUMIFS(Overrides!$D$9:$D$108,Overrides!$B$9:$B$108,$C434,Overrides!$C$9:$C$108,$L434),$L434))</f>
        <v/>
      </c>
      <c r="H434" s="120" t="n">
        <f aca="false">IF($G434="",0,IF(AND($G434&gt;='Cash Flow'!$E$6,$G434&lt;'Cash Flow'!$E$6+91),1,0))</f>
        <v>0</v>
      </c>
      <c r="I434" s="120" t="str">
        <f aca="false">IF($H434=1,MAX(1,INT(($G434-'Cash Flow'!$E$6)/7)+1),"")</f>
        <v/>
      </c>
      <c r="J434" s="8" t="str">
        <f aca="false">IF($H434=1,$G434*10000+ROW(),"")</f>
        <v/>
      </c>
      <c r="K434" s="8" t="str">
        <f aca="false">IF($H434=1,$I434*1000+COUNTIFS($I$4:$I$483,$I434,$J$4:$J$483,"&lt;"&amp;$J434)+1,"")</f>
        <v/>
      </c>
      <c r="L434" s="121"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17" t="n">
        <v>27</v>
      </c>
      <c r="B435" s="117" t="n">
        <v>16</v>
      </c>
      <c r="C435" s="8" t="str">
        <f aca="false">IF(OR(Recurring!$B$31="",Recurring!$H$31&lt;&gt;"Yes",Recurring!$D$31=""),"",Recurring!$B$31)</f>
        <v/>
      </c>
      <c r="D435" s="8" t="str">
        <f aca="false">IF($C435="","",Recurring!$C$31)</f>
        <v/>
      </c>
      <c r="E435" s="118" t="str">
        <f aca="false">IF($C435="","",IF(SUMIFS(Overrides!$E$9:$E$108,Overrides!$B$9:$B$108,$C435,Overrides!$C$9:$C$108,$L435)&gt;0,SUMIFS(Overrides!$E$9:$E$108,Overrides!$B$9:$B$108,$C435,Overrides!$C$9:$C$108,$L435),Recurring!$D$31))</f>
        <v/>
      </c>
      <c r="F435" s="119"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19" t="str">
        <f aca="false">IF($L435="","",IF(SUMIFS(Overrides!$D$9:$D$108,Overrides!$B$9:$B$108,$C435,Overrides!$C$9:$C$108,$L435)&gt;0,SUMIFS(Overrides!$D$9:$D$108,Overrides!$B$9:$B$108,$C435,Overrides!$C$9:$C$108,$L435),$L435))</f>
        <v/>
      </c>
      <c r="H435" s="120" t="n">
        <f aca="false">IF($G435="",0,IF(AND($G435&gt;='Cash Flow'!$E$6,$G435&lt;'Cash Flow'!$E$6+91),1,0))</f>
        <v>0</v>
      </c>
      <c r="I435" s="120" t="str">
        <f aca="false">IF($H435=1,MAX(1,INT(($G435-'Cash Flow'!$E$6)/7)+1),"")</f>
        <v/>
      </c>
      <c r="J435" s="8" t="str">
        <f aca="false">IF($H435=1,$G435*10000+ROW(),"")</f>
        <v/>
      </c>
      <c r="K435" s="8" t="str">
        <f aca="false">IF($H435=1,$I435*1000+COUNTIFS($I$4:$I$483,$I435,$J$4:$J$483,"&lt;"&amp;$J435)+1,"")</f>
        <v/>
      </c>
      <c r="L435" s="121"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17" t="n">
        <v>28</v>
      </c>
      <c r="B436" s="117" t="n">
        <v>1</v>
      </c>
      <c r="C436" s="8" t="str">
        <f aca="false">IF(OR(Recurring!$B$32="",Recurring!$H$32&lt;&gt;"Yes",Recurring!$D$32=""),"",Recurring!$B$32)</f>
        <v/>
      </c>
      <c r="D436" s="8" t="str">
        <f aca="false">IF($C436="","",Recurring!$C$32)</f>
        <v/>
      </c>
      <c r="E436" s="118" t="str">
        <f aca="false">IF($C436="","",IF(SUMIFS(Overrides!$E$9:$E$108,Overrides!$B$9:$B$108,$C436,Overrides!$C$9:$C$108,$L436)&gt;0,SUMIFS(Overrides!$E$9:$E$108,Overrides!$B$9:$B$108,$C436,Overrides!$C$9:$C$108,$L436),Recurring!$D$32))</f>
        <v/>
      </c>
      <c r="F436" s="119"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19" t="str">
        <f aca="false">IF($L436="","",IF(SUMIFS(Overrides!$D$9:$D$108,Overrides!$B$9:$B$108,$C436,Overrides!$C$9:$C$108,$L436)&gt;0,SUMIFS(Overrides!$D$9:$D$108,Overrides!$B$9:$B$108,$C436,Overrides!$C$9:$C$108,$L436),$L436))</f>
        <v/>
      </c>
      <c r="H436" s="120" t="n">
        <f aca="false">IF($G436="",0,IF(AND($G436&gt;='Cash Flow'!$E$6-90,$G436&lt;'Cash Flow'!$E$6+91),1,0))</f>
        <v>0</v>
      </c>
      <c r="I436" s="120" t="str">
        <f aca="false">IF($H436=1,MAX(1,INT(($G436-'Cash Flow'!$E$6)/7)+1),"")</f>
        <v/>
      </c>
      <c r="J436" s="8" t="str">
        <f aca="false">IF($H436=1,$G436*10000+ROW(),"")</f>
        <v/>
      </c>
      <c r="K436" s="8" t="str">
        <f aca="false">IF($H436=1,$I436*1000+COUNTIFS($I$4:$I$483,$I436,$J$4:$J$483,"&lt;"&amp;$J436)+1,"")</f>
        <v/>
      </c>
      <c r="L436" s="121"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17" t="n">
        <v>28</v>
      </c>
      <c r="B437" s="117" t="n">
        <v>2</v>
      </c>
      <c r="C437" s="8" t="str">
        <f aca="false">IF(OR(Recurring!$B$32="",Recurring!$H$32&lt;&gt;"Yes",Recurring!$D$32=""),"",Recurring!$B$32)</f>
        <v/>
      </c>
      <c r="D437" s="8" t="str">
        <f aca="false">IF($C437="","",Recurring!$C$32)</f>
        <v/>
      </c>
      <c r="E437" s="118" t="str">
        <f aca="false">IF($C437="","",IF(SUMIFS(Overrides!$E$9:$E$108,Overrides!$B$9:$B$108,$C437,Overrides!$C$9:$C$108,$L437)&gt;0,SUMIFS(Overrides!$E$9:$E$108,Overrides!$B$9:$B$108,$C437,Overrides!$C$9:$C$108,$L437),Recurring!$D$32))</f>
        <v/>
      </c>
      <c r="F437" s="119"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19" t="str">
        <f aca="false">IF($L437="","",IF(SUMIFS(Overrides!$D$9:$D$108,Overrides!$B$9:$B$108,$C437,Overrides!$C$9:$C$108,$L437)&gt;0,SUMIFS(Overrides!$D$9:$D$108,Overrides!$B$9:$B$108,$C437,Overrides!$C$9:$C$108,$L437),$L437))</f>
        <v/>
      </c>
      <c r="H437" s="120" t="n">
        <f aca="false">IF($G437="",0,IF(AND($G437&gt;='Cash Flow'!$E$6,$G437&lt;'Cash Flow'!$E$6+91),1,0))</f>
        <v>0</v>
      </c>
      <c r="I437" s="120" t="str">
        <f aca="false">IF($H437=1,MAX(1,INT(($G437-'Cash Flow'!$E$6)/7)+1),"")</f>
        <v/>
      </c>
      <c r="J437" s="8" t="str">
        <f aca="false">IF($H437=1,$G437*10000+ROW(),"")</f>
        <v/>
      </c>
      <c r="K437" s="8" t="str">
        <f aca="false">IF($H437=1,$I437*1000+COUNTIFS($I$4:$I$483,$I437,$J$4:$J$483,"&lt;"&amp;$J437)+1,"")</f>
        <v/>
      </c>
      <c r="L437" s="121"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17" t="n">
        <v>28</v>
      </c>
      <c r="B438" s="117" t="n">
        <v>3</v>
      </c>
      <c r="C438" s="8" t="str">
        <f aca="false">IF(OR(Recurring!$B$32="",Recurring!$H$32&lt;&gt;"Yes",Recurring!$D$32=""),"",Recurring!$B$32)</f>
        <v/>
      </c>
      <c r="D438" s="8" t="str">
        <f aca="false">IF($C438="","",Recurring!$C$32)</f>
        <v/>
      </c>
      <c r="E438" s="118" t="str">
        <f aca="false">IF($C438="","",IF(SUMIFS(Overrides!$E$9:$E$108,Overrides!$B$9:$B$108,$C438,Overrides!$C$9:$C$108,$L438)&gt;0,SUMIFS(Overrides!$E$9:$E$108,Overrides!$B$9:$B$108,$C438,Overrides!$C$9:$C$108,$L438),Recurring!$D$32))</f>
        <v/>
      </c>
      <c r="F438" s="119"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19" t="str">
        <f aca="false">IF($L438="","",IF(SUMIFS(Overrides!$D$9:$D$108,Overrides!$B$9:$B$108,$C438,Overrides!$C$9:$C$108,$L438)&gt;0,SUMIFS(Overrides!$D$9:$D$108,Overrides!$B$9:$B$108,$C438,Overrides!$C$9:$C$108,$L438),$L438))</f>
        <v/>
      </c>
      <c r="H438" s="120" t="n">
        <f aca="false">IF($G438="",0,IF(AND($G438&gt;='Cash Flow'!$E$6,$G438&lt;'Cash Flow'!$E$6+91),1,0))</f>
        <v>0</v>
      </c>
      <c r="I438" s="120" t="str">
        <f aca="false">IF($H438=1,MAX(1,INT(($G438-'Cash Flow'!$E$6)/7)+1),"")</f>
        <v/>
      </c>
      <c r="J438" s="8" t="str">
        <f aca="false">IF($H438=1,$G438*10000+ROW(),"")</f>
        <v/>
      </c>
      <c r="K438" s="8" t="str">
        <f aca="false">IF($H438=1,$I438*1000+COUNTIFS($I$4:$I$483,$I438,$J$4:$J$483,"&lt;"&amp;$J438)+1,"")</f>
        <v/>
      </c>
      <c r="L438" s="121"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17" t="n">
        <v>28</v>
      </c>
      <c r="B439" s="117" t="n">
        <v>4</v>
      </c>
      <c r="C439" s="8" t="str">
        <f aca="false">IF(OR(Recurring!$B$32="",Recurring!$H$32&lt;&gt;"Yes",Recurring!$D$32=""),"",Recurring!$B$32)</f>
        <v/>
      </c>
      <c r="D439" s="8" t="str">
        <f aca="false">IF($C439="","",Recurring!$C$32)</f>
        <v/>
      </c>
      <c r="E439" s="118" t="str">
        <f aca="false">IF($C439="","",IF(SUMIFS(Overrides!$E$9:$E$108,Overrides!$B$9:$B$108,$C439,Overrides!$C$9:$C$108,$L439)&gt;0,SUMIFS(Overrides!$E$9:$E$108,Overrides!$B$9:$B$108,$C439,Overrides!$C$9:$C$108,$L439),Recurring!$D$32))</f>
        <v/>
      </c>
      <c r="F439" s="119"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19" t="str">
        <f aca="false">IF($L439="","",IF(SUMIFS(Overrides!$D$9:$D$108,Overrides!$B$9:$B$108,$C439,Overrides!$C$9:$C$108,$L439)&gt;0,SUMIFS(Overrides!$D$9:$D$108,Overrides!$B$9:$B$108,$C439,Overrides!$C$9:$C$108,$L439),$L439))</f>
        <v/>
      </c>
      <c r="H439" s="120" t="n">
        <f aca="false">IF($G439="",0,IF(AND($G439&gt;='Cash Flow'!$E$6,$G439&lt;'Cash Flow'!$E$6+91),1,0))</f>
        <v>0</v>
      </c>
      <c r="I439" s="120" t="str">
        <f aca="false">IF($H439=1,MAX(1,INT(($G439-'Cash Flow'!$E$6)/7)+1),"")</f>
        <v/>
      </c>
      <c r="J439" s="8" t="str">
        <f aca="false">IF($H439=1,$G439*10000+ROW(),"")</f>
        <v/>
      </c>
      <c r="K439" s="8" t="str">
        <f aca="false">IF($H439=1,$I439*1000+COUNTIFS($I$4:$I$483,$I439,$J$4:$J$483,"&lt;"&amp;$J439)+1,"")</f>
        <v/>
      </c>
      <c r="L439" s="121"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17" t="n">
        <v>28</v>
      </c>
      <c r="B440" s="117" t="n">
        <v>5</v>
      </c>
      <c r="C440" s="8" t="str">
        <f aca="false">IF(OR(Recurring!$B$32="",Recurring!$H$32&lt;&gt;"Yes",Recurring!$D$32=""),"",Recurring!$B$32)</f>
        <v/>
      </c>
      <c r="D440" s="8" t="str">
        <f aca="false">IF($C440="","",Recurring!$C$32)</f>
        <v/>
      </c>
      <c r="E440" s="118" t="str">
        <f aca="false">IF($C440="","",IF(SUMIFS(Overrides!$E$9:$E$108,Overrides!$B$9:$B$108,$C440,Overrides!$C$9:$C$108,$L440)&gt;0,SUMIFS(Overrides!$E$9:$E$108,Overrides!$B$9:$B$108,$C440,Overrides!$C$9:$C$108,$L440),Recurring!$D$32))</f>
        <v/>
      </c>
      <c r="F440" s="119"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19" t="str">
        <f aca="false">IF($L440="","",IF(SUMIFS(Overrides!$D$9:$D$108,Overrides!$B$9:$B$108,$C440,Overrides!$C$9:$C$108,$L440)&gt;0,SUMIFS(Overrides!$D$9:$D$108,Overrides!$B$9:$B$108,$C440,Overrides!$C$9:$C$108,$L440),$L440))</f>
        <v/>
      </c>
      <c r="H440" s="120" t="n">
        <f aca="false">IF($G440="",0,IF(AND($G440&gt;='Cash Flow'!$E$6,$G440&lt;'Cash Flow'!$E$6+91),1,0))</f>
        <v>0</v>
      </c>
      <c r="I440" s="120" t="str">
        <f aca="false">IF($H440=1,MAX(1,INT(($G440-'Cash Flow'!$E$6)/7)+1),"")</f>
        <v/>
      </c>
      <c r="J440" s="8" t="str">
        <f aca="false">IF($H440=1,$G440*10000+ROW(),"")</f>
        <v/>
      </c>
      <c r="K440" s="8" t="str">
        <f aca="false">IF($H440=1,$I440*1000+COUNTIFS($I$4:$I$483,$I440,$J$4:$J$483,"&lt;"&amp;$J440)+1,"")</f>
        <v/>
      </c>
      <c r="L440" s="121"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17" t="n">
        <v>28</v>
      </c>
      <c r="B441" s="117" t="n">
        <v>6</v>
      </c>
      <c r="C441" s="8" t="str">
        <f aca="false">IF(OR(Recurring!$B$32="",Recurring!$H$32&lt;&gt;"Yes",Recurring!$D$32=""),"",Recurring!$B$32)</f>
        <v/>
      </c>
      <c r="D441" s="8" t="str">
        <f aca="false">IF($C441="","",Recurring!$C$32)</f>
        <v/>
      </c>
      <c r="E441" s="118" t="str">
        <f aca="false">IF($C441="","",IF(SUMIFS(Overrides!$E$9:$E$108,Overrides!$B$9:$B$108,$C441,Overrides!$C$9:$C$108,$L441)&gt;0,SUMIFS(Overrides!$E$9:$E$108,Overrides!$B$9:$B$108,$C441,Overrides!$C$9:$C$108,$L441),Recurring!$D$32))</f>
        <v/>
      </c>
      <c r="F441" s="119"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19" t="str">
        <f aca="false">IF($L441="","",IF(SUMIFS(Overrides!$D$9:$D$108,Overrides!$B$9:$B$108,$C441,Overrides!$C$9:$C$108,$L441)&gt;0,SUMIFS(Overrides!$D$9:$D$108,Overrides!$B$9:$B$108,$C441,Overrides!$C$9:$C$108,$L441),$L441))</f>
        <v/>
      </c>
      <c r="H441" s="120" t="n">
        <f aca="false">IF($G441="",0,IF(AND($G441&gt;='Cash Flow'!$E$6,$G441&lt;'Cash Flow'!$E$6+91),1,0))</f>
        <v>0</v>
      </c>
      <c r="I441" s="120" t="str">
        <f aca="false">IF($H441=1,MAX(1,INT(($G441-'Cash Flow'!$E$6)/7)+1),"")</f>
        <v/>
      </c>
      <c r="J441" s="8" t="str">
        <f aca="false">IF($H441=1,$G441*10000+ROW(),"")</f>
        <v/>
      </c>
      <c r="K441" s="8" t="str">
        <f aca="false">IF($H441=1,$I441*1000+COUNTIFS($I$4:$I$483,$I441,$J$4:$J$483,"&lt;"&amp;$J441)+1,"")</f>
        <v/>
      </c>
      <c r="L441" s="121"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17" t="n">
        <v>28</v>
      </c>
      <c r="B442" s="117" t="n">
        <v>7</v>
      </c>
      <c r="C442" s="8" t="str">
        <f aca="false">IF(OR(Recurring!$B$32="",Recurring!$H$32&lt;&gt;"Yes",Recurring!$D$32=""),"",Recurring!$B$32)</f>
        <v/>
      </c>
      <c r="D442" s="8" t="str">
        <f aca="false">IF($C442="","",Recurring!$C$32)</f>
        <v/>
      </c>
      <c r="E442" s="118" t="str">
        <f aca="false">IF($C442="","",IF(SUMIFS(Overrides!$E$9:$E$108,Overrides!$B$9:$B$108,$C442,Overrides!$C$9:$C$108,$L442)&gt;0,SUMIFS(Overrides!$E$9:$E$108,Overrides!$B$9:$B$108,$C442,Overrides!$C$9:$C$108,$L442),Recurring!$D$32))</f>
        <v/>
      </c>
      <c r="F442" s="119"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19" t="str">
        <f aca="false">IF($L442="","",IF(SUMIFS(Overrides!$D$9:$D$108,Overrides!$B$9:$B$108,$C442,Overrides!$C$9:$C$108,$L442)&gt;0,SUMIFS(Overrides!$D$9:$D$108,Overrides!$B$9:$B$108,$C442,Overrides!$C$9:$C$108,$L442),$L442))</f>
        <v/>
      </c>
      <c r="H442" s="120" t="n">
        <f aca="false">IF($G442="",0,IF(AND($G442&gt;='Cash Flow'!$E$6,$G442&lt;'Cash Flow'!$E$6+91),1,0))</f>
        <v>0</v>
      </c>
      <c r="I442" s="120" t="str">
        <f aca="false">IF($H442=1,MAX(1,INT(($G442-'Cash Flow'!$E$6)/7)+1),"")</f>
        <v/>
      </c>
      <c r="J442" s="8" t="str">
        <f aca="false">IF($H442=1,$G442*10000+ROW(),"")</f>
        <v/>
      </c>
      <c r="K442" s="8" t="str">
        <f aca="false">IF($H442=1,$I442*1000+COUNTIFS($I$4:$I$483,$I442,$J$4:$J$483,"&lt;"&amp;$J442)+1,"")</f>
        <v/>
      </c>
      <c r="L442" s="121"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17" t="n">
        <v>28</v>
      </c>
      <c r="B443" s="117" t="n">
        <v>8</v>
      </c>
      <c r="C443" s="8" t="str">
        <f aca="false">IF(OR(Recurring!$B$32="",Recurring!$H$32&lt;&gt;"Yes",Recurring!$D$32=""),"",Recurring!$B$32)</f>
        <v/>
      </c>
      <c r="D443" s="8" t="str">
        <f aca="false">IF($C443="","",Recurring!$C$32)</f>
        <v/>
      </c>
      <c r="E443" s="118" t="str">
        <f aca="false">IF($C443="","",IF(SUMIFS(Overrides!$E$9:$E$108,Overrides!$B$9:$B$108,$C443,Overrides!$C$9:$C$108,$L443)&gt;0,SUMIFS(Overrides!$E$9:$E$108,Overrides!$B$9:$B$108,$C443,Overrides!$C$9:$C$108,$L443),Recurring!$D$32))</f>
        <v/>
      </c>
      <c r="F443" s="119"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19" t="str">
        <f aca="false">IF($L443="","",IF(SUMIFS(Overrides!$D$9:$D$108,Overrides!$B$9:$B$108,$C443,Overrides!$C$9:$C$108,$L443)&gt;0,SUMIFS(Overrides!$D$9:$D$108,Overrides!$B$9:$B$108,$C443,Overrides!$C$9:$C$108,$L443),$L443))</f>
        <v/>
      </c>
      <c r="H443" s="120" t="n">
        <f aca="false">IF($G443="",0,IF(AND($G443&gt;='Cash Flow'!$E$6,$G443&lt;'Cash Flow'!$E$6+91),1,0))</f>
        <v>0</v>
      </c>
      <c r="I443" s="120" t="str">
        <f aca="false">IF($H443=1,MAX(1,INT(($G443-'Cash Flow'!$E$6)/7)+1),"")</f>
        <v/>
      </c>
      <c r="J443" s="8" t="str">
        <f aca="false">IF($H443=1,$G443*10000+ROW(),"")</f>
        <v/>
      </c>
      <c r="K443" s="8" t="str">
        <f aca="false">IF($H443=1,$I443*1000+COUNTIFS($I$4:$I$483,$I443,$J$4:$J$483,"&lt;"&amp;$J443)+1,"")</f>
        <v/>
      </c>
      <c r="L443" s="121"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17" t="n">
        <v>28</v>
      </c>
      <c r="B444" s="117" t="n">
        <v>9</v>
      </c>
      <c r="C444" s="8" t="str">
        <f aca="false">IF(OR(Recurring!$B$32="",Recurring!$H$32&lt;&gt;"Yes",Recurring!$D$32=""),"",Recurring!$B$32)</f>
        <v/>
      </c>
      <c r="D444" s="8" t="str">
        <f aca="false">IF($C444="","",Recurring!$C$32)</f>
        <v/>
      </c>
      <c r="E444" s="118" t="str">
        <f aca="false">IF($C444="","",IF(SUMIFS(Overrides!$E$9:$E$108,Overrides!$B$9:$B$108,$C444,Overrides!$C$9:$C$108,$L444)&gt;0,SUMIFS(Overrides!$E$9:$E$108,Overrides!$B$9:$B$108,$C444,Overrides!$C$9:$C$108,$L444),Recurring!$D$32))</f>
        <v/>
      </c>
      <c r="F444" s="119"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19" t="str">
        <f aca="false">IF($L444="","",IF(SUMIFS(Overrides!$D$9:$D$108,Overrides!$B$9:$B$108,$C444,Overrides!$C$9:$C$108,$L444)&gt;0,SUMIFS(Overrides!$D$9:$D$108,Overrides!$B$9:$B$108,$C444,Overrides!$C$9:$C$108,$L444),$L444))</f>
        <v/>
      </c>
      <c r="H444" s="120" t="n">
        <f aca="false">IF($G444="",0,IF(AND($G444&gt;='Cash Flow'!$E$6,$G444&lt;'Cash Flow'!$E$6+91),1,0))</f>
        <v>0</v>
      </c>
      <c r="I444" s="120" t="str">
        <f aca="false">IF($H444=1,MAX(1,INT(($G444-'Cash Flow'!$E$6)/7)+1),"")</f>
        <v/>
      </c>
      <c r="J444" s="8" t="str">
        <f aca="false">IF($H444=1,$G444*10000+ROW(),"")</f>
        <v/>
      </c>
      <c r="K444" s="8" t="str">
        <f aca="false">IF($H444=1,$I444*1000+COUNTIFS($I$4:$I$483,$I444,$J$4:$J$483,"&lt;"&amp;$J444)+1,"")</f>
        <v/>
      </c>
      <c r="L444" s="121"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17" t="n">
        <v>28</v>
      </c>
      <c r="B445" s="117" t="n">
        <v>10</v>
      </c>
      <c r="C445" s="8" t="str">
        <f aca="false">IF(OR(Recurring!$B$32="",Recurring!$H$32&lt;&gt;"Yes",Recurring!$D$32=""),"",Recurring!$B$32)</f>
        <v/>
      </c>
      <c r="D445" s="8" t="str">
        <f aca="false">IF($C445="","",Recurring!$C$32)</f>
        <v/>
      </c>
      <c r="E445" s="118" t="str">
        <f aca="false">IF($C445="","",IF(SUMIFS(Overrides!$E$9:$E$108,Overrides!$B$9:$B$108,$C445,Overrides!$C$9:$C$108,$L445)&gt;0,SUMIFS(Overrides!$E$9:$E$108,Overrides!$B$9:$B$108,$C445,Overrides!$C$9:$C$108,$L445),Recurring!$D$32))</f>
        <v/>
      </c>
      <c r="F445" s="119"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19" t="str">
        <f aca="false">IF($L445="","",IF(SUMIFS(Overrides!$D$9:$D$108,Overrides!$B$9:$B$108,$C445,Overrides!$C$9:$C$108,$L445)&gt;0,SUMIFS(Overrides!$D$9:$D$108,Overrides!$B$9:$B$108,$C445,Overrides!$C$9:$C$108,$L445),$L445))</f>
        <v/>
      </c>
      <c r="H445" s="120" t="n">
        <f aca="false">IF($G445="",0,IF(AND($G445&gt;='Cash Flow'!$E$6,$G445&lt;'Cash Flow'!$E$6+91),1,0))</f>
        <v>0</v>
      </c>
      <c r="I445" s="120" t="str">
        <f aca="false">IF($H445=1,MAX(1,INT(($G445-'Cash Flow'!$E$6)/7)+1),"")</f>
        <v/>
      </c>
      <c r="J445" s="8" t="str">
        <f aca="false">IF($H445=1,$G445*10000+ROW(),"")</f>
        <v/>
      </c>
      <c r="K445" s="8" t="str">
        <f aca="false">IF($H445=1,$I445*1000+COUNTIFS($I$4:$I$483,$I445,$J$4:$J$483,"&lt;"&amp;$J445)+1,"")</f>
        <v/>
      </c>
      <c r="L445" s="121"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17" t="n">
        <v>28</v>
      </c>
      <c r="B446" s="117" t="n">
        <v>11</v>
      </c>
      <c r="C446" s="8" t="str">
        <f aca="false">IF(OR(Recurring!$B$32="",Recurring!$H$32&lt;&gt;"Yes",Recurring!$D$32=""),"",Recurring!$B$32)</f>
        <v/>
      </c>
      <c r="D446" s="8" t="str">
        <f aca="false">IF($C446="","",Recurring!$C$32)</f>
        <v/>
      </c>
      <c r="E446" s="118" t="str">
        <f aca="false">IF($C446="","",IF(SUMIFS(Overrides!$E$9:$E$108,Overrides!$B$9:$B$108,$C446,Overrides!$C$9:$C$108,$L446)&gt;0,SUMIFS(Overrides!$E$9:$E$108,Overrides!$B$9:$B$108,$C446,Overrides!$C$9:$C$108,$L446),Recurring!$D$32))</f>
        <v/>
      </c>
      <c r="F446" s="119"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19" t="str">
        <f aca="false">IF($L446="","",IF(SUMIFS(Overrides!$D$9:$D$108,Overrides!$B$9:$B$108,$C446,Overrides!$C$9:$C$108,$L446)&gt;0,SUMIFS(Overrides!$D$9:$D$108,Overrides!$B$9:$B$108,$C446,Overrides!$C$9:$C$108,$L446),$L446))</f>
        <v/>
      </c>
      <c r="H446" s="120" t="n">
        <f aca="false">IF($G446="",0,IF(AND($G446&gt;='Cash Flow'!$E$6,$G446&lt;'Cash Flow'!$E$6+91),1,0))</f>
        <v>0</v>
      </c>
      <c r="I446" s="120" t="str">
        <f aca="false">IF($H446=1,MAX(1,INT(($G446-'Cash Flow'!$E$6)/7)+1),"")</f>
        <v/>
      </c>
      <c r="J446" s="8" t="str">
        <f aca="false">IF($H446=1,$G446*10000+ROW(),"")</f>
        <v/>
      </c>
      <c r="K446" s="8" t="str">
        <f aca="false">IF($H446=1,$I446*1000+COUNTIFS($I$4:$I$483,$I446,$J$4:$J$483,"&lt;"&amp;$J446)+1,"")</f>
        <v/>
      </c>
      <c r="L446" s="121"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17" t="n">
        <v>28</v>
      </c>
      <c r="B447" s="117" t="n">
        <v>12</v>
      </c>
      <c r="C447" s="8" t="str">
        <f aca="false">IF(OR(Recurring!$B$32="",Recurring!$H$32&lt;&gt;"Yes",Recurring!$D$32=""),"",Recurring!$B$32)</f>
        <v/>
      </c>
      <c r="D447" s="8" t="str">
        <f aca="false">IF($C447="","",Recurring!$C$32)</f>
        <v/>
      </c>
      <c r="E447" s="118" t="str">
        <f aca="false">IF($C447="","",IF(SUMIFS(Overrides!$E$9:$E$108,Overrides!$B$9:$B$108,$C447,Overrides!$C$9:$C$108,$L447)&gt;0,SUMIFS(Overrides!$E$9:$E$108,Overrides!$B$9:$B$108,$C447,Overrides!$C$9:$C$108,$L447),Recurring!$D$32))</f>
        <v/>
      </c>
      <c r="F447" s="119"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19" t="str">
        <f aca="false">IF($L447="","",IF(SUMIFS(Overrides!$D$9:$D$108,Overrides!$B$9:$B$108,$C447,Overrides!$C$9:$C$108,$L447)&gt;0,SUMIFS(Overrides!$D$9:$D$108,Overrides!$B$9:$B$108,$C447,Overrides!$C$9:$C$108,$L447),$L447))</f>
        <v/>
      </c>
      <c r="H447" s="120" t="n">
        <f aca="false">IF($G447="",0,IF(AND($G447&gt;='Cash Flow'!$E$6,$G447&lt;'Cash Flow'!$E$6+91),1,0))</f>
        <v>0</v>
      </c>
      <c r="I447" s="120" t="str">
        <f aca="false">IF($H447=1,MAX(1,INT(($G447-'Cash Flow'!$E$6)/7)+1),"")</f>
        <v/>
      </c>
      <c r="J447" s="8" t="str">
        <f aca="false">IF($H447=1,$G447*10000+ROW(),"")</f>
        <v/>
      </c>
      <c r="K447" s="8" t="str">
        <f aca="false">IF($H447=1,$I447*1000+COUNTIFS($I$4:$I$483,$I447,$J$4:$J$483,"&lt;"&amp;$J447)+1,"")</f>
        <v/>
      </c>
      <c r="L447" s="121"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17" t="n">
        <v>28</v>
      </c>
      <c r="B448" s="117" t="n">
        <v>13</v>
      </c>
      <c r="C448" s="8" t="str">
        <f aca="false">IF(OR(Recurring!$B$32="",Recurring!$H$32&lt;&gt;"Yes",Recurring!$D$32=""),"",Recurring!$B$32)</f>
        <v/>
      </c>
      <c r="D448" s="8" t="str">
        <f aca="false">IF($C448="","",Recurring!$C$32)</f>
        <v/>
      </c>
      <c r="E448" s="118" t="str">
        <f aca="false">IF($C448="","",IF(SUMIFS(Overrides!$E$9:$E$108,Overrides!$B$9:$B$108,$C448,Overrides!$C$9:$C$108,$L448)&gt;0,SUMIFS(Overrides!$E$9:$E$108,Overrides!$B$9:$B$108,$C448,Overrides!$C$9:$C$108,$L448),Recurring!$D$32))</f>
        <v/>
      </c>
      <c r="F448" s="119"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19" t="str">
        <f aca="false">IF($L448="","",IF(SUMIFS(Overrides!$D$9:$D$108,Overrides!$B$9:$B$108,$C448,Overrides!$C$9:$C$108,$L448)&gt;0,SUMIFS(Overrides!$D$9:$D$108,Overrides!$B$9:$B$108,$C448,Overrides!$C$9:$C$108,$L448),$L448))</f>
        <v/>
      </c>
      <c r="H448" s="120" t="n">
        <f aca="false">IF($G448="",0,IF(AND($G448&gt;='Cash Flow'!$E$6,$G448&lt;'Cash Flow'!$E$6+91),1,0))</f>
        <v>0</v>
      </c>
      <c r="I448" s="120" t="str">
        <f aca="false">IF($H448=1,MAX(1,INT(($G448-'Cash Flow'!$E$6)/7)+1),"")</f>
        <v/>
      </c>
      <c r="J448" s="8" t="str">
        <f aca="false">IF($H448=1,$G448*10000+ROW(),"")</f>
        <v/>
      </c>
      <c r="K448" s="8" t="str">
        <f aca="false">IF($H448=1,$I448*1000+COUNTIFS($I$4:$I$483,$I448,$J$4:$J$483,"&lt;"&amp;$J448)+1,"")</f>
        <v/>
      </c>
      <c r="L448" s="121"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17" t="n">
        <v>28</v>
      </c>
      <c r="B449" s="117" t="n">
        <v>14</v>
      </c>
      <c r="C449" s="8" t="str">
        <f aca="false">IF(OR(Recurring!$B$32="",Recurring!$H$32&lt;&gt;"Yes",Recurring!$D$32=""),"",Recurring!$B$32)</f>
        <v/>
      </c>
      <c r="D449" s="8" t="str">
        <f aca="false">IF($C449="","",Recurring!$C$32)</f>
        <v/>
      </c>
      <c r="E449" s="118" t="str">
        <f aca="false">IF($C449="","",IF(SUMIFS(Overrides!$E$9:$E$108,Overrides!$B$9:$B$108,$C449,Overrides!$C$9:$C$108,$L449)&gt;0,SUMIFS(Overrides!$E$9:$E$108,Overrides!$B$9:$B$108,$C449,Overrides!$C$9:$C$108,$L449),Recurring!$D$32))</f>
        <v/>
      </c>
      <c r="F449" s="119"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19" t="str">
        <f aca="false">IF($L449="","",IF(SUMIFS(Overrides!$D$9:$D$108,Overrides!$B$9:$B$108,$C449,Overrides!$C$9:$C$108,$L449)&gt;0,SUMIFS(Overrides!$D$9:$D$108,Overrides!$B$9:$B$108,$C449,Overrides!$C$9:$C$108,$L449),$L449))</f>
        <v/>
      </c>
      <c r="H449" s="120" t="n">
        <f aca="false">IF($G449="",0,IF(AND($G449&gt;='Cash Flow'!$E$6,$G449&lt;'Cash Flow'!$E$6+91),1,0))</f>
        <v>0</v>
      </c>
      <c r="I449" s="120" t="str">
        <f aca="false">IF($H449=1,MAX(1,INT(($G449-'Cash Flow'!$E$6)/7)+1),"")</f>
        <v/>
      </c>
      <c r="J449" s="8" t="str">
        <f aca="false">IF($H449=1,$G449*10000+ROW(),"")</f>
        <v/>
      </c>
      <c r="K449" s="8" t="str">
        <f aca="false">IF($H449=1,$I449*1000+COUNTIFS($I$4:$I$483,$I449,$J$4:$J$483,"&lt;"&amp;$J449)+1,"")</f>
        <v/>
      </c>
      <c r="L449" s="121"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17" t="n">
        <v>28</v>
      </c>
      <c r="B450" s="117" t="n">
        <v>15</v>
      </c>
      <c r="C450" s="8" t="str">
        <f aca="false">IF(OR(Recurring!$B$32="",Recurring!$H$32&lt;&gt;"Yes",Recurring!$D$32=""),"",Recurring!$B$32)</f>
        <v/>
      </c>
      <c r="D450" s="8" t="str">
        <f aca="false">IF($C450="","",Recurring!$C$32)</f>
        <v/>
      </c>
      <c r="E450" s="118" t="str">
        <f aca="false">IF($C450="","",IF(SUMIFS(Overrides!$E$9:$E$108,Overrides!$B$9:$B$108,$C450,Overrides!$C$9:$C$108,$L450)&gt;0,SUMIFS(Overrides!$E$9:$E$108,Overrides!$B$9:$B$108,$C450,Overrides!$C$9:$C$108,$L450),Recurring!$D$32))</f>
        <v/>
      </c>
      <c r="F450" s="119"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19" t="str">
        <f aca="false">IF($L450="","",IF(SUMIFS(Overrides!$D$9:$D$108,Overrides!$B$9:$B$108,$C450,Overrides!$C$9:$C$108,$L450)&gt;0,SUMIFS(Overrides!$D$9:$D$108,Overrides!$B$9:$B$108,$C450,Overrides!$C$9:$C$108,$L450),$L450))</f>
        <v/>
      </c>
      <c r="H450" s="120" t="n">
        <f aca="false">IF($G450="",0,IF(AND($G450&gt;='Cash Flow'!$E$6,$G450&lt;'Cash Flow'!$E$6+91),1,0))</f>
        <v>0</v>
      </c>
      <c r="I450" s="120" t="str">
        <f aca="false">IF($H450=1,MAX(1,INT(($G450-'Cash Flow'!$E$6)/7)+1),"")</f>
        <v/>
      </c>
      <c r="J450" s="8" t="str">
        <f aca="false">IF($H450=1,$G450*10000+ROW(),"")</f>
        <v/>
      </c>
      <c r="K450" s="8" t="str">
        <f aca="false">IF($H450=1,$I450*1000+COUNTIFS($I$4:$I$483,$I450,$J$4:$J$483,"&lt;"&amp;$J450)+1,"")</f>
        <v/>
      </c>
      <c r="L450" s="121"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17" t="n">
        <v>28</v>
      </c>
      <c r="B451" s="117" t="n">
        <v>16</v>
      </c>
      <c r="C451" s="8" t="str">
        <f aca="false">IF(OR(Recurring!$B$32="",Recurring!$H$32&lt;&gt;"Yes",Recurring!$D$32=""),"",Recurring!$B$32)</f>
        <v/>
      </c>
      <c r="D451" s="8" t="str">
        <f aca="false">IF($C451="","",Recurring!$C$32)</f>
        <v/>
      </c>
      <c r="E451" s="118" t="str">
        <f aca="false">IF($C451="","",IF(SUMIFS(Overrides!$E$9:$E$108,Overrides!$B$9:$B$108,$C451,Overrides!$C$9:$C$108,$L451)&gt;0,SUMIFS(Overrides!$E$9:$E$108,Overrides!$B$9:$B$108,$C451,Overrides!$C$9:$C$108,$L451),Recurring!$D$32))</f>
        <v/>
      </c>
      <c r="F451" s="119"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19" t="str">
        <f aca="false">IF($L451="","",IF(SUMIFS(Overrides!$D$9:$D$108,Overrides!$B$9:$B$108,$C451,Overrides!$C$9:$C$108,$L451)&gt;0,SUMIFS(Overrides!$D$9:$D$108,Overrides!$B$9:$B$108,$C451,Overrides!$C$9:$C$108,$L451),$L451))</f>
        <v/>
      </c>
      <c r="H451" s="120" t="n">
        <f aca="false">IF($G451="",0,IF(AND($G451&gt;='Cash Flow'!$E$6,$G451&lt;'Cash Flow'!$E$6+91),1,0))</f>
        <v>0</v>
      </c>
      <c r="I451" s="120" t="str">
        <f aca="false">IF($H451=1,MAX(1,INT(($G451-'Cash Flow'!$E$6)/7)+1),"")</f>
        <v/>
      </c>
      <c r="J451" s="8" t="str">
        <f aca="false">IF($H451=1,$G451*10000+ROW(),"")</f>
        <v/>
      </c>
      <c r="K451" s="8" t="str">
        <f aca="false">IF($H451=1,$I451*1000+COUNTIFS($I$4:$I$483,$I451,$J$4:$J$483,"&lt;"&amp;$J451)+1,"")</f>
        <v/>
      </c>
      <c r="L451" s="121"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17" t="n">
        <v>29</v>
      </c>
      <c r="B452" s="117" t="n">
        <v>1</v>
      </c>
      <c r="C452" s="8" t="str">
        <f aca="false">IF(OR(Recurring!$B$33="",Recurring!$H$33&lt;&gt;"Yes",Recurring!$D$33=""),"",Recurring!$B$33)</f>
        <v/>
      </c>
      <c r="D452" s="8" t="str">
        <f aca="false">IF($C452="","",Recurring!$C$33)</f>
        <v/>
      </c>
      <c r="E452" s="118" t="str">
        <f aca="false">IF($C452="","",IF(SUMIFS(Overrides!$E$9:$E$108,Overrides!$B$9:$B$108,$C452,Overrides!$C$9:$C$108,$L452)&gt;0,SUMIFS(Overrides!$E$9:$E$108,Overrides!$B$9:$B$108,$C452,Overrides!$C$9:$C$108,$L452),Recurring!$D$33))</f>
        <v/>
      </c>
      <c r="F452" s="119"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19" t="str">
        <f aca="false">IF($L452="","",IF(SUMIFS(Overrides!$D$9:$D$108,Overrides!$B$9:$B$108,$C452,Overrides!$C$9:$C$108,$L452)&gt;0,SUMIFS(Overrides!$D$9:$D$108,Overrides!$B$9:$B$108,$C452,Overrides!$C$9:$C$108,$L452),$L452))</f>
        <v/>
      </c>
      <c r="H452" s="120" t="n">
        <f aca="false">IF($G452="",0,IF(AND($G452&gt;='Cash Flow'!$E$6-90,$G452&lt;'Cash Flow'!$E$6+91),1,0))</f>
        <v>0</v>
      </c>
      <c r="I452" s="120" t="str">
        <f aca="false">IF($H452=1,MAX(1,INT(($G452-'Cash Flow'!$E$6)/7)+1),"")</f>
        <v/>
      </c>
      <c r="J452" s="8" t="str">
        <f aca="false">IF($H452=1,$G452*10000+ROW(),"")</f>
        <v/>
      </c>
      <c r="K452" s="8" t="str">
        <f aca="false">IF($H452=1,$I452*1000+COUNTIFS($I$4:$I$483,$I452,$J$4:$J$483,"&lt;"&amp;$J452)+1,"")</f>
        <v/>
      </c>
      <c r="L452" s="121"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17" t="n">
        <v>29</v>
      </c>
      <c r="B453" s="117" t="n">
        <v>2</v>
      </c>
      <c r="C453" s="8" t="str">
        <f aca="false">IF(OR(Recurring!$B$33="",Recurring!$H$33&lt;&gt;"Yes",Recurring!$D$33=""),"",Recurring!$B$33)</f>
        <v/>
      </c>
      <c r="D453" s="8" t="str">
        <f aca="false">IF($C453="","",Recurring!$C$33)</f>
        <v/>
      </c>
      <c r="E453" s="118" t="str">
        <f aca="false">IF($C453="","",IF(SUMIFS(Overrides!$E$9:$E$108,Overrides!$B$9:$B$108,$C453,Overrides!$C$9:$C$108,$L453)&gt;0,SUMIFS(Overrides!$E$9:$E$108,Overrides!$B$9:$B$108,$C453,Overrides!$C$9:$C$108,$L453),Recurring!$D$33))</f>
        <v/>
      </c>
      <c r="F453" s="119"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19" t="str">
        <f aca="false">IF($L453="","",IF(SUMIFS(Overrides!$D$9:$D$108,Overrides!$B$9:$B$108,$C453,Overrides!$C$9:$C$108,$L453)&gt;0,SUMIFS(Overrides!$D$9:$D$108,Overrides!$B$9:$B$108,$C453,Overrides!$C$9:$C$108,$L453),$L453))</f>
        <v/>
      </c>
      <c r="H453" s="120" t="n">
        <f aca="false">IF($G453="",0,IF(AND($G453&gt;='Cash Flow'!$E$6,$G453&lt;'Cash Flow'!$E$6+91),1,0))</f>
        <v>0</v>
      </c>
      <c r="I453" s="120" t="str">
        <f aca="false">IF($H453=1,MAX(1,INT(($G453-'Cash Flow'!$E$6)/7)+1),"")</f>
        <v/>
      </c>
      <c r="J453" s="8" t="str">
        <f aca="false">IF($H453=1,$G453*10000+ROW(),"")</f>
        <v/>
      </c>
      <c r="K453" s="8" t="str">
        <f aca="false">IF($H453=1,$I453*1000+COUNTIFS($I$4:$I$483,$I453,$J$4:$J$483,"&lt;"&amp;$J453)+1,"")</f>
        <v/>
      </c>
      <c r="L453" s="121"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17" t="n">
        <v>29</v>
      </c>
      <c r="B454" s="117" t="n">
        <v>3</v>
      </c>
      <c r="C454" s="8" t="str">
        <f aca="false">IF(OR(Recurring!$B$33="",Recurring!$H$33&lt;&gt;"Yes",Recurring!$D$33=""),"",Recurring!$B$33)</f>
        <v/>
      </c>
      <c r="D454" s="8" t="str">
        <f aca="false">IF($C454="","",Recurring!$C$33)</f>
        <v/>
      </c>
      <c r="E454" s="118" t="str">
        <f aca="false">IF($C454="","",IF(SUMIFS(Overrides!$E$9:$E$108,Overrides!$B$9:$B$108,$C454,Overrides!$C$9:$C$108,$L454)&gt;0,SUMIFS(Overrides!$E$9:$E$108,Overrides!$B$9:$B$108,$C454,Overrides!$C$9:$C$108,$L454),Recurring!$D$33))</f>
        <v/>
      </c>
      <c r="F454" s="119"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19" t="str">
        <f aca="false">IF($L454="","",IF(SUMIFS(Overrides!$D$9:$D$108,Overrides!$B$9:$B$108,$C454,Overrides!$C$9:$C$108,$L454)&gt;0,SUMIFS(Overrides!$D$9:$D$108,Overrides!$B$9:$B$108,$C454,Overrides!$C$9:$C$108,$L454),$L454))</f>
        <v/>
      </c>
      <c r="H454" s="120" t="n">
        <f aca="false">IF($G454="",0,IF(AND($G454&gt;='Cash Flow'!$E$6,$G454&lt;'Cash Flow'!$E$6+91),1,0))</f>
        <v>0</v>
      </c>
      <c r="I454" s="120" t="str">
        <f aca="false">IF($H454=1,MAX(1,INT(($G454-'Cash Flow'!$E$6)/7)+1),"")</f>
        <v/>
      </c>
      <c r="J454" s="8" t="str">
        <f aca="false">IF($H454=1,$G454*10000+ROW(),"")</f>
        <v/>
      </c>
      <c r="K454" s="8" t="str">
        <f aca="false">IF($H454=1,$I454*1000+COUNTIFS($I$4:$I$483,$I454,$J$4:$J$483,"&lt;"&amp;$J454)+1,"")</f>
        <v/>
      </c>
      <c r="L454" s="121"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17" t="n">
        <v>29</v>
      </c>
      <c r="B455" s="117" t="n">
        <v>4</v>
      </c>
      <c r="C455" s="8" t="str">
        <f aca="false">IF(OR(Recurring!$B$33="",Recurring!$H$33&lt;&gt;"Yes",Recurring!$D$33=""),"",Recurring!$B$33)</f>
        <v/>
      </c>
      <c r="D455" s="8" t="str">
        <f aca="false">IF($C455="","",Recurring!$C$33)</f>
        <v/>
      </c>
      <c r="E455" s="118" t="str">
        <f aca="false">IF($C455="","",IF(SUMIFS(Overrides!$E$9:$E$108,Overrides!$B$9:$B$108,$C455,Overrides!$C$9:$C$108,$L455)&gt;0,SUMIFS(Overrides!$E$9:$E$108,Overrides!$B$9:$B$108,$C455,Overrides!$C$9:$C$108,$L455),Recurring!$D$33))</f>
        <v/>
      </c>
      <c r="F455" s="119"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19" t="str">
        <f aca="false">IF($L455="","",IF(SUMIFS(Overrides!$D$9:$D$108,Overrides!$B$9:$B$108,$C455,Overrides!$C$9:$C$108,$L455)&gt;0,SUMIFS(Overrides!$D$9:$D$108,Overrides!$B$9:$B$108,$C455,Overrides!$C$9:$C$108,$L455),$L455))</f>
        <v/>
      </c>
      <c r="H455" s="120" t="n">
        <f aca="false">IF($G455="",0,IF(AND($G455&gt;='Cash Flow'!$E$6,$G455&lt;'Cash Flow'!$E$6+91),1,0))</f>
        <v>0</v>
      </c>
      <c r="I455" s="120" t="str">
        <f aca="false">IF($H455=1,MAX(1,INT(($G455-'Cash Flow'!$E$6)/7)+1),"")</f>
        <v/>
      </c>
      <c r="J455" s="8" t="str">
        <f aca="false">IF($H455=1,$G455*10000+ROW(),"")</f>
        <v/>
      </c>
      <c r="K455" s="8" t="str">
        <f aca="false">IF($H455=1,$I455*1000+COUNTIFS($I$4:$I$483,$I455,$J$4:$J$483,"&lt;"&amp;$J455)+1,"")</f>
        <v/>
      </c>
      <c r="L455" s="121"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17" t="n">
        <v>29</v>
      </c>
      <c r="B456" s="117" t="n">
        <v>5</v>
      </c>
      <c r="C456" s="8" t="str">
        <f aca="false">IF(OR(Recurring!$B$33="",Recurring!$H$33&lt;&gt;"Yes",Recurring!$D$33=""),"",Recurring!$B$33)</f>
        <v/>
      </c>
      <c r="D456" s="8" t="str">
        <f aca="false">IF($C456="","",Recurring!$C$33)</f>
        <v/>
      </c>
      <c r="E456" s="118" t="str">
        <f aca="false">IF($C456="","",IF(SUMIFS(Overrides!$E$9:$E$108,Overrides!$B$9:$B$108,$C456,Overrides!$C$9:$C$108,$L456)&gt;0,SUMIFS(Overrides!$E$9:$E$108,Overrides!$B$9:$B$108,$C456,Overrides!$C$9:$C$108,$L456),Recurring!$D$33))</f>
        <v/>
      </c>
      <c r="F456" s="119"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19" t="str">
        <f aca="false">IF($L456="","",IF(SUMIFS(Overrides!$D$9:$D$108,Overrides!$B$9:$B$108,$C456,Overrides!$C$9:$C$108,$L456)&gt;0,SUMIFS(Overrides!$D$9:$D$108,Overrides!$B$9:$B$108,$C456,Overrides!$C$9:$C$108,$L456),$L456))</f>
        <v/>
      </c>
      <c r="H456" s="120" t="n">
        <f aca="false">IF($G456="",0,IF(AND($G456&gt;='Cash Flow'!$E$6,$G456&lt;'Cash Flow'!$E$6+91),1,0))</f>
        <v>0</v>
      </c>
      <c r="I456" s="120" t="str">
        <f aca="false">IF($H456=1,MAX(1,INT(($G456-'Cash Flow'!$E$6)/7)+1),"")</f>
        <v/>
      </c>
      <c r="J456" s="8" t="str">
        <f aca="false">IF($H456=1,$G456*10000+ROW(),"")</f>
        <v/>
      </c>
      <c r="K456" s="8" t="str">
        <f aca="false">IF($H456=1,$I456*1000+COUNTIFS($I$4:$I$483,$I456,$J$4:$J$483,"&lt;"&amp;$J456)+1,"")</f>
        <v/>
      </c>
      <c r="L456" s="121"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17" t="n">
        <v>29</v>
      </c>
      <c r="B457" s="117" t="n">
        <v>6</v>
      </c>
      <c r="C457" s="8" t="str">
        <f aca="false">IF(OR(Recurring!$B$33="",Recurring!$H$33&lt;&gt;"Yes",Recurring!$D$33=""),"",Recurring!$B$33)</f>
        <v/>
      </c>
      <c r="D457" s="8" t="str">
        <f aca="false">IF($C457="","",Recurring!$C$33)</f>
        <v/>
      </c>
      <c r="E457" s="118" t="str">
        <f aca="false">IF($C457="","",IF(SUMIFS(Overrides!$E$9:$E$108,Overrides!$B$9:$B$108,$C457,Overrides!$C$9:$C$108,$L457)&gt;0,SUMIFS(Overrides!$E$9:$E$108,Overrides!$B$9:$B$108,$C457,Overrides!$C$9:$C$108,$L457),Recurring!$D$33))</f>
        <v/>
      </c>
      <c r="F457" s="119"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19" t="str">
        <f aca="false">IF($L457="","",IF(SUMIFS(Overrides!$D$9:$D$108,Overrides!$B$9:$B$108,$C457,Overrides!$C$9:$C$108,$L457)&gt;0,SUMIFS(Overrides!$D$9:$D$108,Overrides!$B$9:$B$108,$C457,Overrides!$C$9:$C$108,$L457),$L457))</f>
        <v/>
      </c>
      <c r="H457" s="120" t="n">
        <f aca="false">IF($G457="",0,IF(AND($G457&gt;='Cash Flow'!$E$6,$G457&lt;'Cash Flow'!$E$6+91),1,0))</f>
        <v>0</v>
      </c>
      <c r="I457" s="120" t="str">
        <f aca="false">IF($H457=1,MAX(1,INT(($G457-'Cash Flow'!$E$6)/7)+1),"")</f>
        <v/>
      </c>
      <c r="J457" s="8" t="str">
        <f aca="false">IF($H457=1,$G457*10000+ROW(),"")</f>
        <v/>
      </c>
      <c r="K457" s="8" t="str">
        <f aca="false">IF($H457=1,$I457*1000+COUNTIFS($I$4:$I$483,$I457,$J$4:$J$483,"&lt;"&amp;$J457)+1,"")</f>
        <v/>
      </c>
      <c r="L457" s="121"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17" t="n">
        <v>29</v>
      </c>
      <c r="B458" s="117" t="n">
        <v>7</v>
      </c>
      <c r="C458" s="8" t="str">
        <f aca="false">IF(OR(Recurring!$B$33="",Recurring!$H$33&lt;&gt;"Yes",Recurring!$D$33=""),"",Recurring!$B$33)</f>
        <v/>
      </c>
      <c r="D458" s="8" t="str">
        <f aca="false">IF($C458="","",Recurring!$C$33)</f>
        <v/>
      </c>
      <c r="E458" s="118" t="str">
        <f aca="false">IF($C458="","",IF(SUMIFS(Overrides!$E$9:$E$108,Overrides!$B$9:$B$108,$C458,Overrides!$C$9:$C$108,$L458)&gt;0,SUMIFS(Overrides!$E$9:$E$108,Overrides!$B$9:$B$108,$C458,Overrides!$C$9:$C$108,$L458),Recurring!$D$33))</f>
        <v/>
      </c>
      <c r="F458" s="119"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19" t="str">
        <f aca="false">IF($L458="","",IF(SUMIFS(Overrides!$D$9:$D$108,Overrides!$B$9:$B$108,$C458,Overrides!$C$9:$C$108,$L458)&gt;0,SUMIFS(Overrides!$D$9:$D$108,Overrides!$B$9:$B$108,$C458,Overrides!$C$9:$C$108,$L458),$L458))</f>
        <v/>
      </c>
      <c r="H458" s="120" t="n">
        <f aca="false">IF($G458="",0,IF(AND($G458&gt;='Cash Flow'!$E$6,$G458&lt;'Cash Flow'!$E$6+91),1,0))</f>
        <v>0</v>
      </c>
      <c r="I458" s="120" t="str">
        <f aca="false">IF($H458=1,MAX(1,INT(($G458-'Cash Flow'!$E$6)/7)+1),"")</f>
        <v/>
      </c>
      <c r="J458" s="8" t="str">
        <f aca="false">IF($H458=1,$G458*10000+ROW(),"")</f>
        <v/>
      </c>
      <c r="K458" s="8" t="str">
        <f aca="false">IF($H458=1,$I458*1000+COUNTIFS($I$4:$I$483,$I458,$J$4:$J$483,"&lt;"&amp;$J458)+1,"")</f>
        <v/>
      </c>
      <c r="L458" s="121"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17" t="n">
        <v>29</v>
      </c>
      <c r="B459" s="117" t="n">
        <v>8</v>
      </c>
      <c r="C459" s="8" t="str">
        <f aca="false">IF(OR(Recurring!$B$33="",Recurring!$H$33&lt;&gt;"Yes",Recurring!$D$33=""),"",Recurring!$B$33)</f>
        <v/>
      </c>
      <c r="D459" s="8" t="str">
        <f aca="false">IF($C459="","",Recurring!$C$33)</f>
        <v/>
      </c>
      <c r="E459" s="118" t="str">
        <f aca="false">IF($C459="","",IF(SUMIFS(Overrides!$E$9:$E$108,Overrides!$B$9:$B$108,$C459,Overrides!$C$9:$C$108,$L459)&gt;0,SUMIFS(Overrides!$E$9:$E$108,Overrides!$B$9:$B$108,$C459,Overrides!$C$9:$C$108,$L459),Recurring!$D$33))</f>
        <v/>
      </c>
      <c r="F459" s="119"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19" t="str">
        <f aca="false">IF($L459="","",IF(SUMIFS(Overrides!$D$9:$D$108,Overrides!$B$9:$B$108,$C459,Overrides!$C$9:$C$108,$L459)&gt;0,SUMIFS(Overrides!$D$9:$D$108,Overrides!$B$9:$B$108,$C459,Overrides!$C$9:$C$108,$L459),$L459))</f>
        <v/>
      </c>
      <c r="H459" s="120" t="n">
        <f aca="false">IF($G459="",0,IF(AND($G459&gt;='Cash Flow'!$E$6,$G459&lt;'Cash Flow'!$E$6+91),1,0))</f>
        <v>0</v>
      </c>
      <c r="I459" s="120" t="str">
        <f aca="false">IF($H459=1,MAX(1,INT(($G459-'Cash Flow'!$E$6)/7)+1),"")</f>
        <v/>
      </c>
      <c r="J459" s="8" t="str">
        <f aca="false">IF($H459=1,$G459*10000+ROW(),"")</f>
        <v/>
      </c>
      <c r="K459" s="8" t="str">
        <f aca="false">IF($H459=1,$I459*1000+COUNTIFS($I$4:$I$483,$I459,$J$4:$J$483,"&lt;"&amp;$J459)+1,"")</f>
        <v/>
      </c>
      <c r="L459" s="121"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17" t="n">
        <v>29</v>
      </c>
      <c r="B460" s="117" t="n">
        <v>9</v>
      </c>
      <c r="C460" s="8" t="str">
        <f aca="false">IF(OR(Recurring!$B$33="",Recurring!$H$33&lt;&gt;"Yes",Recurring!$D$33=""),"",Recurring!$B$33)</f>
        <v/>
      </c>
      <c r="D460" s="8" t="str">
        <f aca="false">IF($C460="","",Recurring!$C$33)</f>
        <v/>
      </c>
      <c r="E460" s="118" t="str">
        <f aca="false">IF($C460="","",IF(SUMIFS(Overrides!$E$9:$E$108,Overrides!$B$9:$B$108,$C460,Overrides!$C$9:$C$108,$L460)&gt;0,SUMIFS(Overrides!$E$9:$E$108,Overrides!$B$9:$B$108,$C460,Overrides!$C$9:$C$108,$L460),Recurring!$D$33))</f>
        <v/>
      </c>
      <c r="F460" s="119"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19" t="str">
        <f aca="false">IF($L460="","",IF(SUMIFS(Overrides!$D$9:$D$108,Overrides!$B$9:$B$108,$C460,Overrides!$C$9:$C$108,$L460)&gt;0,SUMIFS(Overrides!$D$9:$D$108,Overrides!$B$9:$B$108,$C460,Overrides!$C$9:$C$108,$L460),$L460))</f>
        <v/>
      </c>
      <c r="H460" s="120" t="n">
        <f aca="false">IF($G460="",0,IF(AND($G460&gt;='Cash Flow'!$E$6,$G460&lt;'Cash Flow'!$E$6+91),1,0))</f>
        <v>0</v>
      </c>
      <c r="I460" s="120" t="str">
        <f aca="false">IF($H460=1,MAX(1,INT(($G460-'Cash Flow'!$E$6)/7)+1),"")</f>
        <v/>
      </c>
      <c r="J460" s="8" t="str">
        <f aca="false">IF($H460=1,$G460*10000+ROW(),"")</f>
        <v/>
      </c>
      <c r="K460" s="8" t="str">
        <f aca="false">IF($H460=1,$I460*1000+COUNTIFS($I$4:$I$483,$I460,$J$4:$J$483,"&lt;"&amp;$J460)+1,"")</f>
        <v/>
      </c>
      <c r="L460" s="121"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17" t="n">
        <v>29</v>
      </c>
      <c r="B461" s="117" t="n">
        <v>10</v>
      </c>
      <c r="C461" s="8" t="str">
        <f aca="false">IF(OR(Recurring!$B$33="",Recurring!$H$33&lt;&gt;"Yes",Recurring!$D$33=""),"",Recurring!$B$33)</f>
        <v/>
      </c>
      <c r="D461" s="8" t="str">
        <f aca="false">IF($C461="","",Recurring!$C$33)</f>
        <v/>
      </c>
      <c r="E461" s="118" t="str">
        <f aca="false">IF($C461="","",IF(SUMIFS(Overrides!$E$9:$E$108,Overrides!$B$9:$B$108,$C461,Overrides!$C$9:$C$108,$L461)&gt;0,SUMIFS(Overrides!$E$9:$E$108,Overrides!$B$9:$B$108,$C461,Overrides!$C$9:$C$108,$L461),Recurring!$D$33))</f>
        <v/>
      </c>
      <c r="F461" s="119"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19" t="str">
        <f aca="false">IF($L461="","",IF(SUMIFS(Overrides!$D$9:$D$108,Overrides!$B$9:$B$108,$C461,Overrides!$C$9:$C$108,$L461)&gt;0,SUMIFS(Overrides!$D$9:$D$108,Overrides!$B$9:$B$108,$C461,Overrides!$C$9:$C$108,$L461),$L461))</f>
        <v/>
      </c>
      <c r="H461" s="120" t="n">
        <f aca="false">IF($G461="",0,IF(AND($G461&gt;='Cash Flow'!$E$6,$G461&lt;'Cash Flow'!$E$6+91),1,0))</f>
        <v>0</v>
      </c>
      <c r="I461" s="120" t="str">
        <f aca="false">IF($H461=1,MAX(1,INT(($G461-'Cash Flow'!$E$6)/7)+1),"")</f>
        <v/>
      </c>
      <c r="J461" s="8" t="str">
        <f aca="false">IF($H461=1,$G461*10000+ROW(),"")</f>
        <v/>
      </c>
      <c r="K461" s="8" t="str">
        <f aca="false">IF($H461=1,$I461*1000+COUNTIFS($I$4:$I$483,$I461,$J$4:$J$483,"&lt;"&amp;$J461)+1,"")</f>
        <v/>
      </c>
      <c r="L461" s="121"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17" t="n">
        <v>29</v>
      </c>
      <c r="B462" s="117" t="n">
        <v>11</v>
      </c>
      <c r="C462" s="8" t="str">
        <f aca="false">IF(OR(Recurring!$B$33="",Recurring!$H$33&lt;&gt;"Yes",Recurring!$D$33=""),"",Recurring!$B$33)</f>
        <v/>
      </c>
      <c r="D462" s="8" t="str">
        <f aca="false">IF($C462="","",Recurring!$C$33)</f>
        <v/>
      </c>
      <c r="E462" s="118" t="str">
        <f aca="false">IF($C462="","",IF(SUMIFS(Overrides!$E$9:$E$108,Overrides!$B$9:$B$108,$C462,Overrides!$C$9:$C$108,$L462)&gt;0,SUMIFS(Overrides!$E$9:$E$108,Overrides!$B$9:$B$108,$C462,Overrides!$C$9:$C$108,$L462),Recurring!$D$33))</f>
        <v/>
      </c>
      <c r="F462" s="119"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19" t="str">
        <f aca="false">IF($L462="","",IF(SUMIFS(Overrides!$D$9:$D$108,Overrides!$B$9:$B$108,$C462,Overrides!$C$9:$C$108,$L462)&gt;0,SUMIFS(Overrides!$D$9:$D$108,Overrides!$B$9:$B$108,$C462,Overrides!$C$9:$C$108,$L462),$L462))</f>
        <v/>
      </c>
      <c r="H462" s="120" t="n">
        <f aca="false">IF($G462="",0,IF(AND($G462&gt;='Cash Flow'!$E$6,$G462&lt;'Cash Flow'!$E$6+91),1,0))</f>
        <v>0</v>
      </c>
      <c r="I462" s="120" t="str">
        <f aca="false">IF($H462=1,MAX(1,INT(($G462-'Cash Flow'!$E$6)/7)+1),"")</f>
        <v/>
      </c>
      <c r="J462" s="8" t="str">
        <f aca="false">IF($H462=1,$G462*10000+ROW(),"")</f>
        <v/>
      </c>
      <c r="K462" s="8" t="str">
        <f aca="false">IF($H462=1,$I462*1000+COUNTIFS($I$4:$I$483,$I462,$J$4:$J$483,"&lt;"&amp;$J462)+1,"")</f>
        <v/>
      </c>
      <c r="L462" s="121"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17" t="n">
        <v>29</v>
      </c>
      <c r="B463" s="117" t="n">
        <v>12</v>
      </c>
      <c r="C463" s="8" t="str">
        <f aca="false">IF(OR(Recurring!$B$33="",Recurring!$H$33&lt;&gt;"Yes",Recurring!$D$33=""),"",Recurring!$B$33)</f>
        <v/>
      </c>
      <c r="D463" s="8" t="str">
        <f aca="false">IF($C463="","",Recurring!$C$33)</f>
        <v/>
      </c>
      <c r="E463" s="118" t="str">
        <f aca="false">IF($C463="","",IF(SUMIFS(Overrides!$E$9:$E$108,Overrides!$B$9:$B$108,$C463,Overrides!$C$9:$C$108,$L463)&gt;0,SUMIFS(Overrides!$E$9:$E$108,Overrides!$B$9:$B$108,$C463,Overrides!$C$9:$C$108,$L463),Recurring!$D$33))</f>
        <v/>
      </c>
      <c r="F463" s="119"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19" t="str">
        <f aca="false">IF($L463="","",IF(SUMIFS(Overrides!$D$9:$D$108,Overrides!$B$9:$B$108,$C463,Overrides!$C$9:$C$108,$L463)&gt;0,SUMIFS(Overrides!$D$9:$D$108,Overrides!$B$9:$B$108,$C463,Overrides!$C$9:$C$108,$L463),$L463))</f>
        <v/>
      </c>
      <c r="H463" s="120" t="n">
        <f aca="false">IF($G463="",0,IF(AND($G463&gt;='Cash Flow'!$E$6,$G463&lt;'Cash Flow'!$E$6+91),1,0))</f>
        <v>0</v>
      </c>
      <c r="I463" s="120" t="str">
        <f aca="false">IF($H463=1,MAX(1,INT(($G463-'Cash Flow'!$E$6)/7)+1),"")</f>
        <v/>
      </c>
      <c r="J463" s="8" t="str">
        <f aca="false">IF($H463=1,$G463*10000+ROW(),"")</f>
        <v/>
      </c>
      <c r="K463" s="8" t="str">
        <f aca="false">IF($H463=1,$I463*1000+COUNTIFS($I$4:$I$483,$I463,$J$4:$J$483,"&lt;"&amp;$J463)+1,"")</f>
        <v/>
      </c>
      <c r="L463" s="121"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17" t="n">
        <v>29</v>
      </c>
      <c r="B464" s="117" t="n">
        <v>13</v>
      </c>
      <c r="C464" s="8" t="str">
        <f aca="false">IF(OR(Recurring!$B$33="",Recurring!$H$33&lt;&gt;"Yes",Recurring!$D$33=""),"",Recurring!$B$33)</f>
        <v/>
      </c>
      <c r="D464" s="8" t="str">
        <f aca="false">IF($C464="","",Recurring!$C$33)</f>
        <v/>
      </c>
      <c r="E464" s="118" t="str">
        <f aca="false">IF($C464="","",IF(SUMIFS(Overrides!$E$9:$E$108,Overrides!$B$9:$B$108,$C464,Overrides!$C$9:$C$108,$L464)&gt;0,SUMIFS(Overrides!$E$9:$E$108,Overrides!$B$9:$B$108,$C464,Overrides!$C$9:$C$108,$L464),Recurring!$D$33))</f>
        <v/>
      </c>
      <c r="F464" s="119"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19" t="str">
        <f aca="false">IF($L464="","",IF(SUMIFS(Overrides!$D$9:$D$108,Overrides!$B$9:$B$108,$C464,Overrides!$C$9:$C$108,$L464)&gt;0,SUMIFS(Overrides!$D$9:$D$108,Overrides!$B$9:$B$108,$C464,Overrides!$C$9:$C$108,$L464),$L464))</f>
        <v/>
      </c>
      <c r="H464" s="120" t="n">
        <f aca="false">IF($G464="",0,IF(AND($G464&gt;='Cash Flow'!$E$6,$G464&lt;'Cash Flow'!$E$6+91),1,0))</f>
        <v>0</v>
      </c>
      <c r="I464" s="120" t="str">
        <f aca="false">IF($H464=1,MAX(1,INT(($G464-'Cash Flow'!$E$6)/7)+1),"")</f>
        <v/>
      </c>
      <c r="J464" s="8" t="str">
        <f aca="false">IF($H464=1,$G464*10000+ROW(),"")</f>
        <v/>
      </c>
      <c r="K464" s="8" t="str">
        <f aca="false">IF($H464=1,$I464*1000+COUNTIFS($I$4:$I$483,$I464,$J$4:$J$483,"&lt;"&amp;$J464)+1,"")</f>
        <v/>
      </c>
      <c r="L464" s="121"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17" t="n">
        <v>29</v>
      </c>
      <c r="B465" s="117" t="n">
        <v>14</v>
      </c>
      <c r="C465" s="8" t="str">
        <f aca="false">IF(OR(Recurring!$B$33="",Recurring!$H$33&lt;&gt;"Yes",Recurring!$D$33=""),"",Recurring!$B$33)</f>
        <v/>
      </c>
      <c r="D465" s="8" t="str">
        <f aca="false">IF($C465="","",Recurring!$C$33)</f>
        <v/>
      </c>
      <c r="E465" s="118" t="str">
        <f aca="false">IF($C465="","",IF(SUMIFS(Overrides!$E$9:$E$108,Overrides!$B$9:$B$108,$C465,Overrides!$C$9:$C$108,$L465)&gt;0,SUMIFS(Overrides!$E$9:$E$108,Overrides!$B$9:$B$108,$C465,Overrides!$C$9:$C$108,$L465),Recurring!$D$33))</f>
        <v/>
      </c>
      <c r="F465" s="119"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19" t="str">
        <f aca="false">IF($L465="","",IF(SUMIFS(Overrides!$D$9:$D$108,Overrides!$B$9:$B$108,$C465,Overrides!$C$9:$C$108,$L465)&gt;0,SUMIFS(Overrides!$D$9:$D$108,Overrides!$B$9:$B$108,$C465,Overrides!$C$9:$C$108,$L465),$L465))</f>
        <v/>
      </c>
      <c r="H465" s="120" t="n">
        <f aca="false">IF($G465="",0,IF(AND($G465&gt;='Cash Flow'!$E$6,$G465&lt;'Cash Flow'!$E$6+91),1,0))</f>
        <v>0</v>
      </c>
      <c r="I465" s="120" t="str">
        <f aca="false">IF($H465=1,MAX(1,INT(($G465-'Cash Flow'!$E$6)/7)+1),"")</f>
        <v/>
      </c>
      <c r="J465" s="8" t="str">
        <f aca="false">IF($H465=1,$G465*10000+ROW(),"")</f>
        <v/>
      </c>
      <c r="K465" s="8" t="str">
        <f aca="false">IF($H465=1,$I465*1000+COUNTIFS($I$4:$I$483,$I465,$J$4:$J$483,"&lt;"&amp;$J465)+1,"")</f>
        <v/>
      </c>
      <c r="L465" s="121"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17" t="n">
        <v>29</v>
      </c>
      <c r="B466" s="117" t="n">
        <v>15</v>
      </c>
      <c r="C466" s="8" t="str">
        <f aca="false">IF(OR(Recurring!$B$33="",Recurring!$H$33&lt;&gt;"Yes",Recurring!$D$33=""),"",Recurring!$B$33)</f>
        <v/>
      </c>
      <c r="D466" s="8" t="str">
        <f aca="false">IF($C466="","",Recurring!$C$33)</f>
        <v/>
      </c>
      <c r="E466" s="118" t="str">
        <f aca="false">IF($C466="","",IF(SUMIFS(Overrides!$E$9:$E$108,Overrides!$B$9:$B$108,$C466,Overrides!$C$9:$C$108,$L466)&gt;0,SUMIFS(Overrides!$E$9:$E$108,Overrides!$B$9:$B$108,$C466,Overrides!$C$9:$C$108,$L466),Recurring!$D$33))</f>
        <v/>
      </c>
      <c r="F466" s="119"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19" t="str">
        <f aca="false">IF($L466="","",IF(SUMIFS(Overrides!$D$9:$D$108,Overrides!$B$9:$B$108,$C466,Overrides!$C$9:$C$108,$L466)&gt;0,SUMIFS(Overrides!$D$9:$D$108,Overrides!$B$9:$B$108,$C466,Overrides!$C$9:$C$108,$L466),$L466))</f>
        <v/>
      </c>
      <c r="H466" s="120" t="n">
        <f aca="false">IF($G466="",0,IF(AND($G466&gt;='Cash Flow'!$E$6,$G466&lt;'Cash Flow'!$E$6+91),1,0))</f>
        <v>0</v>
      </c>
      <c r="I466" s="120" t="str">
        <f aca="false">IF($H466=1,MAX(1,INT(($G466-'Cash Flow'!$E$6)/7)+1),"")</f>
        <v/>
      </c>
      <c r="J466" s="8" t="str">
        <f aca="false">IF($H466=1,$G466*10000+ROW(),"")</f>
        <v/>
      </c>
      <c r="K466" s="8" t="str">
        <f aca="false">IF($H466=1,$I466*1000+COUNTIFS($I$4:$I$483,$I466,$J$4:$J$483,"&lt;"&amp;$J466)+1,"")</f>
        <v/>
      </c>
      <c r="L466" s="121"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17" t="n">
        <v>29</v>
      </c>
      <c r="B467" s="117" t="n">
        <v>16</v>
      </c>
      <c r="C467" s="8" t="str">
        <f aca="false">IF(OR(Recurring!$B$33="",Recurring!$H$33&lt;&gt;"Yes",Recurring!$D$33=""),"",Recurring!$B$33)</f>
        <v/>
      </c>
      <c r="D467" s="8" t="str">
        <f aca="false">IF($C467="","",Recurring!$C$33)</f>
        <v/>
      </c>
      <c r="E467" s="118" t="str">
        <f aca="false">IF($C467="","",IF(SUMIFS(Overrides!$E$9:$E$108,Overrides!$B$9:$B$108,$C467,Overrides!$C$9:$C$108,$L467)&gt;0,SUMIFS(Overrides!$E$9:$E$108,Overrides!$B$9:$B$108,$C467,Overrides!$C$9:$C$108,$L467),Recurring!$D$33))</f>
        <v/>
      </c>
      <c r="F467" s="119"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19" t="str">
        <f aca="false">IF($L467="","",IF(SUMIFS(Overrides!$D$9:$D$108,Overrides!$B$9:$B$108,$C467,Overrides!$C$9:$C$108,$L467)&gt;0,SUMIFS(Overrides!$D$9:$D$108,Overrides!$B$9:$B$108,$C467,Overrides!$C$9:$C$108,$L467),$L467))</f>
        <v/>
      </c>
      <c r="H467" s="120" t="n">
        <f aca="false">IF($G467="",0,IF(AND($G467&gt;='Cash Flow'!$E$6,$G467&lt;'Cash Flow'!$E$6+91),1,0))</f>
        <v>0</v>
      </c>
      <c r="I467" s="120" t="str">
        <f aca="false">IF($H467=1,MAX(1,INT(($G467-'Cash Flow'!$E$6)/7)+1),"")</f>
        <v/>
      </c>
      <c r="J467" s="8" t="str">
        <f aca="false">IF($H467=1,$G467*10000+ROW(),"")</f>
        <v/>
      </c>
      <c r="K467" s="8" t="str">
        <f aca="false">IF($H467=1,$I467*1000+COUNTIFS($I$4:$I$483,$I467,$J$4:$J$483,"&lt;"&amp;$J467)+1,"")</f>
        <v/>
      </c>
      <c r="L467" s="121"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17" t="n">
        <v>30</v>
      </c>
      <c r="B468" s="117" t="n">
        <v>1</v>
      </c>
      <c r="C468" s="8" t="str">
        <f aca="false">IF(OR(Recurring!$B$34="",Recurring!$H$34&lt;&gt;"Yes",Recurring!$D$34=""),"",Recurring!$B$34)</f>
        <v/>
      </c>
      <c r="D468" s="8" t="str">
        <f aca="false">IF($C468="","",Recurring!$C$34)</f>
        <v/>
      </c>
      <c r="E468" s="118" t="str">
        <f aca="false">IF($C468="","",IF(SUMIFS(Overrides!$E$9:$E$108,Overrides!$B$9:$B$108,$C468,Overrides!$C$9:$C$108,$L468)&gt;0,SUMIFS(Overrides!$E$9:$E$108,Overrides!$B$9:$B$108,$C468,Overrides!$C$9:$C$108,$L468),Recurring!$D$34))</f>
        <v/>
      </c>
      <c r="F468" s="119"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19" t="str">
        <f aca="false">IF($L468="","",IF(SUMIFS(Overrides!$D$9:$D$108,Overrides!$B$9:$B$108,$C468,Overrides!$C$9:$C$108,$L468)&gt;0,SUMIFS(Overrides!$D$9:$D$108,Overrides!$B$9:$B$108,$C468,Overrides!$C$9:$C$108,$L468),$L468))</f>
        <v/>
      </c>
      <c r="H468" s="120" t="n">
        <f aca="false">IF($G468="",0,IF(AND($G468&gt;='Cash Flow'!$E$6-90,$G468&lt;'Cash Flow'!$E$6+91),1,0))</f>
        <v>0</v>
      </c>
      <c r="I468" s="120" t="str">
        <f aca="false">IF($H468=1,MAX(1,INT(($G468-'Cash Flow'!$E$6)/7)+1),"")</f>
        <v/>
      </c>
      <c r="J468" s="8" t="str">
        <f aca="false">IF($H468=1,$G468*10000+ROW(),"")</f>
        <v/>
      </c>
      <c r="K468" s="8" t="str">
        <f aca="false">IF($H468=1,$I468*1000+COUNTIFS($I$4:$I$483,$I468,$J$4:$J$483,"&lt;"&amp;$J468)+1,"")</f>
        <v/>
      </c>
      <c r="L468" s="121"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17" t="n">
        <v>30</v>
      </c>
      <c r="B469" s="117" t="n">
        <v>2</v>
      </c>
      <c r="C469" s="8" t="str">
        <f aca="false">IF(OR(Recurring!$B$34="",Recurring!$H$34&lt;&gt;"Yes",Recurring!$D$34=""),"",Recurring!$B$34)</f>
        <v/>
      </c>
      <c r="D469" s="8" t="str">
        <f aca="false">IF($C469="","",Recurring!$C$34)</f>
        <v/>
      </c>
      <c r="E469" s="118" t="str">
        <f aca="false">IF($C469="","",IF(SUMIFS(Overrides!$E$9:$E$108,Overrides!$B$9:$B$108,$C469,Overrides!$C$9:$C$108,$L469)&gt;0,SUMIFS(Overrides!$E$9:$E$108,Overrides!$B$9:$B$108,$C469,Overrides!$C$9:$C$108,$L469),Recurring!$D$34))</f>
        <v/>
      </c>
      <c r="F469" s="119"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19" t="str">
        <f aca="false">IF($L469="","",IF(SUMIFS(Overrides!$D$9:$D$108,Overrides!$B$9:$B$108,$C469,Overrides!$C$9:$C$108,$L469)&gt;0,SUMIFS(Overrides!$D$9:$D$108,Overrides!$B$9:$B$108,$C469,Overrides!$C$9:$C$108,$L469),$L469))</f>
        <v/>
      </c>
      <c r="H469" s="120" t="n">
        <f aca="false">IF($G469="",0,IF(AND($G469&gt;='Cash Flow'!$E$6,$G469&lt;'Cash Flow'!$E$6+91),1,0))</f>
        <v>0</v>
      </c>
      <c r="I469" s="120" t="str">
        <f aca="false">IF($H469=1,MAX(1,INT(($G469-'Cash Flow'!$E$6)/7)+1),"")</f>
        <v/>
      </c>
      <c r="J469" s="8" t="str">
        <f aca="false">IF($H469=1,$G469*10000+ROW(),"")</f>
        <v/>
      </c>
      <c r="K469" s="8" t="str">
        <f aca="false">IF($H469=1,$I469*1000+COUNTIFS($I$4:$I$483,$I469,$J$4:$J$483,"&lt;"&amp;$J469)+1,"")</f>
        <v/>
      </c>
      <c r="L469" s="121"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17" t="n">
        <v>30</v>
      </c>
      <c r="B470" s="117" t="n">
        <v>3</v>
      </c>
      <c r="C470" s="8" t="str">
        <f aca="false">IF(OR(Recurring!$B$34="",Recurring!$H$34&lt;&gt;"Yes",Recurring!$D$34=""),"",Recurring!$B$34)</f>
        <v/>
      </c>
      <c r="D470" s="8" t="str">
        <f aca="false">IF($C470="","",Recurring!$C$34)</f>
        <v/>
      </c>
      <c r="E470" s="118" t="str">
        <f aca="false">IF($C470="","",IF(SUMIFS(Overrides!$E$9:$E$108,Overrides!$B$9:$B$108,$C470,Overrides!$C$9:$C$108,$L470)&gt;0,SUMIFS(Overrides!$E$9:$E$108,Overrides!$B$9:$B$108,$C470,Overrides!$C$9:$C$108,$L470),Recurring!$D$34))</f>
        <v/>
      </c>
      <c r="F470" s="119"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19" t="str">
        <f aca="false">IF($L470="","",IF(SUMIFS(Overrides!$D$9:$D$108,Overrides!$B$9:$B$108,$C470,Overrides!$C$9:$C$108,$L470)&gt;0,SUMIFS(Overrides!$D$9:$D$108,Overrides!$B$9:$B$108,$C470,Overrides!$C$9:$C$108,$L470),$L470))</f>
        <v/>
      </c>
      <c r="H470" s="120" t="n">
        <f aca="false">IF($G470="",0,IF(AND($G470&gt;='Cash Flow'!$E$6,$G470&lt;'Cash Flow'!$E$6+91),1,0))</f>
        <v>0</v>
      </c>
      <c r="I470" s="120" t="str">
        <f aca="false">IF($H470=1,MAX(1,INT(($G470-'Cash Flow'!$E$6)/7)+1),"")</f>
        <v/>
      </c>
      <c r="J470" s="8" t="str">
        <f aca="false">IF($H470=1,$G470*10000+ROW(),"")</f>
        <v/>
      </c>
      <c r="K470" s="8" t="str">
        <f aca="false">IF($H470=1,$I470*1000+COUNTIFS($I$4:$I$483,$I470,$J$4:$J$483,"&lt;"&amp;$J470)+1,"")</f>
        <v/>
      </c>
      <c r="L470" s="121"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17" t="n">
        <v>30</v>
      </c>
      <c r="B471" s="117" t="n">
        <v>4</v>
      </c>
      <c r="C471" s="8" t="str">
        <f aca="false">IF(OR(Recurring!$B$34="",Recurring!$H$34&lt;&gt;"Yes",Recurring!$D$34=""),"",Recurring!$B$34)</f>
        <v/>
      </c>
      <c r="D471" s="8" t="str">
        <f aca="false">IF($C471="","",Recurring!$C$34)</f>
        <v/>
      </c>
      <c r="E471" s="118" t="str">
        <f aca="false">IF($C471="","",IF(SUMIFS(Overrides!$E$9:$E$108,Overrides!$B$9:$B$108,$C471,Overrides!$C$9:$C$108,$L471)&gt;0,SUMIFS(Overrides!$E$9:$E$108,Overrides!$B$9:$B$108,$C471,Overrides!$C$9:$C$108,$L471),Recurring!$D$34))</f>
        <v/>
      </c>
      <c r="F471" s="119"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19" t="str">
        <f aca="false">IF($L471="","",IF(SUMIFS(Overrides!$D$9:$D$108,Overrides!$B$9:$B$108,$C471,Overrides!$C$9:$C$108,$L471)&gt;0,SUMIFS(Overrides!$D$9:$D$108,Overrides!$B$9:$B$108,$C471,Overrides!$C$9:$C$108,$L471),$L471))</f>
        <v/>
      </c>
      <c r="H471" s="120" t="n">
        <f aca="false">IF($G471="",0,IF(AND($G471&gt;='Cash Flow'!$E$6,$G471&lt;'Cash Flow'!$E$6+91),1,0))</f>
        <v>0</v>
      </c>
      <c r="I471" s="120" t="str">
        <f aca="false">IF($H471=1,MAX(1,INT(($G471-'Cash Flow'!$E$6)/7)+1),"")</f>
        <v/>
      </c>
      <c r="J471" s="8" t="str">
        <f aca="false">IF($H471=1,$G471*10000+ROW(),"")</f>
        <v/>
      </c>
      <c r="K471" s="8" t="str">
        <f aca="false">IF($H471=1,$I471*1000+COUNTIFS($I$4:$I$483,$I471,$J$4:$J$483,"&lt;"&amp;$J471)+1,"")</f>
        <v/>
      </c>
      <c r="L471" s="121"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17" t="n">
        <v>30</v>
      </c>
      <c r="B472" s="117" t="n">
        <v>5</v>
      </c>
      <c r="C472" s="8" t="str">
        <f aca="false">IF(OR(Recurring!$B$34="",Recurring!$H$34&lt;&gt;"Yes",Recurring!$D$34=""),"",Recurring!$B$34)</f>
        <v/>
      </c>
      <c r="D472" s="8" t="str">
        <f aca="false">IF($C472="","",Recurring!$C$34)</f>
        <v/>
      </c>
      <c r="E472" s="118" t="str">
        <f aca="false">IF($C472="","",IF(SUMIFS(Overrides!$E$9:$E$108,Overrides!$B$9:$B$108,$C472,Overrides!$C$9:$C$108,$L472)&gt;0,SUMIFS(Overrides!$E$9:$E$108,Overrides!$B$9:$B$108,$C472,Overrides!$C$9:$C$108,$L472),Recurring!$D$34))</f>
        <v/>
      </c>
      <c r="F472" s="119"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19" t="str">
        <f aca="false">IF($L472="","",IF(SUMIFS(Overrides!$D$9:$D$108,Overrides!$B$9:$B$108,$C472,Overrides!$C$9:$C$108,$L472)&gt;0,SUMIFS(Overrides!$D$9:$D$108,Overrides!$B$9:$B$108,$C472,Overrides!$C$9:$C$108,$L472),$L472))</f>
        <v/>
      </c>
      <c r="H472" s="120" t="n">
        <f aca="false">IF($G472="",0,IF(AND($G472&gt;='Cash Flow'!$E$6,$G472&lt;'Cash Flow'!$E$6+91),1,0))</f>
        <v>0</v>
      </c>
      <c r="I472" s="120" t="str">
        <f aca="false">IF($H472=1,MAX(1,INT(($G472-'Cash Flow'!$E$6)/7)+1),"")</f>
        <v/>
      </c>
      <c r="J472" s="8" t="str">
        <f aca="false">IF($H472=1,$G472*10000+ROW(),"")</f>
        <v/>
      </c>
      <c r="K472" s="8" t="str">
        <f aca="false">IF($H472=1,$I472*1000+COUNTIFS($I$4:$I$483,$I472,$J$4:$J$483,"&lt;"&amp;$J472)+1,"")</f>
        <v/>
      </c>
      <c r="L472" s="121"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17" t="n">
        <v>30</v>
      </c>
      <c r="B473" s="117" t="n">
        <v>6</v>
      </c>
      <c r="C473" s="8" t="str">
        <f aca="false">IF(OR(Recurring!$B$34="",Recurring!$H$34&lt;&gt;"Yes",Recurring!$D$34=""),"",Recurring!$B$34)</f>
        <v/>
      </c>
      <c r="D473" s="8" t="str">
        <f aca="false">IF($C473="","",Recurring!$C$34)</f>
        <v/>
      </c>
      <c r="E473" s="118" t="str">
        <f aca="false">IF($C473="","",IF(SUMIFS(Overrides!$E$9:$E$108,Overrides!$B$9:$B$108,$C473,Overrides!$C$9:$C$108,$L473)&gt;0,SUMIFS(Overrides!$E$9:$E$108,Overrides!$B$9:$B$108,$C473,Overrides!$C$9:$C$108,$L473),Recurring!$D$34))</f>
        <v/>
      </c>
      <c r="F473" s="119"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19" t="str">
        <f aca="false">IF($L473="","",IF(SUMIFS(Overrides!$D$9:$D$108,Overrides!$B$9:$B$108,$C473,Overrides!$C$9:$C$108,$L473)&gt;0,SUMIFS(Overrides!$D$9:$D$108,Overrides!$B$9:$B$108,$C473,Overrides!$C$9:$C$108,$L473),$L473))</f>
        <v/>
      </c>
      <c r="H473" s="120" t="n">
        <f aca="false">IF($G473="",0,IF(AND($G473&gt;='Cash Flow'!$E$6,$G473&lt;'Cash Flow'!$E$6+91),1,0))</f>
        <v>0</v>
      </c>
      <c r="I473" s="120" t="str">
        <f aca="false">IF($H473=1,MAX(1,INT(($G473-'Cash Flow'!$E$6)/7)+1),"")</f>
        <v/>
      </c>
      <c r="J473" s="8" t="str">
        <f aca="false">IF($H473=1,$G473*10000+ROW(),"")</f>
        <v/>
      </c>
      <c r="K473" s="8" t="str">
        <f aca="false">IF($H473=1,$I473*1000+COUNTIFS($I$4:$I$483,$I473,$J$4:$J$483,"&lt;"&amp;$J473)+1,"")</f>
        <v/>
      </c>
      <c r="L473" s="121"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17" t="n">
        <v>30</v>
      </c>
      <c r="B474" s="117" t="n">
        <v>7</v>
      </c>
      <c r="C474" s="8" t="str">
        <f aca="false">IF(OR(Recurring!$B$34="",Recurring!$H$34&lt;&gt;"Yes",Recurring!$D$34=""),"",Recurring!$B$34)</f>
        <v/>
      </c>
      <c r="D474" s="8" t="str">
        <f aca="false">IF($C474="","",Recurring!$C$34)</f>
        <v/>
      </c>
      <c r="E474" s="118" t="str">
        <f aca="false">IF($C474="","",IF(SUMIFS(Overrides!$E$9:$E$108,Overrides!$B$9:$B$108,$C474,Overrides!$C$9:$C$108,$L474)&gt;0,SUMIFS(Overrides!$E$9:$E$108,Overrides!$B$9:$B$108,$C474,Overrides!$C$9:$C$108,$L474),Recurring!$D$34))</f>
        <v/>
      </c>
      <c r="F474" s="119"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19" t="str">
        <f aca="false">IF($L474="","",IF(SUMIFS(Overrides!$D$9:$D$108,Overrides!$B$9:$B$108,$C474,Overrides!$C$9:$C$108,$L474)&gt;0,SUMIFS(Overrides!$D$9:$D$108,Overrides!$B$9:$B$108,$C474,Overrides!$C$9:$C$108,$L474),$L474))</f>
        <v/>
      </c>
      <c r="H474" s="120" t="n">
        <f aca="false">IF($G474="",0,IF(AND($G474&gt;='Cash Flow'!$E$6,$G474&lt;'Cash Flow'!$E$6+91),1,0))</f>
        <v>0</v>
      </c>
      <c r="I474" s="120" t="str">
        <f aca="false">IF($H474=1,MAX(1,INT(($G474-'Cash Flow'!$E$6)/7)+1),"")</f>
        <v/>
      </c>
      <c r="J474" s="8" t="str">
        <f aca="false">IF($H474=1,$G474*10000+ROW(),"")</f>
        <v/>
      </c>
      <c r="K474" s="8" t="str">
        <f aca="false">IF($H474=1,$I474*1000+COUNTIFS($I$4:$I$483,$I474,$J$4:$J$483,"&lt;"&amp;$J474)+1,"")</f>
        <v/>
      </c>
      <c r="L474" s="121"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17" t="n">
        <v>30</v>
      </c>
      <c r="B475" s="117" t="n">
        <v>8</v>
      </c>
      <c r="C475" s="8" t="str">
        <f aca="false">IF(OR(Recurring!$B$34="",Recurring!$H$34&lt;&gt;"Yes",Recurring!$D$34=""),"",Recurring!$B$34)</f>
        <v/>
      </c>
      <c r="D475" s="8" t="str">
        <f aca="false">IF($C475="","",Recurring!$C$34)</f>
        <v/>
      </c>
      <c r="E475" s="118" t="str">
        <f aca="false">IF($C475="","",IF(SUMIFS(Overrides!$E$9:$E$108,Overrides!$B$9:$B$108,$C475,Overrides!$C$9:$C$108,$L475)&gt;0,SUMIFS(Overrides!$E$9:$E$108,Overrides!$B$9:$B$108,$C475,Overrides!$C$9:$C$108,$L475),Recurring!$D$34))</f>
        <v/>
      </c>
      <c r="F475" s="119"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19" t="str">
        <f aca="false">IF($L475="","",IF(SUMIFS(Overrides!$D$9:$D$108,Overrides!$B$9:$B$108,$C475,Overrides!$C$9:$C$108,$L475)&gt;0,SUMIFS(Overrides!$D$9:$D$108,Overrides!$B$9:$B$108,$C475,Overrides!$C$9:$C$108,$L475),$L475))</f>
        <v/>
      </c>
      <c r="H475" s="120" t="n">
        <f aca="false">IF($G475="",0,IF(AND($G475&gt;='Cash Flow'!$E$6,$G475&lt;'Cash Flow'!$E$6+91),1,0))</f>
        <v>0</v>
      </c>
      <c r="I475" s="120" t="str">
        <f aca="false">IF($H475=1,MAX(1,INT(($G475-'Cash Flow'!$E$6)/7)+1),"")</f>
        <v/>
      </c>
      <c r="J475" s="8" t="str">
        <f aca="false">IF($H475=1,$G475*10000+ROW(),"")</f>
        <v/>
      </c>
      <c r="K475" s="8" t="str">
        <f aca="false">IF($H475=1,$I475*1000+COUNTIFS($I$4:$I$483,$I475,$J$4:$J$483,"&lt;"&amp;$J475)+1,"")</f>
        <v/>
      </c>
      <c r="L475" s="121"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17" t="n">
        <v>30</v>
      </c>
      <c r="B476" s="117" t="n">
        <v>9</v>
      </c>
      <c r="C476" s="8" t="str">
        <f aca="false">IF(OR(Recurring!$B$34="",Recurring!$H$34&lt;&gt;"Yes",Recurring!$D$34=""),"",Recurring!$B$34)</f>
        <v/>
      </c>
      <c r="D476" s="8" t="str">
        <f aca="false">IF($C476="","",Recurring!$C$34)</f>
        <v/>
      </c>
      <c r="E476" s="118" t="str">
        <f aca="false">IF($C476="","",IF(SUMIFS(Overrides!$E$9:$E$108,Overrides!$B$9:$B$108,$C476,Overrides!$C$9:$C$108,$L476)&gt;0,SUMIFS(Overrides!$E$9:$E$108,Overrides!$B$9:$B$108,$C476,Overrides!$C$9:$C$108,$L476),Recurring!$D$34))</f>
        <v/>
      </c>
      <c r="F476" s="119"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19" t="str">
        <f aca="false">IF($L476="","",IF(SUMIFS(Overrides!$D$9:$D$108,Overrides!$B$9:$B$108,$C476,Overrides!$C$9:$C$108,$L476)&gt;0,SUMIFS(Overrides!$D$9:$D$108,Overrides!$B$9:$B$108,$C476,Overrides!$C$9:$C$108,$L476),$L476))</f>
        <v/>
      </c>
      <c r="H476" s="120" t="n">
        <f aca="false">IF($G476="",0,IF(AND($G476&gt;='Cash Flow'!$E$6,$G476&lt;'Cash Flow'!$E$6+91),1,0))</f>
        <v>0</v>
      </c>
      <c r="I476" s="120" t="str">
        <f aca="false">IF($H476=1,MAX(1,INT(($G476-'Cash Flow'!$E$6)/7)+1),"")</f>
        <v/>
      </c>
      <c r="J476" s="8" t="str">
        <f aca="false">IF($H476=1,$G476*10000+ROW(),"")</f>
        <v/>
      </c>
      <c r="K476" s="8" t="str">
        <f aca="false">IF($H476=1,$I476*1000+COUNTIFS($I$4:$I$483,$I476,$J$4:$J$483,"&lt;"&amp;$J476)+1,"")</f>
        <v/>
      </c>
      <c r="L476" s="121"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17" t="n">
        <v>30</v>
      </c>
      <c r="B477" s="117" t="n">
        <v>10</v>
      </c>
      <c r="C477" s="8" t="str">
        <f aca="false">IF(OR(Recurring!$B$34="",Recurring!$H$34&lt;&gt;"Yes",Recurring!$D$34=""),"",Recurring!$B$34)</f>
        <v/>
      </c>
      <c r="D477" s="8" t="str">
        <f aca="false">IF($C477="","",Recurring!$C$34)</f>
        <v/>
      </c>
      <c r="E477" s="118" t="str">
        <f aca="false">IF($C477="","",IF(SUMIFS(Overrides!$E$9:$E$108,Overrides!$B$9:$B$108,$C477,Overrides!$C$9:$C$108,$L477)&gt;0,SUMIFS(Overrides!$E$9:$E$108,Overrides!$B$9:$B$108,$C477,Overrides!$C$9:$C$108,$L477),Recurring!$D$34))</f>
        <v/>
      </c>
      <c r="F477" s="119"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19" t="str">
        <f aca="false">IF($L477="","",IF(SUMIFS(Overrides!$D$9:$D$108,Overrides!$B$9:$B$108,$C477,Overrides!$C$9:$C$108,$L477)&gt;0,SUMIFS(Overrides!$D$9:$D$108,Overrides!$B$9:$B$108,$C477,Overrides!$C$9:$C$108,$L477),$L477))</f>
        <v/>
      </c>
      <c r="H477" s="120" t="n">
        <f aca="false">IF($G477="",0,IF(AND($G477&gt;='Cash Flow'!$E$6,$G477&lt;'Cash Flow'!$E$6+91),1,0))</f>
        <v>0</v>
      </c>
      <c r="I477" s="120" t="str">
        <f aca="false">IF($H477=1,MAX(1,INT(($G477-'Cash Flow'!$E$6)/7)+1),"")</f>
        <v/>
      </c>
      <c r="J477" s="8" t="str">
        <f aca="false">IF($H477=1,$G477*10000+ROW(),"")</f>
        <v/>
      </c>
      <c r="K477" s="8" t="str">
        <f aca="false">IF($H477=1,$I477*1000+COUNTIFS($I$4:$I$483,$I477,$J$4:$J$483,"&lt;"&amp;$J477)+1,"")</f>
        <v/>
      </c>
      <c r="L477" s="121"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17" t="n">
        <v>30</v>
      </c>
      <c r="B478" s="117" t="n">
        <v>11</v>
      </c>
      <c r="C478" s="8" t="str">
        <f aca="false">IF(OR(Recurring!$B$34="",Recurring!$H$34&lt;&gt;"Yes",Recurring!$D$34=""),"",Recurring!$B$34)</f>
        <v/>
      </c>
      <c r="D478" s="8" t="str">
        <f aca="false">IF($C478="","",Recurring!$C$34)</f>
        <v/>
      </c>
      <c r="E478" s="118" t="str">
        <f aca="false">IF($C478="","",IF(SUMIFS(Overrides!$E$9:$E$108,Overrides!$B$9:$B$108,$C478,Overrides!$C$9:$C$108,$L478)&gt;0,SUMIFS(Overrides!$E$9:$E$108,Overrides!$B$9:$B$108,$C478,Overrides!$C$9:$C$108,$L478),Recurring!$D$34))</f>
        <v/>
      </c>
      <c r="F478" s="119"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19" t="str">
        <f aca="false">IF($L478="","",IF(SUMIFS(Overrides!$D$9:$D$108,Overrides!$B$9:$B$108,$C478,Overrides!$C$9:$C$108,$L478)&gt;0,SUMIFS(Overrides!$D$9:$D$108,Overrides!$B$9:$B$108,$C478,Overrides!$C$9:$C$108,$L478),$L478))</f>
        <v/>
      </c>
      <c r="H478" s="120" t="n">
        <f aca="false">IF($G478="",0,IF(AND($G478&gt;='Cash Flow'!$E$6,$G478&lt;'Cash Flow'!$E$6+91),1,0))</f>
        <v>0</v>
      </c>
      <c r="I478" s="120" t="str">
        <f aca="false">IF($H478=1,MAX(1,INT(($G478-'Cash Flow'!$E$6)/7)+1),"")</f>
        <v/>
      </c>
      <c r="J478" s="8" t="str">
        <f aca="false">IF($H478=1,$G478*10000+ROW(),"")</f>
        <v/>
      </c>
      <c r="K478" s="8" t="str">
        <f aca="false">IF($H478=1,$I478*1000+COUNTIFS($I$4:$I$483,$I478,$J$4:$J$483,"&lt;"&amp;$J478)+1,"")</f>
        <v/>
      </c>
      <c r="L478" s="121"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17" t="n">
        <v>30</v>
      </c>
      <c r="B479" s="117" t="n">
        <v>12</v>
      </c>
      <c r="C479" s="8" t="str">
        <f aca="false">IF(OR(Recurring!$B$34="",Recurring!$H$34&lt;&gt;"Yes",Recurring!$D$34=""),"",Recurring!$B$34)</f>
        <v/>
      </c>
      <c r="D479" s="8" t="str">
        <f aca="false">IF($C479="","",Recurring!$C$34)</f>
        <v/>
      </c>
      <c r="E479" s="118" t="str">
        <f aca="false">IF($C479="","",IF(SUMIFS(Overrides!$E$9:$E$108,Overrides!$B$9:$B$108,$C479,Overrides!$C$9:$C$108,$L479)&gt;0,SUMIFS(Overrides!$E$9:$E$108,Overrides!$B$9:$B$108,$C479,Overrides!$C$9:$C$108,$L479),Recurring!$D$34))</f>
        <v/>
      </c>
      <c r="F479" s="119"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19" t="str">
        <f aca="false">IF($L479="","",IF(SUMIFS(Overrides!$D$9:$D$108,Overrides!$B$9:$B$108,$C479,Overrides!$C$9:$C$108,$L479)&gt;0,SUMIFS(Overrides!$D$9:$D$108,Overrides!$B$9:$B$108,$C479,Overrides!$C$9:$C$108,$L479),$L479))</f>
        <v/>
      </c>
      <c r="H479" s="120" t="n">
        <f aca="false">IF($G479="",0,IF(AND($G479&gt;='Cash Flow'!$E$6,$G479&lt;'Cash Flow'!$E$6+91),1,0))</f>
        <v>0</v>
      </c>
      <c r="I479" s="120" t="str">
        <f aca="false">IF($H479=1,MAX(1,INT(($G479-'Cash Flow'!$E$6)/7)+1),"")</f>
        <v/>
      </c>
      <c r="J479" s="8" t="str">
        <f aca="false">IF($H479=1,$G479*10000+ROW(),"")</f>
        <v/>
      </c>
      <c r="K479" s="8" t="str">
        <f aca="false">IF($H479=1,$I479*1000+COUNTIFS($I$4:$I$483,$I479,$J$4:$J$483,"&lt;"&amp;$J479)+1,"")</f>
        <v/>
      </c>
      <c r="L479" s="121"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17" t="n">
        <v>30</v>
      </c>
      <c r="B480" s="117" t="n">
        <v>13</v>
      </c>
      <c r="C480" s="8" t="str">
        <f aca="false">IF(OR(Recurring!$B$34="",Recurring!$H$34&lt;&gt;"Yes",Recurring!$D$34=""),"",Recurring!$B$34)</f>
        <v/>
      </c>
      <c r="D480" s="8" t="str">
        <f aca="false">IF($C480="","",Recurring!$C$34)</f>
        <v/>
      </c>
      <c r="E480" s="118" t="str">
        <f aca="false">IF($C480="","",IF(SUMIFS(Overrides!$E$9:$E$108,Overrides!$B$9:$B$108,$C480,Overrides!$C$9:$C$108,$L480)&gt;0,SUMIFS(Overrides!$E$9:$E$108,Overrides!$B$9:$B$108,$C480,Overrides!$C$9:$C$108,$L480),Recurring!$D$34))</f>
        <v/>
      </c>
      <c r="F480" s="119"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19" t="str">
        <f aca="false">IF($L480="","",IF(SUMIFS(Overrides!$D$9:$D$108,Overrides!$B$9:$B$108,$C480,Overrides!$C$9:$C$108,$L480)&gt;0,SUMIFS(Overrides!$D$9:$D$108,Overrides!$B$9:$B$108,$C480,Overrides!$C$9:$C$108,$L480),$L480))</f>
        <v/>
      </c>
      <c r="H480" s="120" t="n">
        <f aca="false">IF($G480="",0,IF(AND($G480&gt;='Cash Flow'!$E$6,$G480&lt;'Cash Flow'!$E$6+91),1,0))</f>
        <v>0</v>
      </c>
      <c r="I480" s="120" t="str">
        <f aca="false">IF($H480=1,MAX(1,INT(($G480-'Cash Flow'!$E$6)/7)+1),"")</f>
        <v/>
      </c>
      <c r="J480" s="8" t="str">
        <f aca="false">IF($H480=1,$G480*10000+ROW(),"")</f>
        <v/>
      </c>
      <c r="K480" s="8" t="str">
        <f aca="false">IF($H480=1,$I480*1000+COUNTIFS($I$4:$I$483,$I480,$J$4:$J$483,"&lt;"&amp;$J480)+1,"")</f>
        <v/>
      </c>
      <c r="L480" s="121"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17" t="n">
        <v>30</v>
      </c>
      <c r="B481" s="117" t="n">
        <v>14</v>
      </c>
      <c r="C481" s="8" t="str">
        <f aca="false">IF(OR(Recurring!$B$34="",Recurring!$H$34&lt;&gt;"Yes",Recurring!$D$34=""),"",Recurring!$B$34)</f>
        <v/>
      </c>
      <c r="D481" s="8" t="str">
        <f aca="false">IF($C481="","",Recurring!$C$34)</f>
        <v/>
      </c>
      <c r="E481" s="118" t="str">
        <f aca="false">IF($C481="","",IF(SUMIFS(Overrides!$E$9:$E$108,Overrides!$B$9:$B$108,$C481,Overrides!$C$9:$C$108,$L481)&gt;0,SUMIFS(Overrides!$E$9:$E$108,Overrides!$B$9:$B$108,$C481,Overrides!$C$9:$C$108,$L481),Recurring!$D$34))</f>
        <v/>
      </c>
      <c r="F481" s="119"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19" t="str">
        <f aca="false">IF($L481="","",IF(SUMIFS(Overrides!$D$9:$D$108,Overrides!$B$9:$B$108,$C481,Overrides!$C$9:$C$108,$L481)&gt;0,SUMIFS(Overrides!$D$9:$D$108,Overrides!$B$9:$B$108,$C481,Overrides!$C$9:$C$108,$L481),$L481))</f>
        <v/>
      </c>
      <c r="H481" s="120" t="n">
        <f aca="false">IF($G481="",0,IF(AND($G481&gt;='Cash Flow'!$E$6,$G481&lt;'Cash Flow'!$E$6+91),1,0))</f>
        <v>0</v>
      </c>
      <c r="I481" s="120" t="str">
        <f aca="false">IF($H481=1,MAX(1,INT(($G481-'Cash Flow'!$E$6)/7)+1),"")</f>
        <v/>
      </c>
      <c r="J481" s="8" t="str">
        <f aca="false">IF($H481=1,$G481*10000+ROW(),"")</f>
        <v/>
      </c>
      <c r="K481" s="8" t="str">
        <f aca="false">IF($H481=1,$I481*1000+COUNTIFS($I$4:$I$483,$I481,$J$4:$J$483,"&lt;"&amp;$J481)+1,"")</f>
        <v/>
      </c>
      <c r="L481" s="121"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17" t="n">
        <v>30</v>
      </c>
      <c r="B482" s="117" t="n">
        <v>15</v>
      </c>
      <c r="C482" s="8" t="str">
        <f aca="false">IF(OR(Recurring!$B$34="",Recurring!$H$34&lt;&gt;"Yes",Recurring!$D$34=""),"",Recurring!$B$34)</f>
        <v/>
      </c>
      <c r="D482" s="8" t="str">
        <f aca="false">IF($C482="","",Recurring!$C$34)</f>
        <v/>
      </c>
      <c r="E482" s="118" t="str">
        <f aca="false">IF($C482="","",IF(SUMIFS(Overrides!$E$9:$E$108,Overrides!$B$9:$B$108,$C482,Overrides!$C$9:$C$108,$L482)&gt;0,SUMIFS(Overrides!$E$9:$E$108,Overrides!$B$9:$B$108,$C482,Overrides!$C$9:$C$108,$L482),Recurring!$D$34))</f>
        <v/>
      </c>
      <c r="F482" s="119"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19" t="str">
        <f aca="false">IF($L482="","",IF(SUMIFS(Overrides!$D$9:$D$108,Overrides!$B$9:$B$108,$C482,Overrides!$C$9:$C$108,$L482)&gt;0,SUMIFS(Overrides!$D$9:$D$108,Overrides!$B$9:$B$108,$C482,Overrides!$C$9:$C$108,$L482),$L482))</f>
        <v/>
      </c>
      <c r="H482" s="120" t="n">
        <f aca="false">IF($G482="",0,IF(AND($G482&gt;='Cash Flow'!$E$6,$G482&lt;'Cash Flow'!$E$6+91),1,0))</f>
        <v>0</v>
      </c>
      <c r="I482" s="120" t="str">
        <f aca="false">IF($H482=1,MAX(1,INT(($G482-'Cash Flow'!$E$6)/7)+1),"")</f>
        <v/>
      </c>
      <c r="J482" s="8" t="str">
        <f aca="false">IF($H482=1,$G482*10000+ROW(),"")</f>
        <v/>
      </c>
      <c r="K482" s="8" t="str">
        <f aca="false">IF($H482=1,$I482*1000+COUNTIFS($I$4:$I$483,$I482,$J$4:$J$483,"&lt;"&amp;$J482)+1,"")</f>
        <v/>
      </c>
      <c r="L482" s="121"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17" t="n">
        <v>30</v>
      </c>
      <c r="B483" s="117" t="n">
        <v>16</v>
      </c>
      <c r="C483" s="8" t="str">
        <f aca="false">IF(OR(Recurring!$B$34="",Recurring!$H$34&lt;&gt;"Yes",Recurring!$D$34=""),"",Recurring!$B$34)</f>
        <v/>
      </c>
      <c r="D483" s="8" t="str">
        <f aca="false">IF($C483="","",Recurring!$C$34)</f>
        <v/>
      </c>
      <c r="E483" s="118" t="str">
        <f aca="false">IF($C483="","",IF(SUMIFS(Overrides!$E$9:$E$108,Overrides!$B$9:$B$108,$C483,Overrides!$C$9:$C$108,$L483)&gt;0,SUMIFS(Overrides!$E$9:$E$108,Overrides!$B$9:$B$108,$C483,Overrides!$C$9:$C$108,$L483),Recurring!$D$34))</f>
        <v/>
      </c>
      <c r="F483" s="119"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19" t="str">
        <f aca="false">IF($L483="","",IF(SUMIFS(Overrides!$D$9:$D$108,Overrides!$B$9:$B$108,$C483,Overrides!$C$9:$C$108,$L483)&gt;0,SUMIFS(Overrides!$D$9:$D$108,Overrides!$B$9:$B$108,$C483,Overrides!$C$9:$C$108,$L483),$L483))</f>
        <v/>
      </c>
      <c r="H483" s="120" t="n">
        <f aca="false">IF($G483="",0,IF(AND($G483&gt;='Cash Flow'!$E$6,$G483&lt;'Cash Flow'!$E$6+91),1,0))</f>
        <v>0</v>
      </c>
      <c r="I483" s="120" t="str">
        <f aca="false">IF($H483=1,MAX(1,INT(($G483-'Cash Flow'!$E$6)/7)+1),"")</f>
        <v/>
      </c>
      <c r="J483" s="8" t="str">
        <f aca="false">IF($H483=1,$G483*10000+ROW(),"")</f>
        <v/>
      </c>
      <c r="K483" s="8" t="str">
        <f aca="false">IF($H483=1,$I483*1000+COUNTIFS($I$4:$I$483,$I483,$J$4:$J$483,"&lt;"&amp;$J483)+1,"")</f>
        <v/>
      </c>
      <c r="L483" s="121"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2026-08-29T16:23:25Z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