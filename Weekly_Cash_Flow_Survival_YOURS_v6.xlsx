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s" sheetId="1" state="visible" r:id="rId3"/>
    <sheet name="Recurring" sheetId="2" state="visible" r:id="rId4"/>
    <sheet name="Summary" sheetId="3" state="visible" r:id="rId5"/>
    <sheet name="Week Cards" sheetId="4" state="visible" r:id="rId6"/>
    <sheet name="Cash Flow" sheetId="5" state="visible" r:id="rId7"/>
    <sheet name="Paid Log" sheetId="6" state="visible" r:id="rId8"/>
    <sheet name="Overrides" sheetId="7" state="visible" r:id="rId9"/>
    <sheet name="Schedule" sheetId="8" state="visible" r:id="rId10"/>
  </sheets>
  <definedNames>
    <definedName function="false" hidden="false" localSheetId="4" name="_xlnm.Print_Area" vbProcedure="false">'Cash Flow'!$A$1:$N$726</definedName>
    <definedName function="false" hidden="false" localSheetId="0" name="_xlnm.Print_Area" vbProcedure="false">Instructions!$A$1:$C$32</definedName>
    <definedName function="false" hidden="false" localSheetId="6" name="_xlnm.Print_Area" vbProcedure="false">Overrides!$A$1:$F$49</definedName>
    <definedName function="false" hidden="false" localSheetId="5" name="_xlnm.Print_Area" vbProcedure="false">'Paid Log'!$A$1:$F$69</definedName>
    <definedName function="false" hidden="false" localSheetId="1" name="_xlnm.Print_Area" vbProcedure="false">Recurring!$A$1:$K$38</definedName>
    <definedName function="false" hidden="false" localSheetId="1" name="_xlnm.Print_Titles" vbProcedure="false">Recurring!$4:$4</definedName>
    <definedName function="false" hidden="true" localSheetId="1" name="_xlnm._FilterDatabase" vbProcedure="false">Recurring!$A$4:$K$34</definedName>
    <definedName function="false" hidden="false" localSheetId="2" name="_xlnm.Print_Area" vbProcedure="false">Summary!$A$1:$L$50</definedName>
    <definedName function="false" hidden="false" name="BeginningBalance" vbProcedure="false">'Cash Flow'!$E$5</definedName>
    <definedName function="false" hidden="false" name="MinCushion" vbProcedure="false">'Cash Flow'!$E$7</definedName>
    <definedName function="false" hidden="false" name="StartDate" vbProcedure="false">'Cash Flow'!$E$6</definedName>
    <definedName function="false" hidden="false" name="WeeklySpend" vbProcedure="false">'Cash Flow'!$E$8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<sst xmlns="http://schemas.openxmlformats.org/spreadsheetml/2006/main" count="551" uniqueCount="218">
  <si>
    <t xml:space="preserve">WEEKLY CASH FLOW SURVIVAL WORKSHEET</t>
  </si>
  <si>
    <t xml:space="preserve">THE FIVE PLACES YOU TYPE</t>
  </si>
  <si>
    <t xml:space="preserve">Cash Flow, E5–E8</t>
  </si>
  <si>
    <t xml:space="preserve">Recurring</t>
  </si>
  <si>
    <t xml:space="preserve">Every bill and paycheck that repeats. Edit a row, add one in the first empty row, or set Active to No to retire it without losing the record. The Needs Attention column tells you when something is incomplete.</t>
  </si>
  <si>
    <t xml:space="preserve">Cash Flow, week blocks</t>
  </si>
  <si>
    <t xml:space="preserve">The variable-expense rows in each week: description, date, amount. Everything you actually spend goes here.</t>
  </si>
  <si>
    <t xml:space="preserve">Paid Log</t>
  </si>
  <si>
    <t xml:space="preserve">What a scheduled bill or paycheck really came to. Keyed to the transaction, so it stays put however the schedule re-sorts.</t>
  </si>
  <si>
    <t xml:space="preserve">Overrides</t>
  </si>
  <si>
    <t xml:space="preserve">A one-off different date or amount for a single occurrence. Delete the row to go back to normal.</t>
  </si>
  <si>
    <t xml:space="preserve">HOW TO READ IT</t>
  </si>
  <si>
    <t xml:space="preserve">ACTUAL vs FORECAST</t>
  </si>
  <si>
    <t xml:space="preserve">Every transaction row is labelled. ACTUAL has already happened or been logged; FORECAST is still expected.</t>
  </si>
  <si>
    <t xml:space="preserve">Status</t>
  </si>
  <si>
    <t xml:space="preserve">PAID and OK are green. DUE and TIGHT are amber. PAST DUE and SHORTFALL are red. TIGHT means above zero but under your cushion.</t>
  </si>
  <si>
    <t xml:space="preserve">Lowest In Week</t>
  </si>
  <si>
    <t xml:space="preserve">The worst moment inside a week, not just where it ends. A week can close healthy having gone under midweek, so this is what Status is judged on.</t>
  </si>
  <si>
    <t xml:space="preserve">Weekly Surplus</t>
  </si>
  <si>
    <t xml:space="preserve">The week standing alone — money in less all spending, nothing carried in. Carried Forward is shown separately.</t>
  </si>
  <si>
    <t xml:space="preserve">Colours</t>
  </si>
  <si>
    <t xml:space="preserve">Blue text on yellow means you type it. Everything else is calculated.</t>
  </si>
  <si>
    <t xml:space="preserve">RULES WORTH KNOWING</t>
  </si>
  <si>
    <t xml:space="preserve">Next Due Date</t>
  </si>
  <si>
    <t xml:space="preserve">The next occurrence you have NOT paid. A date in the past is fine — it shows in the first period as PAST DUE. Only move it forward once the money has actually moved.</t>
  </si>
  <si>
    <t xml:space="preserve">Dates</t>
  </si>
  <si>
    <t xml:space="preserve">Type 8/21/2026, not 821. A bare 821 is the number 821, which Excel reads as a date in 1902 and the row disappears. The Needs Attention column catches this.</t>
  </si>
  <si>
    <t xml:space="preserve">Start date</t>
  </si>
  <si>
    <t xml:space="preserve">Everyday spending</t>
  </si>
  <si>
    <t xml:space="preserve">Weeks with nothing logged are topped up to your expected weekly figure, so an untouched future week is never forecast at zero. Log more than it and the top-up falls away.</t>
  </si>
  <si>
    <t xml:space="preserve">Schedule tab</t>
  </si>
  <si>
    <t xml:space="preserve">The engine that turns recurring rules into dated occurrences. Safe to look at, protected against typing.</t>
  </si>
  <si>
    <t xml:space="preserve">ASSUMPTIONS ON RECORD</t>
  </si>
  <si>
    <t xml:space="preserve">•</t>
  </si>
  <si>
    <t xml:space="preserve">Recurring items were transcribed from the user's budget-app screenshots, August 2026. Nothing was invented.</t>
  </si>
  <si>
    <t xml:space="preserve">Amounts are positive numbers; the Type column decides the direction.</t>
  </si>
  <si>
    <t xml:space="preserve">Microsoft is active with no amount. It is flagged rather than guessed — put the real figure on the Recurring tab.</t>
  </si>
  <si>
    <t xml:space="preserve">The Central Maine Power payment plan is billed on the CMP statement, not paid separately, so it is set to Active = No. The September bill of $183.69 already includes the $65 installment. The $163.50 base was itself a full bill under the older $43.87 installment, so October and November may run about $20 light until each real bill arrives.</t>
  </si>
  <si>
    <t xml:space="preserve">RECURRING TRANSACTIONS</t>
  </si>
  <si>
    <t xml:space="preserve">Edit any row, or add a new one in the first empty row. Blue cells are yours to type in; the Cash Flow tab updates itself.</t>
  </si>
  <si>
    <t xml:space="preserve">ID</t>
  </si>
  <si>
    <t xml:space="preserve">Description</t>
  </si>
  <si>
    <t xml:space="preserve">Type</t>
  </si>
  <si>
    <t xml:space="preserve">Amount</t>
  </si>
  <si>
    <t xml:space="preserve">Frequency</t>
  </si>
  <si>
    <t xml:space="preserve">Weekend Rule</t>
  </si>
  <si>
    <t xml:space="preserve">Active</t>
  </si>
  <si>
    <t xml:space="preserve">Category</t>
  </si>
  <si>
    <t xml:space="preserve">Notes</t>
  </si>
  <si>
    <t xml:space="preserve">Needs Attention</t>
  </si>
  <si>
    <t xml:space="preserve">Bruno's Restaurant (paycheck)</t>
  </si>
  <si>
    <t xml:space="preserve">Income</t>
  </si>
  <si>
    <t xml:space="preserve">Weekly</t>
  </si>
  <si>
    <t xml:space="preserve">None</t>
  </si>
  <si>
    <t xml:space="preserve">Yes</t>
  </si>
  <si>
    <t xml:space="preserve">Wages</t>
  </si>
  <si>
    <t xml:space="preserve">Compunnel Software (paycheck)</t>
  </si>
  <si>
    <t xml:space="preserve">Apple: Claude</t>
  </si>
  <si>
    <t xml:space="preserve">Expense</t>
  </si>
  <si>
    <t xml:space="preserve">Monthly</t>
  </si>
  <si>
    <t xml:space="preserve">Subscriptions</t>
  </si>
  <si>
    <t xml:space="preserve">OpenAI</t>
  </si>
  <si>
    <t xml:space="preserve">Obsidian</t>
  </si>
  <si>
    <t xml:space="preserve">Google One</t>
  </si>
  <si>
    <t xml:space="preserve">Upstart (loan)</t>
  </si>
  <si>
    <t xml:space="preserve">Debt</t>
  </si>
  <si>
    <t xml:space="preserve">Central Maine Power Co.</t>
  </si>
  <si>
    <t xml:space="preserve">Utilities</t>
  </si>
  <si>
    <t xml:space="preserve">Apple: iCloud</t>
  </si>
  <si>
    <t xml:space="preserve">Patrick Rombalski (rent)</t>
  </si>
  <si>
    <t xml:space="preserve">Twice a Month</t>
  </si>
  <si>
    <t xml:space="preserve">Move Before</t>
  </si>
  <si>
    <t xml:space="preserve">Housing</t>
  </si>
  <si>
    <t xml:space="preserve">Spectrum</t>
  </si>
  <si>
    <t xml:space="preserve">Maine Revenue Services</t>
  </si>
  <si>
    <t xml:space="preserve">Taxes</t>
  </si>
  <si>
    <t xml:space="preserve">Metal Copy</t>
  </si>
  <si>
    <t xml:space="preserve">No</t>
  </si>
  <si>
    <t xml:space="preserve">Cancelled Aug 2026</t>
  </si>
  <si>
    <t xml:space="preserve">Microsoft</t>
  </si>
  <si>
    <t xml:space="preserve">Central Maine Power: Payment Plan</t>
  </si>
  <si>
    <t xml:space="preserve">Billed on the CMP statement, not paid separately - folded into Central Maine Power Co.</t>
  </si>
  <si>
    <t xml:space="preserve">Maine Revenue Services (2)</t>
  </si>
  <si>
    <t xml:space="preserve">Progressive Insurance</t>
  </si>
  <si>
    <t xml:space="preserve">Insurance</t>
  </si>
  <si>
    <t xml:space="preserve">School clothes (back to school)</t>
  </si>
  <si>
    <t xml:space="preserve">One Time</t>
  </si>
  <si>
    <t xml:space="preserve">Shopping</t>
  </si>
  <si>
    <t xml:space="preserve">One-off, paid today</t>
  </si>
  <si>
    <t xml:space="preserve">Next Due Date = the next occurrence you have NOT paid yet. A date already in the past is fine — it appears in Week 1 marked PAST DUE and stays there until you deal with it. Only move a date forward once the money has actually moved. Set Active to No to park a transaction without deleting it.</t>
  </si>
  <si>
    <t xml:space="preserve">Weekend Rule shifts a due date that lands on a Saturday or Sunday: Move Before = the Friday, Move After = the Monday, None = leave it alone.</t>
  </si>
  <si>
    <t xml:space="preserve">Source: transcribed from the user's budget-app Recurring screenshots, August 2026.</t>
  </si>
  <si>
    <t xml:space="preserve">13-WEEK SURVIVAL SUMMARY</t>
  </si>
  <si>
    <t xml:space="preserve">Every figure here is pulled live from the Cash Flow tab.</t>
  </si>
  <si>
    <t xml:space="preserve">AT A GLANCE</t>
  </si>
  <si>
    <t xml:space="preserve">Cash available now</t>
  </si>
  <si>
    <t xml:space="preserve">Minimum cash cushion</t>
  </si>
  <si>
    <t xml:space="preserve">Lowest before then</t>
  </si>
  <si>
    <t xml:space="preserve">Short of cushion by</t>
  </si>
  <si>
    <t xml:space="preserve">Lowest in projection</t>
  </si>
  <si>
    <t xml:space="preserve">Periods going negative</t>
  </si>
  <si>
    <t xml:space="preserve">Ending balance</t>
  </si>
  <si>
    <t xml:space="preserve">Next major bill</t>
  </si>
  <si>
    <t xml:space="preserve">Next money in</t>
  </si>
  <si>
    <t xml:space="preserve">Needs attention</t>
  </si>
  <si>
    <t xml:space="preserve">Cash available now is the beginning balance plus every transaction dated today or earlier. Lowest before then is the worst point between now and the next money in. Everyday Spending includes the top-up for weeks not yet logged.</t>
  </si>
  <si>
    <t xml:space="preserve">Week</t>
  </si>
  <si>
    <t xml:space="preserve">Week Beginning</t>
  </si>
  <si>
    <t xml:space="preserve">Money In</t>
  </si>
  <si>
    <t xml:space="preserve">Recurring Bills</t>
  </si>
  <si>
    <t xml:space="preserve">Everyday Spending</t>
  </si>
  <si>
    <t xml:space="preserve">Carried Forward</t>
  </si>
  <si>
    <t xml:space="preserve">Left at Week End</t>
  </si>
  <si>
    <t xml:space="preserve">On</t>
  </si>
  <si>
    <t xml:space="preserve">shortfall key</t>
  </si>
  <si>
    <t xml:space="preserve">Zero</t>
  </si>
  <si>
    <t xml:space="preserve">Cushion</t>
  </si>
  <si>
    <t xml:space="preserve">TOTAL</t>
  </si>
  <si>
    <t xml:space="preserve">Weekly Surplus is the week standing on its own — money in less both kinds of spending, with nothing carried in. Carried Forward is what last week left you. Add the two and you get Left at Week End. A week can close on a healthy figure while its own surplus is negative, which is why they are separate. Lowest In Week is the worst moment inside the week, and Status is judged on that rather than on the closing figure. Everyday Spending includes the top-up to your expected weekly figure for any week you have not logged yet, so untouched weeks are not forecast at zero.</t>
  </si>
  <si>
    <t xml:space="preserve">THE WEEKS AHEAD</t>
  </si>
  <si>
    <t xml:space="preserve">Red banner: the week dips below zero. Amber: it stays up but lands under your cushion.</t>
  </si>
  <si>
    <t xml:space="preserve">Nothing here is typed in. Edit elsewhere and these follow.</t>
  </si>
  <si>
    <t xml:space="preserve">Starts with</t>
  </si>
  <si>
    <t xml:space="preserve">SCHEDULED THIS WEEK</t>
  </si>
  <si>
    <t xml:space="preserve">Money in</t>
  </si>
  <si>
    <t xml:space="preserve">Bills</t>
  </si>
  <si>
    <t xml:space="preserve">Lowest point</t>
  </si>
  <si>
    <t xml:space="preserve">ENDS WITH</t>
  </si>
  <si>
    <t xml:space="preserve">Beginning balance -&gt; every scheduled transaction -&gt; what you actually paid -&gt; where you stand at the end of each week.</t>
  </si>
  <si>
    <t xml:space="preserve">STEP 1 — SET YOUR STARTING POINT (type in the yellow cells)</t>
  </si>
  <si>
    <t xml:space="preserve">Beginning Balance  (cash on hand at the start date)</t>
  </si>
  <si>
    <t xml:space="preserve">Cash Flow Start Date  (use a Friday — weeks run Fri to Thu)</t>
  </si>
  <si>
    <t xml:space="preserve">Minimum Cash Cushion  (warn me below this)</t>
  </si>
  <si>
    <t xml:space="preserve">Expected everyday spending, per week</t>
  </si>
  <si>
    <t xml:space="preserve">Groceries, gas, coffee — what a normal week costs you. Each week is topped up to this until you log more than it.</t>
  </si>
  <si>
    <t xml:space="preserve">Today</t>
  </si>
  <si>
    <t xml:space="preserve">This sheet projects 13 weeks from the start date. Week 1 begins on the start date.</t>
  </si>
  <si>
    <t xml:space="preserve">Money coming in and money going out sit in separate columns and are never added together.  A yellow 'Amount Paid' cell means that transaction is due or overdue and still unrecorded.  The green transaction cells are safe to type straight over when a date or amount is wrong — the balances keep working.  See the Instructions tab.</t>
  </si>
  <si>
    <t xml:space="preserve">Blue text on yellow = you type it   ·   ACTUAL = already happened   ·   FORECAST = still expected   ·   everything else is calculated</t>
  </si>
  <si>
    <t xml:space="preserve">Starting balance:</t>
  </si>
  <si>
    <t xml:space="preserve">Recurring Transaction</t>
  </si>
  <si>
    <t xml:space="preserve">Scheduled Date</t>
  </si>
  <si>
    <t xml:space="preserve">Scheduled Amount</t>
  </si>
  <si>
    <t xml:space="preserve">Amount Paid / Received</t>
  </si>
  <si>
    <t xml:space="preserve">MONEY IN</t>
  </si>
  <si>
    <t xml:space="preserve">MONEY OUT</t>
  </si>
  <si>
    <t xml:space="preserve">Running Balance</t>
  </si>
  <si>
    <t xml:space="preserve">Actual / Forecast</t>
  </si>
  <si>
    <t xml:space="preserve">WEEKLY VARIABLE EXPENSES — type a description, THE DATE, and the amount (groceries, gas, eating out, anything)</t>
  </si>
  <si>
    <t xml:space="preserve">Coff.ee</t>
  </si>
  <si>
    <t xml:space="preserve">Cumberland Farms (2 charges)</t>
  </si>
  <si>
    <t xml:space="preserve">Hannaford</t>
  </si>
  <si>
    <t xml:space="preserve">Subway</t>
  </si>
  <si>
    <t xml:space="preserve">Circle K</t>
  </si>
  <si>
    <t xml:space="preserve">Telegram</t>
  </si>
  <si>
    <t xml:space="preserve">First Stop Convenience</t>
  </si>
  <si>
    <t xml:space="preserve">Cumberland Farms </t>
  </si>
  <si>
    <t xml:space="preserve">Dollar tree</t>
  </si>
  <si>
    <t xml:space="preserve">Wendy's</t>
  </si>
  <si>
    <t xml:space="preserve">7-Eleven</t>
  </si>
  <si>
    <t xml:space="preserve">Eneba Order O Yw6yuyo</t>
  </si>
  <si>
    <t xml:space="preserve">Hannaford Supermarket (2 charges)</t>
  </si>
  <si>
    <t xml:space="preserve">Idexx Cafe (2 charges)</t>
  </si>
  <si>
    <t xml:space="preserve">Kalshi</t>
  </si>
  <si>
    <t xml:space="preserve">Shell (2 charges)</t>
  </si>
  <si>
    <t xml:space="preserve">Cash withdrawal at 5 Blue Ledge Rd</t>
  </si>
  <si>
    <t xml:space="preserve">Circle K Gas Station</t>
  </si>
  <si>
    <t xml:space="preserve">Earnin Eh</t>
  </si>
  <si>
    <t xml:space="preserve">WEEK 1 TOTALS</t>
  </si>
  <si>
    <t xml:space="preserve">Buxton Mini Mart</t>
  </si>
  <si>
    <t xml:space="preserve">WEEK 2 TOTALS</t>
  </si>
  <si>
    <t xml:space="preserve">WEEK 3 TOTALS</t>
  </si>
  <si>
    <t xml:space="preserve">WEEK 4 TOTALS</t>
  </si>
  <si>
    <t xml:space="preserve">WEEK 5 TOTALS</t>
  </si>
  <si>
    <t xml:space="preserve">WEEK 6 TOTALS</t>
  </si>
  <si>
    <t xml:space="preserve">WEEK 7 TOTALS</t>
  </si>
  <si>
    <t xml:space="preserve">WEEK 8 TOTALS</t>
  </si>
  <si>
    <t xml:space="preserve">WEEK 9 TOTALS</t>
  </si>
  <si>
    <t xml:space="preserve">WEEK 10 TOTALS</t>
  </si>
  <si>
    <t xml:space="preserve">WEEK 11 TOTALS</t>
  </si>
  <si>
    <t xml:space="preserve">WEEK 12 TOTALS</t>
  </si>
  <si>
    <t xml:space="preserve">WEEK 13 TOTALS</t>
  </si>
  <si>
    <t xml:space="preserve">PAID LOG</t>
  </si>
  <si>
    <t xml:space="preserve">What a scheduled bill or paycheck actually came to.</t>
  </si>
  <si>
    <t xml:space="preserve">Typing into Amount Paid on the Cash Flow tab writes to a fixed cell, and which transaction sits in that cell depends on the order of the week. Change a due date and the rows reshuffle while the typed figure stays put — it ends up against the wrong bill.</t>
  </si>
  <si>
    <t xml:space="preserve">An entry here is tied to the transaction instead, so it stays correct however the weeks reorder. Match the Description exactly as it reads on the Cash Flow tab and use that row's scheduled date.</t>
  </si>
  <si>
    <t xml:space="preserve">The importer writes here too. An amount typed straight into Amount Paid still wins over this log, so clear that cell if you want the log to take over.</t>
  </si>
  <si>
    <t xml:space="preserve">This pairing of description and scheduled date is what the Cash Flow looks up, so a logged payment stays with its own transaction however the schedule is re-sorted.</t>
  </si>
  <si>
    <t xml:space="preserve">Actual Amount</t>
  </si>
  <si>
    <t xml:space="preserve">Note</t>
  </si>
  <si>
    <t xml:space="preserve">Match Key</t>
  </si>
  <si>
    <t xml:space="preserve">Posted Aug 17 as Bureau of Tax</t>
  </si>
  <si>
    <t xml:space="preserve">Actual paycheck, entered Aug 19</t>
  </si>
  <si>
    <t xml:space="preserve">PAYROLL 1019275906        73 on Aug 20</t>
  </si>
  <si>
    <t xml:space="preserve">Covered by someone else this month — nothing left the account</t>
  </si>
  <si>
    <t xml:space="preserve">OVERRIDES</t>
  </si>
  <si>
    <t xml:space="preserve">Change one occurrence without touching the recurring schedule.</t>
  </si>
  <si>
    <t xml:space="preserve">Name the transaction exactly as it reads on the Cash Flow tab and give the date it is currently scheduled for. Fill in a new date, a new amount, or both.</t>
  </si>
  <si>
    <t xml:space="preserve">Leave a field blank and that part is not overridden. Delete the row and the transaction goes straight back to its normal schedule — nothing else to undo.</t>
  </si>
  <si>
    <t xml:space="preserve">This is for a one-off change. To move a bill permanently, edit its Next Due Date on the Recurring tab instead.</t>
  </si>
  <si>
    <t xml:space="preserve">Transaction</t>
  </si>
  <si>
    <t xml:space="preserve">Use This Date Instead</t>
  </si>
  <si>
    <t xml:space="preserve">Use This Amount</t>
  </si>
  <si>
    <t xml:space="preserve">Why</t>
  </si>
  <si>
    <t xml:space="preserve">Recorded amount as billed on statement</t>
  </si>
  <si>
    <t xml:space="preserve">SCHEDULE ENGINE — DO NOT TYPE IN THIS TAB</t>
  </si>
  <si>
    <t xml:space="preserve">Expands each recurring rule into dated occurrences and ranks them within each week. The Cash Flow tab reads the Key column.</t>
  </si>
  <si>
    <t xml:space="preserve">Item #</t>
  </si>
  <si>
    <t xml:space="preserve">Occ #</t>
  </si>
  <si>
    <t xml:space="preserve">Raw Date</t>
  </si>
  <si>
    <t xml:space="preserve">Due Date</t>
  </si>
  <si>
    <t xml:space="preserve">In Range</t>
  </si>
  <si>
    <t xml:space="preserve">Week #</t>
  </si>
  <si>
    <t xml:space="preserve">Sort Key</t>
  </si>
  <si>
    <t xml:space="preserve">Key</t>
  </si>
  <si>
    <t xml:space="preserve">Base Date</t>
  </si>
  <si>
    <t xml:space="preserve">Big Bill Key</t>
  </si>
  <si>
    <t xml:space="preserve">Income Key</t>
  </si>
</sst>
</file>

<file path=xl/styles.xml><?xml version="1.0" encoding="utf-8"?>
<styleSheet xmlns="http://schemas.openxmlformats.org/spreadsheetml/2006/main">
  <numFmts count="12">
    <numFmt numFmtId="164" formatCode="General"/>
    <numFmt numFmtId="165" formatCode="General"/>
    <numFmt numFmtId="166" formatCode="\$#,##0.00;&quot;($&quot;#,##0.00\);\–"/>
    <numFmt numFmtId="167" formatCode="ddd\ mmm\ d&quot;, &quot;yyyy"/>
    <numFmt numFmtId="168" formatCode="\$#,##0.00"/>
    <numFmt numFmtId="169" formatCode="ddd\ mmm\ d&quot;, &quot;yyyy"/>
    <numFmt numFmtId="170" formatCode="\$#,##0.00;[RED]&quot;($&quot;#,##0.00\);\–"/>
    <numFmt numFmtId="171" formatCode="ddd\ mm/dd"/>
    <numFmt numFmtId="172" formatCode="\$#,##0"/>
    <numFmt numFmtId="173" formatCode="\$#,##0.00;&quot;($&quot;#,##0.00\);\-"/>
    <numFmt numFmtId="174" formatCode="ddd\ m/d"/>
    <numFmt numFmtId="175" formatCode="\$#,##0.00;&quot;($&quot;#,##0.00\);\$0.00"/>
  </numFmts>
  <fonts count="3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1F3864"/>
      <name val="Arial"/>
      <family val="0"/>
      <charset val="1"/>
    </font>
    <font>
      <b val="true"/>
      <sz val="10"/>
      <color rgb="FF000000"/>
      <name val="Arial"/>
      <family val="0"/>
      <charset val="1"/>
    </font>
    <font>
      <sz val="10"/>
      <color rgb="FF000000"/>
      <name val="Arial"/>
      <family val="0"/>
      <charset val="1"/>
    </font>
    <font>
      <sz val="10"/>
      <color rgb="FF008000"/>
      <name val="Arial"/>
      <family val="0"/>
      <charset val="1"/>
    </font>
    <font>
      <i val="true"/>
      <sz val="9"/>
      <color rgb="FF595959"/>
      <name val="Arial"/>
      <family val="0"/>
      <charset val="1"/>
    </font>
    <font>
      <b val="true"/>
      <sz val="11"/>
      <color rgb="FFFFFFFF"/>
      <name val="Arial"/>
      <family val="0"/>
      <charset val="1"/>
    </font>
    <font>
      <sz val="10"/>
      <color rgb="FF0000FF"/>
      <name val="Arial"/>
      <family val="0"/>
      <charset val="1"/>
    </font>
    <font>
      <b val="true"/>
      <sz val="9"/>
      <color rgb="FF9C0006"/>
      <name val="Arial"/>
      <family val="0"/>
      <charset val="1"/>
    </font>
    <font>
      <b val="true"/>
      <sz val="9"/>
      <color rgb="FF595959"/>
      <name val="Arial"/>
      <family val="0"/>
      <charset val="1"/>
    </font>
    <font>
      <b val="true"/>
      <sz val="13"/>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1F3864"/>
      <name val="Aptos Narrow"/>
      <family val="0"/>
      <charset val="1"/>
    </font>
    <font>
      <i val="true"/>
      <sz val="10"/>
      <color rgb="FF595959"/>
      <name val="Aptos Narrow"/>
      <family val="0"/>
      <charset val="1"/>
    </font>
    <font>
      <i val="true"/>
      <sz val="9"/>
      <color rgb="FF595959"/>
      <name val="Aptos Narrow"/>
      <family val="0"/>
      <charset val="1"/>
    </font>
    <font>
      <b val="true"/>
      <sz val="11"/>
      <color rgb="FFFFFFFF"/>
      <name val="Aptos Narrow"/>
      <family val="0"/>
      <charset val="1"/>
    </font>
    <font>
      <sz val="10"/>
      <color rgb="FF595959"/>
      <name val="Aptos Narrow"/>
      <family val="0"/>
      <charset val="1"/>
    </font>
    <font>
      <sz val="10"/>
      <color rgb="FF000000"/>
      <name val="Aptos Narrow"/>
      <family val="0"/>
      <charset val="1"/>
    </font>
    <font>
      <sz val="9"/>
      <color rgb="FF595959"/>
      <name val="Aptos Narrow"/>
      <family val="0"/>
      <charset val="1"/>
    </font>
    <font>
      <b val="true"/>
      <sz val="10"/>
      <color rgb="FF006100"/>
      <name val="Aptos Narrow"/>
      <family val="0"/>
      <charset val="1"/>
    </font>
    <font>
      <sz val="10"/>
      <color rgb="FF9C0006"/>
      <name val="Aptos Narrow"/>
      <family val="0"/>
      <charset val="1"/>
    </font>
    <font>
      <b val="true"/>
      <sz val="10"/>
      <color rgb="FF000000"/>
      <name val="Aptos Narrow"/>
      <family val="0"/>
      <charset val="1"/>
    </font>
    <font>
      <b val="true"/>
      <sz val="12"/>
      <color rgb="FFFFFFFF"/>
      <name val="Aptos Narrow"/>
      <family val="0"/>
      <charset val="1"/>
    </font>
    <font>
      <b val="true"/>
      <sz val="9"/>
      <color rgb="FFC00000"/>
      <name val="Arial"/>
      <family val="0"/>
      <charset val="1"/>
    </font>
    <font>
      <b val="true"/>
      <sz val="10"/>
      <color rgb="FF006100"/>
      <name val="Arial"/>
      <family val="0"/>
      <charset val="1"/>
    </font>
    <font>
      <sz val="10"/>
      <color rgb="FF9C0006"/>
      <name val="Arial"/>
      <family val="0"/>
      <charset val="1"/>
    </font>
    <font>
      <b val="true"/>
      <sz val="9"/>
      <name val="Arial"/>
      <family val="0"/>
      <charset val="1"/>
    </font>
    <font>
      <b val="true"/>
      <sz val="9"/>
      <color rgb="FF1F3864"/>
      <name val="Arial"/>
      <family val="0"/>
      <charset val="1"/>
    </font>
    <font>
      <b val="true"/>
      <sz val="14"/>
      <color rgb="FFC00000"/>
      <name val="Arial"/>
      <family val="0"/>
      <charset val="1"/>
    </font>
  </fonts>
  <fills count="11">
    <fill>
      <patternFill patternType="none"/>
    </fill>
    <fill>
      <patternFill patternType="gray125"/>
    </fill>
    <fill>
      <patternFill patternType="solid">
        <fgColor rgb="FF1F3864"/>
        <bgColor rgb="FF1F4E78"/>
      </patternFill>
    </fill>
    <fill>
      <patternFill patternType="solid">
        <fgColor rgb="FFF2F2F2"/>
        <bgColor rgb="FFF2F6FB"/>
      </patternFill>
    </fill>
    <fill>
      <patternFill patternType="solid">
        <fgColor rgb="FFF2F6FB"/>
        <bgColor rgb="FFF2F2F2"/>
      </patternFill>
    </fill>
    <fill>
      <patternFill patternType="solid">
        <fgColor rgb="FFC6E0B4"/>
        <bgColor rgb="FFC6EFCE"/>
      </patternFill>
    </fill>
    <fill>
      <patternFill patternType="solid">
        <fgColor rgb="FFF8CBAD"/>
        <bgColor rgb="FFFFC7CE"/>
      </patternFill>
    </fill>
    <fill>
      <patternFill patternType="solid">
        <fgColor rgb="FFE2EFDA"/>
        <bgColor rgb="FFEDEDED"/>
      </patternFill>
    </fill>
    <fill>
      <patternFill patternType="solid">
        <fgColor rgb="FF2E75B6"/>
        <bgColor rgb="FF0066CC"/>
      </patternFill>
    </fill>
    <fill>
      <patternFill patternType="solid">
        <fgColor rgb="FFFFFF00"/>
        <bgColor rgb="FFFFEB9C"/>
      </patternFill>
    </fill>
    <fill>
      <patternFill patternType="solid">
        <fgColor rgb="FFD9E2F3"/>
        <bgColor rgb="FFDDEBF7"/>
      </patternFill>
    </fill>
  </fills>
  <borders count="10">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AEAEAE"/>
      </left>
      <right style="thin">
        <color rgb="FFAEAEAE"/>
      </right>
      <top style="thin">
        <color rgb="FFAEAEAE"/>
      </top>
      <bottom/>
      <diagonal/>
    </border>
    <border diagonalUp="false" diagonalDown="false">
      <left style="thin">
        <color rgb="FFAEAEAE"/>
      </left>
      <right/>
      <top/>
      <bottom/>
      <diagonal/>
    </border>
    <border diagonalUp="false" diagonalDown="false">
      <left/>
      <right style="thin">
        <color rgb="FFAEAEAE"/>
      </right>
      <top/>
      <bottom/>
      <diagonal/>
    </border>
    <border diagonalUp="false" diagonalDown="false">
      <left style="thin">
        <color rgb="FFAEAEAE"/>
      </left>
      <right/>
      <top style="thin">
        <color rgb="FFD0D0D0"/>
      </top>
      <bottom/>
      <diagonal/>
    </border>
    <border diagonalUp="false" diagonalDown="false">
      <left/>
      <right/>
      <top style="thin">
        <color rgb="FFD0D0D0"/>
      </top>
      <bottom/>
      <diagonal/>
    </border>
    <border diagonalUp="false" diagonalDown="false">
      <left/>
      <right style="thin">
        <color rgb="FFAEAEAE"/>
      </right>
      <top style="thin">
        <color rgb="FFD0D0D0"/>
      </top>
      <bottom/>
      <diagonal/>
    </border>
    <border diagonalUp="false" diagonalDown="false">
      <left style="thin">
        <color rgb="FFAEAEAE"/>
      </left>
      <right style="thin">
        <color rgb="FFAEAEAE"/>
      </right>
      <top/>
      <bottom style="thin">
        <color rgb="FFAEAEAE"/>
      </bottom>
      <diagonal/>
    </border>
    <border diagonalUp="false" diagonalDown="false">
      <left style="thin">
        <color rgb="FFBFBFBF"/>
      </left>
      <right style="thin">
        <color rgb="FFBFBFBF"/>
      </right>
      <top style="medium">
        <color rgb="FF1F3864"/>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8"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false" applyProtection="true">
      <alignment horizontal="general" vertical="bottom" textRotation="0" wrapText="false" indent="0" shrinkToFit="false"/>
      <protection locked="false" hidden="false"/>
    </xf>
    <xf numFmtId="164" fontId="12" fillId="0" borderId="1" xfId="0" applyFont="true" applyBorder="true" applyAlignment="true" applyProtection="true">
      <alignment horizontal="center" vertical="center" textRotation="0" wrapText="false" indent="0" shrinkToFit="false"/>
      <protection locked="false" hidden="false"/>
    </xf>
    <xf numFmtId="166" fontId="12" fillId="0" borderId="1" xfId="0" applyFont="true" applyBorder="true" applyAlignment="false" applyProtection="true">
      <alignment horizontal="general" vertical="bottom" textRotation="0" wrapText="false" indent="0" shrinkToFit="false"/>
      <protection locked="false" hidden="false"/>
    </xf>
    <xf numFmtId="167" fontId="12" fillId="0" borderId="1" xfId="0" applyFont="true" applyBorder="true" applyAlignment="true" applyProtection="true">
      <alignment horizontal="center" vertical="center" textRotation="0" wrapText="false" indent="0" shrinkToFit="false"/>
      <protection locked="fals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false" applyProtection="true">
      <alignment horizontal="general" vertical="bottom" textRotation="0" wrapText="false" indent="0" shrinkToFit="false"/>
      <protection locked="false" hidden="false"/>
    </xf>
    <xf numFmtId="164" fontId="12" fillId="3" borderId="1" xfId="0" applyFont="true" applyBorder="true" applyAlignment="true" applyProtection="true">
      <alignment horizontal="center" vertical="center" textRotation="0" wrapText="false" indent="0" shrinkToFit="false"/>
      <protection locked="false" hidden="false"/>
    </xf>
    <xf numFmtId="166" fontId="12" fillId="3" borderId="1" xfId="0" applyFont="true" applyBorder="true" applyAlignment="false" applyProtection="true">
      <alignment horizontal="general" vertical="bottom" textRotation="0" wrapText="false" indent="0" shrinkToFit="false"/>
      <protection locked="false" hidden="false"/>
    </xf>
    <xf numFmtId="167" fontId="12" fillId="3" borderId="1" xfId="0" applyFont="true" applyBorder="true" applyAlignment="true" applyProtection="true">
      <alignment horizontal="center" vertical="center" textRotation="0" wrapText="false" indent="0" shrinkToFit="false"/>
      <protection locked="fals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true">
      <alignment horizontal="general" vertical="bottom" textRotation="0" wrapText="false" indent="0" shrinkToFit="false"/>
      <protection locked="false" hidden="false"/>
    </xf>
    <xf numFmtId="169" fontId="12" fillId="0" borderId="1" xfId="0" applyFont="true" applyBorder="true" applyAlignment="true" applyProtection="true">
      <alignment horizontal="center" vertical="center" textRotation="0" wrapText="false" indent="0" shrinkToFit="false"/>
      <protection locked="fals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left" vertical="center" textRotation="0" wrapText="false" indent="0" shrinkToFit="false"/>
      <protection locked="true" hidden="false"/>
    </xf>
    <xf numFmtId="170" fontId="15" fillId="4" borderId="1" xfId="0" applyFont="true" applyBorder="true" applyAlignment="true" applyProtection="false">
      <alignment horizontal="center" vertical="center" textRotation="0" wrapText="false" indent="0" shrinkToFit="false"/>
      <protection locked="true" hidden="false"/>
    </xf>
    <xf numFmtId="166" fontId="15"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true"/>
      <protection locked="true" hidden="false"/>
    </xf>
    <xf numFmtId="165" fontId="7" fillId="4" borderId="1" xfId="0" applyFont="true" applyBorder="true" applyAlignment="true" applyProtection="false">
      <alignment horizontal="left" vertical="center"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0" fontId="7" fillId="7"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6" fontId="7" fillId="7"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22" fillId="8" borderId="2" xfId="0" applyFont="true" applyBorder="true" applyAlignment="true" applyProtection="false">
      <alignment horizontal="left" vertical="center" textRotation="0" wrapText="false" indent="0" shrinkToFit="false"/>
      <protection locked="true" hidden="false"/>
    </xf>
    <xf numFmtId="164" fontId="23"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3" fontId="24" fillId="0" borderId="4" xfId="0" applyFont="true" applyBorder="true" applyAlignment="true" applyProtection="false">
      <alignment horizontal="right" vertical="bottom" textRotation="0" wrapText="false" indent="0" shrinkToFit="false"/>
      <protection locked="true" hidden="false"/>
    </xf>
    <xf numFmtId="164" fontId="25"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74" fontId="25" fillId="0" borderId="3" xfId="0" applyFont="true" applyBorder="true" applyAlignment="false" applyProtection="false">
      <alignment horizontal="general" vertical="bottom" textRotation="0" wrapText="false" indent="0" shrinkToFit="false"/>
      <protection locked="true" hidden="false"/>
    </xf>
    <xf numFmtId="165" fontId="24" fillId="0" borderId="0" xfId="0" applyFont="true" applyBorder="true" applyAlignment="true" applyProtection="false">
      <alignment horizontal="left" vertical="bottom" textRotation="0" wrapText="false" indent="0" shrinkToFit="false"/>
      <protection locked="true" hidden="false"/>
    </xf>
    <xf numFmtId="175" fontId="24" fillId="0" borderId="4" xfId="0" applyFont="true" applyBorder="true" applyAlignment="true" applyProtection="false">
      <alignment horizontal="right" vertical="bottom" textRotation="0" wrapText="false" indent="0" shrinkToFit="false"/>
      <protection locked="true" hidden="false"/>
    </xf>
    <xf numFmtId="164" fontId="23" fillId="0" borderId="5" xfId="0" applyFont="true" applyBorder="true" applyAlignment="false" applyProtection="false">
      <alignment horizontal="general" vertical="bottom" textRotation="0" wrapText="false" indent="0" shrinkToFit="false"/>
      <protection locked="true" hidden="false"/>
    </xf>
    <xf numFmtId="173" fontId="26" fillId="0" borderId="7" xfId="0" applyFont="true" applyBorder="true" applyAlignment="true" applyProtection="false">
      <alignment horizontal="right" vertical="bottom" textRotation="0" wrapText="false" indent="0" shrinkToFit="false"/>
      <protection locked="true" hidden="false"/>
    </xf>
    <xf numFmtId="173" fontId="27" fillId="0" borderId="4" xfId="0" applyFont="true" applyBorder="true" applyAlignment="true" applyProtection="false">
      <alignment horizontal="right" vertical="bottom" textRotation="0" wrapText="false" indent="0" shrinkToFit="false"/>
      <protection locked="true" hidden="false"/>
    </xf>
    <xf numFmtId="164" fontId="25" fillId="0" borderId="0" xfId="0" applyFont="true" applyBorder="true" applyAlignment="true" applyProtection="false">
      <alignment horizontal="right" vertical="bottom" textRotation="0" wrapText="false" indent="0" shrinkToFit="false"/>
      <protection locked="true" hidden="false"/>
    </xf>
    <xf numFmtId="173" fontId="28" fillId="0" borderId="4" xfId="0" applyFont="true" applyBorder="true" applyAlignment="true" applyProtection="false">
      <alignment horizontal="right" vertical="bottom" textRotation="0" wrapText="false" indent="0" shrinkToFit="false"/>
      <protection locked="true" hidden="false"/>
    </xf>
    <xf numFmtId="164" fontId="29" fillId="8" borderId="3" xfId="0" applyFont="true" applyBorder="true" applyAlignment="true" applyProtection="false">
      <alignment horizontal="left" vertical="center" textRotation="0" wrapText="false" indent="0" shrinkToFit="false"/>
      <protection locked="true" hidden="false"/>
    </xf>
    <xf numFmtId="173" fontId="29" fillId="0" borderId="4" xfId="0" applyFont="true" applyBorder="true" applyAlignment="true" applyProtection="false">
      <alignment horizontal="right" vertical="center" textRotation="0" wrapText="false" indent="0" shrinkToFit="false"/>
      <protection locked="true" hidden="false"/>
    </xf>
    <xf numFmtId="164" fontId="25" fillId="0" borderId="8" xfId="0" applyFont="true" applyBorder="true" applyAlignment="true" applyProtection="false">
      <alignment horizontal="center" vertical="bottom" textRotation="0" wrapText="false" indent="0" shrinkToFit="false"/>
      <protection locked="true" hidden="false"/>
    </xf>
    <xf numFmtId="166" fontId="12" fillId="9" borderId="1" xfId="0" applyFont="true" applyBorder="true" applyAlignment="true" applyProtection="true">
      <alignment horizontal="center" vertical="center" textRotation="0" wrapText="false" indent="0" shrinkToFit="false"/>
      <protection locked="false" hidden="false"/>
    </xf>
    <xf numFmtId="167" fontId="12" fillId="9" borderId="1" xfId="0" applyFont="true" applyBorder="true" applyAlignment="true" applyProtection="true">
      <alignment horizontal="center" vertical="center" textRotation="0" wrapText="false" indent="0" shrinkToFit="false"/>
      <protection locked="fals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11" fillId="8" borderId="0" xfId="0" applyFont="true" applyBorder="false" applyAlignment="true" applyProtection="false">
      <alignment horizontal="left" vertical="center"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true" applyProtection="false">
      <alignment horizontal="right" vertical="center" textRotation="0" wrapText="false" indent="0" shrinkToFit="false"/>
      <protection locked="true" hidden="false"/>
    </xf>
    <xf numFmtId="170" fontId="11" fillId="8"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71" fontId="9"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true">
      <alignment horizontal="general" vertical="bottom" textRotation="0" wrapText="false" indent="0" shrinkToFit="false"/>
      <protection locked="fals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6" fontId="32"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5" fontId="33"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true" applyProtection="true">
      <alignment horizontal="center" vertical="bottom" textRotation="0" wrapText="false" indent="0" shrinkToFit="false"/>
      <protection locked="fals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32"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7" fillId="7" borderId="9" xfId="0" applyFont="true" applyBorder="true" applyAlignment="false" applyProtection="false">
      <alignment horizontal="general" vertical="bottom" textRotation="0" wrapText="false" indent="0" shrinkToFit="false"/>
      <protection locked="true" hidden="false"/>
    </xf>
    <xf numFmtId="170" fontId="7" fillId="7" borderId="1" xfId="0" applyFont="true" applyBorder="true" applyAlignment="true" applyProtection="false">
      <alignment horizontal="center"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7" fontId="12" fillId="0" borderId="1" xfId="0" applyFont="true" applyBorder="true" applyAlignment="true" applyProtection="true">
      <alignment horizontal="center" vertical="bottom" textRotation="0" wrapText="false" indent="0" shrinkToFit="false"/>
      <protection locked="fals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12" fillId="3" borderId="1" xfId="0" applyFont="true" applyBorder="true" applyAlignment="true" applyProtection="true">
      <alignment horizontal="center" vertical="bottom" textRotation="0" wrapText="false" indent="0" shrinkToFit="false"/>
      <protection locked="fals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center"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FFFFFF"/>
          <bgColor rgb="FF000000"/>
        </patternFill>
      </fill>
    </dxf>
    <dxf>
      <fill>
        <patternFill patternType="solid">
          <fgColor rgb="FFFFF9D6"/>
          <bgColor rgb="FF000000"/>
        </patternFill>
      </fill>
    </dxf>
    <dxf>
      <fill>
        <patternFill patternType="solid">
          <fgColor rgb="FF0000FF"/>
          <bgColor rgb="FF000000"/>
        </patternFill>
      </fill>
    </dxf>
    <dxf>
      <fill>
        <patternFill patternType="solid">
          <fgColor rgb="FF9C0006"/>
          <bgColor rgb="FF000000"/>
        </patternFill>
      </fill>
    </dxf>
    <dxf>
      <fill>
        <patternFill>
          <bgColor rgb="FFFFF9D6"/>
        </patternFill>
      </fill>
    </dxf>
    <dxf>
      <font>
        <name val="Arial"/>
        <charset val="1"/>
        <family val="0"/>
        <i val="1"/>
        <color rgb="FFA6A6A6"/>
        <sz val="10"/>
      </font>
    </dxf>
    <dxf>
      <font>
        <name val="Arial"/>
        <charset val="1"/>
        <family val="0"/>
        <b val="1"/>
        <color rgb="FF9C0006"/>
        <sz val="10"/>
      </font>
      <fill>
        <patternFill>
          <bgColor rgb="FFFCE4D6"/>
        </patternFill>
      </fill>
    </dxf>
    <dxf>
      <font>
        <name val="Arial"/>
        <charset val="1"/>
        <family val="0"/>
        <b val="1"/>
        <color rgb="FF9C6500"/>
        <sz val="10"/>
      </font>
    </dxf>
    <dxf>
      <font>
        <name val="Arial"/>
        <charset val="1"/>
        <family val="0"/>
        <b val="1"/>
        <color rgb="FF006100"/>
        <sz val="9"/>
      </font>
      <fill>
        <patternFill>
          <bgColor rgb="FFC6EFCE"/>
        </patternFill>
      </fill>
    </dxf>
    <dxf>
      <font>
        <name val="Arial"/>
        <charset val="1"/>
        <family val="0"/>
        <b val="1"/>
        <color rgb="FF9C5700"/>
        <sz val="9"/>
      </font>
      <fill>
        <patternFill>
          <bgColor rgb="FFFFEB9C"/>
        </patternFill>
      </fill>
    </dxf>
    <dxf>
      <font>
        <name val="Arial"/>
        <charset val="1"/>
        <family val="0"/>
        <b val="1"/>
        <color rgb="FF9C0006"/>
        <sz val="9"/>
      </font>
      <fill>
        <patternFill>
          <bgColor rgb="FFFFC7CE"/>
        </patternFill>
      </fill>
    </dxf>
    <dxf>
      <font>
        <name val="Arial"/>
        <charset val="1"/>
        <family val="0"/>
        <b val="1"/>
        <color rgb="FF9C0006"/>
        <sz val="10"/>
      </font>
    </dxf>
    <dxf>
      <font>
        <name val="Arial"/>
        <charset val="1"/>
        <family val="0"/>
        <b val="1"/>
        <color rgb="FF9C0006"/>
        <sz val="10"/>
      </font>
      <fill>
        <patternFill>
          <bgColor rgb="FFFFC7CE"/>
        </patternFill>
      </fill>
    </dxf>
    <dxf>
      <font>
        <name val="Arial"/>
        <charset val="1"/>
        <family val="0"/>
        <b val="1"/>
        <color rgb="FF9C0006"/>
        <sz val="13"/>
      </font>
    </dxf>
    <dxf>
      <border diagonalUp="false" diagonalDown="false">
        <left/>
        <right/>
        <top/>
        <bottom style="hair">
          <color rgb="FFBFBFBF"/>
        </bottom>
        <diagonal/>
      </border>
    </dxf>
    <dxf>
      <fill>
        <patternFill>
          <bgColor rgb="FFC00000"/>
        </patternFill>
      </fill>
    </dxf>
    <dxf>
      <fill>
        <patternFill>
          <bgColor rgb="FFBF8F00"/>
        </patternFill>
      </fill>
    </dxf>
    <dxf>
      <fill>
        <patternFill>
          <bgColor rgb="FF548235"/>
        </patternFill>
      </fill>
    </dxf>
    <dxf>
      <border diagonalUp="false" diagonalDown="false">
        <left style="thin">
          <color rgb="FFBFBFBF"/>
        </left>
        <right style="thin">
          <color rgb="FFBFBFBF"/>
        </right>
        <top style="thin">
          <color rgb="FFBFBFBF"/>
        </top>
        <bottom style="thin">
          <color rgb="FFBFBFBF"/>
        </bottom>
        <diagonal/>
      </border>
    </dxf>
    <dxf>
      <fill>
        <patternFill>
          <bgColor rgb="FFFFFF00"/>
        </patternFill>
      </fill>
      <border diagonalUp="false" diagonalDown="false">
        <left style="thin">
          <color rgb="FFBFBFBF"/>
        </left>
        <right style="thin">
          <color rgb="FFBFBFBF"/>
        </right>
        <top style="thin">
          <color rgb="FFBFBFBF"/>
        </top>
        <bottom style="thin">
          <color rgb="FFBFBFBF"/>
        </bottom>
        <diagonal/>
      </border>
    </dxf>
    <dxf>
      <font>
        <name val="Arial"/>
        <charset val="1"/>
        <family val="0"/>
        <b val="1"/>
        <color rgb="FF006100"/>
        <sz val="10"/>
      </font>
    </dxf>
    <dxf>
      <font>
        <name val="Arial"/>
        <charset val="1"/>
        <family val="0"/>
        <b val="1"/>
        <color rgb="FF1F4E78"/>
        <sz val="9"/>
      </font>
      <fill>
        <patternFill>
          <bgColor rgb="FFDDEBF7"/>
        </patternFill>
      </fill>
    </dxf>
    <dxf>
      <font>
        <name val="Arial"/>
        <charset val="1"/>
        <family val="0"/>
        <b val="1"/>
        <color rgb="FF3F3F76"/>
        <sz val="9"/>
      </font>
      <fill>
        <patternFill>
          <bgColor rgb="FFEDEDED"/>
        </patternFill>
      </fill>
    </dxf>
  </dxfs>
  <colors>
    <indexedColors>
      <rgbColor rgb="FF000000"/>
      <rgbColor rgb="FFFFFFFF"/>
      <rgbColor rgb="FFC00000"/>
      <rgbColor rgb="FF00FF00"/>
      <rgbColor rgb="FF0000FF"/>
      <rgbColor rgb="FFFFFF00"/>
      <rgbColor rgb="FFFF00FF"/>
      <rgbColor rgb="FFF2F6FB"/>
      <rgbColor rgb="FF9C0006"/>
      <rgbColor rgb="FF008000"/>
      <rgbColor rgb="FF000080"/>
      <rgbColor rgb="FF9C6500"/>
      <rgbColor rgb="FF800080"/>
      <rgbColor rgb="FF008080"/>
      <rgbColor rgb="FFBFBFBF"/>
      <rgbColor rgb="FF878787"/>
      <rgbColor rgb="FF9AA6B8"/>
      <rgbColor rgb="FF993366"/>
      <rgbColor rgb="FFFFF9D6"/>
      <rgbColor rgb="FFDDEBF7"/>
      <rgbColor rgb="FF660066"/>
      <rgbColor rgb="FFF0605D"/>
      <rgbColor rgb="FF0066CC"/>
      <rgbColor rgb="FFD0D0D0"/>
      <rgbColor rgb="FF000080"/>
      <rgbColor rgb="FFFF00FF"/>
      <rgbColor rgb="FFEDEDED"/>
      <rgbColor rgb="FFF2F2F2"/>
      <rgbColor rgb="FF800080"/>
      <rgbColor rgb="FF800000"/>
      <rgbColor rgb="FF008080"/>
      <rgbColor rgb="FF0000FF"/>
      <rgbColor rgb="FFD9E2F3"/>
      <rgbColor rgb="FFE2EFDA"/>
      <rgbColor rgb="FFC6EFCE"/>
      <rgbColor rgb="FFFFEB9C"/>
      <rgbColor rgb="FFC6E0B4"/>
      <rgbColor rgb="FFFFC7CE"/>
      <rgbColor rgb="FFAEAEAE"/>
      <rgbColor rgb="FFF8CBAD"/>
      <rgbColor rgb="FF2E75B6"/>
      <rgbColor rgb="FF5B9BD5"/>
      <rgbColor rgb="FFD9D9D9"/>
      <rgbColor rgb="FFFCE4D6"/>
      <rgbColor rgb="FFE3A93C"/>
      <rgbColor rgb="FFBF8F00"/>
      <rgbColor rgb="FF595959"/>
      <rgbColor rgb="FFA6A6A6"/>
      <rgbColor rgb="FF1F3864"/>
      <rgbColor rgb="FF548235"/>
      <rgbColor rgb="FF006100"/>
      <rgbColor rgb="FF333300"/>
      <rgbColor rgb="FF9C5700"/>
      <rgbColor rgb="FF993366"/>
      <rgbColor rgb="FF3F3F76"/>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Projected balance by week</a:t>
            </a:r>
          </a:p>
        </c:rich>
      </c:tx>
      <c:overlay val="0"/>
      <c:spPr>
        <a:noFill/>
        <a:ln w="0">
          <a:noFill/>
        </a:ln>
      </c:spPr>
    </c:title>
    <c:autoTitleDeleted val="0"/>
    <c:plotArea>
      <c:lineChart>
        <c:grouping val="standard"/>
        <c:varyColors val="0"/>
        <c:ser>
          <c:idx val="0"/>
          <c:order val="0"/>
          <c:tx>
            <c:strRef>
              <c:f>Summary!$I$12</c:f>
              <c:strCache>
                <c:ptCount val="1"/>
                <c:pt idx="0">
                  <c:v>Left at Week End</c:v>
                </c:pt>
              </c:strCache>
            </c:strRef>
          </c:tx>
          <c:spPr>
            <a:solidFill>
              <a:srgbClr val="5b9bd5"/>
            </a:solidFill>
            <a:ln w="21960">
              <a:solidFill>
                <a:srgbClr val="5b9bd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Summary!$C$13:$C$25</c:f>
              <c:numCache>
                <c:formatCode>ddd\ mmm\ d", "yyyy</c:formatCod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numCache>
            </c:numRef>
          </c:cat>
          <c:val>
            <c:numRef>
              <c:f>Summary!$I$13:$I$25</c:f>
              <c:numCache>
                <c:formatCode>\$#,##0.00;[RED]"($"#,##0.00\);\–</c:formatCode>
                <c:ptCount val="13"/>
                <c:pt idx="0">
                  <c:v>512.66</c:v>
                </c:pt>
                <c:pt idx="1">
                  <c:v>633.96</c:v>
                </c:pt>
                <c:pt idx="2">
                  <c:v>404.49</c:v>
                </c:pt>
                <c:pt idx="3">
                  <c:v>120.81</c:v>
                </c:pt>
                <c:pt idx="4">
                  <c:v>157.82</c:v>
                </c:pt>
                <c:pt idx="5">
                  <c:v>408.02</c:v>
                </c:pt>
                <c:pt idx="6">
                  <c:v>199.65</c:v>
                </c:pt>
                <c:pt idx="7">
                  <c:v>-84.9399999999998</c:v>
                </c:pt>
                <c:pt idx="8">
                  <c:v>-47.9299999999998</c:v>
                </c:pt>
                <c:pt idx="9">
                  <c:v>202.27</c:v>
                </c:pt>
                <c:pt idx="10">
                  <c:v>137.27</c:v>
                </c:pt>
                <c:pt idx="11">
                  <c:v>377.8</c:v>
                </c:pt>
                <c:pt idx="12">
                  <c:v>-208.68</c:v>
                </c:pt>
              </c:numCache>
            </c:numRef>
          </c:val>
          <c:smooth val="0"/>
        </c:ser>
        <c:ser>
          <c:idx val="1"/>
          <c:order val="1"/>
          <c:tx>
            <c:strRef>
              <c:f>Summary!$J$12</c:f>
              <c:strCache>
                <c:ptCount val="1"/>
                <c:pt idx="0">
                  <c:v>Lowest In Week</c:v>
                </c:pt>
              </c:strCache>
            </c:strRef>
          </c:tx>
          <c:spPr>
            <a:solidFill>
              <a:srgbClr val="e3a93c"/>
            </a:solidFill>
            <a:ln w="21960">
              <a:solidFill>
                <a:srgbClr val="e3a93c"/>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Summary!$C$13:$C$25</c:f>
              <c:numCache>
                <c:formatCode>ddd\ mmm\ d", "yyyy</c:formatCod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numCache>
            </c:numRef>
          </c:cat>
          <c:val>
            <c:numRef>
              <c:f>Summary!$J$13:$J$25</c:f>
              <c:numCache>
                <c:formatCode>\$#,##0.00;[RED]"($"#,##0.00\);\–</c:formatCode>
                <c:ptCount val="13"/>
                <c:pt idx="0">
                  <c:v>-262.64</c:v>
                </c:pt>
                <c:pt idx="1">
                  <c:v>168.67</c:v>
                </c:pt>
                <c:pt idx="2">
                  <c:v>-9.40999999999997</c:v>
                </c:pt>
                <c:pt idx="3">
                  <c:v>-314.19</c:v>
                </c:pt>
                <c:pt idx="4">
                  <c:v>-232.18</c:v>
                </c:pt>
                <c:pt idx="5">
                  <c:v>-26.9799999999998</c:v>
                </c:pt>
                <c:pt idx="6">
                  <c:v>-145.35</c:v>
                </c:pt>
                <c:pt idx="7">
                  <c:v>-429.94</c:v>
                </c:pt>
                <c:pt idx="8">
                  <c:v>-347.93</c:v>
                </c:pt>
                <c:pt idx="9">
                  <c:v>-142.73</c:v>
                </c:pt>
                <c:pt idx="10">
                  <c:v>137.27</c:v>
                </c:pt>
                <c:pt idx="11">
                  <c:v>-6.0999999999998</c:v>
                </c:pt>
                <c:pt idx="12">
                  <c:v>-290.69</c:v>
                </c:pt>
              </c:numCache>
            </c:numRef>
          </c:val>
          <c:smooth val="0"/>
        </c:ser>
        <c:ser>
          <c:idx val="2"/>
          <c:order val="2"/>
          <c:tx>
            <c:strRef>
              <c:f>Summary!$Q$12</c:f>
              <c:strCache>
                <c:ptCount val="1"/>
                <c:pt idx="0">
                  <c:v>Zero</c:v>
                </c:pt>
              </c:strCache>
            </c:strRef>
          </c:tx>
          <c:spPr>
            <a:solidFill>
              <a:srgbClr val="f0605d"/>
            </a:solidFill>
            <a:ln w="14040">
              <a:solidFill>
                <a:srgbClr val="f0605d"/>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Summary!$C$13:$C$25</c:f>
              <c:numCache>
                <c:formatCode>ddd\ mmm\ d", "yyyy</c:formatCod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numCache>
            </c:numRef>
          </c:cat>
          <c:val>
            <c:numRef>
              <c:f>Summary!$Q$13:$Q$25</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mooth val="0"/>
        </c:ser>
        <c:ser>
          <c:idx val="3"/>
          <c:order val="3"/>
          <c:tx>
            <c:strRef>
              <c:f>Summary!$R$12</c:f>
              <c:strCache>
                <c:ptCount val="1"/>
                <c:pt idx="0">
                  <c:v>Cushion</c:v>
                </c:pt>
              </c:strCache>
            </c:strRef>
          </c:tx>
          <c:spPr>
            <a:solidFill>
              <a:srgbClr val="9aa6b8"/>
            </a:solidFill>
            <a:ln w="14040">
              <a:solidFill>
                <a:srgbClr val="9aa6b8"/>
              </a:solidFill>
              <a:prstDash val="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Summary!$C$13:$C$25</c:f>
              <c:numCache>
                <c:formatCode>ddd\ mmm\ d", "yyyy</c:formatCode>
                <c:ptCount val="13"/>
                <c:pt idx="0">
                  <c:v>Sat Aug 15, 2026</c:v>
                </c:pt>
                <c:pt idx="1">
                  <c:v>Sat Aug 22, 2026</c:v>
                </c:pt>
                <c:pt idx="2">
                  <c:v>Sat Aug 29, 2026</c:v>
                </c:pt>
                <c:pt idx="3">
                  <c:v>Sat Sep 5, 2026</c:v>
                </c:pt>
                <c:pt idx="4">
                  <c:v>Sat Sep 12, 2026</c:v>
                </c:pt>
                <c:pt idx="5">
                  <c:v>Sat Sep 19, 2026</c:v>
                </c:pt>
                <c:pt idx="6">
                  <c:v>Sat Sep 26, 2026</c:v>
                </c:pt>
                <c:pt idx="7">
                  <c:v>Sat Oct 3, 2026</c:v>
                </c:pt>
                <c:pt idx="8">
                  <c:v>Sat Oct 10, 2026</c:v>
                </c:pt>
                <c:pt idx="9">
                  <c:v>Sat Oct 17, 2026</c:v>
                </c:pt>
                <c:pt idx="10">
                  <c:v>Sat Oct 24, 2026</c:v>
                </c:pt>
                <c:pt idx="11">
                  <c:v>Sat Oct 31, 2026</c:v>
                </c:pt>
                <c:pt idx="12">
                  <c:v>Sat Nov 7, 2026</c:v>
                </c:pt>
              </c:numCache>
            </c:numRef>
          </c:cat>
          <c:val>
            <c:numRef>
              <c:f>Summary!$R$13:$R$25</c:f>
              <c:numCache>
                <c:formatCode>\$#,##0.00;"($"#,##0.00\);\–</c:formatCode>
                <c:ptCount val="13"/>
                <c:pt idx="0">
                  <c:v>200</c:v>
                </c:pt>
                <c:pt idx="1">
                  <c:v>200</c:v>
                </c:pt>
                <c:pt idx="2">
                  <c:v>200</c:v>
                </c:pt>
                <c:pt idx="3">
                  <c:v>200</c:v>
                </c:pt>
                <c:pt idx="4">
                  <c:v>200</c:v>
                </c:pt>
                <c:pt idx="5">
                  <c:v>200</c:v>
                </c:pt>
                <c:pt idx="6">
                  <c:v>200</c:v>
                </c:pt>
                <c:pt idx="7">
                  <c:v>200</c:v>
                </c:pt>
                <c:pt idx="8">
                  <c:v>200</c:v>
                </c:pt>
                <c:pt idx="9">
                  <c:v>200</c:v>
                </c:pt>
                <c:pt idx="10">
                  <c:v>200</c:v>
                </c:pt>
                <c:pt idx="11">
                  <c:v>200</c:v>
                </c:pt>
                <c:pt idx="12">
                  <c:v>200</c:v>
                </c:pt>
              </c:numCache>
            </c:numRef>
          </c:val>
          <c:smooth val="0"/>
        </c:ser>
        <c:hiLowLines>
          <c:spPr>
            <a:ln w="0">
              <a:noFill/>
            </a:ln>
          </c:spPr>
        </c:hiLowLines>
        <c:marker val="0"/>
        <c:axId val="18421557"/>
        <c:axId val="23725292"/>
      </c:lineChart>
      <c:dateAx>
        <c:axId val="18421557"/>
        <c:scaling>
          <c:orientation val="minMax"/>
        </c:scaling>
        <c:delete val="0"/>
        <c:axPos val="b"/>
        <c:numFmt formatCode="ddd\ mmm\ d&quot;, &quot;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725292"/>
        <c:crosses val="autoZero"/>
        <c:auto val="1"/>
        <c:lblOffset val="100"/>
        <c:baseTimeUnit val="days"/>
        <c:noMultiLvlLbl val="0"/>
      </c:dateAx>
      <c:valAx>
        <c:axId val="23725292"/>
        <c:scaling>
          <c:orientation val="minMax"/>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Balance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4215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262800</xdr:rowOff>
    </xdr:from>
    <xdr:to>
      <xdr:col>8</xdr:col>
      <xdr:colOff>561240</xdr:colOff>
      <xdr:row>45</xdr:row>
      <xdr:rowOff>61200</xdr:rowOff>
    </xdr:to>
    <xdr:graphicFrame>
      <xdr:nvGraphicFramePr>
        <xdr:cNvPr id="0" name="Chart 1"/>
        <xdr:cNvGraphicFramePr/>
      </xdr:nvGraphicFramePr>
      <xdr:xfrm>
        <a:off x="266760" y="5844600"/>
        <a:ext cx="9717840" cy="3417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6"/>
    <col collapsed="false" customWidth="true" hidden="false" outlineLevel="0" max="5" min="4" style="0" width="3"/>
  </cols>
  <sheetData>
    <row r="1" customFormat="false" ht="15" hidden="false" customHeight="true" outlineLevel="0" collapsed="false"/>
    <row r="2" customFormat="false" ht="19.5" hidden="false" customHeight="true" outlineLevel="0" collapsed="false">
      <c r="B2" s="1" t="s">
        <v>0</v>
      </c>
    </row>
    <row r="3" customFormat="false" ht="15" hidden="false" customHeight="true" outlineLevel="0" collapsed="false">
      <c r="B3" s="2" t="str">
        <f aca="false">"Currently projecting "&amp;TEXT(StartDate,"mmm d, yyyy")&amp;" to "&amp;TEXT(StartDate+90,"mmm d, yyyy")&amp;" from a beginning balance of "&amp;TEXT(BeginningBalance,"$#,##0.00")&amp;"."</f>
        <v>Currently projecting Aug 15, 2026 to Nov 13, 2026 from a beginning balance of $228.41.</v>
      </c>
    </row>
    <row r="4" customFormat="false" ht="15" hidden="false" customHeight="true" outlineLevel="0" collapsed="false"/>
    <row r="5" customFormat="false" ht="15" hidden="false" customHeight="true" outlineLevel="0" collapsed="false">
      <c r="B5" s="3" t="s">
        <v>1</v>
      </c>
    </row>
    <row r="6" customFormat="false" ht="33.75" hidden="false" customHeight="true" outlineLevel="0" collapsed="false">
      <c r="B6" s="4" t="s">
        <v>2</v>
      </c>
      <c r="C6" s="5" t="str">
        <f aca="false">"Beginning balance "&amp;TEXT(BeginningBalance,"$#,##0.00")&amp;", start date "&amp;TEXT(StartDate,"mmm d, yyyy")&amp;", cushion "&amp;TEXT(MinCushion,"$#,##0.00")&amp;", expected everyday spending "&amp;TEXT(WeeklySpend,"$#,##0.00")&amp;" a week. Change any of these and the whole workbook follows."</f>
        <v>Beginning balance $228.41, start date Aug 15, 2026, cushion $200.00, expected everyday spending $400.00 a week. Change any of these and the whole workbook follows.</v>
      </c>
    </row>
    <row r="7" customFormat="false" ht="30" hidden="false" customHeight="true" outlineLevel="0" collapsed="false">
      <c r="B7" s="4" t="s">
        <v>3</v>
      </c>
      <c r="C7" s="5" t="s">
        <v>4</v>
      </c>
    </row>
    <row r="8" customFormat="false" ht="30" hidden="false" customHeight="true" outlineLevel="0" collapsed="false">
      <c r="B8" s="4" t="s">
        <v>5</v>
      </c>
      <c r="C8" s="5" t="s">
        <v>6</v>
      </c>
    </row>
    <row r="9" customFormat="false" ht="30" hidden="false" customHeight="true" outlineLevel="0" collapsed="false">
      <c r="B9" s="4" t="s">
        <v>7</v>
      </c>
      <c r="C9" s="5" t="s">
        <v>8</v>
      </c>
    </row>
    <row r="10" customFormat="false" ht="30" hidden="false" customHeight="true" outlineLevel="0" collapsed="false">
      <c r="B10" s="4" t="s">
        <v>9</v>
      </c>
      <c r="C10" s="5" t="s">
        <v>10</v>
      </c>
    </row>
    <row r="11" customFormat="false" ht="15" hidden="false" customHeight="true" outlineLevel="0" collapsed="false"/>
    <row r="12" customFormat="false" ht="15" hidden="false" customHeight="true" outlineLevel="0" collapsed="false">
      <c r="B12" s="3" t="s">
        <v>11</v>
      </c>
    </row>
    <row r="13" customFormat="false" ht="30" hidden="false" customHeight="true" outlineLevel="0" collapsed="false">
      <c r="B13" s="6" t="s">
        <v>12</v>
      </c>
      <c r="C13" s="5" t="s">
        <v>13</v>
      </c>
    </row>
    <row r="14" customFormat="false" ht="30" hidden="false" customHeight="true" outlineLevel="0" collapsed="false">
      <c r="B14" s="6" t="s">
        <v>14</v>
      </c>
      <c r="C14" s="5" t="s">
        <v>15</v>
      </c>
    </row>
    <row r="15" customFormat="false" ht="30" hidden="false" customHeight="true" outlineLevel="0" collapsed="false">
      <c r="B15" s="6" t="s">
        <v>16</v>
      </c>
      <c r="C15" s="5" t="s">
        <v>17</v>
      </c>
    </row>
    <row r="16" customFormat="false" ht="30" hidden="false" customHeight="true" outlineLevel="0" collapsed="false">
      <c r="B16" s="6" t="s">
        <v>18</v>
      </c>
      <c r="C16" s="5" t="s">
        <v>19</v>
      </c>
    </row>
    <row r="17" customFormat="false" ht="30" hidden="false" customHeight="true" outlineLevel="0" collapsed="false">
      <c r="B17" s="6" t="s">
        <v>20</v>
      </c>
      <c r="C17" s="5" t="s">
        <v>21</v>
      </c>
    </row>
    <row r="18" customFormat="false" ht="15" hidden="false" customHeight="true" outlineLevel="0" collapsed="false">
      <c r="B18" s="7"/>
      <c r="C18" s="5"/>
    </row>
    <row r="19" customFormat="false" ht="15" hidden="false" customHeight="true" outlineLevel="0" collapsed="false">
      <c r="B19" s="3" t="s">
        <v>22</v>
      </c>
    </row>
    <row r="20" customFormat="false" ht="30" hidden="false" customHeight="true" outlineLevel="0" collapsed="false">
      <c r="B20" s="6" t="s">
        <v>23</v>
      </c>
      <c r="C20" s="5" t="s">
        <v>24</v>
      </c>
    </row>
    <row r="21" customFormat="false" ht="30" hidden="false" customHeight="true" outlineLevel="0" collapsed="false">
      <c r="B21" s="6" t="s">
        <v>25</v>
      </c>
      <c r="C21" s="5" t="s">
        <v>26</v>
      </c>
    </row>
    <row r="22" customFormat="false" ht="30" hidden="false" customHeight="true" outlineLevel="0" collapsed="false">
      <c r="B22" s="6" t="s">
        <v>27</v>
      </c>
      <c r="C22" s="5" t="str">
        <f aca="false">"Any weekday works. Yours begins on a "&amp;TEXT(StartDate,"dddd")&amp;", so every period runs "&amp;TEXT(StartDate,"ddd")&amp;" to "&amp;TEXT(StartDate+6,"ddd")&amp;"."</f>
        <v>Any weekday works. Yours begins on a Saturday, so every period runs Sat to Fri.</v>
      </c>
    </row>
    <row r="23" customFormat="false" ht="30" hidden="false" customHeight="true" outlineLevel="0" collapsed="false">
      <c r="B23" s="6" t="s">
        <v>28</v>
      </c>
      <c r="C23" s="5" t="s">
        <v>29</v>
      </c>
    </row>
    <row r="24" customFormat="false" ht="30" hidden="false" customHeight="true" outlineLevel="0" collapsed="false">
      <c r="B24" s="6" t="s">
        <v>30</v>
      </c>
      <c r="C24" s="5" t="s">
        <v>31</v>
      </c>
    </row>
    <row r="25" customFormat="false" ht="42" hidden="false" customHeight="true" outlineLevel="0" collapsed="false">
      <c r="B25" s="6"/>
      <c r="C25" s="5"/>
    </row>
    <row r="26" customFormat="false" ht="42" hidden="false" customHeight="true" outlineLevel="0" collapsed="false">
      <c r="B26" s="3" t="s">
        <v>32</v>
      </c>
      <c r="C26" s="5"/>
    </row>
    <row r="27" customFormat="false" ht="25.5" hidden="false" customHeight="true" outlineLevel="0" collapsed="false">
      <c r="B27" s="8" t="s">
        <v>33</v>
      </c>
      <c r="C27" s="9" t="s">
        <v>34</v>
      </c>
    </row>
    <row r="28" customFormat="false" ht="25.5" hidden="false" customHeight="true" outlineLevel="0" collapsed="false">
      <c r="B28" s="8" t="s">
        <v>33</v>
      </c>
      <c r="C28" s="9" t="s">
        <v>35</v>
      </c>
    </row>
    <row r="29" customFormat="false" ht="25.5" hidden="false" customHeight="true" outlineLevel="0" collapsed="false">
      <c r="B29" s="8" t="s">
        <v>33</v>
      </c>
      <c r="C29" s="9" t="str">
        <f aca="false">"Compunnel is entered at "&amp;TEXT(INDEX(Recurring!$D:$D,MATCH("Compunnel*",Recurring!$B:$B,0)),"$#,##0.00")&amp;", the low end of a paycheck that varies by about $45. A survival sheet plans on the smaller number."</f>
        <v>Compunnel is entered at $745.00, the low end of a paycheck that varies by about $45. A survival sheet plans on the smaller number.</v>
      </c>
    </row>
    <row r="30" customFormat="false" ht="25.5" hidden="false" customHeight="true" outlineLevel="0" collapsed="false">
      <c r="B30" s="8" t="s">
        <v>33</v>
      </c>
      <c r="C30" s="9" t="s">
        <v>36</v>
      </c>
    </row>
    <row r="31" customFormat="false" ht="25.5" hidden="false" customHeight="true" outlineLevel="0" collapsed="false">
      <c r="B31" s="8" t="s">
        <v>33</v>
      </c>
      <c r="C31" s="9" t="s">
        <v>37</v>
      </c>
    </row>
    <row r="32" customFormat="false" ht="15" hidden="false" customHeight="true" outlineLevel="0" collapsed="false">
      <c r="B32" s="6"/>
      <c r="C32" s="5"/>
    </row>
    <row r="33" customFormat="false" ht="15" hidden="false" customHeight="true" outlineLevel="0" collapsed="false">
      <c r="B33" s="6"/>
      <c r="C33" s="5"/>
    </row>
    <row r="34" customFormat="false" ht="15" hidden="false" customHeight="true" outlineLevel="0" collapsed="false">
      <c r="B34" s="6"/>
      <c r="C34" s="5"/>
    </row>
    <row r="35" customFormat="false" ht="15" hidden="false" customHeight="true" outlineLevel="0" collapsed="false">
      <c r="B35" s="6"/>
      <c r="C35" s="5"/>
    </row>
    <row r="36" customFormat="false" ht="15" hidden="false" customHeight="true" outlineLevel="0" collapsed="false">
      <c r="B36" s="6"/>
      <c r="C36" s="5"/>
    </row>
    <row r="37" customFormat="false" ht="15" hidden="false" customHeight="true" outlineLevel="0" collapsed="false"/>
    <row r="38" customFormat="false" ht="15" hidden="false" customHeight="true" outlineLevel="0" collapsed="false">
      <c r="B38" s="3"/>
    </row>
    <row r="39" customFormat="false" ht="30" hidden="false" customHeight="true" outlineLevel="0" collapsed="false">
      <c r="B39" s="8"/>
      <c r="C39" s="9"/>
    </row>
    <row r="40" customFormat="false" ht="30" hidden="false" customHeight="true" outlineLevel="0" collapsed="false">
      <c r="B40" s="8"/>
      <c r="C40" s="9"/>
    </row>
    <row r="41" customFormat="false" ht="30" hidden="false" customHeight="true" outlineLevel="0" collapsed="false">
      <c r="B41" s="8"/>
      <c r="C41" s="9"/>
    </row>
    <row r="42" customFormat="false" ht="30" hidden="false" customHeight="true" outlineLevel="0" collapsed="false">
      <c r="B42" s="8"/>
      <c r="C42" s="9"/>
    </row>
    <row r="43" customFormat="false" ht="30" hidden="false" customHeight="true" outlineLevel="0" collapsed="false">
      <c r="B43" s="8"/>
      <c r="C43" s="9"/>
    </row>
    <row r="44" customFormat="false" ht="30" hidden="false" customHeight="true" outlineLevel="0" collapsed="false">
      <c r="B44" s="8"/>
      <c r="C44" s="9"/>
    </row>
    <row r="45" customFormat="false" ht="30" hidden="false" customHeight="true" outlineLevel="0" collapsed="false">
      <c r="B45" s="8"/>
      <c r="C45" s="9"/>
    </row>
    <row r="46" customFormat="false" ht="30" hidden="false" customHeight="true" outlineLevel="0" collapsed="false">
      <c r="B46" s="8"/>
      <c r="C46" s="9"/>
    </row>
    <row r="47" customFormat="false" ht="30" hidden="false" customHeight="true" outlineLevel="0" collapsed="false">
      <c r="B47" s="8"/>
      <c r="C47" s="9"/>
    </row>
    <row r="48" customFormat="false" ht="30" hidden="false" customHeight="true" outlineLevel="0" collapsed="false">
      <c r="B48" s="8"/>
      <c r="C48" s="9"/>
    </row>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G18" activeCellId="0" sqref="G18"/>
    </sheetView>
  </sheetViews>
  <sheetFormatPr defaultColWidth="8.57421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6" min="6" style="0" width="20.43"/>
    <col collapsed="false" customWidth="true" hidden="false" outlineLevel="0" max="7" min="7" style="0" width="14"/>
    <col collapsed="false" customWidth="true" hidden="false" outlineLevel="0" max="8" min="8" style="0" width="8"/>
    <col collapsed="false" customWidth="true" hidden="false" outlineLevel="0" max="9" min="9" style="0" width="15"/>
    <col collapsed="false" customWidth="true" hidden="false" outlineLevel="0" max="10" min="10" style="0" width="20"/>
    <col collapsed="false" customWidth="true" hidden="false" outlineLevel="0" max="11" min="11" style="0" width="46"/>
  </cols>
  <sheetData>
    <row r="1" customFormat="false" ht="19.5" hidden="false" customHeight="true" outlineLevel="0" collapsed="false">
      <c r="B1" s="1" t="s">
        <v>38</v>
      </c>
    </row>
    <row r="2" customFormat="false" ht="15" hidden="false" customHeight="true" outlineLevel="0" collapsed="false">
      <c r="B2" s="2" t="s">
        <v>39</v>
      </c>
    </row>
    <row r="4" customFormat="false" ht="27.75" hidden="false" customHeight="true" outlineLevel="0" collapsed="false">
      <c r="A4" s="10" t="s">
        <v>40</v>
      </c>
      <c r="B4" s="10" t="s">
        <v>41</v>
      </c>
      <c r="C4" s="10" t="s">
        <v>42</v>
      </c>
      <c r="D4" s="10" t="s">
        <v>43</v>
      </c>
      <c r="E4" s="10" t="s">
        <v>44</v>
      </c>
      <c r="F4" s="10" t="s">
        <v>23</v>
      </c>
      <c r="G4" s="10" t="s">
        <v>45</v>
      </c>
      <c r="H4" s="10" t="s">
        <v>46</v>
      </c>
      <c r="I4" s="10" t="s">
        <v>47</v>
      </c>
      <c r="J4" s="10" t="s">
        <v>48</v>
      </c>
      <c r="K4" s="10" t="s">
        <v>49</v>
      </c>
    </row>
    <row r="5" customFormat="false" ht="15" hidden="false" customHeight="true" outlineLevel="0" collapsed="false">
      <c r="A5" s="11" t="n">
        <v>1</v>
      </c>
      <c r="B5" s="12" t="s">
        <v>50</v>
      </c>
      <c r="C5" s="13" t="s">
        <v>51</v>
      </c>
      <c r="D5" s="14" t="n">
        <v>90</v>
      </c>
      <c r="E5" s="13" t="s">
        <v>52</v>
      </c>
      <c r="F5" s="15" t="n">
        <v>46253</v>
      </c>
      <c r="G5" s="13" t="s">
        <v>53</v>
      </c>
      <c r="H5" s="13" t="s">
        <v>54</v>
      </c>
      <c r="I5" s="12" t="s">
        <v>55</v>
      </c>
      <c r="J5" s="12"/>
      <c r="K5" s="16" t="str">
        <f aca="false">IF($B5="","",IF($H5&lt;&gt;"Yes","",IF(OR($D5="",$D5=0),"! No amount — this will project as $0",IF($F5="","! No next due date",IF(NOT(ISNUMBER($F5)),"! Next due date is not a date — type it as 8/21/2026",IF($E5="","! No frequency chosen",IF($F5&lt;StartDate-90,"! "&amp;TEXT($F5,"mmm d, yyyy")&amp;" is too far back to appear",IF($F5&gt;StartDate+730,"! "&amp;TEXT($F5,"mmm d, yyyy")&amp;" is years away — check it",IF($F5&gt;StartDate+90,"beyond the 13-week window","")))))))))</f>
        <v/>
      </c>
    </row>
    <row r="6" customFormat="false" ht="15" hidden="false" customHeight="true" outlineLevel="0" collapsed="false">
      <c r="A6" s="17" t="n">
        <v>2</v>
      </c>
      <c r="B6" s="18" t="s">
        <v>56</v>
      </c>
      <c r="C6" s="19" t="s">
        <v>51</v>
      </c>
      <c r="D6" s="20" t="n">
        <v>745</v>
      </c>
      <c r="E6" s="19" t="s">
        <v>52</v>
      </c>
      <c r="F6" s="21" t="n">
        <v>46255</v>
      </c>
      <c r="G6" s="19" t="s">
        <v>53</v>
      </c>
      <c r="H6" s="19" t="s">
        <v>54</v>
      </c>
      <c r="I6" s="18" t="s">
        <v>55</v>
      </c>
      <c r="J6" s="18"/>
      <c r="K6" s="22" t="str">
        <f aca="false">IF($B6="","",IF($H6&lt;&gt;"Yes","",IF(OR($D6="",$D6=0),"! No amount — this will project as $0",IF($F6="","! No next due date",IF(NOT(ISNUMBER($F6)),"! Next due date is not a date — type it as 8/21/2026",IF($E6="","! No frequency chosen",IF($F6&lt;StartDate-90,"! "&amp;TEXT($F6,"mmm d, yyyy")&amp;" is too far back to appear",IF($F6&gt;StartDate+730,"! "&amp;TEXT($F6,"mmm d, yyyy")&amp;" is years away — check it",IF($F6&gt;StartDate+90,"beyond the 13-week window","")))))))))</f>
        <v/>
      </c>
    </row>
    <row r="7" customFormat="false" ht="15" hidden="false" customHeight="true" outlineLevel="0" collapsed="false">
      <c r="A7" s="11" t="n">
        <v>3</v>
      </c>
      <c r="B7" s="12" t="s">
        <v>57</v>
      </c>
      <c r="C7" s="13" t="s">
        <v>58</v>
      </c>
      <c r="D7" s="14" t="n">
        <v>21.1</v>
      </c>
      <c r="E7" s="13" t="s">
        <v>59</v>
      </c>
      <c r="F7" s="15" t="n">
        <v>46269</v>
      </c>
      <c r="G7" s="13" t="s">
        <v>53</v>
      </c>
      <c r="H7" s="13" t="s">
        <v>54</v>
      </c>
      <c r="I7" s="12" t="s">
        <v>60</v>
      </c>
      <c r="J7" s="12"/>
      <c r="K7" s="16" t="str">
        <f aca="false">IF($B7="","",IF($H7&lt;&gt;"Yes","",IF(OR($D7="",$D7=0),"! No amount — this will project as $0",IF($F7="","! No next due date",IF(NOT(ISNUMBER($F7)),"! Next due date is not a date — type it as 8/21/2026",IF($E7="","! No frequency chosen",IF($F7&lt;StartDate-90,"! "&amp;TEXT($F7,"mmm d, yyyy")&amp;" is too far back to appear",IF($F7&gt;StartDate+730,"! "&amp;TEXT($F7,"mmm d, yyyy")&amp;" is years away — check it",IF($F7&gt;StartDate+90,"beyond the 13-week window","")))))))))</f>
        <v/>
      </c>
    </row>
    <row r="8" customFormat="false" ht="15" hidden="false" customHeight="true" outlineLevel="0" collapsed="false">
      <c r="A8" s="17" t="n">
        <v>4</v>
      </c>
      <c r="B8" s="18" t="s">
        <v>61</v>
      </c>
      <c r="C8" s="19" t="s">
        <v>58</v>
      </c>
      <c r="D8" s="20" t="n">
        <v>20</v>
      </c>
      <c r="E8" s="19" t="s">
        <v>59</v>
      </c>
      <c r="F8" s="21" t="n">
        <v>46270</v>
      </c>
      <c r="G8" s="19" t="s">
        <v>53</v>
      </c>
      <c r="H8" s="19" t="s">
        <v>54</v>
      </c>
      <c r="I8" s="18" t="s">
        <v>60</v>
      </c>
      <c r="J8" s="18"/>
      <c r="K8" s="22" t="str">
        <f aca="false">IF($B8="","",IF($H8&lt;&gt;"Yes","",IF(OR($D8="",$D8=0),"! No amount — this will project as $0",IF($F8="","! No next due date",IF(NOT(ISNUMBER($F8)),"! Next due date is not a date — type it as 8/21/2026",IF($E8="","! No frequency chosen",IF($F8&lt;StartDate-90,"! "&amp;TEXT($F8,"mmm d, yyyy")&amp;" is too far back to appear",IF($F8&gt;StartDate+730,"! "&amp;TEXT($F8,"mmm d, yyyy")&amp;" is years away — check it",IF($F8&gt;StartDate+90,"beyond the 13-week window","")))))))))</f>
        <v/>
      </c>
    </row>
    <row r="9" customFormat="false" ht="15" hidden="false" customHeight="true" outlineLevel="0" collapsed="false">
      <c r="A9" s="11" t="n">
        <v>5</v>
      </c>
      <c r="B9" s="12" t="s">
        <v>62</v>
      </c>
      <c r="C9" s="13" t="s">
        <v>58</v>
      </c>
      <c r="D9" s="14" t="n">
        <v>10</v>
      </c>
      <c r="E9" s="13" t="s">
        <v>59</v>
      </c>
      <c r="F9" s="15" t="n">
        <v>46270</v>
      </c>
      <c r="G9" s="13" t="s">
        <v>53</v>
      </c>
      <c r="H9" s="13" t="s">
        <v>54</v>
      </c>
      <c r="I9" s="12" t="s">
        <v>60</v>
      </c>
      <c r="J9" s="12"/>
      <c r="K9" s="16" t="str">
        <f aca="false">IF($B9="","",IF($H9&lt;&gt;"Yes","",IF(OR($D9="",$D9=0),"! No amount — this will project as $0",IF($F9="","! No next due date",IF(NOT(ISNUMBER($F9)),"! Next due date is not a date — type it as 8/21/2026",IF($E9="","! No frequency chosen",IF($F9&lt;StartDate-90,"! "&amp;TEXT($F9,"mmm d, yyyy")&amp;" is too far back to appear",IF($F9&gt;StartDate+730,"! "&amp;TEXT($F9,"mmm d, yyyy")&amp;" is years away — check it",IF($F9&gt;StartDate+90,"beyond the 13-week window","")))))))))</f>
        <v/>
      </c>
    </row>
    <row r="10" customFormat="false" ht="15" hidden="false" customHeight="true" outlineLevel="0" collapsed="false">
      <c r="A10" s="17" t="n">
        <v>6</v>
      </c>
      <c r="B10" s="18" t="s">
        <v>63</v>
      </c>
      <c r="C10" s="19" t="s">
        <v>58</v>
      </c>
      <c r="D10" s="20" t="n">
        <v>4.99</v>
      </c>
      <c r="E10" s="19" t="s">
        <v>59</v>
      </c>
      <c r="F10" s="21" t="n">
        <v>46272</v>
      </c>
      <c r="G10" s="19" t="s">
        <v>53</v>
      </c>
      <c r="H10" s="19" t="s">
        <v>54</v>
      </c>
      <c r="I10" s="18" t="s">
        <v>60</v>
      </c>
      <c r="J10" s="18"/>
      <c r="K10" s="22" t="str">
        <f aca="false">IF($B10="","",IF($H10&lt;&gt;"Yes","",IF(OR($D10="",$D10=0),"! No amount — this will project as $0",IF($F10="","! No next due date",IF(NOT(ISNUMBER($F10)),"! Next due date is not a date — type it as 8/21/2026",IF($E10="","! No frequency chosen",IF($F10&lt;StartDate-90,"! "&amp;TEXT($F10,"mmm d, yyyy")&amp;" is too far back to appear",IF($F10&gt;StartDate+730,"! "&amp;TEXT($F10,"mmm d, yyyy")&amp;" is years away — check it",IF($F10&gt;StartDate+90,"beyond the 13-week window","")))))))))</f>
        <v/>
      </c>
    </row>
    <row r="11" customFormat="false" ht="15" hidden="false" customHeight="true" outlineLevel="0" collapsed="false">
      <c r="A11" s="11" t="n">
        <v>7</v>
      </c>
      <c r="B11" s="12" t="s">
        <v>64</v>
      </c>
      <c r="C11" s="13" t="s">
        <v>58</v>
      </c>
      <c r="D11" s="14" t="n">
        <v>500</v>
      </c>
      <c r="E11" s="13" t="s">
        <v>59</v>
      </c>
      <c r="F11" s="15" t="n">
        <v>46272</v>
      </c>
      <c r="G11" s="13" t="s">
        <v>53</v>
      </c>
      <c r="H11" s="13" t="s">
        <v>54</v>
      </c>
      <c r="I11" s="12" t="s">
        <v>65</v>
      </c>
      <c r="J11" s="12"/>
      <c r="K11" s="16" t="str">
        <f aca="false">IF($B11="","",IF($H11&lt;&gt;"Yes","",IF(OR($D11="",$D11=0),"! No amount — this will project as $0",IF($F11="","! No next due date",IF(NOT(ISNUMBER($F11)),"! Next due date is not a date — type it as 8/21/2026",IF($E11="","! No frequency chosen",IF($F11&lt;StartDate-90,"! "&amp;TEXT($F11,"mmm d, yyyy")&amp;" is too far back to appear",IF($F11&gt;StartDate+730,"! "&amp;TEXT($F11,"mmm d, yyyy")&amp;" is years away — check it",IF($F11&gt;StartDate+90,"beyond the 13-week window","")))))))))</f>
        <v/>
      </c>
    </row>
    <row r="12" customFormat="false" ht="15" hidden="false" customHeight="true" outlineLevel="0" collapsed="false">
      <c r="A12" s="17" t="n">
        <v>8</v>
      </c>
      <c r="B12" s="18" t="s">
        <v>66</v>
      </c>
      <c r="C12" s="19" t="s">
        <v>58</v>
      </c>
      <c r="D12" s="20" t="n">
        <v>163.5</v>
      </c>
      <c r="E12" s="19" t="s">
        <v>59</v>
      </c>
      <c r="F12" s="21" t="n">
        <v>46273</v>
      </c>
      <c r="G12" s="19" t="s">
        <v>53</v>
      </c>
      <c r="H12" s="19" t="s">
        <v>54</v>
      </c>
      <c r="I12" s="18" t="s">
        <v>67</v>
      </c>
      <c r="J12" s="18"/>
      <c r="K12" s="22" t="str">
        <f aca="false">IF($B12="","",IF($H12&lt;&gt;"Yes","",IF(OR($D12="",$D12=0),"! No amount — this will project as $0",IF($F12="","! No next due date",IF(NOT(ISNUMBER($F12)),"! Next due date is not a date — type it as 8/21/2026",IF($E12="","! No frequency chosen",IF($F12&lt;StartDate-90,"! "&amp;TEXT($F12,"mmm d, yyyy")&amp;" is too far back to appear",IF($F12&gt;StartDate+730,"! "&amp;TEXT($F12,"mmm d, yyyy")&amp;" is years away — check it",IF($F12&gt;StartDate+90,"beyond the 13-week window","")))))))))</f>
        <v/>
      </c>
    </row>
    <row r="13" customFormat="false" ht="15" hidden="false" customHeight="true" outlineLevel="0" collapsed="false">
      <c r="A13" s="11" t="n">
        <v>9</v>
      </c>
      <c r="B13" s="12" t="s">
        <v>68</v>
      </c>
      <c r="C13" s="13" t="s">
        <v>58</v>
      </c>
      <c r="D13" s="14" t="n">
        <v>2.99</v>
      </c>
      <c r="E13" s="13" t="s">
        <v>59</v>
      </c>
      <c r="F13" s="15" t="n">
        <v>46278</v>
      </c>
      <c r="G13" s="13" t="s">
        <v>53</v>
      </c>
      <c r="H13" s="13" t="s">
        <v>54</v>
      </c>
      <c r="I13" s="12" t="s">
        <v>60</v>
      </c>
      <c r="J13" s="12"/>
      <c r="K13" s="16" t="str">
        <f aca="false">IF($B13="","",IF($H13&lt;&gt;"Yes","",IF(OR($D13="",$D13=0),"! No amount — this will project as $0",IF($F13="","! No next due date",IF(NOT(ISNUMBER($F13)),"! Next due date is not a date — type it as 8/21/2026",IF($E13="","! No frequency chosen",IF($F13&lt;StartDate-90,"! "&amp;TEXT($F13,"mmm d, yyyy")&amp;" is too far back to appear",IF($F13&gt;StartDate+730,"! "&amp;TEXT($F13,"mmm d, yyyy")&amp;" is years away — check it",IF($F13&gt;StartDate+90,"beyond the 13-week window","")))))))))</f>
        <v/>
      </c>
    </row>
    <row r="14" customFormat="false" ht="15" hidden="false" customHeight="true" outlineLevel="0" collapsed="false">
      <c r="A14" s="17" t="n">
        <v>10</v>
      </c>
      <c r="B14" s="18" t="s">
        <v>69</v>
      </c>
      <c r="C14" s="19" t="s">
        <v>58</v>
      </c>
      <c r="D14" s="20" t="n">
        <v>350</v>
      </c>
      <c r="E14" s="19" t="s">
        <v>70</v>
      </c>
      <c r="F14" s="21" t="n">
        <v>46265</v>
      </c>
      <c r="G14" s="19" t="s">
        <v>71</v>
      </c>
      <c r="H14" s="19" t="s">
        <v>54</v>
      </c>
      <c r="I14" s="18" t="s">
        <v>72</v>
      </c>
      <c r="J14" s="18"/>
      <c r="K14" s="22" t="str">
        <f aca="false">IF($B14="","",IF($H14&lt;&gt;"Yes","",IF(OR($D14="",$D14=0),"! No amount — this will project as $0",IF($F14="","! No next due date",IF(NOT(ISNUMBER($F14)),"! Next due date is not a date — type it as 8/21/2026",IF($E14="","! No frequency chosen",IF($F14&lt;StartDate-90,"! "&amp;TEXT($F14,"mmm d, yyyy")&amp;" is too far back to appear",IF($F14&gt;StartDate+730,"! "&amp;TEXT($F14,"mmm d, yyyy")&amp;" is years away — check it",IF($F14&gt;StartDate+90,"beyond the 13-week window","")))))))))</f>
        <v/>
      </c>
    </row>
    <row r="15" customFormat="false" ht="15" hidden="false" customHeight="true" outlineLevel="0" collapsed="false">
      <c r="A15" s="11" t="n">
        <v>11</v>
      </c>
      <c r="B15" s="12" t="s">
        <v>73</v>
      </c>
      <c r="C15" s="13" t="s">
        <v>58</v>
      </c>
      <c r="D15" s="14" t="n">
        <v>171.1</v>
      </c>
      <c r="E15" s="13" t="s">
        <v>59</v>
      </c>
      <c r="F15" s="15" t="n">
        <v>46255</v>
      </c>
      <c r="G15" s="13" t="s">
        <v>53</v>
      </c>
      <c r="H15" s="13" t="s">
        <v>54</v>
      </c>
      <c r="I15" s="12" t="s">
        <v>67</v>
      </c>
      <c r="J15" s="12"/>
      <c r="K15" s="16" t="str">
        <f aca="false">IF($B15="","",IF($H15&lt;&gt;"Yes","",IF(OR($D15="",$D15=0),"! No amount — this will project as $0",IF($F15="","! No next due date",IF(NOT(ISNUMBER($F15)),"! Next due date is not a date — type it as 8/21/2026",IF($E15="","! No frequency chosen",IF($F15&lt;StartDate-90,"! "&amp;TEXT($F15,"mmm d, yyyy")&amp;" is too far back to appear",IF($F15&gt;StartDate+730,"! "&amp;TEXT($F15,"mmm d, yyyy")&amp;" is years away — check it",IF($F15&gt;StartDate+90,"beyond the 13-week window","")))))))))</f>
        <v/>
      </c>
    </row>
    <row r="16" customFormat="false" ht="15" hidden="false" customHeight="true" outlineLevel="0" collapsed="false">
      <c r="A16" s="17" t="n">
        <v>12</v>
      </c>
      <c r="B16" s="18" t="s">
        <v>74</v>
      </c>
      <c r="C16" s="19" t="s">
        <v>58</v>
      </c>
      <c r="D16" s="20" t="n">
        <v>45</v>
      </c>
      <c r="E16" s="19" t="s">
        <v>59</v>
      </c>
      <c r="F16" s="21" t="n">
        <v>46250</v>
      </c>
      <c r="G16" s="19" t="s">
        <v>53</v>
      </c>
      <c r="H16" s="19" t="s">
        <v>54</v>
      </c>
      <c r="I16" s="18" t="s">
        <v>75</v>
      </c>
      <c r="J16" s="18"/>
      <c r="K16" s="22" t="str">
        <f aca="false">IF($B16="","",IF($H16&lt;&gt;"Yes","",IF(OR($D16="",$D16=0),"! No amount — this will project as $0",IF($F16="","! No next due date",IF(NOT(ISNUMBER($F16)),"! Next due date is not a date — type it as 8/21/2026",IF($E16="","! No frequency chosen",IF($F16&lt;StartDate-90,"! "&amp;TEXT($F16,"mmm d, yyyy")&amp;" is too far back to appear",IF($F16&gt;StartDate+730,"! "&amp;TEXT($F16,"mmm d, yyyy")&amp;" is years away — check it",IF($F16&gt;StartDate+90,"beyond the 13-week window","")))))))))</f>
        <v/>
      </c>
    </row>
    <row r="17" customFormat="false" ht="15" hidden="false" customHeight="true" outlineLevel="0" collapsed="false">
      <c r="A17" s="11" t="n">
        <v>13</v>
      </c>
      <c r="B17" s="12" t="s">
        <v>76</v>
      </c>
      <c r="C17" s="13" t="s">
        <v>58</v>
      </c>
      <c r="D17" s="14"/>
      <c r="E17" s="13" t="s">
        <v>59</v>
      </c>
      <c r="F17" s="15" t="n">
        <v>46252</v>
      </c>
      <c r="G17" s="13" t="s">
        <v>53</v>
      </c>
      <c r="H17" s="13" t="s">
        <v>77</v>
      </c>
      <c r="I17" s="12" t="s">
        <v>60</v>
      </c>
      <c r="J17" s="12" t="s">
        <v>78</v>
      </c>
      <c r="K17" s="16" t="str">
        <f aca="false">IF($B17="","",IF($H17&lt;&gt;"Yes","",IF(OR($D17="",$D17=0),"! No amount — this will project as $0",IF($F17="","! No next due date",IF(NOT(ISNUMBER($F17)),"! Next due date is not a date — type it as 8/21/2026",IF($E17="","! No frequency chosen",IF($F17&lt;StartDate-90,"! "&amp;TEXT($F17,"mmm d, yyyy")&amp;" is too far back to appear",IF($F17&gt;StartDate+730,"! "&amp;TEXT($F17,"mmm d, yyyy")&amp;" is years away — check it",IF($F17&gt;StartDate+90,"beyond the 13-week window","")))))))))</f>
        <v/>
      </c>
    </row>
    <row r="18" customFormat="false" ht="15" hidden="false" customHeight="true" outlineLevel="0" collapsed="false">
      <c r="A18" s="17" t="n">
        <v>14</v>
      </c>
      <c r="B18" s="18" t="s">
        <v>79</v>
      </c>
      <c r="C18" s="19" t="s">
        <v>58</v>
      </c>
      <c r="D18" s="20" t="n">
        <v>13.7</v>
      </c>
      <c r="E18" s="19" t="s">
        <v>59</v>
      </c>
      <c r="F18" s="21" t="n">
        <v>46256</v>
      </c>
      <c r="G18" s="19" t="s">
        <v>53</v>
      </c>
      <c r="H18" s="19" t="s">
        <v>54</v>
      </c>
      <c r="I18" s="18" t="s">
        <v>60</v>
      </c>
      <c r="J18" s="18"/>
      <c r="K18" s="22" t="str">
        <f aca="false">IF($B18="","",IF($H18&lt;&gt;"Yes","",IF(OR($D18="",$D18=0),"! No amount — this will project as $0",IF($F18="","! No next due date",IF(NOT(ISNUMBER($F18)),"! Next due date is not a date — type it as 8/21/2026",IF($E18="","! No frequency chosen",IF($F18&lt;StartDate-90,"! "&amp;TEXT($F18,"mmm d, yyyy")&amp;" is too far back to appear",IF($F18&gt;StartDate+730,"! "&amp;TEXT($F18,"mmm d, yyyy")&amp;" is years away — check it",IF($F18&gt;StartDate+90,"beyond the 13-week window","")))))))))</f>
        <v/>
      </c>
    </row>
    <row r="19" customFormat="false" ht="15" hidden="false" customHeight="true" outlineLevel="0" collapsed="false">
      <c r="A19" s="11" t="n">
        <v>15</v>
      </c>
      <c r="B19" s="12" t="s">
        <v>80</v>
      </c>
      <c r="C19" s="13" t="s">
        <v>58</v>
      </c>
      <c r="D19" s="14" t="n">
        <v>65</v>
      </c>
      <c r="E19" s="13" t="s">
        <v>59</v>
      </c>
      <c r="F19" s="15" t="n">
        <v>46273</v>
      </c>
      <c r="G19" s="13" t="s">
        <v>53</v>
      </c>
      <c r="H19" s="13" t="s">
        <v>77</v>
      </c>
      <c r="I19" s="12" t="s">
        <v>67</v>
      </c>
      <c r="J19" s="12" t="s">
        <v>81</v>
      </c>
      <c r="K19" s="16" t="str">
        <f aca="false">IF($B19="","",IF($H19&lt;&gt;"Yes","",IF(OR($D19="",$D19=0),"! No amount — this will project as $0",IF($F19="","! No next due date",IF(NOT(ISNUMBER($F19)),"! Next due date is not a date — type it as 8/21/2026",IF($E19="","! No frequency chosen",IF($F19&lt;StartDate-90,"! "&amp;TEXT($F19,"mmm d, yyyy")&amp;" is too far back to appear",IF($F19&gt;StartDate+730,"! "&amp;TEXT($F19,"mmm d, yyyy")&amp;" is years away — check it",IF($F19&gt;StartDate+90,"beyond the 13-week window","")))))))))</f>
        <v/>
      </c>
    </row>
    <row r="20" customFormat="false" ht="15" hidden="false" customHeight="true" outlineLevel="0" collapsed="false">
      <c r="A20" s="17" t="n">
        <v>16</v>
      </c>
      <c r="B20" s="18" t="s">
        <v>82</v>
      </c>
      <c r="C20" s="19" t="s">
        <v>58</v>
      </c>
      <c r="D20" s="20" t="n">
        <v>150</v>
      </c>
      <c r="E20" s="19" t="s">
        <v>59</v>
      </c>
      <c r="F20" s="21" t="n">
        <v>46264</v>
      </c>
      <c r="G20" s="19" t="s">
        <v>53</v>
      </c>
      <c r="H20" s="19" t="s">
        <v>54</v>
      </c>
      <c r="I20" s="18" t="s">
        <v>75</v>
      </c>
      <c r="J20" s="18"/>
      <c r="K20" s="22" t="str">
        <f aca="false">IF($B20="","",IF($H20&lt;&gt;"Yes","",IF(OR($D20="",$D20=0),"! No amount — this will project as $0",IF($F20="","! No next due date",IF(NOT(ISNUMBER($F20)),"! Next due date is not a date — type it as 8/21/2026",IF($E20="","! No frequency chosen",IF($F20&lt;StartDate-90,"! "&amp;TEXT($F20,"mmm d, yyyy")&amp;" is too far back to appear",IF($F20&gt;StartDate+730,"! "&amp;TEXT($F20,"mmm d, yyyy")&amp;" is years away — check it",IF($F20&gt;StartDate+90,"beyond the 13-week window","")))))))))</f>
        <v/>
      </c>
    </row>
    <row r="21" customFormat="false" ht="15" hidden="false" customHeight="true" outlineLevel="0" collapsed="false">
      <c r="A21" s="11" t="n">
        <v>17</v>
      </c>
      <c r="B21" s="12" t="s">
        <v>83</v>
      </c>
      <c r="C21" s="13" t="s">
        <v>58</v>
      </c>
      <c r="D21" s="14" t="n">
        <v>143.37</v>
      </c>
      <c r="E21" s="13" t="s">
        <v>59</v>
      </c>
      <c r="F21" s="15" t="n">
        <v>46265</v>
      </c>
      <c r="G21" s="13" t="s">
        <v>53</v>
      </c>
      <c r="H21" s="13" t="s">
        <v>54</v>
      </c>
      <c r="I21" s="12" t="s">
        <v>84</v>
      </c>
      <c r="J21" s="12"/>
      <c r="K21" s="16" t="str">
        <f aca="false">IF($B21="","",IF($H21&lt;&gt;"Yes","",IF(OR($D21="",$D21=0),"! No amount — this will project as $0",IF($F21="","! No next due date",IF(NOT(ISNUMBER($F21)),"! Next due date is not a date — type it as 8/21/2026",IF($E21="","! No frequency chosen",IF($F21&lt;StartDate-90,"! "&amp;TEXT($F21,"mmm d, yyyy")&amp;" is too far back to appear",IF($F21&gt;StartDate+730,"! "&amp;TEXT($F21,"mmm d, yyyy")&amp;" is years away — check it",IF($F21&gt;StartDate+90,"beyond the 13-week window","")))))))))</f>
        <v/>
      </c>
    </row>
    <row r="22" customFormat="false" ht="15" hidden="false" customHeight="true" outlineLevel="0" collapsed="false">
      <c r="A22" s="17" t="n">
        <v>18</v>
      </c>
      <c r="B22" s="12" t="s">
        <v>85</v>
      </c>
      <c r="C22" s="13" t="s">
        <v>58</v>
      </c>
      <c r="D22" s="23" t="n">
        <v>300</v>
      </c>
      <c r="E22" s="13" t="s">
        <v>86</v>
      </c>
      <c r="F22" s="24" t="n">
        <v>46256</v>
      </c>
      <c r="G22" s="13" t="s">
        <v>53</v>
      </c>
      <c r="H22" s="13" t="s">
        <v>54</v>
      </c>
      <c r="I22" s="12" t="s">
        <v>87</v>
      </c>
      <c r="J22" s="12" t="s">
        <v>88</v>
      </c>
      <c r="K22" s="16" t="str">
        <f aca="false">IF($B22="","",IF($H22&lt;&gt;"Yes","",IF(OR($D22="",$D22=0),"! No amount — this will project as $0",IF($F22="","! No next due date",IF(NOT(ISNUMBER($F22)),"! Next due date is not a date — type it as 8/21/2026",IF($E22="","! No frequency chosen",IF($F22&lt;StartDate-90,"! "&amp;TEXT($F22,"mmm d, yyyy")&amp;" is too far back to appear",IF($F22&gt;StartDate+730,"! "&amp;TEXT($F22,"mmm d, yyyy")&amp;" is years away — check it",IF($F22&gt;StartDate+90,"beyond the 13-week window","")))))))))</f>
        <v/>
      </c>
    </row>
    <row r="23" customFormat="false" ht="15" hidden="false" customHeight="true" outlineLevel="0" collapsed="false">
      <c r="A23" s="11" t="n">
        <v>19</v>
      </c>
      <c r="B23" s="12"/>
      <c r="C23" s="13"/>
      <c r="D23" s="14"/>
      <c r="E23" s="13"/>
      <c r="F23" s="15"/>
      <c r="G23" s="13"/>
      <c r="H23" s="13"/>
      <c r="I23" s="12"/>
      <c r="J23" s="12"/>
      <c r="K23" s="16" t="str">
        <f aca="false">IF($B23="","",IF($H23&lt;&gt;"Yes","",IF(OR($D23="",$D23=0),"! No amount — this will project as $0",IF($F23="","! No next due date",IF(NOT(ISNUMBER($F23)),"! Next due date is not a date — type it as 8/21/2026",IF($E23="","! No frequency chosen",IF($F23&lt;StartDate-90,"! "&amp;TEXT($F23,"mmm d, yyyy")&amp;" is too far back to appear",IF($F23&gt;StartDate+730,"! "&amp;TEXT($F23,"mmm d, yyyy")&amp;" is years away — check it",IF($F23&gt;StartDate+90,"beyond the 13-week window","")))))))))</f>
        <v/>
      </c>
    </row>
    <row r="24" customFormat="false" ht="15" hidden="false" customHeight="true" outlineLevel="0" collapsed="false">
      <c r="A24" s="17" t="n">
        <v>20</v>
      </c>
      <c r="B24" s="18"/>
      <c r="C24" s="19"/>
      <c r="D24" s="20"/>
      <c r="E24" s="19"/>
      <c r="F24" s="21"/>
      <c r="G24" s="19"/>
      <c r="H24" s="19"/>
      <c r="I24" s="18"/>
      <c r="J24" s="18"/>
      <c r="K24" s="22" t="str">
        <f aca="false">IF($B24="","",IF($H24&lt;&gt;"Yes","",IF(OR($D24="",$D24=0),"! No amount — this will project as $0",IF($F24="","! No next due date",IF(NOT(ISNUMBER($F24)),"! Next due date is not a date — type it as 8/21/2026",IF($E24="","! No frequency chosen",IF($F24&lt;StartDate-90,"! "&amp;TEXT($F24,"mmm d, yyyy")&amp;" is too far back to appear",IF($F24&gt;StartDate+730,"! "&amp;TEXT($F24,"mmm d, yyyy")&amp;" is years away — check it",IF($F24&gt;StartDate+90,"beyond the 13-week window","")))))))))</f>
        <v/>
      </c>
    </row>
    <row r="25" customFormat="false" ht="15" hidden="false" customHeight="true" outlineLevel="0" collapsed="false">
      <c r="A25" s="11" t="n">
        <v>21</v>
      </c>
      <c r="B25" s="12"/>
      <c r="C25" s="13"/>
      <c r="D25" s="14"/>
      <c r="E25" s="13"/>
      <c r="F25" s="15"/>
      <c r="G25" s="13"/>
      <c r="H25" s="13"/>
      <c r="I25" s="12"/>
      <c r="J25" s="12"/>
      <c r="K25" s="16" t="str">
        <f aca="false">IF($B25="","",IF($H25&lt;&gt;"Yes","",IF(OR($D25="",$D25=0),"! No amount — this will project as $0",IF($F25="","! No next due date",IF(NOT(ISNUMBER($F25)),"! Next due date is not a date — type it as 8/21/2026",IF($E25="","! No frequency chosen",IF($F25&lt;StartDate-90,"! "&amp;TEXT($F25,"mmm d, yyyy")&amp;" is too far back to appear",IF($F25&gt;StartDate+730,"! "&amp;TEXT($F25,"mmm d, yyyy")&amp;" is years away — check it",IF($F25&gt;StartDate+90,"beyond the 13-week window","")))))))))</f>
        <v/>
      </c>
    </row>
    <row r="26" customFormat="false" ht="15" hidden="false" customHeight="true" outlineLevel="0" collapsed="false">
      <c r="A26" s="17" t="n">
        <v>22</v>
      </c>
      <c r="B26" s="18"/>
      <c r="C26" s="19"/>
      <c r="D26" s="20"/>
      <c r="E26" s="19"/>
      <c r="F26" s="21"/>
      <c r="G26" s="19"/>
      <c r="H26" s="19"/>
      <c r="I26" s="18"/>
      <c r="J26" s="18"/>
      <c r="K26" s="22" t="str">
        <f aca="false">IF($B26="","",IF($H26&lt;&gt;"Yes","",IF(OR($D26="",$D26=0),"! No amount — this will project as $0",IF($F26="","! No next due date",IF(NOT(ISNUMBER($F26)),"! Next due date is not a date — type it as 8/21/2026",IF($E26="","! No frequency chosen",IF($F26&lt;StartDate-90,"! "&amp;TEXT($F26,"mmm d, yyyy")&amp;" is too far back to appear",IF($F26&gt;StartDate+730,"! "&amp;TEXT($F26,"mmm d, yyyy")&amp;" is years away — check it",IF($F26&gt;StartDate+90,"beyond the 13-week window","")))))))))</f>
        <v/>
      </c>
    </row>
    <row r="27" customFormat="false" ht="15" hidden="false" customHeight="true" outlineLevel="0" collapsed="false">
      <c r="A27" s="11" t="n">
        <v>23</v>
      </c>
      <c r="B27" s="12"/>
      <c r="C27" s="13"/>
      <c r="D27" s="14"/>
      <c r="E27" s="13"/>
      <c r="F27" s="15"/>
      <c r="G27" s="13"/>
      <c r="H27" s="13"/>
      <c r="I27" s="12"/>
      <c r="J27" s="12"/>
      <c r="K27" s="16" t="str">
        <f aca="false">IF($B27="","",IF($H27&lt;&gt;"Yes","",IF(OR($D27="",$D27=0),"! No amount — this will project as $0",IF($F27="","! No next due date",IF(NOT(ISNUMBER($F27)),"! Next due date is not a date — type it as 8/21/2026",IF($E27="","! No frequency chosen",IF($F27&lt;StartDate-90,"! "&amp;TEXT($F27,"mmm d, yyyy")&amp;" is too far back to appear",IF($F27&gt;StartDate+730,"! "&amp;TEXT($F27,"mmm d, yyyy")&amp;" is years away — check it",IF($F27&gt;StartDate+90,"beyond the 13-week window","")))))))))</f>
        <v/>
      </c>
    </row>
    <row r="28" customFormat="false" ht="15" hidden="false" customHeight="true" outlineLevel="0" collapsed="false">
      <c r="A28" s="17" t="n">
        <v>24</v>
      </c>
      <c r="B28" s="18"/>
      <c r="C28" s="19"/>
      <c r="D28" s="20"/>
      <c r="E28" s="19"/>
      <c r="F28" s="21"/>
      <c r="G28" s="19"/>
      <c r="H28" s="19"/>
      <c r="I28" s="18"/>
      <c r="J28" s="18"/>
      <c r="K28" s="22" t="str">
        <f aca="false">IF($B28="","",IF($H28&lt;&gt;"Yes","",IF(OR($D28="",$D28=0),"! No amount — this will project as $0",IF($F28="","! No next due date",IF(NOT(ISNUMBER($F28)),"! Next due date is not a date — type it as 8/21/2026",IF($E28="","! No frequency chosen",IF($F28&lt;StartDate-90,"! "&amp;TEXT($F28,"mmm d, yyyy")&amp;" is too far back to appear",IF($F28&gt;StartDate+730,"! "&amp;TEXT($F28,"mmm d, yyyy")&amp;" is years away — check it",IF($F28&gt;StartDate+90,"beyond the 13-week window","")))))))))</f>
        <v/>
      </c>
    </row>
    <row r="29" customFormat="false" ht="15" hidden="false" customHeight="true" outlineLevel="0" collapsed="false">
      <c r="A29" s="11" t="n">
        <v>25</v>
      </c>
      <c r="B29" s="12"/>
      <c r="C29" s="13"/>
      <c r="D29" s="14"/>
      <c r="E29" s="13"/>
      <c r="F29" s="15"/>
      <c r="G29" s="13"/>
      <c r="H29" s="13"/>
      <c r="I29" s="12"/>
      <c r="J29" s="12"/>
      <c r="K29" s="16" t="str">
        <f aca="false">IF($B29="","",IF($H29&lt;&gt;"Yes","",IF(OR($D29="",$D29=0),"! No amount — this will project as $0",IF($F29="","! No next due date",IF(NOT(ISNUMBER($F29)),"! Next due date is not a date — type it as 8/21/2026",IF($E29="","! No frequency chosen",IF($F29&lt;StartDate-90,"! "&amp;TEXT($F29,"mmm d, yyyy")&amp;" is too far back to appear",IF($F29&gt;StartDate+730,"! "&amp;TEXT($F29,"mmm d, yyyy")&amp;" is years away — check it",IF($F29&gt;StartDate+90,"beyond the 13-week window","")))))))))</f>
        <v/>
      </c>
    </row>
    <row r="30" customFormat="false" ht="15" hidden="false" customHeight="true" outlineLevel="0" collapsed="false">
      <c r="A30" s="17" t="n">
        <v>26</v>
      </c>
      <c r="B30" s="18"/>
      <c r="C30" s="19"/>
      <c r="D30" s="20"/>
      <c r="E30" s="19"/>
      <c r="F30" s="21"/>
      <c r="G30" s="19"/>
      <c r="H30" s="19"/>
      <c r="I30" s="18"/>
      <c r="J30" s="18"/>
      <c r="K30" s="22" t="str">
        <f aca="false">IF($B30="","",IF($H30&lt;&gt;"Yes","",IF(OR($D30="",$D30=0),"! No amount — this will project as $0",IF($F30="","! No next due date",IF(NOT(ISNUMBER($F30)),"! Next due date is not a date — type it as 8/21/2026",IF($E30="","! No frequency chosen",IF($F30&lt;StartDate-90,"! "&amp;TEXT($F30,"mmm d, yyyy")&amp;" is too far back to appear",IF($F30&gt;StartDate+730,"! "&amp;TEXT($F30,"mmm d, yyyy")&amp;" is years away — check it",IF($F30&gt;StartDate+90,"beyond the 13-week window","")))))))))</f>
        <v/>
      </c>
    </row>
    <row r="31" customFormat="false" ht="15" hidden="false" customHeight="true" outlineLevel="0" collapsed="false">
      <c r="A31" s="11" t="n">
        <v>27</v>
      </c>
      <c r="B31" s="12"/>
      <c r="C31" s="13"/>
      <c r="D31" s="14"/>
      <c r="E31" s="13"/>
      <c r="F31" s="15"/>
      <c r="G31" s="13"/>
      <c r="H31" s="13"/>
      <c r="I31" s="12"/>
      <c r="J31" s="12"/>
      <c r="K31" s="16" t="str">
        <f aca="false">IF($B31="","",IF($H31&lt;&gt;"Yes","",IF(OR($D31="",$D31=0),"! No amount — this will project as $0",IF($F31="","! No next due date",IF(NOT(ISNUMBER($F31)),"! Next due date is not a date — type it as 8/21/2026",IF($E31="","! No frequency chosen",IF($F31&lt;StartDate-90,"! "&amp;TEXT($F31,"mmm d, yyyy")&amp;" is too far back to appear",IF($F31&gt;StartDate+730,"! "&amp;TEXT($F31,"mmm d, yyyy")&amp;" is years away — check it",IF($F31&gt;StartDate+90,"beyond the 13-week window","")))))))))</f>
        <v/>
      </c>
    </row>
    <row r="32" customFormat="false" ht="15" hidden="false" customHeight="true" outlineLevel="0" collapsed="false">
      <c r="A32" s="17" t="n">
        <v>28</v>
      </c>
      <c r="B32" s="18"/>
      <c r="C32" s="19"/>
      <c r="D32" s="20"/>
      <c r="E32" s="19"/>
      <c r="F32" s="21"/>
      <c r="G32" s="19"/>
      <c r="H32" s="19"/>
      <c r="I32" s="18"/>
      <c r="J32" s="18"/>
      <c r="K32" s="22" t="str">
        <f aca="false">IF($B32="","",IF($H32&lt;&gt;"Yes","",IF(OR($D32="",$D32=0),"! No amount — this will project as $0",IF($F32="","! No next due date",IF(NOT(ISNUMBER($F32)),"! Next due date is not a date — type it as 8/21/2026",IF($E32="","! No frequency chosen",IF($F32&lt;StartDate-90,"! "&amp;TEXT($F32,"mmm d, yyyy")&amp;" is too far back to appear",IF($F32&gt;StartDate+730,"! "&amp;TEXT($F32,"mmm d, yyyy")&amp;" is years away — check it",IF($F32&gt;StartDate+90,"beyond the 13-week window","")))))))))</f>
        <v/>
      </c>
    </row>
    <row r="33" customFormat="false" ht="15" hidden="false" customHeight="true" outlineLevel="0" collapsed="false">
      <c r="A33" s="11" t="n">
        <v>29</v>
      </c>
      <c r="B33" s="12"/>
      <c r="C33" s="13"/>
      <c r="D33" s="14"/>
      <c r="E33" s="13"/>
      <c r="F33" s="15"/>
      <c r="G33" s="13"/>
      <c r="H33" s="13"/>
      <c r="I33" s="12"/>
      <c r="J33" s="12"/>
      <c r="K33" s="16" t="str">
        <f aca="false">IF($B33="","",IF($H33&lt;&gt;"Yes","",IF(OR($D33="",$D33=0),"! No amount — this will project as $0",IF($F33="","! No next due date",IF(NOT(ISNUMBER($F33)),"! Next due date is not a date — type it as 8/21/2026",IF($E33="","! No frequency chosen",IF($F33&lt;StartDate-90,"! "&amp;TEXT($F33,"mmm d, yyyy")&amp;" is too far back to appear",IF($F33&gt;StartDate+730,"! "&amp;TEXT($F33,"mmm d, yyyy")&amp;" is years away — check it",IF($F33&gt;StartDate+90,"beyond the 13-week window","")))))))))</f>
        <v/>
      </c>
    </row>
    <row r="34" customFormat="false" ht="15" hidden="false" customHeight="true" outlineLevel="0" collapsed="false">
      <c r="A34" s="17" t="n">
        <v>30</v>
      </c>
      <c r="B34" s="18"/>
      <c r="C34" s="19"/>
      <c r="D34" s="20"/>
      <c r="E34" s="19"/>
      <c r="F34" s="21"/>
      <c r="G34" s="19"/>
      <c r="H34" s="19"/>
      <c r="I34" s="18"/>
      <c r="J34" s="18"/>
      <c r="K34" s="22" t="str">
        <f aca="false">IF($B34="","",IF($H34&lt;&gt;"Yes","",IF(OR($D34="",$D34=0),"! No amount — this will project as $0",IF($F34="","! No next due date",IF(NOT(ISNUMBER($F34)),"! Next due date is not a date — type it as 8/21/2026",IF($E34="","! No frequency chosen",IF($F34&lt;StartDate-90,"! "&amp;TEXT($F34,"mmm d, yyyy")&amp;" is too far back to appear",IF($F34&gt;StartDate+730,"! "&amp;TEXT($F34,"mmm d, yyyy")&amp;" is years away — check it",IF($F34&gt;StartDate+90,"beyond the 13-week window","")))))))))</f>
        <v/>
      </c>
    </row>
    <row r="36" customFormat="false" ht="74.25" hidden="false" customHeight="true" outlineLevel="0" collapsed="false">
      <c r="B36" s="9" t="s">
        <v>89</v>
      </c>
    </row>
    <row r="37" customFormat="false" ht="32.25" hidden="false" customHeight="true" outlineLevel="0" collapsed="false">
      <c r="B37" s="9" t="s">
        <v>90</v>
      </c>
    </row>
    <row r="38" customFormat="false" ht="15" hidden="false" customHeight="true" outlineLevel="0" collapsed="false">
      <c r="B38" s="25" t="s">
        <v>91</v>
      </c>
    </row>
  </sheetData>
  <autoFilter ref="A4:K34"/>
  <conditionalFormatting sqref="B5:K34">
    <cfRule type="expression" priority="2" aboveAverage="0" equalAverage="0" bottom="0" percent="0" rank="0" text="" dxfId="9">
      <formula>$B5=""</formula>
    </cfRule>
  </conditionalFormatting>
  <conditionalFormatting sqref="A5:K34">
    <cfRule type="expression" priority="3" aboveAverage="0" equalAverage="0" bottom="0" percent="0" rank="0" text="" dxfId="10">
      <formula>AND($B5&lt;&gt;"",$H5="No")</formula>
    </cfRule>
  </conditionalFormatting>
  <dataValidations count="4">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C5:C34" type="list">
      <formula1>"Income,Expense"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E5:E34" type="list">
      <formula1>"Weekly,Every 2 Weeks,Monthly,Twice a Month,One Time"</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G5:G34" type="list">
      <formula1>"None,Move Before,Move After"</formula1>
      <formula2>0</formula2>
    </dataValidation>
    <dataValidation allowBlank="true" error="The Schedule tab only recognises the listed values, so anything else will not generate dates. Choose Yes to enter it anyway." errorStyle="warning" errorTitle="Not one of the listed values" operator="between" showDropDown="false" showErrorMessage="false" showInputMessage="false" sqref="H5:H34" type="list">
      <formula1>"Yes,No"</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R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57421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19"/>
    <col collapsed="false" customWidth="true" hidden="false" outlineLevel="0" max="4" min="4" style="0" width="13"/>
    <col collapsed="false" customWidth="true" hidden="false" outlineLevel="0" max="5" min="5" style="0" width="15"/>
    <col collapsed="false" customWidth="true" hidden="false" outlineLevel="0" max="6" min="6" style="0" width="16"/>
    <col collapsed="false" customWidth="true" hidden="false" outlineLevel="0" max="7" min="7" style="0" width="17"/>
    <col collapsed="false" customWidth="true" hidden="false" outlineLevel="0" max="9" min="8" style="0" width="16"/>
    <col collapsed="false" customWidth="true" hidden="false" outlineLevel="0" max="10" min="10" style="0" width="15"/>
    <col collapsed="false" customWidth="true" hidden="false" outlineLevel="0" max="12" min="11" style="0" width="12"/>
    <col collapsed="false" customWidth="true" hidden="true" outlineLevel="0" max="13" min="13" style="0" width="11"/>
    <col collapsed="false" customWidth="true" hidden="true" outlineLevel="0" max="16" min="14" style="0" width="12"/>
    <col collapsed="false" customWidth="true" hidden="false" outlineLevel="0" max="18" min="17" style="0" width="10"/>
  </cols>
  <sheetData>
    <row r="1" customFormat="false" ht="19.5" hidden="false" customHeight="true" outlineLevel="0" collapsed="false">
      <c r="B1" s="1" t="s">
        <v>92</v>
      </c>
    </row>
    <row r="2" customFormat="false" ht="15" hidden="false" customHeight="true" outlineLevel="0" collapsed="false">
      <c r="B2" s="2" t="s">
        <v>93</v>
      </c>
    </row>
    <row r="3" customFormat="false" ht="15" hidden="false" customHeight="true" outlineLevel="0" collapsed="false">
      <c r="B3" s="3" t="s">
        <v>94</v>
      </c>
    </row>
    <row r="4" customFormat="false" ht="15.75" hidden="false" customHeight="true" outlineLevel="0" collapsed="false">
      <c r="B4" s="26" t="s">
        <v>95</v>
      </c>
      <c r="C4" s="26"/>
      <c r="D4" s="27" t="n">
        <f aca="false">BeginningBalance+SUM($N$13:$N$25)-SUM($O$13:$O$25)</f>
        <v>168.67</v>
      </c>
      <c r="E4" s="27"/>
      <c r="F4" s="26" t="s">
        <v>96</v>
      </c>
      <c r="G4" s="26"/>
      <c r="H4" s="28" t="n">
        <f aca="false">MinCushion</f>
        <v>200</v>
      </c>
      <c r="I4" s="28"/>
      <c r="J4" s="28"/>
      <c r="N4" s="25" t="n">
        <f aca="false">IF(COUNT(Schedule!$N$4:$N$483)=0,"",MIN(Schedule!$N$4:$N$483))</f>
        <v>4626000005</v>
      </c>
    </row>
    <row r="5" customFormat="false" ht="15.75" hidden="false" customHeight="true" outlineLevel="0" collapsed="false">
      <c r="B5" s="26" t="s">
        <v>97</v>
      </c>
      <c r="C5" s="26"/>
      <c r="D5" s="27" t="n">
        <f aca="false">IF($N$4="","",MIN($D$4,MIN($P$13:$P$25)))</f>
        <v>168.67</v>
      </c>
      <c r="E5" s="27"/>
      <c r="F5" s="26" t="s">
        <v>98</v>
      </c>
      <c r="G5" s="26"/>
      <c r="H5" s="28" t="n">
        <f aca="false">MAX(0,MinCushion-MIN($J$13:$J$25))</f>
        <v>629.94</v>
      </c>
      <c r="I5" s="28"/>
      <c r="J5" s="28"/>
      <c r="N5" s="25" t="n">
        <f aca="false">IF(COUNT(Schedule!$M$4:$M$483)=0,"",MIN(Schedule!$M$4:$M$483))</f>
        <v>4626400244</v>
      </c>
    </row>
    <row r="6" customFormat="false" ht="15.75" hidden="false" customHeight="true" outlineLevel="0" collapsed="false">
      <c r="B6" s="26" t="s">
        <v>99</v>
      </c>
      <c r="C6" s="26"/>
      <c r="D6" s="27" t="n">
        <f aca="false">MIN($J$13:$J$25)</f>
        <v>-429.94</v>
      </c>
      <c r="E6" s="27"/>
      <c r="F6" s="26" t="s">
        <v>100</v>
      </c>
      <c r="G6" s="26"/>
      <c r="H6" s="29" t="str">
        <f aca="false">COUNTIF($J$13:$J$25,"&lt;0")&amp;" of 13"</f>
        <v>11 of 13</v>
      </c>
      <c r="I6" s="29"/>
      <c r="J6" s="29"/>
      <c r="N6" s="30" t="n">
        <f aca="false">IF($N$4="","",INT($N$4/100000))</f>
        <v>46260</v>
      </c>
    </row>
    <row r="7" customFormat="false" ht="15.75" hidden="false" customHeight="true" outlineLevel="0" collapsed="false">
      <c r="B7" s="26" t="s">
        <v>101</v>
      </c>
      <c r="C7" s="26"/>
      <c r="D7" s="27" t="n">
        <f aca="false">$I$25</f>
        <v>-208.68</v>
      </c>
      <c r="E7" s="27"/>
      <c r="F7" s="26" t="s">
        <v>102</v>
      </c>
      <c r="G7" s="26"/>
      <c r="H7" s="29" t="str">
        <f aca="false">IF($N$5="","none over $100",$N$10&amp;"  "&amp;TEXT($N$11,"$#,##0.00")&amp;"  on "&amp;TEXT($N$9,"ddd mmm d"))</f>
        <v>Maine Revenue Services (2)  $150.00  on Sun Aug 30</v>
      </c>
      <c r="I7" s="29"/>
      <c r="J7" s="29"/>
      <c r="N7" s="25" t="str">
        <f aca="false">IF($N$4="","",INDEX(Schedule!$C$4:$C$483,MATCH($N$4,Schedule!$N$4:$N$483,0)))</f>
        <v>Bruno's Restaurant (paycheck)</v>
      </c>
    </row>
    <row r="8" customFormat="false" ht="15" hidden="false" customHeight="true" outlineLevel="0" collapsed="false">
      <c r="B8" s="26" t="s">
        <v>103</v>
      </c>
      <c r="C8" s="26"/>
      <c r="D8" s="31" t="str">
        <f aca="false">IF($N$4="","none scheduled",$N$7&amp;"  "&amp;TEXT($N$8,"$#,##0.00")&amp;"  on "&amp;TEXT($N$6,"ddd mmm d"))</f>
        <v>Bruno's Restaurant (paycheck)  $90.00  on Wed Aug 26</v>
      </c>
      <c r="E8" s="31"/>
      <c r="F8" s="26" t="s">
        <v>104</v>
      </c>
      <c r="G8" s="26"/>
      <c r="H8" s="32" t="str">
        <f aca="false">IF(COUNTIF(Recurring!$K$5:$K$34,"!*")=0,"All recurring items complete","! "&amp;COUNTIF(Recurring!$K$5:$K$34,"!*")&amp;" recurring item(s) need attention — see the Recurring tab")</f>
        <v>All recurring items complete</v>
      </c>
      <c r="I8" s="32"/>
      <c r="J8" s="32"/>
      <c r="K8" s="32"/>
      <c r="L8" s="32"/>
      <c r="N8" s="33" t="n">
        <f aca="false">IF($N$4="","",INDEX(Schedule!$E$4:$E$483,MATCH($N$4,Schedule!$N$4:$N$483,0)))</f>
        <v>90</v>
      </c>
    </row>
    <row r="9" customFormat="false" ht="15" hidden="false" customHeight="true" outlineLevel="0" collapsed="false">
      <c r="B9" s="6"/>
      <c r="E9" s="34"/>
      <c r="N9" s="30" t="n">
        <f aca="false">IF($N$5="","",INT($N$5/100000))</f>
        <v>46264</v>
      </c>
    </row>
    <row r="10" customFormat="false" ht="25.5" hidden="false" customHeight="true" outlineLevel="0" collapsed="false">
      <c r="B10" s="35" t="s">
        <v>105</v>
      </c>
      <c r="C10" s="35"/>
      <c r="D10" s="35"/>
      <c r="E10" s="35"/>
      <c r="F10" s="35"/>
      <c r="G10" s="35"/>
      <c r="H10" s="35"/>
      <c r="I10" s="35"/>
      <c r="J10" s="35"/>
      <c r="K10" s="35"/>
      <c r="L10" s="35"/>
      <c r="N10" s="25" t="str">
        <f aca="false">IF($N$5="","",INDEX(Schedule!$C$4:$C$483,MATCH($N$5,Schedule!$M$4:$M$483,0)))</f>
        <v>Maine Revenue Services (2)</v>
      </c>
    </row>
    <row r="11" customFormat="false" ht="15" hidden="false" customHeight="true" outlineLevel="0" collapsed="false">
      <c r="N11" s="33" t="n">
        <f aca="false">IF($N$5="","",INDEX(Schedule!$E$4:$E$483,MATCH($N$5,Schedule!$M$4:$M$483,0)))</f>
        <v>150</v>
      </c>
    </row>
    <row r="12" customFormat="false" ht="31.5" hidden="false" customHeight="true" outlineLevel="0" collapsed="false">
      <c r="B12" s="10" t="s">
        <v>106</v>
      </c>
      <c r="C12" s="10" t="s">
        <v>107</v>
      </c>
      <c r="D12" s="36" t="s">
        <v>108</v>
      </c>
      <c r="E12" s="37" t="s">
        <v>109</v>
      </c>
      <c r="F12" s="37" t="s">
        <v>110</v>
      </c>
      <c r="G12" s="38" t="s">
        <v>18</v>
      </c>
      <c r="H12" s="10" t="s">
        <v>111</v>
      </c>
      <c r="I12" s="10" t="s">
        <v>112</v>
      </c>
      <c r="J12" s="10" t="s">
        <v>16</v>
      </c>
      <c r="K12" s="10" t="s">
        <v>113</v>
      </c>
      <c r="L12" s="10" t="s">
        <v>14</v>
      </c>
      <c r="M12" s="10" t="s">
        <v>114</v>
      </c>
      <c r="Q12" s="39" t="s">
        <v>115</v>
      </c>
      <c r="R12" s="39" t="s">
        <v>116</v>
      </c>
    </row>
    <row r="13" customFormat="false" ht="15" hidden="false" customHeight="true" outlineLevel="0" collapsed="false">
      <c r="B13" s="11" t="n">
        <v>1</v>
      </c>
      <c r="C13" s="40" t="n">
        <f aca="false">'Cash Flow'!$E$6+0</f>
        <v>46249</v>
      </c>
      <c r="D13" s="41" t="n">
        <f aca="false">SUM('Cash Flow'!$G$15:$G$65)</f>
        <v>950.99</v>
      </c>
      <c r="E13" s="41" t="n">
        <f aca="false">SUM('Cash Flow'!$H$15:$H$24)</f>
        <v>45</v>
      </c>
      <c r="F13" s="41" t="n">
        <f aca="false">SUM('Cash Flow'!$H$26:$H$65)</f>
        <v>621.74</v>
      </c>
      <c r="G13" s="42" t="n">
        <f aca="false">$D13-$E13-$F13</f>
        <v>284.25</v>
      </c>
      <c r="H13" s="43" t="n">
        <f aca="false">'Cash Flow'!$I$13</f>
        <v>228.41</v>
      </c>
      <c r="I13" s="44" t="n">
        <f aca="false">'Cash Flow'!$I$66</f>
        <v>512.66</v>
      </c>
      <c r="J13" s="44" t="n">
        <f aca="false">MIN('Cash Flow'!$I$15:$I$65)</f>
        <v>-262.64</v>
      </c>
      <c r="K13" s="45" t="n">
        <f aca="false">IFERROR(INDEX('Cash Flow'!$C$15:$C$65,MATCH(MIN('Cash Flow'!$I$15:$I$65),'Cash Flow'!$I$15:$I$65,0)),"")</f>
        <v>46254</v>
      </c>
      <c r="L13" s="46" t="str">
        <f aca="false">IF($J13&lt;0,"SHORTFALL",IF($J13&lt;'Cash Flow'!$E$7,"TIGHT","OK"))</f>
        <v>SHORTFALL</v>
      </c>
      <c r="M13" s="47" t="n">
        <f aca="false">IF($J13&lt;0,$B13,999)</f>
        <v>1</v>
      </c>
      <c r="N13" s="33" t="n">
        <f aca="true">SUMIFS('Cash Flow'!$G$15:$G$65,'Cash Flow'!$C$15:$C$65,"&lt;="&amp;TODAY())</f>
        <v>950.99</v>
      </c>
      <c r="O13" s="33" t="n">
        <f aca="true">SUMIFS('Cash Flow'!$H$15:$H$65,'Cash Flow'!$C$15:$C$65,"&lt;="&amp;TODAY())</f>
        <v>666.74</v>
      </c>
      <c r="P13" s="33" t="str">
        <f aca="true">IF($N$4="","",IF(COUNTIFS('Cash Flow'!$C$15:$C$65,"&gt;="&amp;TODAY(),'Cash Flow'!$C$15:$C$65,"&lt;="&amp;$N$6)=0,"",_xlfn.MINIFS('Cash Flow'!$I$15:$I$65,'Cash Flow'!$C$15:$C$65,"&gt;="&amp;TODAY(),'Cash Flow'!$C$15:$C$65,"&lt;="&amp;$N$6)))</f>
        <v/>
      </c>
      <c r="Q13" s="33" t="n">
        <v>0</v>
      </c>
      <c r="R13" s="33" t="n">
        <f aca="false">MinCushion</f>
        <v>200</v>
      </c>
    </row>
    <row r="14" customFormat="false" ht="15" hidden="false" customHeight="true" outlineLevel="0" collapsed="false">
      <c r="B14" s="17" t="n">
        <v>2</v>
      </c>
      <c r="C14" s="48" t="n">
        <f aca="false">'Cash Flow'!$E$6+7</f>
        <v>46256</v>
      </c>
      <c r="D14" s="49" t="n">
        <f aca="false">SUM('Cash Flow'!$G$70:$G$120)</f>
        <v>835</v>
      </c>
      <c r="E14" s="49" t="n">
        <f aca="false">SUM('Cash Flow'!$H$70:$H$79)</f>
        <v>313.7</v>
      </c>
      <c r="F14" s="49" t="n">
        <f aca="false">SUM('Cash Flow'!$H$81:$H$120)</f>
        <v>400</v>
      </c>
      <c r="G14" s="42" t="n">
        <f aca="false">$D14-$E14-$F14</f>
        <v>121.3</v>
      </c>
      <c r="H14" s="50" t="n">
        <f aca="false">'Cash Flow'!$I$68</f>
        <v>512.66</v>
      </c>
      <c r="I14" s="51" t="n">
        <f aca="false">'Cash Flow'!$I$121</f>
        <v>633.96</v>
      </c>
      <c r="J14" s="51" t="n">
        <f aca="false">MIN('Cash Flow'!$I$70:$I$120)</f>
        <v>168.67</v>
      </c>
      <c r="K14" s="52" t="n">
        <f aca="false">IFERROR(INDEX('Cash Flow'!$C$70:$C$120,MATCH(MIN('Cash Flow'!$I$70:$I$120),'Cash Flow'!$I$70:$I$120,0)),"")</f>
        <v>46256</v>
      </c>
      <c r="L14" s="53" t="str">
        <f aca="false">IF($J14&lt;0,"SHORTFALL",IF($J14&lt;'Cash Flow'!$E$7,"TIGHT","OK"))</f>
        <v>TIGHT</v>
      </c>
      <c r="M14" s="47" t="n">
        <f aca="false">IF($J14&lt;0,$B14,999)</f>
        <v>999</v>
      </c>
      <c r="N14" s="33" t="n">
        <f aca="true">SUMIFS('Cash Flow'!$G$70:$G$120,'Cash Flow'!$C$70:$C$120,"&lt;="&amp;TODAY())</f>
        <v>0</v>
      </c>
      <c r="O14" s="33" t="n">
        <f aca="true">SUMIFS('Cash Flow'!$H$70:$H$120,'Cash Flow'!$C$70:$C$120,"&lt;="&amp;TODAY())</f>
        <v>343.99</v>
      </c>
      <c r="P14" s="33" t="n">
        <f aca="true">IF($N$4="","",IF(COUNTIFS('Cash Flow'!$C$70:$C$120,"&gt;="&amp;TODAY(),'Cash Flow'!$C$70:$C$120,"&lt;="&amp;$N$6)=0,"",_xlfn.MINIFS('Cash Flow'!$I$70:$I$120,'Cash Flow'!$C$70:$C$120,"&gt;="&amp;TODAY(),'Cash Flow'!$C$70:$C$120,"&lt;="&amp;$N$6)))</f>
        <v>258.67</v>
      </c>
      <c r="Q14" s="33" t="n">
        <v>0</v>
      </c>
      <c r="R14" s="33" t="n">
        <f aca="false">MinCushion</f>
        <v>200</v>
      </c>
    </row>
    <row r="15" customFormat="false" ht="15" hidden="false" customHeight="true" outlineLevel="0" collapsed="false">
      <c r="B15" s="11" t="n">
        <v>3</v>
      </c>
      <c r="C15" s="40" t="n">
        <f aca="false">'Cash Flow'!$E$6+14</f>
        <v>46263</v>
      </c>
      <c r="D15" s="41" t="n">
        <f aca="false">SUM('Cash Flow'!$G$125:$G$175)</f>
        <v>835</v>
      </c>
      <c r="E15" s="41" t="n">
        <f aca="false">SUM('Cash Flow'!$H$125:$H$134)</f>
        <v>664.47</v>
      </c>
      <c r="F15" s="41" t="n">
        <f aca="false">SUM('Cash Flow'!$H$136:$H$175)</f>
        <v>400</v>
      </c>
      <c r="G15" s="42" t="n">
        <f aca="false">$D15-$E15-$F15</f>
        <v>-229.47</v>
      </c>
      <c r="H15" s="43" t="n">
        <f aca="false">'Cash Flow'!$I$123</f>
        <v>633.96</v>
      </c>
      <c r="I15" s="44" t="n">
        <f aca="false">'Cash Flow'!$I$176</f>
        <v>404.49</v>
      </c>
      <c r="J15" s="44" t="n">
        <f aca="false">MIN('Cash Flow'!$I$125:$I$175)</f>
        <v>-9.40999999999997</v>
      </c>
      <c r="K15" s="45" t="n">
        <f aca="false">IFERROR(INDEX('Cash Flow'!$C$125:$C$175,MATCH(MIN('Cash Flow'!$I$125:$I$175),'Cash Flow'!$I$125:$I$175,0)),"")</f>
        <v>46265</v>
      </c>
      <c r="L15" s="46" t="str">
        <f aca="false">IF($J15&lt;0,"SHORTFALL",IF($J15&lt;'Cash Flow'!$E$7,"TIGHT","OK"))</f>
        <v>SHORTFALL</v>
      </c>
      <c r="M15" s="47" t="n">
        <f aca="false">IF($J15&lt;0,$B15,999)</f>
        <v>3</v>
      </c>
      <c r="N15" s="33" t="n">
        <f aca="true">SUMIFS('Cash Flow'!$G$125:$G$175,'Cash Flow'!$C$125:$C$175,"&lt;="&amp;TODAY())</f>
        <v>0</v>
      </c>
      <c r="O15" s="33" t="n">
        <f aca="true">SUMIFS('Cash Flow'!$H$125:$H$175,'Cash Flow'!$C$125:$C$175,"&lt;="&amp;TODAY())</f>
        <v>0</v>
      </c>
      <c r="P15" s="33" t="str">
        <f aca="true">IF($N$4="","",IF(COUNTIFS('Cash Flow'!$C$125:$C$175,"&gt;="&amp;TODAY(),'Cash Flow'!$C$125:$C$175,"&lt;="&amp;$N$6)=0,"",_xlfn.MINIFS('Cash Flow'!$I$125:$I$175,'Cash Flow'!$C$125:$C$175,"&gt;="&amp;TODAY(),'Cash Flow'!$C$125:$C$175,"&lt;="&amp;$N$6)))</f>
        <v/>
      </c>
      <c r="Q15" s="33" t="n">
        <v>0</v>
      </c>
      <c r="R15" s="33" t="n">
        <f aca="false">MinCushion</f>
        <v>200</v>
      </c>
    </row>
    <row r="16" customFormat="false" ht="15" hidden="false" customHeight="true" outlineLevel="0" collapsed="false">
      <c r="B16" s="17" t="n">
        <v>4</v>
      </c>
      <c r="C16" s="48" t="n">
        <f aca="false">'Cash Flow'!$E$6+21</f>
        <v>46270</v>
      </c>
      <c r="D16" s="49" t="n">
        <f aca="false">SUM('Cash Flow'!$G$180:$G$230)</f>
        <v>835</v>
      </c>
      <c r="E16" s="49" t="n">
        <f aca="false">SUM('Cash Flow'!$H$180:$H$189)</f>
        <v>718.68</v>
      </c>
      <c r="F16" s="49" t="n">
        <f aca="false">SUM('Cash Flow'!$H$191:$H$230)</f>
        <v>400</v>
      </c>
      <c r="G16" s="42" t="n">
        <f aca="false">$D16-$E16-$F16</f>
        <v>-283.68</v>
      </c>
      <c r="H16" s="50" t="n">
        <f aca="false">'Cash Flow'!$I$178</f>
        <v>404.49</v>
      </c>
      <c r="I16" s="51" t="n">
        <f aca="false">'Cash Flow'!$I$231</f>
        <v>120.81</v>
      </c>
      <c r="J16" s="51" t="n">
        <f aca="false">MIN('Cash Flow'!$I$180:$I$230)</f>
        <v>-314.19</v>
      </c>
      <c r="K16" s="52" t="n">
        <f aca="false">IFERROR(INDEX('Cash Flow'!$C$180:$C$230,MATCH(MIN('Cash Flow'!$I$180:$I$230),'Cash Flow'!$I$180:$I$230,0)),"")</f>
        <v>46273</v>
      </c>
      <c r="L16" s="53" t="str">
        <f aca="false">IF($J16&lt;0,"SHORTFALL",IF($J16&lt;'Cash Flow'!$E$7,"TIGHT","OK"))</f>
        <v>SHORTFALL</v>
      </c>
      <c r="M16" s="47" t="n">
        <f aca="false">IF($J16&lt;0,$B16,999)</f>
        <v>4</v>
      </c>
      <c r="N16" s="33" t="n">
        <f aca="true">SUMIFS('Cash Flow'!$G$180:$G$230,'Cash Flow'!$C$180:$C$230,"&lt;="&amp;TODAY())</f>
        <v>0</v>
      </c>
      <c r="O16" s="33" t="n">
        <f aca="true">SUMIFS('Cash Flow'!$H$180:$H$230,'Cash Flow'!$C$180:$C$230,"&lt;="&amp;TODAY())</f>
        <v>0</v>
      </c>
      <c r="P16" s="33" t="str">
        <f aca="true">IF($N$4="","",IF(COUNTIFS('Cash Flow'!$C$180:$C$230,"&gt;="&amp;TODAY(),'Cash Flow'!$C$180:$C$230,"&lt;="&amp;$N$6)=0,"",_xlfn.MINIFS('Cash Flow'!$I$180:$I$230,'Cash Flow'!$C$180:$C$230,"&gt;="&amp;TODAY(),'Cash Flow'!$C$180:$C$230,"&lt;="&amp;$N$6)))</f>
        <v/>
      </c>
      <c r="Q16" s="33" t="n">
        <v>0</v>
      </c>
      <c r="R16" s="33" t="n">
        <f aca="false">MinCushion</f>
        <v>200</v>
      </c>
    </row>
    <row r="17" customFormat="false" ht="15" hidden="false" customHeight="true" outlineLevel="0" collapsed="false">
      <c r="B17" s="11" t="n">
        <v>5</v>
      </c>
      <c r="C17" s="40" t="n">
        <f aca="false">'Cash Flow'!$E$6+28</f>
        <v>46277</v>
      </c>
      <c r="D17" s="41" t="n">
        <f aca="false">SUM('Cash Flow'!$G$235:$G$285)</f>
        <v>835</v>
      </c>
      <c r="E17" s="41" t="n">
        <f aca="false">SUM('Cash Flow'!$H$235:$H$244)</f>
        <v>397.99</v>
      </c>
      <c r="F17" s="41" t="n">
        <f aca="false">SUM('Cash Flow'!$H$246:$H$285)</f>
        <v>400</v>
      </c>
      <c r="G17" s="42" t="n">
        <f aca="false">$D17-$E17-$F17</f>
        <v>37.01</v>
      </c>
      <c r="H17" s="43" t="n">
        <f aca="false">'Cash Flow'!$I$233</f>
        <v>120.81</v>
      </c>
      <c r="I17" s="44" t="n">
        <f aca="false">'Cash Flow'!$I$286</f>
        <v>157.82</v>
      </c>
      <c r="J17" s="44" t="n">
        <f aca="false">MIN('Cash Flow'!$I$235:$I$285)</f>
        <v>-232.18</v>
      </c>
      <c r="K17" s="45" t="n">
        <f aca="false">IFERROR(INDEX('Cash Flow'!$C$235:$C$285,MATCH(MIN('Cash Flow'!$I$235:$I$285),'Cash Flow'!$I$235:$I$285,0)),"")</f>
        <v>46280</v>
      </c>
      <c r="L17" s="46" t="str">
        <f aca="false">IF($J17&lt;0,"SHORTFALL",IF($J17&lt;'Cash Flow'!$E$7,"TIGHT","OK"))</f>
        <v>SHORTFALL</v>
      </c>
      <c r="M17" s="47" t="n">
        <f aca="false">IF($J17&lt;0,$B17,999)</f>
        <v>5</v>
      </c>
      <c r="N17" s="33" t="n">
        <f aca="true">SUMIFS('Cash Flow'!$G$235:$G$285,'Cash Flow'!$C$235:$C$285,"&lt;="&amp;TODAY())</f>
        <v>0</v>
      </c>
      <c r="O17" s="33" t="n">
        <f aca="true">SUMIFS('Cash Flow'!$H$235:$H$285,'Cash Flow'!$C$235:$C$285,"&lt;="&amp;TODAY())</f>
        <v>0</v>
      </c>
      <c r="P17" s="33" t="str">
        <f aca="true">IF($N$4="","",IF(COUNTIFS('Cash Flow'!$C$235:$C$285,"&gt;="&amp;TODAY(),'Cash Flow'!$C$235:$C$285,"&lt;="&amp;$N$6)=0,"",_xlfn.MINIFS('Cash Flow'!$I$235:$I$285,'Cash Flow'!$C$235:$C$285,"&gt;="&amp;TODAY(),'Cash Flow'!$C$235:$C$285,"&lt;="&amp;$N$6)))</f>
        <v/>
      </c>
      <c r="Q17" s="33" t="n">
        <v>0</v>
      </c>
      <c r="R17" s="33" t="n">
        <f aca="false">MinCushion</f>
        <v>200</v>
      </c>
    </row>
    <row r="18" customFormat="false" ht="15" hidden="false" customHeight="true" outlineLevel="0" collapsed="false">
      <c r="B18" s="17" t="n">
        <v>6</v>
      </c>
      <c r="C18" s="48" t="n">
        <f aca="false">'Cash Flow'!$E$6+35</f>
        <v>46284</v>
      </c>
      <c r="D18" s="49" t="n">
        <f aca="false">SUM('Cash Flow'!$G$290:$G$340)</f>
        <v>835</v>
      </c>
      <c r="E18" s="49" t="n">
        <f aca="false">SUM('Cash Flow'!$H$290:$H$299)</f>
        <v>184.8</v>
      </c>
      <c r="F18" s="49" t="n">
        <f aca="false">SUM('Cash Flow'!$H$301:$H$340)</f>
        <v>400</v>
      </c>
      <c r="G18" s="42" t="n">
        <f aca="false">$D18-$E18-$F18</f>
        <v>250.2</v>
      </c>
      <c r="H18" s="50" t="n">
        <f aca="false">'Cash Flow'!$I$288</f>
        <v>157.82</v>
      </c>
      <c r="I18" s="51" t="n">
        <f aca="false">'Cash Flow'!$I$341</f>
        <v>408.02</v>
      </c>
      <c r="J18" s="51" t="n">
        <f aca="false">MIN('Cash Flow'!$I$290:$I$340)</f>
        <v>-26.9799999999998</v>
      </c>
      <c r="K18" s="52" t="n">
        <f aca="false">IFERROR(INDEX('Cash Flow'!$C$290:$C$340,MATCH(MIN('Cash Flow'!$I$290:$I$340),'Cash Flow'!$I$290:$I$340,0)),"")</f>
        <v>46287</v>
      </c>
      <c r="L18" s="53" t="str">
        <f aca="false">IF($J18&lt;0,"SHORTFALL",IF($J18&lt;'Cash Flow'!$E$7,"TIGHT","OK"))</f>
        <v>SHORTFALL</v>
      </c>
      <c r="M18" s="47" t="n">
        <f aca="false">IF($J18&lt;0,$B18,999)</f>
        <v>6</v>
      </c>
      <c r="N18" s="33" t="n">
        <f aca="true">SUMIFS('Cash Flow'!$G$290:$G$340,'Cash Flow'!$C$290:$C$340,"&lt;="&amp;TODAY())</f>
        <v>0</v>
      </c>
      <c r="O18" s="33" t="n">
        <f aca="true">SUMIFS('Cash Flow'!$H$290:$H$340,'Cash Flow'!$C$290:$C$340,"&lt;="&amp;TODAY())</f>
        <v>0</v>
      </c>
      <c r="P18" s="33" t="str">
        <f aca="true">IF($N$4="","",IF(COUNTIFS('Cash Flow'!$C$290:$C$340,"&gt;="&amp;TODAY(),'Cash Flow'!$C$290:$C$340,"&lt;="&amp;$N$6)=0,"",_xlfn.MINIFS('Cash Flow'!$I$290:$I$340,'Cash Flow'!$C$290:$C$340,"&gt;="&amp;TODAY(),'Cash Flow'!$C$290:$C$340,"&lt;="&amp;$N$6)))</f>
        <v/>
      </c>
      <c r="Q18" s="33" t="n">
        <v>0</v>
      </c>
      <c r="R18" s="33" t="n">
        <f aca="false">MinCushion</f>
        <v>200</v>
      </c>
    </row>
    <row r="19" customFormat="false" ht="15" hidden="false" customHeight="true" outlineLevel="0" collapsed="false">
      <c r="B19" s="11" t="n">
        <v>7</v>
      </c>
      <c r="C19" s="40" t="n">
        <f aca="false">'Cash Flow'!$E$6+42</f>
        <v>46291</v>
      </c>
      <c r="D19" s="41" t="n">
        <f aca="false">SUM('Cash Flow'!$G$345:$G$395)</f>
        <v>835</v>
      </c>
      <c r="E19" s="41" t="n">
        <f aca="false">SUM('Cash Flow'!$H$345:$H$354)</f>
        <v>643.37</v>
      </c>
      <c r="F19" s="41" t="n">
        <f aca="false">SUM('Cash Flow'!$H$356:$H$395)</f>
        <v>400</v>
      </c>
      <c r="G19" s="42" t="n">
        <f aca="false">$D19-$E19-$F19</f>
        <v>-208.37</v>
      </c>
      <c r="H19" s="43" t="n">
        <f aca="false">'Cash Flow'!$I$343</f>
        <v>408.02</v>
      </c>
      <c r="I19" s="44" t="n">
        <f aca="false">'Cash Flow'!$I$396</f>
        <v>199.65</v>
      </c>
      <c r="J19" s="44" t="n">
        <f aca="false">MIN('Cash Flow'!$I$345:$I$395)</f>
        <v>-145.35</v>
      </c>
      <c r="K19" s="45" t="n">
        <f aca="false">IFERROR(INDEX('Cash Flow'!$C$345:$C$395,MATCH(MIN('Cash Flow'!$I$345:$I$395),'Cash Flow'!$I$345:$I$395,0)),"")</f>
        <v>46295</v>
      </c>
      <c r="L19" s="46" t="str">
        <f aca="false">IF($J19&lt;0,"SHORTFALL",IF($J19&lt;'Cash Flow'!$E$7,"TIGHT","OK"))</f>
        <v>SHORTFALL</v>
      </c>
      <c r="M19" s="47" t="n">
        <f aca="false">IF($J19&lt;0,$B19,999)</f>
        <v>7</v>
      </c>
      <c r="N19" s="33" t="n">
        <f aca="true">SUMIFS('Cash Flow'!$G$345:$G$395,'Cash Flow'!$C$345:$C$395,"&lt;="&amp;TODAY())</f>
        <v>0</v>
      </c>
      <c r="O19" s="33" t="n">
        <f aca="true">SUMIFS('Cash Flow'!$H$345:$H$395,'Cash Flow'!$C$345:$C$395,"&lt;="&amp;TODAY())</f>
        <v>0</v>
      </c>
      <c r="P19" s="33" t="str">
        <f aca="true">IF($N$4="","",IF(COUNTIFS('Cash Flow'!$C$345:$C$395,"&gt;="&amp;TODAY(),'Cash Flow'!$C$345:$C$395,"&lt;="&amp;$N$6)=0,"",_xlfn.MINIFS('Cash Flow'!$I$345:$I$395,'Cash Flow'!$C$345:$C$395,"&gt;="&amp;TODAY(),'Cash Flow'!$C$345:$C$395,"&lt;="&amp;$N$6)))</f>
        <v/>
      </c>
      <c r="Q19" s="33" t="n">
        <v>0</v>
      </c>
      <c r="R19" s="33" t="n">
        <f aca="false">MinCushion</f>
        <v>200</v>
      </c>
    </row>
    <row r="20" customFormat="false" ht="15" hidden="false" customHeight="true" outlineLevel="0" collapsed="false">
      <c r="B20" s="17" t="n">
        <v>8</v>
      </c>
      <c r="C20" s="48" t="n">
        <f aca="false">'Cash Flow'!$E$6+49</f>
        <v>46298</v>
      </c>
      <c r="D20" s="49" t="n">
        <f aca="false">SUM('Cash Flow'!$G$400:$G$450)</f>
        <v>835</v>
      </c>
      <c r="E20" s="49" t="n">
        <f aca="false">SUM('Cash Flow'!$H$400:$H$409)</f>
        <v>719.59</v>
      </c>
      <c r="F20" s="49" t="n">
        <f aca="false">SUM('Cash Flow'!$H$411:$H$450)</f>
        <v>400</v>
      </c>
      <c r="G20" s="42" t="n">
        <f aca="false">$D20-$E20-$F20</f>
        <v>-284.59</v>
      </c>
      <c r="H20" s="50" t="n">
        <f aca="false">'Cash Flow'!$I$398</f>
        <v>199.65</v>
      </c>
      <c r="I20" s="51" t="n">
        <f aca="false">'Cash Flow'!$I$451</f>
        <v>-84.9399999999998</v>
      </c>
      <c r="J20" s="51" t="n">
        <f aca="false">MIN('Cash Flow'!$I$400:$I$450)</f>
        <v>-429.94</v>
      </c>
      <c r="K20" s="52" t="n">
        <f aca="false">IFERROR(INDEX('Cash Flow'!$C$400:$C$450,MATCH(MIN('Cash Flow'!$I$400:$I$450),'Cash Flow'!$I$400:$I$450,0)),"")</f>
        <v>46303</v>
      </c>
      <c r="L20" s="53" t="str">
        <f aca="false">IF($J20&lt;0,"SHORTFALL",IF($J20&lt;'Cash Flow'!$E$7,"TIGHT","OK"))</f>
        <v>SHORTFALL</v>
      </c>
      <c r="M20" s="47" t="n">
        <f aca="false">IF($J20&lt;0,$B20,999)</f>
        <v>8</v>
      </c>
      <c r="N20" s="33" t="n">
        <f aca="true">SUMIFS('Cash Flow'!$G$400:$G$450,'Cash Flow'!$C$400:$C$450,"&lt;="&amp;TODAY())</f>
        <v>0</v>
      </c>
      <c r="O20" s="33" t="n">
        <f aca="true">SUMIFS('Cash Flow'!$H$400:$H$450,'Cash Flow'!$C$400:$C$450,"&lt;="&amp;TODAY())</f>
        <v>0</v>
      </c>
      <c r="P20" s="33" t="str">
        <f aca="true">IF($N$4="","",IF(COUNTIFS('Cash Flow'!$C$400:$C$450,"&gt;="&amp;TODAY(),'Cash Flow'!$C$400:$C$450,"&lt;="&amp;$N$6)=0,"",_xlfn.MINIFS('Cash Flow'!$I$400:$I$450,'Cash Flow'!$C$400:$C$450,"&gt;="&amp;TODAY(),'Cash Flow'!$C$400:$C$450,"&lt;="&amp;$N$6)))</f>
        <v/>
      </c>
      <c r="Q20" s="33" t="n">
        <v>0</v>
      </c>
      <c r="R20" s="33" t="n">
        <f aca="false">MinCushion</f>
        <v>200</v>
      </c>
    </row>
    <row r="21" customFormat="false" ht="15" hidden="false" customHeight="true" outlineLevel="0" collapsed="false">
      <c r="B21" s="11" t="n">
        <v>9</v>
      </c>
      <c r="C21" s="40" t="n">
        <f aca="false">'Cash Flow'!$E$6+56</f>
        <v>46305</v>
      </c>
      <c r="D21" s="41" t="n">
        <f aca="false">SUM('Cash Flow'!$G$455:$G$505)</f>
        <v>835</v>
      </c>
      <c r="E21" s="41" t="n">
        <f aca="false">SUM('Cash Flow'!$H$455:$H$464)</f>
        <v>397.99</v>
      </c>
      <c r="F21" s="41" t="n">
        <f aca="false">SUM('Cash Flow'!$H$466:$H$505)</f>
        <v>400</v>
      </c>
      <c r="G21" s="42" t="n">
        <f aca="false">$D21-$E21-$F21</f>
        <v>37.01</v>
      </c>
      <c r="H21" s="43" t="n">
        <f aca="false">'Cash Flow'!$I$453</f>
        <v>-84.9399999999998</v>
      </c>
      <c r="I21" s="44" t="n">
        <f aca="false">'Cash Flow'!$I$506</f>
        <v>-47.9299999999998</v>
      </c>
      <c r="J21" s="44" t="n">
        <f aca="false">MIN('Cash Flow'!$I$455:$I$505)</f>
        <v>-347.93</v>
      </c>
      <c r="K21" s="45" t="n">
        <f aca="false">IFERROR(INDEX('Cash Flow'!$C$455:$C$505,MATCH(MIN('Cash Flow'!$I$455:$I$505),'Cash Flow'!$I$455:$I$505,0)),"")</f>
        <v>46310</v>
      </c>
      <c r="L21" s="46" t="str">
        <f aca="false">IF($J21&lt;0,"SHORTFALL",IF($J21&lt;'Cash Flow'!$E$7,"TIGHT","OK"))</f>
        <v>SHORTFALL</v>
      </c>
      <c r="M21" s="47" t="n">
        <f aca="false">IF($J21&lt;0,$B21,999)</f>
        <v>9</v>
      </c>
      <c r="N21" s="33" t="n">
        <f aca="true">SUMIFS('Cash Flow'!$G$455:$G$505,'Cash Flow'!$C$455:$C$505,"&lt;="&amp;TODAY())</f>
        <v>0</v>
      </c>
      <c r="O21" s="33" t="n">
        <f aca="true">SUMIFS('Cash Flow'!$H$455:$H$505,'Cash Flow'!$C$455:$C$505,"&lt;="&amp;TODAY())</f>
        <v>0</v>
      </c>
      <c r="P21" s="33" t="str">
        <f aca="true">IF($N$4="","",IF(COUNTIFS('Cash Flow'!$C$455:$C$505,"&gt;="&amp;TODAY(),'Cash Flow'!$C$455:$C$505,"&lt;="&amp;$N$6)=0,"",_xlfn.MINIFS('Cash Flow'!$I$455:$I$505,'Cash Flow'!$C$455:$C$505,"&gt;="&amp;TODAY(),'Cash Flow'!$C$455:$C$505,"&lt;="&amp;$N$6)))</f>
        <v/>
      </c>
      <c r="Q21" s="33" t="n">
        <v>0</v>
      </c>
      <c r="R21" s="33" t="n">
        <f aca="false">MinCushion</f>
        <v>200</v>
      </c>
    </row>
    <row r="22" customFormat="false" ht="15" hidden="false" customHeight="true" outlineLevel="0" collapsed="false">
      <c r="B22" s="17" t="n">
        <v>10</v>
      </c>
      <c r="C22" s="48" t="n">
        <f aca="false">'Cash Flow'!$E$6+63</f>
        <v>46312</v>
      </c>
      <c r="D22" s="49" t="n">
        <f aca="false">SUM('Cash Flow'!$G$510:$G$560)</f>
        <v>835</v>
      </c>
      <c r="E22" s="49" t="n">
        <f aca="false">SUM('Cash Flow'!$H$510:$H$519)</f>
        <v>184.8</v>
      </c>
      <c r="F22" s="49" t="n">
        <f aca="false">SUM('Cash Flow'!$H$521:$H$560)</f>
        <v>400</v>
      </c>
      <c r="G22" s="42" t="n">
        <f aca="false">$D22-$E22-$F22</f>
        <v>250.2</v>
      </c>
      <c r="H22" s="50" t="n">
        <f aca="false">'Cash Flow'!$I$508</f>
        <v>-47.9299999999998</v>
      </c>
      <c r="I22" s="51" t="n">
        <f aca="false">'Cash Flow'!$I$561</f>
        <v>202.27</v>
      </c>
      <c r="J22" s="51" t="n">
        <f aca="false">MIN('Cash Flow'!$I$510:$I$560)</f>
        <v>-142.73</v>
      </c>
      <c r="K22" s="52" t="n">
        <f aca="false">IFERROR(INDEX('Cash Flow'!$C$510:$C$560,MATCH(MIN('Cash Flow'!$I$510:$I$560),'Cash Flow'!$I$510:$I$560,0)),"")</f>
        <v>46317</v>
      </c>
      <c r="L22" s="53" t="str">
        <f aca="false">IF($J22&lt;0,"SHORTFALL",IF($J22&lt;'Cash Flow'!$E$7,"TIGHT","OK"))</f>
        <v>SHORTFALL</v>
      </c>
      <c r="M22" s="47" t="n">
        <f aca="false">IF($J22&lt;0,$B22,999)</f>
        <v>10</v>
      </c>
      <c r="N22" s="33" t="n">
        <f aca="true">SUMIFS('Cash Flow'!$G$510:$G$560,'Cash Flow'!$C$510:$C$560,"&lt;="&amp;TODAY())</f>
        <v>0</v>
      </c>
      <c r="O22" s="33" t="n">
        <f aca="true">SUMIFS('Cash Flow'!$H$510:$H$560,'Cash Flow'!$C$510:$C$560,"&lt;="&amp;TODAY())</f>
        <v>0</v>
      </c>
      <c r="P22" s="33" t="str">
        <f aca="true">IF($N$4="","",IF(COUNTIFS('Cash Flow'!$C$510:$C$560,"&gt;="&amp;TODAY(),'Cash Flow'!$C$510:$C$560,"&lt;="&amp;$N$6)=0,"",_xlfn.MINIFS('Cash Flow'!$I$510:$I$560,'Cash Flow'!$C$510:$C$560,"&gt;="&amp;TODAY(),'Cash Flow'!$C$510:$C$560,"&lt;="&amp;$N$6)))</f>
        <v/>
      </c>
      <c r="Q22" s="33" t="n">
        <v>0</v>
      </c>
      <c r="R22" s="33" t="n">
        <f aca="false">MinCushion</f>
        <v>200</v>
      </c>
    </row>
    <row r="23" customFormat="false" ht="15" hidden="false" customHeight="true" outlineLevel="0" collapsed="false">
      <c r="B23" s="11" t="n">
        <v>11</v>
      </c>
      <c r="C23" s="40" t="n">
        <f aca="false">'Cash Flow'!$E$6+70</f>
        <v>46319</v>
      </c>
      <c r="D23" s="41" t="n">
        <f aca="false">SUM('Cash Flow'!$G$565:$G$615)</f>
        <v>835</v>
      </c>
      <c r="E23" s="41" t="n">
        <f aca="false">SUM('Cash Flow'!$H$565:$H$574)</f>
        <v>500</v>
      </c>
      <c r="F23" s="41" t="n">
        <f aca="false">SUM('Cash Flow'!$H$576:$H$615)</f>
        <v>400</v>
      </c>
      <c r="G23" s="42" t="n">
        <f aca="false">$D23-$E23-$F23</f>
        <v>-65</v>
      </c>
      <c r="H23" s="43" t="n">
        <f aca="false">'Cash Flow'!$I$563</f>
        <v>202.27</v>
      </c>
      <c r="I23" s="44" t="n">
        <f aca="false">'Cash Flow'!$I$616</f>
        <v>137.27</v>
      </c>
      <c r="J23" s="44" t="n">
        <f aca="false">MIN('Cash Flow'!$I$565:$I$615)</f>
        <v>137.27</v>
      </c>
      <c r="K23" s="45" t="n">
        <f aca="false">IFERROR(INDEX('Cash Flow'!$C$565:$C$615,MATCH(MIN('Cash Flow'!$I$565:$I$615),'Cash Flow'!$I$565:$I$615,0)),"")</f>
        <v>46325</v>
      </c>
      <c r="L23" s="46" t="str">
        <f aca="false">IF($J23&lt;0,"SHORTFALL",IF($J23&lt;'Cash Flow'!$E$7,"TIGHT","OK"))</f>
        <v>TIGHT</v>
      </c>
      <c r="M23" s="47" t="n">
        <f aca="false">IF($J23&lt;0,$B23,999)</f>
        <v>999</v>
      </c>
      <c r="N23" s="33" t="n">
        <f aca="true">SUMIFS('Cash Flow'!$G$565:$G$615,'Cash Flow'!$C$565:$C$615,"&lt;="&amp;TODAY())</f>
        <v>0</v>
      </c>
      <c r="O23" s="33" t="n">
        <f aca="true">SUMIFS('Cash Flow'!$H$565:$H$615,'Cash Flow'!$C$565:$C$615,"&lt;="&amp;TODAY())</f>
        <v>0</v>
      </c>
      <c r="P23" s="33" t="str">
        <f aca="true">IF($N$4="","",IF(COUNTIFS('Cash Flow'!$C$565:$C$615,"&gt;="&amp;TODAY(),'Cash Flow'!$C$565:$C$615,"&lt;="&amp;$N$6)=0,"",_xlfn.MINIFS('Cash Flow'!$I$565:$I$615,'Cash Flow'!$C$565:$C$615,"&gt;="&amp;TODAY(),'Cash Flow'!$C$565:$C$615,"&lt;="&amp;$N$6)))</f>
        <v/>
      </c>
      <c r="Q23" s="33" t="n">
        <v>0</v>
      </c>
      <c r="R23" s="33" t="n">
        <f aca="false">MinCushion</f>
        <v>200</v>
      </c>
    </row>
    <row r="24" customFormat="false" ht="15" hidden="false" customHeight="true" outlineLevel="0" collapsed="false">
      <c r="B24" s="17" t="n">
        <v>12</v>
      </c>
      <c r="C24" s="48" t="n">
        <f aca="false">'Cash Flow'!$E$6+77</f>
        <v>46326</v>
      </c>
      <c r="D24" s="49" t="n">
        <f aca="false">SUM('Cash Flow'!$G$620:$G$670)</f>
        <v>835</v>
      </c>
      <c r="E24" s="49" t="n">
        <f aca="false">SUM('Cash Flow'!$H$620:$H$629)</f>
        <v>194.47</v>
      </c>
      <c r="F24" s="49" t="n">
        <f aca="false">SUM('Cash Flow'!$H$631:$H$670)</f>
        <v>400</v>
      </c>
      <c r="G24" s="42" t="n">
        <f aca="false">$D24-$E24-$F24</f>
        <v>240.53</v>
      </c>
      <c r="H24" s="50" t="n">
        <f aca="false">'Cash Flow'!$I$618</f>
        <v>137.27</v>
      </c>
      <c r="I24" s="51" t="n">
        <f aca="false">'Cash Flow'!$I$671</f>
        <v>377.8</v>
      </c>
      <c r="J24" s="51" t="n">
        <f aca="false">MIN('Cash Flow'!$I$620:$I$670)</f>
        <v>-6.0999999999998</v>
      </c>
      <c r="K24" s="52" t="n">
        <f aca="false">IFERROR(INDEX('Cash Flow'!$C$620:$C$670,MATCH(MIN('Cash Flow'!$I$620:$I$670),'Cash Flow'!$I$620:$I$670,0)),"")</f>
        <v>46326</v>
      </c>
      <c r="L24" s="53" t="str">
        <f aca="false">IF($J24&lt;0,"SHORTFALL",IF($J24&lt;'Cash Flow'!$E$7,"TIGHT","OK"))</f>
        <v>SHORTFALL</v>
      </c>
      <c r="M24" s="47" t="n">
        <f aca="false">IF($J24&lt;0,$B24,999)</f>
        <v>12</v>
      </c>
      <c r="N24" s="33" t="n">
        <f aca="true">SUMIFS('Cash Flow'!$G$620:$G$670,'Cash Flow'!$C$620:$C$670,"&lt;="&amp;TODAY())</f>
        <v>0</v>
      </c>
      <c r="O24" s="33" t="n">
        <f aca="true">SUMIFS('Cash Flow'!$H$620:$H$670,'Cash Flow'!$C$620:$C$670,"&lt;="&amp;TODAY())</f>
        <v>0</v>
      </c>
      <c r="P24" s="33" t="str">
        <f aca="true">IF($N$4="","",IF(COUNTIFS('Cash Flow'!$C$620:$C$670,"&gt;="&amp;TODAY(),'Cash Flow'!$C$620:$C$670,"&lt;="&amp;$N$6)=0,"",_xlfn.MINIFS('Cash Flow'!$I$620:$I$670,'Cash Flow'!$C$620:$C$670,"&gt;="&amp;TODAY(),'Cash Flow'!$C$620:$C$670,"&lt;="&amp;$N$6)))</f>
        <v/>
      </c>
      <c r="Q24" s="33" t="n">
        <v>0</v>
      </c>
      <c r="R24" s="33" t="n">
        <f aca="false">MinCushion</f>
        <v>200</v>
      </c>
    </row>
    <row r="25" customFormat="false" ht="15" hidden="false" customHeight="true" outlineLevel="0" collapsed="false">
      <c r="B25" s="11" t="n">
        <v>13</v>
      </c>
      <c r="C25" s="40" t="n">
        <f aca="false">'Cash Flow'!$E$6+84</f>
        <v>46333</v>
      </c>
      <c r="D25" s="41" t="n">
        <f aca="false">SUM('Cash Flow'!$G$675:$G$725)</f>
        <v>835</v>
      </c>
      <c r="E25" s="41" t="n">
        <f aca="false">SUM('Cash Flow'!$H$675:$H$684)</f>
        <v>1021.48</v>
      </c>
      <c r="F25" s="41" t="n">
        <f aca="false">SUM('Cash Flow'!$H$686:$H$725)</f>
        <v>400</v>
      </c>
      <c r="G25" s="42" t="n">
        <f aca="false">$D25-$E25-$F25</f>
        <v>-586.48</v>
      </c>
      <c r="H25" s="43" t="n">
        <f aca="false">'Cash Flow'!$I$673</f>
        <v>377.8</v>
      </c>
      <c r="I25" s="44" t="n">
        <f aca="false">'Cash Flow'!$I$726</f>
        <v>-208.68</v>
      </c>
      <c r="J25" s="44" t="n">
        <f aca="false">MIN('Cash Flow'!$I$675:$I$725)</f>
        <v>-290.69</v>
      </c>
      <c r="K25" s="45" t="n">
        <f aca="false">IFERROR(INDEX('Cash Flow'!$C$675:$C$725,MATCH(MIN('Cash Flow'!$I$675:$I$725),'Cash Flow'!$I$675:$I$725,0)),"")</f>
        <v>46334</v>
      </c>
      <c r="L25" s="46" t="str">
        <f aca="false">IF($J25&lt;0,"SHORTFALL",IF($J25&lt;'Cash Flow'!$E$7,"TIGHT","OK"))</f>
        <v>SHORTFALL</v>
      </c>
      <c r="M25" s="47" t="n">
        <f aca="false">IF($J25&lt;0,$B25,999)</f>
        <v>13</v>
      </c>
      <c r="N25" s="33" t="n">
        <f aca="true">SUMIFS('Cash Flow'!$G$675:$G$725,'Cash Flow'!$C$675:$C$725,"&lt;="&amp;TODAY())</f>
        <v>0</v>
      </c>
      <c r="O25" s="33" t="n">
        <f aca="true">SUMIFS('Cash Flow'!$H$675:$H$725,'Cash Flow'!$C$675:$C$725,"&lt;="&amp;TODAY())</f>
        <v>0</v>
      </c>
      <c r="P25" s="33" t="str">
        <f aca="true">IF($N$4="","",IF(COUNTIFS('Cash Flow'!$C$675:$C$725,"&gt;="&amp;TODAY(),'Cash Flow'!$C$675:$C$725,"&lt;="&amp;$N$6)=0,"",_xlfn.MINIFS('Cash Flow'!$I$675:$I$725,'Cash Flow'!$C$675:$C$725,"&gt;="&amp;TODAY(),'Cash Flow'!$C$675:$C$725,"&lt;="&amp;$N$6)))</f>
        <v/>
      </c>
      <c r="Q25" s="33" t="n">
        <v>0</v>
      </c>
      <c r="R25" s="33" t="n">
        <f aca="false">MinCushion</f>
        <v>200</v>
      </c>
    </row>
    <row r="26" customFormat="false" ht="15" hidden="false" customHeight="true" outlineLevel="0" collapsed="false">
      <c r="B26" s="54" t="s">
        <v>117</v>
      </c>
      <c r="C26" s="55"/>
      <c r="D26" s="56" t="n">
        <f aca="false">SUM($D$13:$D$25)</f>
        <v>10970.99</v>
      </c>
      <c r="E26" s="56" t="n">
        <f aca="false">SUM($E$13:$E$25)</f>
        <v>5986.34</v>
      </c>
      <c r="F26" s="56" t="n">
        <f aca="false">SUM($F$13:$F$25)</f>
        <v>5421.74</v>
      </c>
      <c r="G26" s="42" t="n">
        <f aca="false">SUM($G$13:$G$25)</f>
        <v>-437.09</v>
      </c>
      <c r="H26" s="42" t="n">
        <f aca="false">$H$13</f>
        <v>228.41</v>
      </c>
      <c r="I26" s="42" t="n">
        <f aca="false">$I$25</f>
        <v>-208.68</v>
      </c>
      <c r="J26" s="42" t="n">
        <f aca="false">MIN($J$13:$J$25)</f>
        <v>-429.94</v>
      </c>
      <c r="K26" s="57"/>
      <c r="L26" s="57"/>
    </row>
    <row r="28" customFormat="false" ht="30" hidden="false" customHeight="true" outlineLevel="0" collapsed="false">
      <c r="B28" s="35" t="s">
        <v>118</v>
      </c>
      <c r="C28" s="35"/>
      <c r="D28" s="35"/>
      <c r="E28" s="35"/>
      <c r="F28" s="35"/>
      <c r="G28" s="35"/>
      <c r="H28" s="35"/>
      <c r="I28" s="35"/>
      <c r="J28" s="35"/>
      <c r="K28" s="35"/>
      <c r="L28" s="35"/>
    </row>
  </sheetData>
  <mergeCells count="22">
    <mergeCell ref="B4:C4"/>
    <mergeCell ref="D4:E4"/>
    <mergeCell ref="F4:G4"/>
    <mergeCell ref="H4:J4"/>
    <mergeCell ref="B5:C5"/>
    <mergeCell ref="D5:E5"/>
    <mergeCell ref="F5:G5"/>
    <mergeCell ref="H5:J5"/>
    <mergeCell ref="B6:C6"/>
    <mergeCell ref="D6:E6"/>
    <mergeCell ref="F6:G6"/>
    <mergeCell ref="H6:J6"/>
    <mergeCell ref="B7:C7"/>
    <mergeCell ref="D7:E7"/>
    <mergeCell ref="F7:G7"/>
    <mergeCell ref="H7:J7"/>
    <mergeCell ref="B8:C8"/>
    <mergeCell ref="D8:E8"/>
    <mergeCell ref="F8:G8"/>
    <mergeCell ref="H8:L8"/>
    <mergeCell ref="B10:L10"/>
    <mergeCell ref="B28:L28"/>
  </mergeCells>
  <conditionalFormatting sqref="B13:L25">
    <cfRule type="expression" priority="2" aboveAverage="0" equalAverage="0" bottom="0" percent="0" rank="0" text="" dxfId="11">
      <formula>$L13="SHORTFALL"</formula>
    </cfRule>
  </conditionalFormatting>
  <conditionalFormatting sqref="L13:L25">
    <cfRule type="expression" priority="3" aboveAverage="0" equalAverage="0" bottom="0" percent="0" rank="0" text="" dxfId="12">
      <formula>$L13="TIGHT"</formula>
    </cfRule>
    <cfRule type="expression" priority="4" aboveAverage="0" equalAverage="0" bottom="0" percent="0" rank="0" text="" dxfId="13">
      <formula>$L13="OK"</formula>
    </cfRule>
    <cfRule type="expression" priority="5" aboveAverage="0" equalAverage="0" bottom="0" percent="0" rank="0" text="" dxfId="14">
      <formula>$L13="TIGHT"</formula>
    </cfRule>
    <cfRule type="expression" priority="6" aboveAverage="0" equalAverage="0" bottom="0" percent="0" rank="0" text="" dxfId="15">
      <formula>$L13="SHORTFALL"</formula>
    </cfRule>
  </conditionalFormatting>
  <conditionalFormatting sqref="D13:J26">
    <cfRule type="expression" priority="7" aboveAverage="0" equalAverage="0" bottom="0" percent="0" rank="0" text="" dxfId="16">
      <formula>AND($D13&lt;&gt;"",$D13&lt;0)</formula>
    </cfRule>
  </conditionalFormatting>
  <conditionalFormatting sqref="H8:L8">
    <cfRule type="expression" priority="8" aboveAverage="0" equalAverage="0" bottom="0" percent="0" rank="0" text="" dxfId="17">
      <formula>LEFT($H$8,1)="!"</formula>
    </cfRule>
  </conditionalFormatting>
  <conditionalFormatting sqref="D4:D7">
    <cfRule type="expression" priority="9" aboveAverage="0" equalAverage="0" bottom="0" percent="0" rank="0" text="" dxfId="18">
      <formula>AND(ISNUMBER(D4),D4&lt;0)</formula>
    </cfRule>
  </conditionalFormatting>
  <conditionalFormatting sqref="H5">
    <cfRule type="expression" priority="10" aboveAverage="0" equalAverage="0" bottom="0" percent="0" rank="0" text="" dxfId="18">
      <formula>AND(ISNUMBER(H5),H5&lt;0)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12"/>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26"/>
    <col collapsed="false" customWidth="true" hidden="false" outlineLevel="0" max="4" min="4" style="0" width="12"/>
    <col collapsed="false" customWidth="true" hidden="false" outlineLevel="0" max="5" min="5" style="0" width="2"/>
    <col collapsed="false" customWidth="true" hidden="false" outlineLevel="0" max="6" min="6" style="0" width="8"/>
    <col collapsed="false" customWidth="true" hidden="false" outlineLevel="0" max="7" min="7" style="0" width="26"/>
    <col collapsed="false" customWidth="true" hidden="false" outlineLevel="0" max="8" min="8" style="0" width="12"/>
    <col collapsed="false" customWidth="true" hidden="false" outlineLevel="0" max="9" min="9" style="0" width="2"/>
    <col collapsed="false" customWidth="true" hidden="false" outlineLevel="0" max="10" min="10" style="0" width="8"/>
    <col collapsed="false" customWidth="true" hidden="false" outlineLevel="0" max="11" min="11" style="0" width="26"/>
    <col collapsed="false" customWidth="true" hidden="false" outlineLevel="0" max="12" min="12" style="0" width="12"/>
    <col collapsed="false" customWidth="true" hidden="false" outlineLevel="0" max="13" min="13" style="0" width="2"/>
  </cols>
  <sheetData>
    <row r="2" customFormat="false" ht="19.7" hidden="false" customHeight="false" outlineLevel="0" collapsed="false">
      <c r="B2" s="58" t="s">
        <v>119</v>
      </c>
    </row>
    <row r="3" customFormat="false" ht="15" hidden="false" customHeight="false" outlineLevel="0" collapsed="false">
      <c r="B3" s="59" t="s">
        <v>120</v>
      </c>
    </row>
    <row r="4" customFormat="false" ht="15" hidden="false" customHeight="false" outlineLevel="0" collapsed="false">
      <c r="B4" s="60" t="s">
        <v>121</v>
      </c>
    </row>
    <row r="6" customFormat="false" ht="19.5" hidden="false" customHeight="true" outlineLevel="0" collapsed="false">
      <c r="B6" s="61" t="str">
        <f aca="false">"WEEK "&amp;Summary!$B13&amp;"    "&amp;TEXT(Summary!$C13,"mmm d")&amp;" - "&amp;TEXT(Summary!$C13+6,"mmm d")</f>
        <v>WEEK 1    Aug 15 - Aug 21</v>
      </c>
      <c r="C6" s="61"/>
      <c r="D6" s="61"/>
      <c r="F6" s="61" t="str">
        <f aca="false">"WEEK "&amp;Summary!$B14&amp;"    "&amp;TEXT(Summary!$C14,"mmm d")&amp;" - "&amp;TEXT(Summary!$C14+6,"mmm d")</f>
        <v>WEEK 2    Aug 22 - Aug 28</v>
      </c>
      <c r="G6" s="61"/>
      <c r="H6" s="61"/>
      <c r="J6" s="61" t="str">
        <f aca="false">"WEEK "&amp;Summary!$B15&amp;"    "&amp;TEXT(Summary!$C15,"mmm d")&amp;" - "&amp;TEXT(Summary!$C15+6,"mmm d")</f>
        <v>WEEK 3    Aug 29 - Sep 4</v>
      </c>
      <c r="K6" s="61"/>
      <c r="L6" s="61"/>
    </row>
    <row r="7" customFormat="false" ht="15" hidden="false" customHeight="false" outlineLevel="0" collapsed="false">
      <c r="B7" s="62" t="s">
        <v>122</v>
      </c>
      <c r="C7" s="63"/>
      <c r="D7" s="64" t="n">
        <f aca="false">Summary!$H13</f>
        <v>228.41</v>
      </c>
      <c r="F7" s="62" t="s">
        <v>122</v>
      </c>
      <c r="G7" s="63"/>
      <c r="H7" s="64" t="n">
        <f aca="false">Summary!$H14</f>
        <v>512.66</v>
      </c>
      <c r="J7" s="62" t="s">
        <v>122</v>
      </c>
      <c r="K7" s="63"/>
      <c r="L7" s="64" t="n">
        <f aca="false">Summary!$H15</f>
        <v>633.96</v>
      </c>
    </row>
    <row r="8" customFormat="false" ht="15" hidden="false" customHeight="false" outlineLevel="0" collapsed="false">
      <c r="B8" s="65" t="s">
        <v>123</v>
      </c>
      <c r="C8" s="66"/>
      <c r="D8" s="67"/>
      <c r="F8" s="65" t="s">
        <v>123</v>
      </c>
      <c r="G8" s="66"/>
      <c r="H8" s="67"/>
      <c r="J8" s="65" t="s">
        <v>123</v>
      </c>
      <c r="K8" s="66"/>
      <c r="L8" s="67"/>
    </row>
    <row r="9" customFormat="false" ht="12.75" hidden="false" customHeight="true" outlineLevel="0" collapsed="false">
      <c r="B9" s="68" t="n">
        <f aca="false">IF('Cash Flow'!$B15="","",'Cash Flow'!$C15)</f>
        <v>46250</v>
      </c>
      <c r="C9" s="69" t="str">
        <f aca="false">IF('Cash Flow'!$B15="","",'Cash Flow'!$B15)</f>
        <v>Maine Revenue Services</v>
      </c>
      <c r="D9" s="70" t="n">
        <f aca="false">IF('Cash Flow'!$B15="","",IF('Cash Flow'!$G15&lt;&gt;"",'Cash Flow'!$G15,-'Cash Flow'!$H15))</f>
        <v>-45</v>
      </c>
      <c r="F9" s="68" t="n">
        <f aca="false">IF('Cash Flow'!$B70="","",'Cash Flow'!$C70)</f>
        <v>46256</v>
      </c>
      <c r="G9" s="69" t="str">
        <f aca="false">IF('Cash Flow'!$B70="","",'Cash Flow'!$B70)</f>
        <v>Microsoft</v>
      </c>
      <c r="H9" s="70" t="n">
        <f aca="false">IF('Cash Flow'!$B70="","",IF('Cash Flow'!$G70&lt;&gt;"",'Cash Flow'!$G70,-'Cash Flow'!$H70))</f>
        <v>-13.7</v>
      </c>
      <c r="J9" s="68" t="n">
        <f aca="false">IF('Cash Flow'!$B125="","",'Cash Flow'!$C125)</f>
        <v>46264</v>
      </c>
      <c r="K9" s="69" t="str">
        <f aca="false">IF('Cash Flow'!$B125="","",'Cash Flow'!$B125)</f>
        <v>Maine Revenue Services (2)</v>
      </c>
      <c r="L9" s="70" t="n">
        <f aca="false">IF('Cash Flow'!$B125="","",IF('Cash Flow'!$G125&lt;&gt;"",'Cash Flow'!$G125,-'Cash Flow'!$H125))</f>
        <v>-150</v>
      </c>
    </row>
    <row r="10" customFormat="false" ht="12.75" hidden="false" customHeight="true" outlineLevel="0" collapsed="false">
      <c r="B10" s="68" t="n">
        <f aca="false">IF('Cash Flow'!$B16="","",'Cash Flow'!$C16)</f>
        <v>46253</v>
      </c>
      <c r="C10" s="69" t="str">
        <f aca="false">IF('Cash Flow'!$B16="","",'Cash Flow'!$B16)</f>
        <v>Bruno's Restaurant (paycheck)</v>
      </c>
      <c r="D10" s="70" t="n">
        <f aca="false">IF('Cash Flow'!$B16="","",IF('Cash Flow'!$G16&lt;&gt;"",'Cash Flow'!$G16,-'Cash Flow'!$H16))</f>
        <v>148.34</v>
      </c>
      <c r="F10" s="68" t="n">
        <f aca="false">IF('Cash Flow'!$B71="","",'Cash Flow'!$C71)</f>
        <v>46256</v>
      </c>
      <c r="G10" s="69" t="str">
        <f aca="false">IF('Cash Flow'!$B71="","",'Cash Flow'!$B71)</f>
        <v>School clothes (back to school)</v>
      </c>
      <c r="H10" s="70" t="n">
        <f aca="false">IF('Cash Flow'!$B71="","",IF('Cash Flow'!$G71&lt;&gt;"",'Cash Flow'!$G71,-'Cash Flow'!$H71))</f>
        <v>-300</v>
      </c>
      <c r="J10" s="68" t="n">
        <f aca="false">IF('Cash Flow'!$B126="","",'Cash Flow'!$C126)</f>
        <v>46265</v>
      </c>
      <c r="K10" s="69" t="str">
        <f aca="false">IF('Cash Flow'!$B126="","",'Cash Flow'!$B126)</f>
        <v>Patrick Rombalski (rent)</v>
      </c>
      <c r="L10" s="70" t="n">
        <f aca="false">IF('Cash Flow'!$B126="","",IF('Cash Flow'!$G126&lt;&gt;"",'Cash Flow'!$G126,-'Cash Flow'!$H126))</f>
        <v>-350</v>
      </c>
    </row>
    <row r="11" customFormat="false" ht="12.75" hidden="false" customHeight="true" outlineLevel="0" collapsed="false">
      <c r="B11" s="68" t="n">
        <f aca="false">IF('Cash Flow'!$B17="","",'Cash Flow'!$C17)</f>
        <v>46255</v>
      </c>
      <c r="C11" s="69" t="str">
        <f aca="false">IF('Cash Flow'!$B17="","",'Cash Flow'!$B17)</f>
        <v>Compunnel Software (paycheck)</v>
      </c>
      <c r="D11" s="70" t="n">
        <f aca="false">IF('Cash Flow'!$B17="","",IF('Cash Flow'!$G17&lt;&gt;"",'Cash Flow'!$G17,-'Cash Flow'!$H17))</f>
        <v>802.65</v>
      </c>
      <c r="F11" s="68" t="n">
        <f aca="false">IF('Cash Flow'!$B72="","",'Cash Flow'!$C72)</f>
        <v>46260</v>
      </c>
      <c r="G11" s="69" t="str">
        <f aca="false">IF('Cash Flow'!$B72="","",'Cash Flow'!$B72)</f>
        <v>Bruno's Restaurant (paycheck)</v>
      </c>
      <c r="H11" s="70" t="n">
        <f aca="false">IF('Cash Flow'!$B72="","",IF('Cash Flow'!$G72&lt;&gt;"",'Cash Flow'!$G72,-'Cash Flow'!$H72))</f>
        <v>90</v>
      </c>
      <c r="J11" s="68" t="n">
        <f aca="false">IF('Cash Flow'!$B127="","",'Cash Flow'!$C127)</f>
        <v>46265</v>
      </c>
      <c r="K11" s="69" t="str">
        <f aca="false">IF('Cash Flow'!$B127="","",'Cash Flow'!$B127)</f>
        <v>Progressive Insurance</v>
      </c>
      <c r="L11" s="70" t="n">
        <f aca="false">IF('Cash Flow'!$B127="","",IF('Cash Flow'!$G127&lt;&gt;"",'Cash Flow'!$G127,-'Cash Flow'!$H127))</f>
        <v>-143.37</v>
      </c>
    </row>
    <row r="12" customFormat="false" ht="12.75" hidden="false" customHeight="true" outlineLevel="0" collapsed="false">
      <c r="B12" s="68" t="n">
        <f aca="false">IF('Cash Flow'!$B18="","",'Cash Flow'!$C18)</f>
        <v>46255</v>
      </c>
      <c r="C12" s="69" t="str">
        <f aca="false">IF('Cash Flow'!$B18="","",'Cash Flow'!$B18)</f>
        <v>Spectrum</v>
      </c>
      <c r="D12" s="70" t="n">
        <f aca="false">IF('Cash Flow'!$B18="","",IF('Cash Flow'!$G18&lt;&gt;"",'Cash Flow'!$G18,-'Cash Flow'!$H18))</f>
        <v>-0</v>
      </c>
      <c r="F12" s="68" t="n">
        <f aca="false">IF('Cash Flow'!$B73="","",'Cash Flow'!$C73)</f>
        <v>46262</v>
      </c>
      <c r="G12" s="69" t="str">
        <f aca="false">IF('Cash Flow'!$B73="","",'Cash Flow'!$B73)</f>
        <v>Compunnel Software (paycheck)</v>
      </c>
      <c r="H12" s="70" t="n">
        <f aca="false">IF('Cash Flow'!$B73="","",IF('Cash Flow'!$G73&lt;&gt;"",'Cash Flow'!$G73,-'Cash Flow'!$H73))</f>
        <v>745</v>
      </c>
      <c r="J12" s="68" t="n">
        <f aca="false">IF('Cash Flow'!$B128="","",'Cash Flow'!$C128)</f>
        <v>46267</v>
      </c>
      <c r="K12" s="69" t="str">
        <f aca="false">IF('Cash Flow'!$B128="","",'Cash Flow'!$B128)</f>
        <v>Bruno's Restaurant (paycheck)</v>
      </c>
      <c r="L12" s="70" t="n">
        <f aca="false">IF('Cash Flow'!$B128="","",IF('Cash Flow'!$G128&lt;&gt;"",'Cash Flow'!$G128,-'Cash Flow'!$H128))</f>
        <v>90</v>
      </c>
    </row>
    <row r="13" customFormat="false" ht="12.75" hidden="false" customHeight="true" outlineLevel="0" collapsed="false">
      <c r="B13" s="68" t="str">
        <f aca="false">IF('Cash Flow'!$B19="","",'Cash Flow'!$C19)</f>
        <v/>
      </c>
      <c r="C13" s="69" t="str">
        <f aca="false">IF('Cash Flow'!$B19="","",'Cash Flow'!$B19)</f>
        <v/>
      </c>
      <c r="D13" s="70" t="str">
        <f aca="false">IF('Cash Flow'!$B19="","",IF('Cash Flow'!$G19&lt;&gt;"",'Cash Flow'!$G19,-'Cash Flow'!$H19))</f>
        <v/>
      </c>
      <c r="F13" s="68" t="str">
        <f aca="false">IF('Cash Flow'!$B74="","",'Cash Flow'!$C74)</f>
        <v/>
      </c>
      <c r="G13" s="69" t="str">
        <f aca="false">IF('Cash Flow'!$B74="","",'Cash Flow'!$B74)</f>
        <v/>
      </c>
      <c r="H13" s="70" t="str">
        <f aca="false">IF('Cash Flow'!$B74="","",IF('Cash Flow'!$G74&lt;&gt;"",'Cash Flow'!$G74,-'Cash Flow'!$H74))</f>
        <v/>
      </c>
      <c r="J13" s="68" t="n">
        <f aca="false">IF('Cash Flow'!$B129="","",'Cash Flow'!$C129)</f>
        <v>46269</v>
      </c>
      <c r="K13" s="69" t="str">
        <f aca="false">IF('Cash Flow'!$B129="","",'Cash Flow'!$B129)</f>
        <v>Compunnel Software (paycheck)</v>
      </c>
      <c r="L13" s="70" t="n">
        <f aca="false">IF('Cash Flow'!$B129="","",IF('Cash Flow'!$G129&lt;&gt;"",'Cash Flow'!$G129,-'Cash Flow'!$H129))</f>
        <v>745</v>
      </c>
    </row>
    <row r="14" customFormat="false" ht="12.75" hidden="false" customHeight="true" outlineLevel="0" collapsed="false">
      <c r="B14" s="68" t="str">
        <f aca="false">IF('Cash Flow'!$B20="","",'Cash Flow'!$C20)</f>
        <v/>
      </c>
      <c r="C14" s="69" t="str">
        <f aca="false">IF('Cash Flow'!$B20="","",'Cash Flow'!$B20)</f>
        <v/>
      </c>
      <c r="D14" s="70" t="str">
        <f aca="false">IF('Cash Flow'!$B20="","",IF('Cash Flow'!$G20&lt;&gt;"",'Cash Flow'!$G20,-'Cash Flow'!$H20))</f>
        <v/>
      </c>
      <c r="F14" s="68" t="str">
        <f aca="false">IF('Cash Flow'!$B75="","",'Cash Flow'!$C75)</f>
        <v/>
      </c>
      <c r="G14" s="69" t="str">
        <f aca="false">IF('Cash Flow'!$B75="","",'Cash Flow'!$B75)</f>
        <v/>
      </c>
      <c r="H14" s="70" t="str">
        <f aca="false">IF('Cash Flow'!$B75="","",IF('Cash Flow'!$G75&lt;&gt;"",'Cash Flow'!$G75,-'Cash Flow'!$H75))</f>
        <v/>
      </c>
      <c r="J14" s="68" t="n">
        <f aca="false">IF('Cash Flow'!$B130="","",'Cash Flow'!$C130)</f>
        <v>46269</v>
      </c>
      <c r="K14" s="69" t="str">
        <f aca="false">IF('Cash Flow'!$B130="","",'Cash Flow'!$B130)</f>
        <v>Apple: Claude</v>
      </c>
      <c r="L14" s="70" t="n">
        <f aca="false">IF('Cash Flow'!$B130="","",IF('Cash Flow'!$G130&lt;&gt;"",'Cash Flow'!$G130,-'Cash Flow'!$H130))</f>
        <v>-21.1</v>
      </c>
    </row>
    <row r="15" customFormat="false" ht="12.75" hidden="false" customHeight="true" outlineLevel="0" collapsed="false">
      <c r="B15" s="68" t="str">
        <f aca="false">IF('Cash Flow'!$B21="","",'Cash Flow'!$C21)</f>
        <v/>
      </c>
      <c r="C15" s="69" t="str">
        <f aca="false">IF('Cash Flow'!$B21="","",'Cash Flow'!$B21)</f>
        <v/>
      </c>
      <c r="D15" s="70" t="str">
        <f aca="false">IF('Cash Flow'!$B21="","",IF('Cash Flow'!$G21&lt;&gt;"",'Cash Flow'!$G21,-'Cash Flow'!$H21))</f>
        <v/>
      </c>
      <c r="F15" s="68" t="str">
        <f aca="false">IF('Cash Flow'!$B76="","",'Cash Flow'!$C76)</f>
        <v/>
      </c>
      <c r="G15" s="69" t="str">
        <f aca="false">IF('Cash Flow'!$B76="","",'Cash Flow'!$B76)</f>
        <v/>
      </c>
      <c r="H15" s="70" t="str">
        <f aca="false">IF('Cash Flow'!$B76="","",IF('Cash Flow'!$G76&lt;&gt;"",'Cash Flow'!$G76,-'Cash Flow'!$H76))</f>
        <v/>
      </c>
      <c r="J15" s="68" t="str">
        <f aca="false">IF('Cash Flow'!$B131="","",'Cash Flow'!$C131)</f>
        <v/>
      </c>
      <c r="K15" s="69" t="str">
        <f aca="false">IF('Cash Flow'!$B131="","",'Cash Flow'!$B131)</f>
        <v/>
      </c>
      <c r="L15" s="70" t="str">
        <f aca="false">IF('Cash Flow'!$B131="","",IF('Cash Flow'!$G131&lt;&gt;"",'Cash Flow'!$G131,-'Cash Flow'!$H131))</f>
        <v/>
      </c>
    </row>
    <row r="16" customFormat="false" ht="12.75" hidden="false" customHeight="true" outlineLevel="0" collapsed="false">
      <c r="B16" s="68" t="str">
        <f aca="false">IF('Cash Flow'!$B22="","",'Cash Flow'!$C22)</f>
        <v/>
      </c>
      <c r="C16" s="69" t="str">
        <f aca="false">IF('Cash Flow'!$B22="","",'Cash Flow'!$B22)</f>
        <v/>
      </c>
      <c r="D16" s="70" t="str">
        <f aca="false">IF('Cash Flow'!$B22="","",IF('Cash Flow'!$G22&lt;&gt;"",'Cash Flow'!$G22,-'Cash Flow'!$H22))</f>
        <v/>
      </c>
      <c r="F16" s="68" t="str">
        <f aca="false">IF('Cash Flow'!$B77="","",'Cash Flow'!$C77)</f>
        <v/>
      </c>
      <c r="G16" s="69" t="str">
        <f aca="false">IF('Cash Flow'!$B77="","",'Cash Flow'!$B77)</f>
        <v/>
      </c>
      <c r="H16" s="70" t="str">
        <f aca="false">IF('Cash Flow'!$B77="","",IF('Cash Flow'!$G77&lt;&gt;"",'Cash Flow'!$G77,-'Cash Flow'!$H77))</f>
        <v/>
      </c>
      <c r="J16" s="68" t="str">
        <f aca="false">IF('Cash Flow'!$B132="","",'Cash Flow'!$C132)</f>
        <v/>
      </c>
      <c r="K16" s="69" t="str">
        <f aca="false">IF('Cash Flow'!$B132="","",'Cash Flow'!$B132)</f>
        <v/>
      </c>
      <c r="L16" s="70" t="str">
        <f aca="false">IF('Cash Flow'!$B132="","",IF('Cash Flow'!$G132&lt;&gt;"",'Cash Flow'!$G132,-'Cash Flow'!$H132))</f>
        <v/>
      </c>
    </row>
    <row r="17" customFormat="false" ht="12.75" hidden="false" customHeight="true" outlineLevel="0" collapsed="false">
      <c r="B17" s="68" t="str">
        <f aca="false">IF('Cash Flow'!$B23="","",'Cash Flow'!$C23)</f>
        <v/>
      </c>
      <c r="C17" s="69" t="str">
        <f aca="false">IF('Cash Flow'!$B23="","",'Cash Flow'!$B23)</f>
        <v/>
      </c>
      <c r="D17" s="70" t="str">
        <f aca="false">IF('Cash Flow'!$B23="","",IF('Cash Flow'!$G23&lt;&gt;"",'Cash Flow'!$G23,-'Cash Flow'!$H23))</f>
        <v/>
      </c>
      <c r="F17" s="68" t="str">
        <f aca="false">IF('Cash Flow'!$B78="","",'Cash Flow'!$C78)</f>
        <v/>
      </c>
      <c r="G17" s="69" t="str">
        <f aca="false">IF('Cash Flow'!$B78="","",'Cash Flow'!$B78)</f>
        <v/>
      </c>
      <c r="H17" s="70" t="str">
        <f aca="false">IF('Cash Flow'!$B78="","",IF('Cash Flow'!$G78&lt;&gt;"",'Cash Flow'!$G78,-'Cash Flow'!$H78))</f>
        <v/>
      </c>
      <c r="J17" s="68" t="str">
        <f aca="false">IF('Cash Flow'!$B133="","",'Cash Flow'!$C133)</f>
        <v/>
      </c>
      <c r="K17" s="69" t="str">
        <f aca="false">IF('Cash Flow'!$B133="","",'Cash Flow'!$B133)</f>
        <v/>
      </c>
      <c r="L17" s="70" t="str">
        <f aca="false">IF('Cash Flow'!$B133="","",IF('Cash Flow'!$G133&lt;&gt;"",'Cash Flow'!$G133,-'Cash Flow'!$H133))</f>
        <v/>
      </c>
    </row>
    <row r="18" customFormat="false" ht="12.75" hidden="false" customHeight="true" outlineLevel="0" collapsed="false">
      <c r="B18" s="68" t="str">
        <f aca="false">IF('Cash Flow'!$B24="","",'Cash Flow'!$C24)</f>
        <v/>
      </c>
      <c r="C18" s="69" t="str">
        <f aca="false">IF('Cash Flow'!$B24="","",'Cash Flow'!$B24)</f>
        <v/>
      </c>
      <c r="D18" s="70" t="str">
        <f aca="false">IF('Cash Flow'!$B24="","",IF('Cash Flow'!$G24&lt;&gt;"",'Cash Flow'!$G24,-'Cash Flow'!$H24))</f>
        <v/>
      </c>
      <c r="F18" s="68" t="str">
        <f aca="false">IF('Cash Flow'!$B79="","",'Cash Flow'!$C79)</f>
        <v/>
      </c>
      <c r="G18" s="69" t="str">
        <f aca="false">IF('Cash Flow'!$B79="","",'Cash Flow'!$B79)</f>
        <v/>
      </c>
      <c r="H18" s="70" t="str">
        <f aca="false">IF('Cash Flow'!$B79="","",IF('Cash Flow'!$G79&lt;&gt;"",'Cash Flow'!$G79,-'Cash Flow'!$H79))</f>
        <v/>
      </c>
      <c r="J18" s="68" t="str">
        <f aca="false">IF('Cash Flow'!$B134="","",'Cash Flow'!$C134)</f>
        <v/>
      </c>
      <c r="K18" s="69" t="str">
        <f aca="false">IF('Cash Flow'!$B134="","",'Cash Flow'!$B134)</f>
        <v/>
      </c>
      <c r="L18" s="70" t="str">
        <f aca="false">IF('Cash Flow'!$B134="","",IF('Cash Flow'!$G134&lt;&gt;"",'Cash Flow'!$G134,-'Cash Flow'!$H134))</f>
        <v/>
      </c>
    </row>
    <row r="19" customFormat="false" ht="15" hidden="false" customHeight="false" outlineLevel="0" collapsed="false">
      <c r="B19" s="71" t="s">
        <v>124</v>
      </c>
      <c r="C19" s="66"/>
      <c r="D19" s="72" t="n">
        <f aca="false">Summary!$D13</f>
        <v>950.99</v>
      </c>
      <c r="F19" s="71" t="s">
        <v>124</v>
      </c>
      <c r="G19" s="66"/>
      <c r="H19" s="72" t="n">
        <f aca="false">Summary!$D14</f>
        <v>835</v>
      </c>
      <c r="J19" s="71" t="s">
        <v>124</v>
      </c>
      <c r="K19" s="66"/>
      <c r="L19" s="72" t="n">
        <f aca="false">Summary!$D15</f>
        <v>835</v>
      </c>
    </row>
    <row r="20" customFormat="false" ht="15" hidden="false" customHeight="false" outlineLevel="0" collapsed="false">
      <c r="B20" s="62" t="s">
        <v>125</v>
      </c>
      <c r="C20" s="63"/>
      <c r="D20" s="73" t="n">
        <f aca="false">-Summary!$E13</f>
        <v>-45</v>
      </c>
      <c r="F20" s="62" t="s">
        <v>125</v>
      </c>
      <c r="G20" s="63"/>
      <c r="H20" s="73" t="n">
        <f aca="false">-Summary!$E14</f>
        <v>-313.7</v>
      </c>
      <c r="J20" s="62" t="s">
        <v>125</v>
      </c>
      <c r="K20" s="63"/>
      <c r="L20" s="73" t="n">
        <f aca="false">-Summary!$E15</f>
        <v>-664.47</v>
      </c>
    </row>
    <row r="21" customFormat="false" ht="15" hidden="false" customHeight="false" outlineLevel="0" collapsed="false">
      <c r="B21" s="62" t="s">
        <v>28</v>
      </c>
      <c r="C21" s="63"/>
      <c r="D21" s="73" t="n">
        <f aca="false">-Summary!$F13</f>
        <v>-621.74</v>
      </c>
      <c r="F21" s="62" t="s">
        <v>28</v>
      </c>
      <c r="G21" s="63"/>
      <c r="H21" s="73" t="n">
        <f aca="false">-Summary!$F14</f>
        <v>-400</v>
      </c>
      <c r="J21" s="62" t="s">
        <v>28</v>
      </c>
      <c r="K21" s="63"/>
      <c r="L21" s="73" t="n">
        <f aca="false">-Summary!$F15</f>
        <v>-400</v>
      </c>
    </row>
    <row r="22" customFormat="false" ht="15" hidden="false" customHeight="false" outlineLevel="0" collapsed="false">
      <c r="B22" s="62" t="s">
        <v>126</v>
      </c>
      <c r="C22" s="74" t="str">
        <f aca="false">IF(Summary!$K13="","",TEXT(Summary!$K13,"ddd mmm d"))</f>
        <v>Thu Aug 20</v>
      </c>
      <c r="D22" s="75" t="n">
        <f aca="false">Summary!$J13</f>
        <v>-262.64</v>
      </c>
      <c r="F22" s="62" t="s">
        <v>126</v>
      </c>
      <c r="G22" s="74" t="str">
        <f aca="false">IF(Summary!$K14="","",TEXT(Summary!$K14,"ddd mmm d"))</f>
        <v>Sat Aug 22</v>
      </c>
      <c r="H22" s="75" t="n">
        <f aca="false">Summary!$J14</f>
        <v>168.67</v>
      </c>
      <c r="J22" s="62" t="s">
        <v>126</v>
      </c>
      <c r="K22" s="74" t="str">
        <f aca="false">IF(Summary!$K15="","",TEXT(Summary!$K15,"ddd mmm d"))</f>
        <v>Mon Aug 31</v>
      </c>
      <c r="L22" s="75" t="n">
        <f aca="false">Summary!$J15</f>
        <v>-9.40999999999997</v>
      </c>
    </row>
    <row r="23" customFormat="false" ht="21.75" hidden="false" customHeight="true" outlineLevel="0" collapsed="false">
      <c r="B23" s="76" t="s">
        <v>127</v>
      </c>
      <c r="C23" s="76"/>
      <c r="D23" s="77" t="n">
        <f aca="false">Summary!$I13</f>
        <v>512.66</v>
      </c>
      <c r="F23" s="76" t="s">
        <v>127</v>
      </c>
      <c r="G23" s="76"/>
      <c r="H23" s="77" t="n">
        <f aca="false">Summary!$I14</f>
        <v>633.96</v>
      </c>
      <c r="J23" s="76" t="s">
        <v>127</v>
      </c>
      <c r="K23" s="76"/>
      <c r="L23" s="77" t="n">
        <f aca="false">Summary!$I15</f>
        <v>404.49</v>
      </c>
    </row>
    <row r="24" customFormat="false" ht="15" hidden="false" customHeight="false" outlineLevel="0" collapsed="false">
      <c r="B24" s="78" t="str">
        <f aca="false">Summary!$L13</f>
        <v>SHORTFALL</v>
      </c>
      <c r="C24" s="78"/>
      <c r="D24" s="78"/>
      <c r="F24" s="78" t="str">
        <f aca="false">Summary!$L14</f>
        <v>TIGHT</v>
      </c>
      <c r="G24" s="78"/>
      <c r="H24" s="78"/>
      <c r="J24" s="78" t="str">
        <f aca="false">Summary!$L15</f>
        <v>SHORTFALL</v>
      </c>
      <c r="K24" s="78"/>
      <c r="L24" s="78"/>
    </row>
    <row r="28" customFormat="false" ht="19.5" hidden="false" customHeight="true" outlineLevel="0" collapsed="false">
      <c r="B28" s="61" t="str">
        <f aca="false">"WEEK "&amp;Summary!$B16&amp;"    "&amp;TEXT(Summary!$C16,"mmm d")&amp;" - "&amp;TEXT(Summary!$C16+6,"mmm d")</f>
        <v>WEEK 4    Sep 5 - Sep 11</v>
      </c>
      <c r="C28" s="61"/>
      <c r="D28" s="61"/>
      <c r="F28" s="61" t="str">
        <f aca="false">"WEEK "&amp;Summary!$B17&amp;"    "&amp;TEXT(Summary!$C17,"mmm d")&amp;" - "&amp;TEXT(Summary!$C17+6,"mmm d")</f>
        <v>WEEK 5    Sep 12 - Sep 18</v>
      </c>
      <c r="G28" s="61"/>
      <c r="H28" s="61"/>
      <c r="J28" s="61" t="str">
        <f aca="false">"WEEK "&amp;Summary!$B18&amp;"    "&amp;TEXT(Summary!$C18,"mmm d")&amp;" - "&amp;TEXT(Summary!$C18+6,"mmm d")</f>
        <v>WEEK 6    Sep 19 - Sep 25</v>
      </c>
      <c r="K28" s="61"/>
      <c r="L28" s="61"/>
    </row>
    <row r="29" customFormat="false" ht="15" hidden="false" customHeight="false" outlineLevel="0" collapsed="false">
      <c r="B29" s="62" t="s">
        <v>122</v>
      </c>
      <c r="C29" s="63"/>
      <c r="D29" s="64" t="n">
        <f aca="false">Summary!$H16</f>
        <v>404.49</v>
      </c>
      <c r="F29" s="62" t="s">
        <v>122</v>
      </c>
      <c r="G29" s="63"/>
      <c r="H29" s="64" t="n">
        <f aca="false">Summary!$H17</f>
        <v>120.81</v>
      </c>
      <c r="J29" s="62" t="s">
        <v>122</v>
      </c>
      <c r="K29" s="63"/>
      <c r="L29" s="64" t="n">
        <f aca="false">Summary!$H18</f>
        <v>157.82</v>
      </c>
    </row>
    <row r="30" customFormat="false" ht="15" hidden="false" customHeight="false" outlineLevel="0" collapsed="false">
      <c r="B30" s="65" t="s">
        <v>123</v>
      </c>
      <c r="C30" s="66"/>
      <c r="D30" s="67"/>
      <c r="F30" s="65" t="s">
        <v>123</v>
      </c>
      <c r="G30" s="66"/>
      <c r="H30" s="67"/>
      <c r="J30" s="65" t="s">
        <v>123</v>
      </c>
      <c r="K30" s="66"/>
      <c r="L30" s="67"/>
    </row>
    <row r="31" customFormat="false" ht="12.75" hidden="false" customHeight="true" outlineLevel="0" collapsed="false">
      <c r="B31" s="68" t="n">
        <f aca="false">IF('Cash Flow'!$B180="","",'Cash Flow'!$C180)</f>
        <v>46270</v>
      </c>
      <c r="C31" s="69" t="str">
        <f aca="false">IF('Cash Flow'!$B180="","",'Cash Flow'!$B180)</f>
        <v>OpenAI</v>
      </c>
      <c r="D31" s="70" t="n">
        <f aca="false">IF('Cash Flow'!$B180="","",IF('Cash Flow'!$G180&lt;&gt;"",'Cash Flow'!$G180,-'Cash Flow'!$H180))</f>
        <v>-20</v>
      </c>
      <c r="F31" s="68" t="n">
        <f aca="false">IF('Cash Flow'!$B235="","",'Cash Flow'!$C235)</f>
        <v>46278</v>
      </c>
      <c r="G31" s="69" t="str">
        <f aca="false">IF('Cash Flow'!$B235="","",'Cash Flow'!$B235)</f>
        <v>Apple: iCloud</v>
      </c>
      <c r="H31" s="70" t="n">
        <f aca="false">IF('Cash Flow'!$B235="","",IF('Cash Flow'!$G235&lt;&gt;"",'Cash Flow'!$G235,-'Cash Flow'!$H235))</f>
        <v>-2.99</v>
      </c>
      <c r="J31" s="68" t="n">
        <f aca="false">IF('Cash Flow'!$B290="","",'Cash Flow'!$C290)</f>
        <v>46286</v>
      </c>
      <c r="K31" s="69" t="str">
        <f aca="false">IF('Cash Flow'!$B290="","",'Cash Flow'!$B290)</f>
        <v>Spectrum</v>
      </c>
      <c r="L31" s="70" t="n">
        <f aca="false">IF('Cash Flow'!$B290="","",IF('Cash Flow'!$G290&lt;&gt;"",'Cash Flow'!$G290,-'Cash Flow'!$H290))</f>
        <v>-171.1</v>
      </c>
    </row>
    <row r="32" customFormat="false" ht="12.75" hidden="false" customHeight="true" outlineLevel="0" collapsed="false">
      <c r="B32" s="68" t="n">
        <f aca="false">IF('Cash Flow'!$B181="","",'Cash Flow'!$C181)</f>
        <v>46270</v>
      </c>
      <c r="C32" s="69" t="str">
        <f aca="false">IF('Cash Flow'!$B181="","",'Cash Flow'!$B181)</f>
        <v>Obsidian</v>
      </c>
      <c r="D32" s="70" t="n">
        <f aca="false">IF('Cash Flow'!$B181="","",IF('Cash Flow'!$G181&lt;&gt;"",'Cash Flow'!$G181,-'Cash Flow'!$H181))</f>
        <v>-10</v>
      </c>
      <c r="F32" s="68" t="n">
        <f aca="false">IF('Cash Flow'!$B236="","",'Cash Flow'!$C236)</f>
        <v>46280</v>
      </c>
      <c r="G32" s="69" t="str">
        <f aca="false">IF('Cash Flow'!$B236="","",'Cash Flow'!$B236)</f>
        <v>Patrick Rombalski (rent)</v>
      </c>
      <c r="H32" s="70" t="n">
        <f aca="false">IF('Cash Flow'!$B236="","",IF('Cash Flow'!$G236&lt;&gt;"",'Cash Flow'!$G236,-'Cash Flow'!$H236))</f>
        <v>-350</v>
      </c>
      <c r="J32" s="68" t="n">
        <f aca="false">IF('Cash Flow'!$B291="","",'Cash Flow'!$C291)</f>
        <v>46287</v>
      </c>
      <c r="K32" s="69" t="str">
        <f aca="false">IF('Cash Flow'!$B291="","",'Cash Flow'!$B291)</f>
        <v>Microsoft</v>
      </c>
      <c r="L32" s="70" t="n">
        <f aca="false">IF('Cash Flow'!$B291="","",IF('Cash Flow'!$G291&lt;&gt;"",'Cash Flow'!$G291,-'Cash Flow'!$H291))</f>
        <v>-13.7</v>
      </c>
    </row>
    <row r="33" customFormat="false" ht="12.75" hidden="false" customHeight="true" outlineLevel="0" collapsed="false">
      <c r="B33" s="68" t="n">
        <f aca="false">IF('Cash Flow'!$B182="","",'Cash Flow'!$C182)</f>
        <v>46272</v>
      </c>
      <c r="C33" s="69" t="str">
        <f aca="false">IF('Cash Flow'!$B182="","",'Cash Flow'!$B182)</f>
        <v>Google One</v>
      </c>
      <c r="D33" s="70" t="n">
        <f aca="false">IF('Cash Flow'!$B182="","",IF('Cash Flow'!$G182&lt;&gt;"",'Cash Flow'!$G182,-'Cash Flow'!$H182))</f>
        <v>-4.99</v>
      </c>
      <c r="F33" s="68" t="n">
        <f aca="false">IF('Cash Flow'!$B237="","",'Cash Flow'!$C237)</f>
        <v>46281</v>
      </c>
      <c r="G33" s="69" t="str">
        <f aca="false">IF('Cash Flow'!$B237="","",'Cash Flow'!$B237)</f>
        <v>Bruno's Restaurant (paycheck)</v>
      </c>
      <c r="H33" s="70" t="n">
        <f aca="false">IF('Cash Flow'!$B237="","",IF('Cash Flow'!$G237&lt;&gt;"",'Cash Flow'!$G237,-'Cash Flow'!$H237))</f>
        <v>90</v>
      </c>
      <c r="J33" s="68" t="n">
        <f aca="false">IF('Cash Flow'!$B292="","",'Cash Flow'!$C292)</f>
        <v>46288</v>
      </c>
      <c r="K33" s="69" t="str">
        <f aca="false">IF('Cash Flow'!$B292="","",'Cash Flow'!$B292)</f>
        <v>Bruno's Restaurant (paycheck)</v>
      </c>
      <c r="L33" s="70" t="n">
        <f aca="false">IF('Cash Flow'!$B292="","",IF('Cash Flow'!$G292&lt;&gt;"",'Cash Flow'!$G292,-'Cash Flow'!$H292))</f>
        <v>90</v>
      </c>
    </row>
    <row r="34" customFormat="false" ht="12.75" hidden="false" customHeight="true" outlineLevel="0" collapsed="false">
      <c r="B34" s="68" t="n">
        <f aca="false">IF('Cash Flow'!$B183="","",'Cash Flow'!$C183)</f>
        <v>46272</v>
      </c>
      <c r="C34" s="69" t="str">
        <f aca="false">IF('Cash Flow'!$B183="","",'Cash Flow'!$B183)</f>
        <v>Upstart (loan)</v>
      </c>
      <c r="D34" s="70" t="n">
        <f aca="false">IF('Cash Flow'!$B183="","",IF('Cash Flow'!$G183&lt;&gt;"",'Cash Flow'!$G183,-'Cash Flow'!$H183))</f>
        <v>-500</v>
      </c>
      <c r="F34" s="68" t="n">
        <f aca="false">IF('Cash Flow'!$B238="","",'Cash Flow'!$C238)</f>
        <v>46281</v>
      </c>
      <c r="G34" s="69" t="str">
        <f aca="false">IF('Cash Flow'!$B238="","",'Cash Flow'!$B238)</f>
        <v>Maine Revenue Services</v>
      </c>
      <c r="H34" s="70" t="n">
        <f aca="false">IF('Cash Flow'!$B238="","",IF('Cash Flow'!$G238&lt;&gt;"",'Cash Flow'!$G238,-'Cash Flow'!$H238))</f>
        <v>-45</v>
      </c>
      <c r="J34" s="68" t="n">
        <f aca="false">IF('Cash Flow'!$B293="","",'Cash Flow'!$C293)</f>
        <v>46290</v>
      </c>
      <c r="K34" s="69" t="str">
        <f aca="false">IF('Cash Flow'!$B293="","",'Cash Flow'!$B293)</f>
        <v>Compunnel Software (paycheck)</v>
      </c>
      <c r="L34" s="70" t="n">
        <f aca="false">IF('Cash Flow'!$B293="","",IF('Cash Flow'!$G293&lt;&gt;"",'Cash Flow'!$G293,-'Cash Flow'!$H293))</f>
        <v>745</v>
      </c>
    </row>
    <row r="35" customFormat="false" ht="12.75" hidden="false" customHeight="true" outlineLevel="0" collapsed="false">
      <c r="B35" s="68" t="n">
        <f aca="false">IF('Cash Flow'!$B184="","",'Cash Flow'!$C184)</f>
        <v>46273</v>
      </c>
      <c r="C35" s="69" t="str">
        <f aca="false">IF('Cash Flow'!$B184="","",'Cash Flow'!$B184)</f>
        <v>Central Maine Power Co.</v>
      </c>
      <c r="D35" s="70" t="n">
        <f aca="false">IF('Cash Flow'!$B184="","",IF('Cash Flow'!$G184&lt;&gt;"",'Cash Flow'!$G184,-'Cash Flow'!$H184))</f>
        <v>-183.69</v>
      </c>
      <c r="F35" s="68" t="n">
        <f aca="false">IF('Cash Flow'!$B239="","",'Cash Flow'!$C239)</f>
        <v>46283</v>
      </c>
      <c r="G35" s="69" t="str">
        <f aca="false">IF('Cash Flow'!$B239="","",'Cash Flow'!$B239)</f>
        <v>Compunnel Software (paycheck)</v>
      </c>
      <c r="H35" s="70" t="n">
        <f aca="false">IF('Cash Flow'!$B239="","",IF('Cash Flow'!$G239&lt;&gt;"",'Cash Flow'!$G239,-'Cash Flow'!$H239))</f>
        <v>745</v>
      </c>
      <c r="J35" s="68" t="str">
        <f aca="false">IF('Cash Flow'!$B294="","",'Cash Flow'!$C294)</f>
        <v/>
      </c>
      <c r="K35" s="69" t="str">
        <f aca="false">IF('Cash Flow'!$B294="","",'Cash Flow'!$B294)</f>
        <v/>
      </c>
      <c r="L35" s="70" t="str">
        <f aca="false">IF('Cash Flow'!$B294="","",IF('Cash Flow'!$G294&lt;&gt;"",'Cash Flow'!$G294,-'Cash Flow'!$H294))</f>
        <v/>
      </c>
    </row>
    <row r="36" customFormat="false" ht="12.75" hidden="false" customHeight="true" outlineLevel="0" collapsed="false">
      <c r="B36" s="68" t="n">
        <f aca="false">IF('Cash Flow'!$B185="","",'Cash Flow'!$C185)</f>
        <v>46274</v>
      </c>
      <c r="C36" s="69" t="str">
        <f aca="false">IF('Cash Flow'!$B185="","",'Cash Flow'!$B185)</f>
        <v>Bruno's Restaurant (paycheck)</v>
      </c>
      <c r="D36" s="70" t="n">
        <f aca="false">IF('Cash Flow'!$B185="","",IF('Cash Flow'!$G185&lt;&gt;"",'Cash Flow'!$G185,-'Cash Flow'!$H185))</f>
        <v>90</v>
      </c>
      <c r="F36" s="68" t="str">
        <f aca="false">IF('Cash Flow'!$B240="","",'Cash Flow'!$C240)</f>
        <v/>
      </c>
      <c r="G36" s="69" t="str">
        <f aca="false">IF('Cash Flow'!$B240="","",'Cash Flow'!$B240)</f>
        <v/>
      </c>
      <c r="H36" s="70" t="str">
        <f aca="false">IF('Cash Flow'!$B240="","",IF('Cash Flow'!$G240&lt;&gt;"",'Cash Flow'!$G240,-'Cash Flow'!$H240))</f>
        <v/>
      </c>
      <c r="J36" s="68" t="str">
        <f aca="false">IF('Cash Flow'!$B295="","",'Cash Flow'!$C295)</f>
        <v/>
      </c>
      <c r="K36" s="69" t="str">
        <f aca="false">IF('Cash Flow'!$B295="","",'Cash Flow'!$B295)</f>
        <v/>
      </c>
      <c r="L36" s="70" t="str">
        <f aca="false">IF('Cash Flow'!$B295="","",IF('Cash Flow'!$G295&lt;&gt;"",'Cash Flow'!$G295,-'Cash Flow'!$H295))</f>
        <v/>
      </c>
    </row>
    <row r="37" customFormat="false" ht="12.75" hidden="false" customHeight="true" outlineLevel="0" collapsed="false">
      <c r="B37" s="68" t="n">
        <f aca="false">IF('Cash Flow'!$B186="","",'Cash Flow'!$C186)</f>
        <v>46276</v>
      </c>
      <c r="C37" s="69" t="str">
        <f aca="false">IF('Cash Flow'!$B186="","",'Cash Flow'!$B186)</f>
        <v>Compunnel Software (paycheck)</v>
      </c>
      <c r="D37" s="70" t="n">
        <f aca="false">IF('Cash Flow'!$B186="","",IF('Cash Flow'!$G186&lt;&gt;"",'Cash Flow'!$G186,-'Cash Flow'!$H186))</f>
        <v>745</v>
      </c>
      <c r="F37" s="68" t="str">
        <f aca="false">IF('Cash Flow'!$B241="","",'Cash Flow'!$C241)</f>
        <v/>
      </c>
      <c r="G37" s="69" t="str">
        <f aca="false">IF('Cash Flow'!$B241="","",'Cash Flow'!$B241)</f>
        <v/>
      </c>
      <c r="H37" s="70" t="str">
        <f aca="false">IF('Cash Flow'!$B241="","",IF('Cash Flow'!$G241&lt;&gt;"",'Cash Flow'!$G241,-'Cash Flow'!$H241))</f>
        <v/>
      </c>
      <c r="J37" s="68" t="str">
        <f aca="false">IF('Cash Flow'!$B296="","",'Cash Flow'!$C296)</f>
        <v/>
      </c>
      <c r="K37" s="69" t="str">
        <f aca="false">IF('Cash Flow'!$B296="","",'Cash Flow'!$B296)</f>
        <v/>
      </c>
      <c r="L37" s="70" t="str">
        <f aca="false">IF('Cash Flow'!$B296="","",IF('Cash Flow'!$G296&lt;&gt;"",'Cash Flow'!$G296,-'Cash Flow'!$H296))</f>
        <v/>
      </c>
    </row>
    <row r="38" customFormat="false" ht="12.75" hidden="false" customHeight="true" outlineLevel="0" collapsed="false">
      <c r="B38" s="68" t="str">
        <f aca="false">IF('Cash Flow'!$B187="","",'Cash Flow'!$C187)</f>
        <v/>
      </c>
      <c r="C38" s="69" t="str">
        <f aca="false">IF('Cash Flow'!$B187="","",'Cash Flow'!$B187)</f>
        <v/>
      </c>
      <c r="D38" s="70" t="str">
        <f aca="false">IF('Cash Flow'!$B187="","",IF('Cash Flow'!$G187&lt;&gt;"",'Cash Flow'!$G187,-'Cash Flow'!$H187))</f>
        <v/>
      </c>
      <c r="F38" s="68" t="str">
        <f aca="false">IF('Cash Flow'!$B242="","",'Cash Flow'!$C242)</f>
        <v/>
      </c>
      <c r="G38" s="69" t="str">
        <f aca="false">IF('Cash Flow'!$B242="","",'Cash Flow'!$B242)</f>
        <v/>
      </c>
      <c r="H38" s="70" t="str">
        <f aca="false">IF('Cash Flow'!$B242="","",IF('Cash Flow'!$G242&lt;&gt;"",'Cash Flow'!$G242,-'Cash Flow'!$H242))</f>
        <v/>
      </c>
      <c r="J38" s="68" t="str">
        <f aca="false">IF('Cash Flow'!$B297="","",'Cash Flow'!$C297)</f>
        <v/>
      </c>
      <c r="K38" s="69" t="str">
        <f aca="false">IF('Cash Flow'!$B297="","",'Cash Flow'!$B297)</f>
        <v/>
      </c>
      <c r="L38" s="70" t="str">
        <f aca="false">IF('Cash Flow'!$B297="","",IF('Cash Flow'!$G297&lt;&gt;"",'Cash Flow'!$G297,-'Cash Flow'!$H297))</f>
        <v/>
      </c>
    </row>
    <row r="39" customFormat="false" ht="12.75" hidden="false" customHeight="true" outlineLevel="0" collapsed="false">
      <c r="B39" s="68" t="str">
        <f aca="false">IF('Cash Flow'!$B188="","",'Cash Flow'!$C188)</f>
        <v/>
      </c>
      <c r="C39" s="69" t="str">
        <f aca="false">IF('Cash Flow'!$B188="","",'Cash Flow'!$B188)</f>
        <v/>
      </c>
      <c r="D39" s="70" t="str">
        <f aca="false">IF('Cash Flow'!$B188="","",IF('Cash Flow'!$G188&lt;&gt;"",'Cash Flow'!$G188,-'Cash Flow'!$H188))</f>
        <v/>
      </c>
      <c r="F39" s="68" t="str">
        <f aca="false">IF('Cash Flow'!$B243="","",'Cash Flow'!$C243)</f>
        <v/>
      </c>
      <c r="G39" s="69" t="str">
        <f aca="false">IF('Cash Flow'!$B243="","",'Cash Flow'!$B243)</f>
        <v/>
      </c>
      <c r="H39" s="70" t="str">
        <f aca="false">IF('Cash Flow'!$B243="","",IF('Cash Flow'!$G243&lt;&gt;"",'Cash Flow'!$G243,-'Cash Flow'!$H243))</f>
        <v/>
      </c>
      <c r="J39" s="68" t="str">
        <f aca="false">IF('Cash Flow'!$B298="","",'Cash Flow'!$C298)</f>
        <v/>
      </c>
      <c r="K39" s="69" t="str">
        <f aca="false">IF('Cash Flow'!$B298="","",'Cash Flow'!$B298)</f>
        <v/>
      </c>
      <c r="L39" s="70" t="str">
        <f aca="false">IF('Cash Flow'!$B298="","",IF('Cash Flow'!$G298&lt;&gt;"",'Cash Flow'!$G298,-'Cash Flow'!$H298))</f>
        <v/>
      </c>
    </row>
    <row r="40" customFormat="false" ht="12.75" hidden="false" customHeight="true" outlineLevel="0" collapsed="false">
      <c r="B40" s="68" t="str">
        <f aca="false">IF('Cash Flow'!$B189="","",'Cash Flow'!$C189)</f>
        <v/>
      </c>
      <c r="C40" s="69" t="str">
        <f aca="false">IF('Cash Flow'!$B189="","",'Cash Flow'!$B189)</f>
        <v/>
      </c>
      <c r="D40" s="70" t="str">
        <f aca="false">IF('Cash Flow'!$B189="","",IF('Cash Flow'!$G189&lt;&gt;"",'Cash Flow'!$G189,-'Cash Flow'!$H189))</f>
        <v/>
      </c>
      <c r="F40" s="68" t="str">
        <f aca="false">IF('Cash Flow'!$B244="","",'Cash Flow'!$C244)</f>
        <v/>
      </c>
      <c r="G40" s="69" t="str">
        <f aca="false">IF('Cash Flow'!$B244="","",'Cash Flow'!$B244)</f>
        <v/>
      </c>
      <c r="H40" s="70" t="str">
        <f aca="false">IF('Cash Flow'!$B244="","",IF('Cash Flow'!$G244&lt;&gt;"",'Cash Flow'!$G244,-'Cash Flow'!$H244))</f>
        <v/>
      </c>
      <c r="J40" s="68" t="str">
        <f aca="false">IF('Cash Flow'!$B299="","",'Cash Flow'!$C299)</f>
        <v/>
      </c>
      <c r="K40" s="69" t="str">
        <f aca="false">IF('Cash Flow'!$B299="","",'Cash Flow'!$B299)</f>
        <v/>
      </c>
      <c r="L40" s="70" t="str">
        <f aca="false">IF('Cash Flow'!$B299="","",IF('Cash Flow'!$G299&lt;&gt;"",'Cash Flow'!$G299,-'Cash Flow'!$H299))</f>
        <v/>
      </c>
    </row>
    <row r="41" customFormat="false" ht="15" hidden="false" customHeight="false" outlineLevel="0" collapsed="false">
      <c r="B41" s="71" t="s">
        <v>124</v>
      </c>
      <c r="C41" s="66"/>
      <c r="D41" s="72" t="n">
        <f aca="false">Summary!$D16</f>
        <v>835</v>
      </c>
      <c r="F41" s="71" t="s">
        <v>124</v>
      </c>
      <c r="G41" s="66"/>
      <c r="H41" s="72" t="n">
        <f aca="false">Summary!$D17</f>
        <v>835</v>
      </c>
      <c r="J41" s="71" t="s">
        <v>124</v>
      </c>
      <c r="K41" s="66"/>
      <c r="L41" s="72" t="n">
        <f aca="false">Summary!$D18</f>
        <v>835</v>
      </c>
    </row>
    <row r="42" customFormat="false" ht="15" hidden="false" customHeight="false" outlineLevel="0" collapsed="false">
      <c r="B42" s="62" t="s">
        <v>125</v>
      </c>
      <c r="C42" s="63"/>
      <c r="D42" s="73" t="n">
        <f aca="false">-Summary!$E16</f>
        <v>-718.68</v>
      </c>
      <c r="F42" s="62" t="s">
        <v>125</v>
      </c>
      <c r="G42" s="63"/>
      <c r="H42" s="73" t="n">
        <f aca="false">-Summary!$E17</f>
        <v>-397.99</v>
      </c>
      <c r="J42" s="62" t="s">
        <v>125</v>
      </c>
      <c r="K42" s="63"/>
      <c r="L42" s="73" t="n">
        <f aca="false">-Summary!$E18</f>
        <v>-184.8</v>
      </c>
    </row>
    <row r="43" customFormat="false" ht="15" hidden="false" customHeight="false" outlineLevel="0" collapsed="false">
      <c r="B43" s="62" t="s">
        <v>28</v>
      </c>
      <c r="C43" s="63"/>
      <c r="D43" s="73" t="n">
        <f aca="false">-Summary!$F16</f>
        <v>-400</v>
      </c>
      <c r="F43" s="62" t="s">
        <v>28</v>
      </c>
      <c r="G43" s="63"/>
      <c r="H43" s="73" t="n">
        <f aca="false">-Summary!$F17</f>
        <v>-400</v>
      </c>
      <c r="J43" s="62" t="s">
        <v>28</v>
      </c>
      <c r="K43" s="63"/>
      <c r="L43" s="73" t="n">
        <f aca="false">-Summary!$F18</f>
        <v>-400</v>
      </c>
    </row>
    <row r="44" customFormat="false" ht="15" hidden="false" customHeight="false" outlineLevel="0" collapsed="false">
      <c r="B44" s="62" t="s">
        <v>126</v>
      </c>
      <c r="C44" s="74" t="str">
        <f aca="false">IF(Summary!$K16="","",TEXT(Summary!$K16,"ddd mmm d"))</f>
        <v>Tue Sep 8</v>
      </c>
      <c r="D44" s="75" t="n">
        <f aca="false">Summary!$J16</f>
        <v>-314.19</v>
      </c>
      <c r="F44" s="62" t="s">
        <v>126</v>
      </c>
      <c r="G44" s="74" t="str">
        <f aca="false">IF(Summary!$K17="","",TEXT(Summary!$K17,"ddd mmm d"))</f>
        <v>Tue Sep 15</v>
      </c>
      <c r="H44" s="75" t="n">
        <f aca="false">Summary!$J17</f>
        <v>-232.18</v>
      </c>
      <c r="J44" s="62" t="s">
        <v>126</v>
      </c>
      <c r="K44" s="74" t="str">
        <f aca="false">IF(Summary!$K18="","",TEXT(Summary!$K18,"ddd mmm d"))</f>
        <v>Tue Sep 22</v>
      </c>
      <c r="L44" s="75" t="n">
        <f aca="false">Summary!$J18</f>
        <v>-26.9799999999998</v>
      </c>
    </row>
    <row r="45" customFormat="false" ht="21.75" hidden="false" customHeight="true" outlineLevel="0" collapsed="false">
      <c r="B45" s="76" t="s">
        <v>127</v>
      </c>
      <c r="C45" s="76"/>
      <c r="D45" s="77" t="n">
        <f aca="false">Summary!$I16</f>
        <v>120.81</v>
      </c>
      <c r="F45" s="76" t="s">
        <v>127</v>
      </c>
      <c r="G45" s="76"/>
      <c r="H45" s="77" t="n">
        <f aca="false">Summary!$I17</f>
        <v>157.82</v>
      </c>
      <c r="J45" s="76" t="s">
        <v>127</v>
      </c>
      <c r="K45" s="76"/>
      <c r="L45" s="77" t="n">
        <f aca="false">Summary!$I18</f>
        <v>408.02</v>
      </c>
    </row>
    <row r="46" customFormat="false" ht="15" hidden="false" customHeight="false" outlineLevel="0" collapsed="false">
      <c r="B46" s="78" t="str">
        <f aca="false">Summary!$L16</f>
        <v>SHORTFALL</v>
      </c>
      <c r="C46" s="78"/>
      <c r="D46" s="78"/>
      <c r="F46" s="78" t="str">
        <f aca="false">Summary!$L17</f>
        <v>SHORTFALL</v>
      </c>
      <c r="G46" s="78"/>
      <c r="H46" s="78"/>
      <c r="J46" s="78" t="str">
        <f aca="false">Summary!$L18</f>
        <v>SHORTFALL</v>
      </c>
      <c r="K46" s="78"/>
      <c r="L46" s="78"/>
    </row>
    <row r="50" customFormat="false" ht="19.5" hidden="false" customHeight="true" outlineLevel="0" collapsed="false">
      <c r="B50" s="61" t="str">
        <f aca="false">"WEEK "&amp;Summary!$B19&amp;"    "&amp;TEXT(Summary!$C19,"mmm d")&amp;" - "&amp;TEXT(Summary!$C19+6,"mmm d")</f>
        <v>WEEK 7    Sep 26 - Oct 2</v>
      </c>
      <c r="C50" s="61"/>
      <c r="D50" s="61"/>
      <c r="F50" s="61" t="str">
        <f aca="false">"WEEK "&amp;Summary!$B20&amp;"    "&amp;TEXT(Summary!$C20,"mmm d")&amp;" - "&amp;TEXT(Summary!$C20+6,"mmm d")</f>
        <v>WEEK 8    Oct 3 - Oct 9</v>
      </c>
      <c r="G50" s="61"/>
      <c r="H50" s="61"/>
      <c r="J50" s="61" t="str">
        <f aca="false">"WEEK "&amp;Summary!$B21&amp;"    "&amp;TEXT(Summary!$C21,"mmm d")&amp;" - "&amp;TEXT(Summary!$C21+6,"mmm d")</f>
        <v>WEEK 9    Oct 10 - Oct 16</v>
      </c>
      <c r="K50" s="61"/>
      <c r="L50" s="61"/>
    </row>
    <row r="51" customFormat="false" ht="15" hidden="false" customHeight="false" outlineLevel="0" collapsed="false">
      <c r="B51" s="62" t="s">
        <v>122</v>
      </c>
      <c r="C51" s="63"/>
      <c r="D51" s="64" t="n">
        <f aca="false">Summary!$H19</f>
        <v>408.02</v>
      </c>
      <c r="F51" s="62" t="s">
        <v>122</v>
      </c>
      <c r="G51" s="63"/>
      <c r="H51" s="64" t="n">
        <f aca="false">Summary!$H20</f>
        <v>199.65</v>
      </c>
      <c r="J51" s="62" t="s">
        <v>122</v>
      </c>
      <c r="K51" s="63"/>
      <c r="L51" s="64" t="n">
        <f aca="false">Summary!$H21</f>
        <v>-84.9399999999998</v>
      </c>
    </row>
    <row r="52" customFormat="false" ht="15" hidden="false" customHeight="false" outlineLevel="0" collapsed="false">
      <c r="B52" s="65" t="s">
        <v>123</v>
      </c>
      <c r="C52" s="66"/>
      <c r="D52" s="67"/>
      <c r="F52" s="65" t="s">
        <v>123</v>
      </c>
      <c r="G52" s="66"/>
      <c r="H52" s="67"/>
      <c r="J52" s="65" t="s">
        <v>123</v>
      </c>
      <c r="K52" s="66"/>
      <c r="L52" s="67"/>
    </row>
    <row r="53" customFormat="false" ht="12.75" hidden="false" customHeight="true" outlineLevel="0" collapsed="false">
      <c r="B53" s="68" t="n">
        <f aca="false">IF('Cash Flow'!$B345="","",'Cash Flow'!$C345)</f>
        <v>46295</v>
      </c>
      <c r="C53" s="69" t="str">
        <f aca="false">IF('Cash Flow'!$B345="","",'Cash Flow'!$B345)</f>
        <v>Bruno's Restaurant (paycheck)</v>
      </c>
      <c r="D53" s="70" t="n">
        <f aca="false">IF('Cash Flow'!$B345="","",IF('Cash Flow'!$G345&lt;&gt;"",'Cash Flow'!$G345,-'Cash Flow'!$H345))</f>
        <v>90</v>
      </c>
      <c r="F53" s="68" t="n">
        <f aca="false">IF('Cash Flow'!$B400="","",'Cash Flow'!$C400)</f>
        <v>46299</v>
      </c>
      <c r="G53" s="69" t="str">
        <f aca="false">IF('Cash Flow'!$B400="","",'Cash Flow'!$B400)</f>
        <v>Apple: Claude</v>
      </c>
      <c r="H53" s="70" t="n">
        <f aca="false">IF('Cash Flow'!$B400="","",IF('Cash Flow'!$G400&lt;&gt;"",'Cash Flow'!$G400,-'Cash Flow'!$H400))</f>
        <v>-21.1</v>
      </c>
      <c r="J53" s="68" t="n">
        <f aca="false">IF('Cash Flow'!$B455="","",'Cash Flow'!$C455)</f>
        <v>46308</v>
      </c>
      <c r="K53" s="69" t="str">
        <f aca="false">IF('Cash Flow'!$B455="","",'Cash Flow'!$B455)</f>
        <v>Apple: iCloud</v>
      </c>
      <c r="L53" s="70" t="n">
        <f aca="false">IF('Cash Flow'!$B455="","",IF('Cash Flow'!$G455&lt;&gt;"",'Cash Flow'!$G455,-'Cash Flow'!$H455))</f>
        <v>-2.99</v>
      </c>
    </row>
    <row r="54" customFormat="false" ht="12.75" hidden="false" customHeight="true" outlineLevel="0" collapsed="false">
      <c r="B54" s="68" t="n">
        <f aca="false">IF('Cash Flow'!$B346="","",'Cash Flow'!$C346)</f>
        <v>46295</v>
      </c>
      <c r="C54" s="69" t="str">
        <f aca="false">IF('Cash Flow'!$B346="","",'Cash Flow'!$B346)</f>
        <v>Patrick Rombalski (rent)</v>
      </c>
      <c r="D54" s="70" t="n">
        <f aca="false">IF('Cash Flow'!$B346="","",IF('Cash Flow'!$G346&lt;&gt;"",'Cash Flow'!$G346,-'Cash Flow'!$H346))</f>
        <v>-350</v>
      </c>
      <c r="F54" s="68" t="n">
        <f aca="false">IF('Cash Flow'!$B401="","",'Cash Flow'!$C401)</f>
        <v>46300</v>
      </c>
      <c r="G54" s="69" t="str">
        <f aca="false">IF('Cash Flow'!$B401="","",'Cash Flow'!$B401)</f>
        <v>OpenAI</v>
      </c>
      <c r="H54" s="70" t="n">
        <f aca="false">IF('Cash Flow'!$B401="","",IF('Cash Flow'!$G401&lt;&gt;"",'Cash Flow'!$G401,-'Cash Flow'!$H401))</f>
        <v>-20</v>
      </c>
      <c r="J54" s="68" t="n">
        <f aca="false">IF('Cash Flow'!$B456="","",'Cash Flow'!$C456)</f>
        <v>46309</v>
      </c>
      <c r="K54" s="69" t="str">
        <f aca="false">IF('Cash Flow'!$B456="","",'Cash Flow'!$B456)</f>
        <v>Bruno's Restaurant (paycheck)</v>
      </c>
      <c r="L54" s="70" t="n">
        <f aca="false">IF('Cash Flow'!$B456="","",IF('Cash Flow'!$G456&lt;&gt;"",'Cash Flow'!$G456,-'Cash Flow'!$H456))</f>
        <v>90</v>
      </c>
    </row>
    <row r="55" customFormat="false" ht="12.75" hidden="false" customHeight="true" outlineLevel="0" collapsed="false">
      <c r="B55" s="68" t="n">
        <f aca="false">IF('Cash Flow'!$B347="","",'Cash Flow'!$C347)</f>
        <v>46295</v>
      </c>
      <c r="C55" s="69" t="str">
        <f aca="false">IF('Cash Flow'!$B347="","",'Cash Flow'!$B347)</f>
        <v>Maine Revenue Services (2)</v>
      </c>
      <c r="D55" s="70" t="n">
        <f aca="false">IF('Cash Flow'!$B347="","",IF('Cash Flow'!$G347&lt;&gt;"",'Cash Flow'!$G347,-'Cash Flow'!$H347))</f>
        <v>-150</v>
      </c>
      <c r="F55" s="68" t="n">
        <f aca="false">IF('Cash Flow'!$B402="","",'Cash Flow'!$C402)</f>
        <v>46300</v>
      </c>
      <c r="G55" s="69" t="str">
        <f aca="false">IF('Cash Flow'!$B402="","",'Cash Flow'!$B402)</f>
        <v>Obsidian</v>
      </c>
      <c r="H55" s="70" t="n">
        <f aca="false">IF('Cash Flow'!$B402="","",IF('Cash Flow'!$G402&lt;&gt;"",'Cash Flow'!$G402,-'Cash Flow'!$H402))</f>
        <v>-10</v>
      </c>
      <c r="J55" s="68" t="n">
        <f aca="false">IF('Cash Flow'!$B457="","",'Cash Flow'!$C457)</f>
        <v>46310</v>
      </c>
      <c r="K55" s="69" t="str">
        <f aca="false">IF('Cash Flow'!$B457="","",'Cash Flow'!$B457)</f>
        <v>Patrick Rombalski (rent)</v>
      </c>
      <c r="L55" s="70" t="n">
        <f aca="false">IF('Cash Flow'!$B457="","",IF('Cash Flow'!$G457&lt;&gt;"",'Cash Flow'!$G457,-'Cash Flow'!$H457))</f>
        <v>-350</v>
      </c>
    </row>
    <row r="56" customFormat="false" ht="12.75" hidden="false" customHeight="true" outlineLevel="0" collapsed="false">
      <c r="B56" s="68" t="n">
        <f aca="false">IF('Cash Flow'!$B348="","",'Cash Flow'!$C348)</f>
        <v>46295</v>
      </c>
      <c r="C56" s="69" t="str">
        <f aca="false">IF('Cash Flow'!$B348="","",'Cash Flow'!$B348)</f>
        <v>Progressive Insurance</v>
      </c>
      <c r="D56" s="70" t="n">
        <f aca="false">IF('Cash Flow'!$B348="","",IF('Cash Flow'!$G348&lt;&gt;"",'Cash Flow'!$G348,-'Cash Flow'!$H348))</f>
        <v>-143.37</v>
      </c>
      <c r="F56" s="68" t="n">
        <f aca="false">IF('Cash Flow'!$B403="","",'Cash Flow'!$C403)</f>
        <v>46302</v>
      </c>
      <c r="G56" s="69" t="str">
        <f aca="false">IF('Cash Flow'!$B403="","",'Cash Flow'!$B403)</f>
        <v>Bruno's Restaurant (paycheck)</v>
      </c>
      <c r="H56" s="70" t="n">
        <f aca="false">IF('Cash Flow'!$B403="","",IF('Cash Flow'!$G403&lt;&gt;"",'Cash Flow'!$G403,-'Cash Flow'!$H403))</f>
        <v>90</v>
      </c>
      <c r="J56" s="68" t="n">
        <f aca="false">IF('Cash Flow'!$B458="","",'Cash Flow'!$C458)</f>
        <v>46311</v>
      </c>
      <c r="K56" s="69" t="str">
        <f aca="false">IF('Cash Flow'!$B458="","",'Cash Flow'!$B458)</f>
        <v>Compunnel Software (paycheck)</v>
      </c>
      <c r="L56" s="70" t="n">
        <f aca="false">IF('Cash Flow'!$B458="","",IF('Cash Flow'!$G458&lt;&gt;"",'Cash Flow'!$G458,-'Cash Flow'!$H458))</f>
        <v>745</v>
      </c>
    </row>
    <row r="57" customFormat="false" ht="12.75" hidden="false" customHeight="true" outlineLevel="0" collapsed="false">
      <c r="B57" s="68" t="n">
        <f aca="false">IF('Cash Flow'!$B349="","",'Cash Flow'!$C349)</f>
        <v>46297</v>
      </c>
      <c r="C57" s="69" t="str">
        <f aca="false">IF('Cash Flow'!$B349="","",'Cash Flow'!$B349)</f>
        <v>Compunnel Software (paycheck)</v>
      </c>
      <c r="D57" s="70" t="n">
        <f aca="false">IF('Cash Flow'!$B349="","",IF('Cash Flow'!$G349&lt;&gt;"",'Cash Flow'!$G349,-'Cash Flow'!$H349))</f>
        <v>745</v>
      </c>
      <c r="F57" s="68" t="n">
        <f aca="false">IF('Cash Flow'!$B404="","",'Cash Flow'!$C404)</f>
        <v>46302</v>
      </c>
      <c r="G57" s="69" t="str">
        <f aca="false">IF('Cash Flow'!$B404="","",'Cash Flow'!$B404)</f>
        <v>Google One</v>
      </c>
      <c r="H57" s="70" t="n">
        <f aca="false">IF('Cash Flow'!$B404="","",IF('Cash Flow'!$G404&lt;&gt;"",'Cash Flow'!$G404,-'Cash Flow'!$H404))</f>
        <v>-4.99</v>
      </c>
      <c r="J57" s="68" t="n">
        <f aca="false">IF('Cash Flow'!$B459="","",'Cash Flow'!$C459)</f>
        <v>46311</v>
      </c>
      <c r="K57" s="69" t="str">
        <f aca="false">IF('Cash Flow'!$B459="","",'Cash Flow'!$B459)</f>
        <v>Maine Revenue Services</v>
      </c>
      <c r="L57" s="70" t="n">
        <f aca="false">IF('Cash Flow'!$B459="","",IF('Cash Flow'!$G459&lt;&gt;"",'Cash Flow'!$G459,-'Cash Flow'!$H459))</f>
        <v>-45</v>
      </c>
    </row>
    <row r="58" customFormat="false" ht="12.75" hidden="false" customHeight="true" outlineLevel="0" collapsed="false">
      <c r="B58" s="68" t="str">
        <f aca="false">IF('Cash Flow'!$B350="","",'Cash Flow'!$C350)</f>
        <v/>
      </c>
      <c r="C58" s="69" t="str">
        <f aca="false">IF('Cash Flow'!$B350="","",'Cash Flow'!$B350)</f>
        <v/>
      </c>
      <c r="D58" s="70" t="str">
        <f aca="false">IF('Cash Flow'!$B350="","",IF('Cash Flow'!$G350&lt;&gt;"",'Cash Flow'!$G350,-'Cash Flow'!$H350))</f>
        <v/>
      </c>
      <c r="F58" s="68" t="n">
        <f aca="false">IF('Cash Flow'!$B405="","",'Cash Flow'!$C405)</f>
        <v>46302</v>
      </c>
      <c r="G58" s="69" t="str">
        <f aca="false">IF('Cash Flow'!$B405="","",'Cash Flow'!$B405)</f>
        <v>Upstart (loan)</v>
      </c>
      <c r="H58" s="70" t="n">
        <f aca="false">IF('Cash Flow'!$B405="","",IF('Cash Flow'!$G405&lt;&gt;"",'Cash Flow'!$G405,-'Cash Flow'!$H405))</f>
        <v>-500</v>
      </c>
      <c r="J58" s="68" t="str">
        <f aca="false">IF('Cash Flow'!$B460="","",'Cash Flow'!$C460)</f>
        <v/>
      </c>
      <c r="K58" s="69" t="str">
        <f aca="false">IF('Cash Flow'!$B460="","",'Cash Flow'!$B460)</f>
        <v/>
      </c>
      <c r="L58" s="70" t="str">
        <f aca="false">IF('Cash Flow'!$B460="","",IF('Cash Flow'!$G460&lt;&gt;"",'Cash Flow'!$G460,-'Cash Flow'!$H460))</f>
        <v/>
      </c>
    </row>
    <row r="59" customFormat="false" ht="12.75" hidden="false" customHeight="true" outlineLevel="0" collapsed="false">
      <c r="B59" s="68" t="str">
        <f aca="false">IF('Cash Flow'!$B351="","",'Cash Flow'!$C351)</f>
        <v/>
      </c>
      <c r="C59" s="69" t="str">
        <f aca="false">IF('Cash Flow'!$B351="","",'Cash Flow'!$B351)</f>
        <v/>
      </c>
      <c r="D59" s="70" t="str">
        <f aca="false">IF('Cash Flow'!$B351="","",IF('Cash Flow'!$G351&lt;&gt;"",'Cash Flow'!$G351,-'Cash Flow'!$H351))</f>
        <v/>
      </c>
      <c r="F59" s="68" t="n">
        <f aca="false">IF('Cash Flow'!$B406="","",'Cash Flow'!$C406)</f>
        <v>46303</v>
      </c>
      <c r="G59" s="69" t="str">
        <f aca="false">IF('Cash Flow'!$B406="","",'Cash Flow'!$B406)</f>
        <v>Central Maine Power Co.</v>
      </c>
      <c r="H59" s="70" t="n">
        <f aca="false">IF('Cash Flow'!$B406="","",IF('Cash Flow'!$G406&lt;&gt;"",'Cash Flow'!$G406,-'Cash Flow'!$H406))</f>
        <v>-163.5</v>
      </c>
      <c r="J59" s="68" t="str">
        <f aca="false">IF('Cash Flow'!$B461="","",'Cash Flow'!$C461)</f>
        <v/>
      </c>
      <c r="K59" s="69" t="str">
        <f aca="false">IF('Cash Flow'!$B461="","",'Cash Flow'!$B461)</f>
        <v/>
      </c>
      <c r="L59" s="70" t="str">
        <f aca="false">IF('Cash Flow'!$B461="","",IF('Cash Flow'!$G461&lt;&gt;"",'Cash Flow'!$G461,-'Cash Flow'!$H461))</f>
        <v/>
      </c>
    </row>
    <row r="60" customFormat="false" ht="12.75" hidden="false" customHeight="true" outlineLevel="0" collapsed="false">
      <c r="B60" s="68" t="str">
        <f aca="false">IF('Cash Flow'!$B352="","",'Cash Flow'!$C352)</f>
        <v/>
      </c>
      <c r="C60" s="69" t="str">
        <f aca="false">IF('Cash Flow'!$B352="","",'Cash Flow'!$B352)</f>
        <v/>
      </c>
      <c r="D60" s="70" t="str">
        <f aca="false">IF('Cash Flow'!$B352="","",IF('Cash Flow'!$G352&lt;&gt;"",'Cash Flow'!$G352,-'Cash Flow'!$H352))</f>
        <v/>
      </c>
      <c r="F60" s="68" t="n">
        <f aca="false">IF('Cash Flow'!$B407="","",'Cash Flow'!$C407)</f>
        <v>46304</v>
      </c>
      <c r="G60" s="69" t="str">
        <f aca="false">IF('Cash Flow'!$B407="","",'Cash Flow'!$B407)</f>
        <v>Compunnel Software (paycheck)</v>
      </c>
      <c r="H60" s="70" t="n">
        <f aca="false">IF('Cash Flow'!$B407="","",IF('Cash Flow'!$G407&lt;&gt;"",'Cash Flow'!$G407,-'Cash Flow'!$H407))</f>
        <v>745</v>
      </c>
      <c r="J60" s="68" t="str">
        <f aca="false">IF('Cash Flow'!$B462="","",'Cash Flow'!$C462)</f>
        <v/>
      </c>
      <c r="K60" s="69" t="str">
        <f aca="false">IF('Cash Flow'!$B462="","",'Cash Flow'!$B462)</f>
        <v/>
      </c>
      <c r="L60" s="70" t="str">
        <f aca="false">IF('Cash Flow'!$B462="","",IF('Cash Flow'!$G462&lt;&gt;"",'Cash Flow'!$G462,-'Cash Flow'!$H462))</f>
        <v/>
      </c>
    </row>
    <row r="61" customFormat="false" ht="12.75" hidden="false" customHeight="true" outlineLevel="0" collapsed="false">
      <c r="B61" s="68" t="str">
        <f aca="false">IF('Cash Flow'!$B353="","",'Cash Flow'!$C353)</f>
        <v/>
      </c>
      <c r="C61" s="69" t="str">
        <f aca="false">IF('Cash Flow'!$B353="","",'Cash Flow'!$B353)</f>
        <v/>
      </c>
      <c r="D61" s="70" t="str">
        <f aca="false">IF('Cash Flow'!$B353="","",IF('Cash Flow'!$G353&lt;&gt;"",'Cash Flow'!$G353,-'Cash Flow'!$H353))</f>
        <v/>
      </c>
      <c r="F61" s="68" t="str">
        <f aca="false">IF('Cash Flow'!$B408="","",'Cash Flow'!$C408)</f>
        <v/>
      </c>
      <c r="G61" s="69" t="str">
        <f aca="false">IF('Cash Flow'!$B408="","",'Cash Flow'!$B408)</f>
        <v/>
      </c>
      <c r="H61" s="70" t="str">
        <f aca="false">IF('Cash Flow'!$B408="","",IF('Cash Flow'!$G408&lt;&gt;"",'Cash Flow'!$G408,-'Cash Flow'!$H408))</f>
        <v/>
      </c>
      <c r="J61" s="68" t="str">
        <f aca="false">IF('Cash Flow'!$B463="","",'Cash Flow'!$C463)</f>
        <v/>
      </c>
      <c r="K61" s="69" t="str">
        <f aca="false">IF('Cash Flow'!$B463="","",'Cash Flow'!$B463)</f>
        <v/>
      </c>
      <c r="L61" s="70" t="str">
        <f aca="false">IF('Cash Flow'!$B463="","",IF('Cash Flow'!$G463&lt;&gt;"",'Cash Flow'!$G463,-'Cash Flow'!$H463))</f>
        <v/>
      </c>
    </row>
    <row r="62" customFormat="false" ht="12.75" hidden="false" customHeight="true" outlineLevel="0" collapsed="false">
      <c r="B62" s="68" t="str">
        <f aca="false">IF('Cash Flow'!$B354="","",'Cash Flow'!$C354)</f>
        <v/>
      </c>
      <c r="C62" s="69" t="str">
        <f aca="false">IF('Cash Flow'!$B354="","",'Cash Flow'!$B354)</f>
        <v/>
      </c>
      <c r="D62" s="70" t="str">
        <f aca="false">IF('Cash Flow'!$B354="","",IF('Cash Flow'!$G354&lt;&gt;"",'Cash Flow'!$G354,-'Cash Flow'!$H354))</f>
        <v/>
      </c>
      <c r="F62" s="68" t="str">
        <f aca="false">IF('Cash Flow'!$B409="","",'Cash Flow'!$C409)</f>
        <v/>
      </c>
      <c r="G62" s="69" t="str">
        <f aca="false">IF('Cash Flow'!$B409="","",'Cash Flow'!$B409)</f>
        <v/>
      </c>
      <c r="H62" s="70" t="str">
        <f aca="false">IF('Cash Flow'!$B409="","",IF('Cash Flow'!$G409&lt;&gt;"",'Cash Flow'!$G409,-'Cash Flow'!$H409))</f>
        <v/>
      </c>
      <c r="J62" s="68" t="str">
        <f aca="false">IF('Cash Flow'!$B464="","",'Cash Flow'!$C464)</f>
        <v/>
      </c>
      <c r="K62" s="69" t="str">
        <f aca="false">IF('Cash Flow'!$B464="","",'Cash Flow'!$B464)</f>
        <v/>
      </c>
      <c r="L62" s="70" t="str">
        <f aca="false">IF('Cash Flow'!$B464="","",IF('Cash Flow'!$G464&lt;&gt;"",'Cash Flow'!$G464,-'Cash Flow'!$H464))</f>
        <v/>
      </c>
    </row>
    <row r="63" customFormat="false" ht="15" hidden="false" customHeight="false" outlineLevel="0" collapsed="false">
      <c r="B63" s="71" t="s">
        <v>124</v>
      </c>
      <c r="C63" s="66"/>
      <c r="D63" s="72" t="n">
        <f aca="false">Summary!$D19</f>
        <v>835</v>
      </c>
      <c r="F63" s="71" t="s">
        <v>124</v>
      </c>
      <c r="G63" s="66"/>
      <c r="H63" s="72" t="n">
        <f aca="false">Summary!$D20</f>
        <v>835</v>
      </c>
      <c r="J63" s="71" t="s">
        <v>124</v>
      </c>
      <c r="K63" s="66"/>
      <c r="L63" s="72" t="n">
        <f aca="false">Summary!$D21</f>
        <v>835</v>
      </c>
    </row>
    <row r="64" customFormat="false" ht="15" hidden="false" customHeight="false" outlineLevel="0" collapsed="false">
      <c r="B64" s="62" t="s">
        <v>125</v>
      </c>
      <c r="C64" s="63"/>
      <c r="D64" s="73" t="n">
        <f aca="false">-Summary!$E19</f>
        <v>-643.37</v>
      </c>
      <c r="F64" s="62" t="s">
        <v>125</v>
      </c>
      <c r="G64" s="63"/>
      <c r="H64" s="73" t="n">
        <f aca="false">-Summary!$E20</f>
        <v>-719.59</v>
      </c>
      <c r="J64" s="62" t="s">
        <v>125</v>
      </c>
      <c r="K64" s="63"/>
      <c r="L64" s="73" t="n">
        <f aca="false">-Summary!$E21</f>
        <v>-397.99</v>
      </c>
    </row>
    <row r="65" customFormat="false" ht="15" hidden="false" customHeight="false" outlineLevel="0" collapsed="false">
      <c r="B65" s="62" t="s">
        <v>28</v>
      </c>
      <c r="C65" s="63"/>
      <c r="D65" s="73" t="n">
        <f aca="false">-Summary!$F19</f>
        <v>-400</v>
      </c>
      <c r="F65" s="62" t="s">
        <v>28</v>
      </c>
      <c r="G65" s="63"/>
      <c r="H65" s="73" t="n">
        <f aca="false">-Summary!$F20</f>
        <v>-400</v>
      </c>
      <c r="J65" s="62" t="s">
        <v>28</v>
      </c>
      <c r="K65" s="63"/>
      <c r="L65" s="73" t="n">
        <f aca="false">-Summary!$F21</f>
        <v>-400</v>
      </c>
    </row>
    <row r="66" customFormat="false" ht="15" hidden="false" customHeight="false" outlineLevel="0" collapsed="false">
      <c r="B66" s="62" t="s">
        <v>126</v>
      </c>
      <c r="C66" s="74" t="str">
        <f aca="false">IF(Summary!$K19="","",TEXT(Summary!$K19,"ddd mmm d"))</f>
        <v>Wed Sep 30</v>
      </c>
      <c r="D66" s="75" t="n">
        <f aca="false">Summary!$J19</f>
        <v>-145.35</v>
      </c>
      <c r="F66" s="62" t="s">
        <v>126</v>
      </c>
      <c r="G66" s="74" t="str">
        <f aca="false">IF(Summary!$K20="","",TEXT(Summary!$K20,"ddd mmm d"))</f>
        <v>Thu Oct 8</v>
      </c>
      <c r="H66" s="75" t="n">
        <f aca="false">Summary!$J20</f>
        <v>-429.94</v>
      </c>
      <c r="J66" s="62" t="s">
        <v>126</v>
      </c>
      <c r="K66" s="74" t="str">
        <f aca="false">IF(Summary!$K21="","",TEXT(Summary!$K21,"ddd mmm d"))</f>
        <v>Thu Oct 15</v>
      </c>
      <c r="L66" s="75" t="n">
        <f aca="false">Summary!$J21</f>
        <v>-347.93</v>
      </c>
    </row>
    <row r="67" customFormat="false" ht="21.75" hidden="false" customHeight="true" outlineLevel="0" collapsed="false">
      <c r="B67" s="76" t="s">
        <v>127</v>
      </c>
      <c r="C67" s="76"/>
      <c r="D67" s="77" t="n">
        <f aca="false">Summary!$I19</f>
        <v>199.65</v>
      </c>
      <c r="F67" s="76" t="s">
        <v>127</v>
      </c>
      <c r="G67" s="76"/>
      <c r="H67" s="77" t="n">
        <f aca="false">Summary!$I20</f>
        <v>-84.9399999999998</v>
      </c>
      <c r="J67" s="76" t="s">
        <v>127</v>
      </c>
      <c r="K67" s="76"/>
      <c r="L67" s="77" t="n">
        <f aca="false">Summary!$I21</f>
        <v>-47.9299999999998</v>
      </c>
    </row>
    <row r="68" customFormat="false" ht="15" hidden="false" customHeight="false" outlineLevel="0" collapsed="false">
      <c r="B68" s="78" t="str">
        <f aca="false">Summary!$L19</f>
        <v>SHORTFALL</v>
      </c>
      <c r="C68" s="78"/>
      <c r="D68" s="78"/>
      <c r="F68" s="78" t="str">
        <f aca="false">Summary!$L20</f>
        <v>SHORTFALL</v>
      </c>
      <c r="G68" s="78"/>
      <c r="H68" s="78"/>
      <c r="J68" s="78" t="str">
        <f aca="false">Summary!$L21</f>
        <v>SHORTFALL</v>
      </c>
      <c r="K68" s="78"/>
      <c r="L68" s="78"/>
    </row>
    <row r="72" customFormat="false" ht="19.5" hidden="false" customHeight="true" outlineLevel="0" collapsed="false">
      <c r="B72" s="61" t="str">
        <f aca="false">"WEEK "&amp;Summary!$B22&amp;"    "&amp;TEXT(Summary!$C22,"mmm d")&amp;" - "&amp;TEXT(Summary!$C22+6,"mmm d")</f>
        <v>WEEK 10    Oct 17 - Oct 23</v>
      </c>
      <c r="C72" s="61"/>
      <c r="D72" s="61"/>
      <c r="F72" s="61" t="str">
        <f aca="false">"WEEK "&amp;Summary!$B23&amp;"    "&amp;TEXT(Summary!$C23,"mmm d")&amp;" - "&amp;TEXT(Summary!$C23+6,"mmm d")</f>
        <v>WEEK 11    Oct 24 - Oct 30</v>
      </c>
      <c r="G72" s="61"/>
      <c r="H72" s="61"/>
      <c r="J72" s="61" t="str">
        <f aca="false">"WEEK "&amp;Summary!$B24&amp;"    "&amp;TEXT(Summary!$C24,"mmm d")&amp;" - "&amp;TEXT(Summary!$C24+6,"mmm d")</f>
        <v>WEEK 12    Oct 31 - Nov 6</v>
      </c>
      <c r="K72" s="61"/>
      <c r="L72" s="61"/>
    </row>
    <row r="73" customFormat="false" ht="15" hidden="false" customHeight="false" outlineLevel="0" collapsed="false">
      <c r="B73" s="62" t="s">
        <v>122</v>
      </c>
      <c r="C73" s="63"/>
      <c r="D73" s="64" t="n">
        <f aca="false">Summary!$H22</f>
        <v>-47.9299999999998</v>
      </c>
      <c r="F73" s="62" t="s">
        <v>122</v>
      </c>
      <c r="G73" s="63"/>
      <c r="H73" s="64" t="n">
        <f aca="false">Summary!$H23</f>
        <v>202.27</v>
      </c>
      <c r="J73" s="62" t="s">
        <v>122</v>
      </c>
      <c r="K73" s="63"/>
      <c r="L73" s="64" t="n">
        <f aca="false">Summary!$H24</f>
        <v>137.27</v>
      </c>
    </row>
    <row r="74" customFormat="false" ht="15" hidden="false" customHeight="false" outlineLevel="0" collapsed="false">
      <c r="B74" s="65" t="s">
        <v>123</v>
      </c>
      <c r="C74" s="66"/>
      <c r="D74" s="67"/>
      <c r="F74" s="65" t="s">
        <v>123</v>
      </c>
      <c r="G74" s="66"/>
      <c r="H74" s="67"/>
      <c r="J74" s="65" t="s">
        <v>123</v>
      </c>
      <c r="K74" s="66"/>
      <c r="L74" s="67"/>
    </row>
    <row r="75" customFormat="false" ht="12.75" hidden="false" customHeight="true" outlineLevel="0" collapsed="false">
      <c r="B75" s="68" t="n">
        <f aca="false">IF('Cash Flow'!$B510="","",'Cash Flow'!$C510)</f>
        <v>46316</v>
      </c>
      <c r="C75" s="69" t="str">
        <f aca="false">IF('Cash Flow'!$B510="","",'Cash Flow'!$B510)</f>
        <v>Bruno's Restaurant (paycheck)</v>
      </c>
      <c r="D75" s="70" t="n">
        <f aca="false">IF('Cash Flow'!$B510="","",IF('Cash Flow'!$G510&lt;&gt;"",'Cash Flow'!$G510,-'Cash Flow'!$H510))</f>
        <v>90</v>
      </c>
      <c r="F75" s="68" t="n">
        <f aca="false">IF('Cash Flow'!$B565="","",'Cash Flow'!$C565)</f>
        <v>46323</v>
      </c>
      <c r="G75" s="69" t="str">
        <f aca="false">IF('Cash Flow'!$B565="","",'Cash Flow'!$B565)</f>
        <v>Bruno's Restaurant (paycheck)</v>
      </c>
      <c r="H75" s="70" t="n">
        <f aca="false">IF('Cash Flow'!$B565="","",IF('Cash Flow'!$G565&lt;&gt;"",'Cash Flow'!$G565,-'Cash Flow'!$H565))</f>
        <v>90</v>
      </c>
      <c r="J75" s="68" t="n">
        <f aca="false">IF('Cash Flow'!$B620="","",'Cash Flow'!$C620)</f>
        <v>46326</v>
      </c>
      <c r="K75" s="69" t="str">
        <f aca="false">IF('Cash Flow'!$B620="","",'Cash Flow'!$B620)</f>
        <v>Progressive Insurance</v>
      </c>
      <c r="L75" s="70" t="n">
        <f aca="false">IF('Cash Flow'!$B620="","",IF('Cash Flow'!$G620&lt;&gt;"",'Cash Flow'!$G620,-'Cash Flow'!$H620))</f>
        <v>-143.37</v>
      </c>
    </row>
    <row r="76" customFormat="false" ht="12.75" hidden="false" customHeight="true" outlineLevel="0" collapsed="false">
      <c r="B76" s="68" t="n">
        <f aca="false">IF('Cash Flow'!$B511="","",'Cash Flow'!$C511)</f>
        <v>46316</v>
      </c>
      <c r="C76" s="69" t="str">
        <f aca="false">IF('Cash Flow'!$B511="","",'Cash Flow'!$B511)</f>
        <v>Spectrum</v>
      </c>
      <c r="D76" s="70" t="n">
        <f aca="false">IF('Cash Flow'!$B511="","",IF('Cash Flow'!$G511&lt;&gt;"",'Cash Flow'!$G511,-'Cash Flow'!$H511))</f>
        <v>-171.1</v>
      </c>
      <c r="F76" s="68" t="n">
        <f aca="false">IF('Cash Flow'!$B566="","",'Cash Flow'!$C566)</f>
        <v>46325</v>
      </c>
      <c r="G76" s="69" t="str">
        <f aca="false">IF('Cash Flow'!$B566="","",'Cash Flow'!$B566)</f>
        <v>Compunnel Software (paycheck)</v>
      </c>
      <c r="H76" s="70" t="n">
        <f aca="false">IF('Cash Flow'!$B566="","",IF('Cash Flow'!$G566&lt;&gt;"",'Cash Flow'!$G566,-'Cash Flow'!$H566))</f>
        <v>745</v>
      </c>
      <c r="J76" s="68" t="n">
        <f aca="false">IF('Cash Flow'!$B621="","",'Cash Flow'!$C621)</f>
        <v>46330</v>
      </c>
      <c r="K76" s="69" t="str">
        <f aca="false">IF('Cash Flow'!$B621="","",'Cash Flow'!$B621)</f>
        <v>Bruno's Restaurant (paycheck)</v>
      </c>
      <c r="L76" s="70" t="n">
        <f aca="false">IF('Cash Flow'!$B621="","",IF('Cash Flow'!$G621&lt;&gt;"",'Cash Flow'!$G621,-'Cash Flow'!$H621))</f>
        <v>90</v>
      </c>
    </row>
    <row r="77" customFormat="false" ht="12.75" hidden="false" customHeight="true" outlineLevel="0" collapsed="false">
      <c r="B77" s="68" t="n">
        <f aca="false">IF('Cash Flow'!$B512="","",'Cash Flow'!$C512)</f>
        <v>46317</v>
      </c>
      <c r="C77" s="69" t="str">
        <f aca="false">IF('Cash Flow'!$B512="","",'Cash Flow'!$B512)</f>
        <v>Microsoft</v>
      </c>
      <c r="D77" s="70" t="n">
        <f aca="false">IF('Cash Flow'!$B512="","",IF('Cash Flow'!$G512&lt;&gt;"",'Cash Flow'!$G512,-'Cash Flow'!$H512))</f>
        <v>-13.7</v>
      </c>
      <c r="F77" s="68" t="n">
        <f aca="false">IF('Cash Flow'!$B567="","",'Cash Flow'!$C567)</f>
        <v>46325</v>
      </c>
      <c r="G77" s="69" t="str">
        <f aca="false">IF('Cash Flow'!$B567="","",'Cash Flow'!$B567)</f>
        <v>Patrick Rombalski (rent)</v>
      </c>
      <c r="H77" s="70" t="n">
        <f aca="false">IF('Cash Flow'!$B567="","",IF('Cash Flow'!$G567&lt;&gt;"",'Cash Flow'!$G567,-'Cash Flow'!$H567))</f>
        <v>-350</v>
      </c>
      <c r="J77" s="68" t="n">
        <f aca="false">IF('Cash Flow'!$B622="","",'Cash Flow'!$C622)</f>
        <v>46330</v>
      </c>
      <c r="K77" s="69" t="str">
        <f aca="false">IF('Cash Flow'!$B622="","",'Cash Flow'!$B622)</f>
        <v>Apple: Claude</v>
      </c>
      <c r="L77" s="70" t="n">
        <f aca="false">IF('Cash Flow'!$B622="","",IF('Cash Flow'!$G622&lt;&gt;"",'Cash Flow'!$G622,-'Cash Flow'!$H622))</f>
        <v>-21.1</v>
      </c>
    </row>
    <row r="78" customFormat="false" ht="12.75" hidden="false" customHeight="true" outlineLevel="0" collapsed="false">
      <c r="B78" s="68" t="n">
        <f aca="false">IF('Cash Flow'!$B513="","",'Cash Flow'!$C513)</f>
        <v>46318</v>
      </c>
      <c r="C78" s="69" t="str">
        <f aca="false">IF('Cash Flow'!$B513="","",'Cash Flow'!$B513)</f>
        <v>Compunnel Software (paycheck)</v>
      </c>
      <c r="D78" s="70" t="n">
        <f aca="false">IF('Cash Flow'!$B513="","",IF('Cash Flow'!$G513&lt;&gt;"",'Cash Flow'!$G513,-'Cash Flow'!$H513))</f>
        <v>745</v>
      </c>
      <c r="F78" s="68" t="n">
        <f aca="false">IF('Cash Flow'!$B568="","",'Cash Flow'!$C568)</f>
        <v>46325</v>
      </c>
      <c r="G78" s="69" t="str">
        <f aca="false">IF('Cash Flow'!$B568="","",'Cash Flow'!$B568)</f>
        <v>Maine Revenue Services (2)</v>
      </c>
      <c r="H78" s="70" t="n">
        <f aca="false">IF('Cash Flow'!$B568="","",IF('Cash Flow'!$G568&lt;&gt;"",'Cash Flow'!$G568,-'Cash Flow'!$H568))</f>
        <v>-150</v>
      </c>
      <c r="J78" s="68" t="n">
        <f aca="false">IF('Cash Flow'!$B623="","",'Cash Flow'!$C623)</f>
        <v>46331</v>
      </c>
      <c r="K78" s="69" t="str">
        <f aca="false">IF('Cash Flow'!$B623="","",'Cash Flow'!$B623)</f>
        <v>OpenAI</v>
      </c>
      <c r="L78" s="70" t="n">
        <f aca="false">IF('Cash Flow'!$B623="","",IF('Cash Flow'!$G623&lt;&gt;"",'Cash Flow'!$G623,-'Cash Flow'!$H623))</f>
        <v>-20</v>
      </c>
    </row>
    <row r="79" customFormat="false" ht="12.75" hidden="false" customHeight="true" outlineLevel="0" collapsed="false">
      <c r="B79" s="68" t="str">
        <f aca="false">IF('Cash Flow'!$B514="","",'Cash Flow'!$C514)</f>
        <v/>
      </c>
      <c r="C79" s="69" t="str">
        <f aca="false">IF('Cash Flow'!$B514="","",'Cash Flow'!$B514)</f>
        <v/>
      </c>
      <c r="D79" s="70" t="str">
        <f aca="false">IF('Cash Flow'!$B514="","",IF('Cash Flow'!$G514&lt;&gt;"",'Cash Flow'!$G514,-'Cash Flow'!$H514))</f>
        <v/>
      </c>
      <c r="F79" s="68" t="str">
        <f aca="false">IF('Cash Flow'!$B569="","",'Cash Flow'!$C569)</f>
        <v/>
      </c>
      <c r="G79" s="69" t="str">
        <f aca="false">IF('Cash Flow'!$B569="","",'Cash Flow'!$B569)</f>
        <v/>
      </c>
      <c r="H79" s="70" t="str">
        <f aca="false">IF('Cash Flow'!$B569="","",IF('Cash Flow'!$G569&lt;&gt;"",'Cash Flow'!$G569,-'Cash Flow'!$H569))</f>
        <v/>
      </c>
      <c r="J79" s="68" t="n">
        <f aca="false">IF('Cash Flow'!$B624="","",'Cash Flow'!$C624)</f>
        <v>46331</v>
      </c>
      <c r="K79" s="69" t="str">
        <f aca="false">IF('Cash Flow'!$B624="","",'Cash Flow'!$B624)</f>
        <v>Obsidian</v>
      </c>
      <c r="L79" s="70" t="n">
        <f aca="false">IF('Cash Flow'!$B624="","",IF('Cash Flow'!$G624&lt;&gt;"",'Cash Flow'!$G624,-'Cash Flow'!$H624))</f>
        <v>-10</v>
      </c>
    </row>
    <row r="80" customFormat="false" ht="12.75" hidden="false" customHeight="true" outlineLevel="0" collapsed="false">
      <c r="B80" s="68" t="str">
        <f aca="false">IF('Cash Flow'!$B515="","",'Cash Flow'!$C515)</f>
        <v/>
      </c>
      <c r="C80" s="69" t="str">
        <f aca="false">IF('Cash Flow'!$B515="","",'Cash Flow'!$B515)</f>
        <v/>
      </c>
      <c r="D80" s="70" t="str">
        <f aca="false">IF('Cash Flow'!$B515="","",IF('Cash Flow'!$G515&lt;&gt;"",'Cash Flow'!$G515,-'Cash Flow'!$H515))</f>
        <v/>
      </c>
      <c r="F80" s="68" t="str">
        <f aca="false">IF('Cash Flow'!$B570="","",'Cash Flow'!$C570)</f>
        <v/>
      </c>
      <c r="G80" s="69" t="str">
        <f aca="false">IF('Cash Flow'!$B570="","",'Cash Flow'!$B570)</f>
        <v/>
      </c>
      <c r="H80" s="70" t="str">
        <f aca="false">IF('Cash Flow'!$B570="","",IF('Cash Flow'!$G570&lt;&gt;"",'Cash Flow'!$G570,-'Cash Flow'!$H570))</f>
        <v/>
      </c>
      <c r="J80" s="68" t="n">
        <f aca="false">IF('Cash Flow'!$B625="","",'Cash Flow'!$C625)</f>
        <v>46332</v>
      </c>
      <c r="K80" s="69" t="str">
        <f aca="false">IF('Cash Flow'!$B625="","",'Cash Flow'!$B625)</f>
        <v>Compunnel Software (paycheck)</v>
      </c>
      <c r="L80" s="70" t="n">
        <f aca="false">IF('Cash Flow'!$B625="","",IF('Cash Flow'!$G625&lt;&gt;"",'Cash Flow'!$G625,-'Cash Flow'!$H625))</f>
        <v>745</v>
      </c>
    </row>
    <row r="81" customFormat="false" ht="12.75" hidden="false" customHeight="true" outlineLevel="0" collapsed="false">
      <c r="B81" s="68" t="str">
        <f aca="false">IF('Cash Flow'!$B516="","",'Cash Flow'!$C516)</f>
        <v/>
      </c>
      <c r="C81" s="69" t="str">
        <f aca="false">IF('Cash Flow'!$B516="","",'Cash Flow'!$B516)</f>
        <v/>
      </c>
      <c r="D81" s="70" t="str">
        <f aca="false">IF('Cash Flow'!$B516="","",IF('Cash Flow'!$G516&lt;&gt;"",'Cash Flow'!$G516,-'Cash Flow'!$H516))</f>
        <v/>
      </c>
      <c r="F81" s="68" t="str">
        <f aca="false">IF('Cash Flow'!$B571="","",'Cash Flow'!$C571)</f>
        <v/>
      </c>
      <c r="G81" s="69" t="str">
        <f aca="false">IF('Cash Flow'!$B571="","",'Cash Flow'!$B571)</f>
        <v/>
      </c>
      <c r="H81" s="70" t="str">
        <f aca="false">IF('Cash Flow'!$B571="","",IF('Cash Flow'!$G571&lt;&gt;"",'Cash Flow'!$G571,-'Cash Flow'!$H571))</f>
        <v/>
      </c>
      <c r="J81" s="68" t="str">
        <f aca="false">IF('Cash Flow'!$B626="","",'Cash Flow'!$C626)</f>
        <v/>
      </c>
      <c r="K81" s="69" t="str">
        <f aca="false">IF('Cash Flow'!$B626="","",'Cash Flow'!$B626)</f>
        <v/>
      </c>
      <c r="L81" s="70" t="str">
        <f aca="false">IF('Cash Flow'!$B626="","",IF('Cash Flow'!$G626&lt;&gt;"",'Cash Flow'!$G626,-'Cash Flow'!$H626))</f>
        <v/>
      </c>
    </row>
    <row r="82" customFormat="false" ht="12.75" hidden="false" customHeight="true" outlineLevel="0" collapsed="false">
      <c r="B82" s="68" t="str">
        <f aca="false">IF('Cash Flow'!$B517="","",'Cash Flow'!$C517)</f>
        <v/>
      </c>
      <c r="C82" s="69" t="str">
        <f aca="false">IF('Cash Flow'!$B517="","",'Cash Flow'!$B517)</f>
        <v/>
      </c>
      <c r="D82" s="70" t="str">
        <f aca="false">IF('Cash Flow'!$B517="","",IF('Cash Flow'!$G517&lt;&gt;"",'Cash Flow'!$G517,-'Cash Flow'!$H517))</f>
        <v/>
      </c>
      <c r="F82" s="68" t="str">
        <f aca="false">IF('Cash Flow'!$B572="","",'Cash Flow'!$C572)</f>
        <v/>
      </c>
      <c r="G82" s="69" t="str">
        <f aca="false">IF('Cash Flow'!$B572="","",'Cash Flow'!$B572)</f>
        <v/>
      </c>
      <c r="H82" s="70" t="str">
        <f aca="false">IF('Cash Flow'!$B572="","",IF('Cash Flow'!$G572&lt;&gt;"",'Cash Flow'!$G572,-'Cash Flow'!$H572))</f>
        <v/>
      </c>
      <c r="J82" s="68" t="str">
        <f aca="false">IF('Cash Flow'!$B627="","",'Cash Flow'!$C627)</f>
        <v/>
      </c>
      <c r="K82" s="69" t="str">
        <f aca="false">IF('Cash Flow'!$B627="","",'Cash Flow'!$B627)</f>
        <v/>
      </c>
      <c r="L82" s="70" t="str">
        <f aca="false">IF('Cash Flow'!$B627="","",IF('Cash Flow'!$G627&lt;&gt;"",'Cash Flow'!$G627,-'Cash Flow'!$H627))</f>
        <v/>
      </c>
    </row>
    <row r="83" customFormat="false" ht="12.75" hidden="false" customHeight="true" outlineLevel="0" collapsed="false">
      <c r="B83" s="68" t="str">
        <f aca="false">IF('Cash Flow'!$B518="","",'Cash Flow'!$C518)</f>
        <v/>
      </c>
      <c r="C83" s="69" t="str">
        <f aca="false">IF('Cash Flow'!$B518="","",'Cash Flow'!$B518)</f>
        <v/>
      </c>
      <c r="D83" s="70" t="str">
        <f aca="false">IF('Cash Flow'!$B518="","",IF('Cash Flow'!$G518&lt;&gt;"",'Cash Flow'!$G518,-'Cash Flow'!$H518))</f>
        <v/>
      </c>
      <c r="F83" s="68" t="str">
        <f aca="false">IF('Cash Flow'!$B573="","",'Cash Flow'!$C573)</f>
        <v/>
      </c>
      <c r="G83" s="69" t="str">
        <f aca="false">IF('Cash Flow'!$B573="","",'Cash Flow'!$B573)</f>
        <v/>
      </c>
      <c r="H83" s="70" t="str">
        <f aca="false">IF('Cash Flow'!$B573="","",IF('Cash Flow'!$G573&lt;&gt;"",'Cash Flow'!$G573,-'Cash Flow'!$H573))</f>
        <v/>
      </c>
      <c r="J83" s="68" t="str">
        <f aca="false">IF('Cash Flow'!$B628="","",'Cash Flow'!$C628)</f>
        <v/>
      </c>
      <c r="K83" s="69" t="str">
        <f aca="false">IF('Cash Flow'!$B628="","",'Cash Flow'!$B628)</f>
        <v/>
      </c>
      <c r="L83" s="70" t="str">
        <f aca="false">IF('Cash Flow'!$B628="","",IF('Cash Flow'!$G628&lt;&gt;"",'Cash Flow'!$G628,-'Cash Flow'!$H628))</f>
        <v/>
      </c>
    </row>
    <row r="84" customFormat="false" ht="12.75" hidden="false" customHeight="true" outlineLevel="0" collapsed="false">
      <c r="B84" s="68" t="str">
        <f aca="false">IF('Cash Flow'!$B519="","",'Cash Flow'!$C519)</f>
        <v/>
      </c>
      <c r="C84" s="69" t="str">
        <f aca="false">IF('Cash Flow'!$B519="","",'Cash Flow'!$B519)</f>
        <v/>
      </c>
      <c r="D84" s="70" t="str">
        <f aca="false">IF('Cash Flow'!$B519="","",IF('Cash Flow'!$G519&lt;&gt;"",'Cash Flow'!$G519,-'Cash Flow'!$H519))</f>
        <v/>
      </c>
      <c r="F84" s="68" t="str">
        <f aca="false">IF('Cash Flow'!$B574="","",'Cash Flow'!$C574)</f>
        <v/>
      </c>
      <c r="G84" s="69" t="str">
        <f aca="false">IF('Cash Flow'!$B574="","",'Cash Flow'!$B574)</f>
        <v/>
      </c>
      <c r="H84" s="70" t="str">
        <f aca="false">IF('Cash Flow'!$B574="","",IF('Cash Flow'!$G574&lt;&gt;"",'Cash Flow'!$G574,-'Cash Flow'!$H574))</f>
        <v/>
      </c>
      <c r="J84" s="68" t="str">
        <f aca="false">IF('Cash Flow'!$B629="","",'Cash Flow'!$C629)</f>
        <v/>
      </c>
      <c r="K84" s="69" t="str">
        <f aca="false">IF('Cash Flow'!$B629="","",'Cash Flow'!$B629)</f>
        <v/>
      </c>
      <c r="L84" s="70" t="str">
        <f aca="false">IF('Cash Flow'!$B629="","",IF('Cash Flow'!$G629&lt;&gt;"",'Cash Flow'!$G629,-'Cash Flow'!$H629))</f>
        <v/>
      </c>
    </row>
    <row r="85" customFormat="false" ht="15" hidden="false" customHeight="false" outlineLevel="0" collapsed="false">
      <c r="B85" s="71" t="s">
        <v>124</v>
      </c>
      <c r="C85" s="66"/>
      <c r="D85" s="72" t="n">
        <f aca="false">Summary!$D22</f>
        <v>835</v>
      </c>
      <c r="F85" s="71" t="s">
        <v>124</v>
      </c>
      <c r="G85" s="66"/>
      <c r="H85" s="72" t="n">
        <f aca="false">Summary!$D23</f>
        <v>835</v>
      </c>
      <c r="J85" s="71" t="s">
        <v>124</v>
      </c>
      <c r="K85" s="66"/>
      <c r="L85" s="72" t="n">
        <f aca="false">Summary!$D24</f>
        <v>835</v>
      </c>
    </row>
    <row r="86" customFormat="false" ht="15" hidden="false" customHeight="false" outlineLevel="0" collapsed="false">
      <c r="B86" s="62" t="s">
        <v>125</v>
      </c>
      <c r="C86" s="63"/>
      <c r="D86" s="73" t="n">
        <f aca="false">-Summary!$E22</f>
        <v>-184.8</v>
      </c>
      <c r="F86" s="62" t="s">
        <v>125</v>
      </c>
      <c r="G86" s="63"/>
      <c r="H86" s="73" t="n">
        <f aca="false">-Summary!$E23</f>
        <v>-500</v>
      </c>
      <c r="J86" s="62" t="s">
        <v>125</v>
      </c>
      <c r="K86" s="63"/>
      <c r="L86" s="73" t="n">
        <f aca="false">-Summary!$E24</f>
        <v>-194.47</v>
      </c>
    </row>
    <row r="87" customFormat="false" ht="15" hidden="false" customHeight="false" outlineLevel="0" collapsed="false">
      <c r="B87" s="62" t="s">
        <v>28</v>
      </c>
      <c r="C87" s="63"/>
      <c r="D87" s="73" t="n">
        <f aca="false">-Summary!$F22</f>
        <v>-400</v>
      </c>
      <c r="F87" s="62" t="s">
        <v>28</v>
      </c>
      <c r="G87" s="63"/>
      <c r="H87" s="73" t="n">
        <f aca="false">-Summary!$F23</f>
        <v>-400</v>
      </c>
      <c r="J87" s="62" t="s">
        <v>28</v>
      </c>
      <c r="K87" s="63"/>
      <c r="L87" s="73" t="n">
        <f aca="false">-Summary!$F24</f>
        <v>-400</v>
      </c>
    </row>
    <row r="88" customFormat="false" ht="15" hidden="false" customHeight="false" outlineLevel="0" collapsed="false">
      <c r="B88" s="62" t="s">
        <v>126</v>
      </c>
      <c r="C88" s="74" t="str">
        <f aca="false">IF(Summary!$K22="","",TEXT(Summary!$K22,"ddd mmm d"))</f>
        <v>Thu Oct 22</v>
      </c>
      <c r="D88" s="75" t="n">
        <f aca="false">Summary!$J22</f>
        <v>-142.73</v>
      </c>
      <c r="F88" s="62" t="s">
        <v>126</v>
      </c>
      <c r="G88" s="74" t="str">
        <f aca="false">IF(Summary!$K23="","",TEXT(Summary!$K23,"ddd mmm d"))</f>
        <v>Fri Oct 30</v>
      </c>
      <c r="H88" s="75" t="n">
        <f aca="false">Summary!$J23</f>
        <v>137.27</v>
      </c>
      <c r="J88" s="62" t="s">
        <v>126</v>
      </c>
      <c r="K88" s="74" t="str">
        <f aca="false">IF(Summary!$K24="","",TEXT(Summary!$K24,"ddd mmm d"))</f>
        <v>Sat Oct 31</v>
      </c>
      <c r="L88" s="75" t="n">
        <f aca="false">Summary!$J24</f>
        <v>-6.0999999999998</v>
      </c>
    </row>
    <row r="89" customFormat="false" ht="21.75" hidden="false" customHeight="true" outlineLevel="0" collapsed="false">
      <c r="B89" s="76" t="s">
        <v>127</v>
      </c>
      <c r="C89" s="76"/>
      <c r="D89" s="77" t="n">
        <f aca="false">Summary!$I22</f>
        <v>202.27</v>
      </c>
      <c r="F89" s="76" t="s">
        <v>127</v>
      </c>
      <c r="G89" s="76"/>
      <c r="H89" s="77" t="n">
        <f aca="false">Summary!$I23</f>
        <v>137.27</v>
      </c>
      <c r="J89" s="76" t="s">
        <v>127</v>
      </c>
      <c r="K89" s="76"/>
      <c r="L89" s="77" t="n">
        <f aca="false">Summary!$I24</f>
        <v>377.8</v>
      </c>
    </row>
    <row r="90" customFormat="false" ht="15" hidden="false" customHeight="false" outlineLevel="0" collapsed="false">
      <c r="B90" s="78" t="str">
        <f aca="false">Summary!$L22</f>
        <v>SHORTFALL</v>
      </c>
      <c r="C90" s="78"/>
      <c r="D90" s="78"/>
      <c r="F90" s="78" t="str">
        <f aca="false">Summary!$L23</f>
        <v>TIGHT</v>
      </c>
      <c r="G90" s="78"/>
      <c r="H90" s="78"/>
      <c r="J90" s="78" t="str">
        <f aca="false">Summary!$L24</f>
        <v>SHORTFALL</v>
      </c>
      <c r="K90" s="78"/>
      <c r="L90" s="78"/>
    </row>
    <row r="94" customFormat="false" ht="19.5" hidden="false" customHeight="true" outlineLevel="0" collapsed="false">
      <c r="B94" s="61" t="str">
        <f aca="false">"WEEK "&amp;Summary!$B25&amp;"    "&amp;TEXT(Summary!$C25,"mmm d")&amp;" - "&amp;TEXT(Summary!$C25+6,"mmm d")</f>
        <v>WEEK 13    Nov 7 - Nov 13</v>
      </c>
      <c r="C94" s="61"/>
      <c r="D94" s="61"/>
    </row>
    <row r="95" customFormat="false" ht="15" hidden="false" customHeight="false" outlineLevel="0" collapsed="false">
      <c r="B95" s="62" t="s">
        <v>122</v>
      </c>
      <c r="C95" s="63"/>
      <c r="D95" s="64" t="n">
        <f aca="false">Summary!$H25</f>
        <v>377.8</v>
      </c>
    </row>
    <row r="96" customFormat="false" ht="15" hidden="false" customHeight="false" outlineLevel="0" collapsed="false">
      <c r="B96" s="65" t="s">
        <v>123</v>
      </c>
      <c r="C96" s="66"/>
      <c r="D96" s="67"/>
    </row>
    <row r="97" customFormat="false" ht="12.75" hidden="false" customHeight="true" outlineLevel="0" collapsed="false">
      <c r="B97" s="68" t="n">
        <f aca="false">IF('Cash Flow'!$B675="","",'Cash Flow'!$C675)</f>
        <v>46333</v>
      </c>
      <c r="C97" s="69" t="str">
        <f aca="false">IF('Cash Flow'!$B675="","",'Cash Flow'!$B675)</f>
        <v>Google One</v>
      </c>
      <c r="D97" s="70" t="n">
        <f aca="false">IF('Cash Flow'!$B675="","",IF('Cash Flow'!$G675&lt;&gt;"",'Cash Flow'!$G675,-'Cash Flow'!$H675))</f>
        <v>-4.99</v>
      </c>
    </row>
    <row r="98" customFormat="false" ht="12.75" hidden="false" customHeight="true" outlineLevel="0" collapsed="false">
      <c r="B98" s="68" t="n">
        <f aca="false">IF('Cash Flow'!$B676="","",'Cash Flow'!$C676)</f>
        <v>46333</v>
      </c>
      <c r="C98" s="69" t="str">
        <f aca="false">IF('Cash Flow'!$B676="","",'Cash Flow'!$B676)</f>
        <v>Upstart (loan)</v>
      </c>
      <c r="D98" s="70" t="n">
        <f aca="false">IF('Cash Flow'!$B676="","",IF('Cash Flow'!$G676&lt;&gt;"",'Cash Flow'!$G676,-'Cash Flow'!$H676))</f>
        <v>-500</v>
      </c>
    </row>
    <row r="99" customFormat="false" ht="12.75" hidden="false" customHeight="true" outlineLevel="0" collapsed="false">
      <c r="B99" s="68" t="n">
        <f aca="false">IF('Cash Flow'!$B677="","",'Cash Flow'!$C677)</f>
        <v>46334</v>
      </c>
      <c r="C99" s="69" t="str">
        <f aca="false">IF('Cash Flow'!$B677="","",'Cash Flow'!$B677)</f>
        <v>Central Maine Power Co.</v>
      </c>
      <c r="D99" s="70" t="n">
        <f aca="false">IF('Cash Flow'!$B677="","",IF('Cash Flow'!$G677&lt;&gt;"",'Cash Flow'!$G677,-'Cash Flow'!$H677))</f>
        <v>-163.5</v>
      </c>
    </row>
    <row r="100" customFormat="false" ht="12.75" hidden="false" customHeight="true" outlineLevel="0" collapsed="false">
      <c r="B100" s="68" t="n">
        <f aca="false">IF('Cash Flow'!$B678="","",'Cash Flow'!$C678)</f>
        <v>46337</v>
      </c>
      <c r="C100" s="69" t="str">
        <f aca="false">IF('Cash Flow'!$B678="","",'Cash Flow'!$B678)</f>
        <v>Bruno's Restaurant (paycheck)</v>
      </c>
      <c r="D100" s="70" t="n">
        <f aca="false">IF('Cash Flow'!$B678="","",IF('Cash Flow'!$G678&lt;&gt;"",'Cash Flow'!$G678,-'Cash Flow'!$H678))</f>
        <v>90</v>
      </c>
    </row>
    <row r="101" customFormat="false" ht="12.75" hidden="false" customHeight="true" outlineLevel="0" collapsed="false">
      <c r="B101" s="68" t="n">
        <f aca="false">IF('Cash Flow'!$B679="","",'Cash Flow'!$C679)</f>
        <v>46339</v>
      </c>
      <c r="C101" s="69" t="str">
        <f aca="false">IF('Cash Flow'!$B679="","",'Cash Flow'!$B679)</f>
        <v>Compunnel Software (paycheck)</v>
      </c>
      <c r="D101" s="70" t="n">
        <f aca="false">IF('Cash Flow'!$B679="","",IF('Cash Flow'!$G679&lt;&gt;"",'Cash Flow'!$G679,-'Cash Flow'!$H679))</f>
        <v>745</v>
      </c>
    </row>
    <row r="102" customFormat="false" ht="12.75" hidden="false" customHeight="true" outlineLevel="0" collapsed="false">
      <c r="B102" s="68" t="n">
        <f aca="false">IF('Cash Flow'!$B680="","",'Cash Flow'!$C680)</f>
        <v>46339</v>
      </c>
      <c r="C102" s="69" t="str">
        <f aca="false">IF('Cash Flow'!$B680="","",'Cash Flow'!$B680)</f>
        <v>Apple: iCloud</v>
      </c>
      <c r="D102" s="70" t="n">
        <f aca="false">IF('Cash Flow'!$B680="","",IF('Cash Flow'!$G680&lt;&gt;"",'Cash Flow'!$G680,-'Cash Flow'!$H680))</f>
        <v>-2.99</v>
      </c>
    </row>
    <row r="103" customFormat="false" ht="12.75" hidden="false" customHeight="true" outlineLevel="0" collapsed="false">
      <c r="B103" s="68" t="n">
        <f aca="false">IF('Cash Flow'!$B681="","",'Cash Flow'!$C681)</f>
        <v>46339</v>
      </c>
      <c r="C103" s="69" t="str">
        <f aca="false">IF('Cash Flow'!$B681="","",'Cash Flow'!$B681)</f>
        <v>Patrick Rombalski (rent)</v>
      </c>
      <c r="D103" s="70" t="n">
        <f aca="false">IF('Cash Flow'!$B681="","",IF('Cash Flow'!$G681&lt;&gt;"",'Cash Flow'!$G681,-'Cash Flow'!$H681))</f>
        <v>-350</v>
      </c>
    </row>
    <row r="104" customFormat="false" ht="12.75" hidden="false" customHeight="true" outlineLevel="0" collapsed="false">
      <c r="B104" s="68" t="str">
        <f aca="false">IF('Cash Flow'!$B682="","",'Cash Flow'!$C682)</f>
        <v/>
      </c>
      <c r="C104" s="69" t="str">
        <f aca="false">IF('Cash Flow'!$B682="","",'Cash Flow'!$B682)</f>
        <v/>
      </c>
      <c r="D104" s="70" t="str">
        <f aca="false">IF('Cash Flow'!$B682="","",IF('Cash Flow'!$G682&lt;&gt;"",'Cash Flow'!$G682,-'Cash Flow'!$H682))</f>
        <v/>
      </c>
    </row>
    <row r="105" customFormat="false" ht="12.75" hidden="false" customHeight="true" outlineLevel="0" collapsed="false">
      <c r="B105" s="68" t="str">
        <f aca="false">IF('Cash Flow'!$B683="","",'Cash Flow'!$C683)</f>
        <v/>
      </c>
      <c r="C105" s="69" t="str">
        <f aca="false">IF('Cash Flow'!$B683="","",'Cash Flow'!$B683)</f>
        <v/>
      </c>
      <c r="D105" s="70" t="str">
        <f aca="false">IF('Cash Flow'!$B683="","",IF('Cash Flow'!$G683&lt;&gt;"",'Cash Flow'!$G683,-'Cash Flow'!$H683))</f>
        <v/>
      </c>
    </row>
    <row r="106" customFormat="false" ht="12.75" hidden="false" customHeight="true" outlineLevel="0" collapsed="false">
      <c r="B106" s="68" t="str">
        <f aca="false">IF('Cash Flow'!$B684="","",'Cash Flow'!$C684)</f>
        <v/>
      </c>
      <c r="C106" s="69" t="str">
        <f aca="false">IF('Cash Flow'!$B684="","",'Cash Flow'!$B684)</f>
        <v/>
      </c>
      <c r="D106" s="70" t="str">
        <f aca="false">IF('Cash Flow'!$B684="","",IF('Cash Flow'!$G684&lt;&gt;"",'Cash Flow'!$G684,-'Cash Flow'!$H684))</f>
        <v/>
      </c>
    </row>
    <row r="107" customFormat="false" ht="15" hidden="false" customHeight="false" outlineLevel="0" collapsed="false">
      <c r="B107" s="71" t="s">
        <v>124</v>
      </c>
      <c r="C107" s="66"/>
      <c r="D107" s="72" t="n">
        <f aca="false">Summary!$D25</f>
        <v>835</v>
      </c>
    </row>
    <row r="108" customFormat="false" ht="15" hidden="false" customHeight="false" outlineLevel="0" collapsed="false">
      <c r="B108" s="62" t="s">
        <v>125</v>
      </c>
      <c r="C108" s="63"/>
      <c r="D108" s="73" t="n">
        <f aca="false">-Summary!$E25</f>
        <v>-1021.48</v>
      </c>
    </row>
    <row r="109" customFormat="false" ht="15" hidden="false" customHeight="false" outlineLevel="0" collapsed="false">
      <c r="B109" s="62" t="s">
        <v>28</v>
      </c>
      <c r="C109" s="63"/>
      <c r="D109" s="73" t="n">
        <f aca="false">-Summary!$F25</f>
        <v>-400</v>
      </c>
    </row>
    <row r="110" customFormat="false" ht="15" hidden="false" customHeight="false" outlineLevel="0" collapsed="false">
      <c r="B110" s="62" t="s">
        <v>126</v>
      </c>
      <c r="C110" s="74" t="str">
        <f aca="false">IF(Summary!$K25="","",TEXT(Summary!$K25,"ddd mmm d"))</f>
        <v>Sun Nov 8</v>
      </c>
      <c r="D110" s="75" t="n">
        <f aca="false">Summary!$J25</f>
        <v>-290.69</v>
      </c>
    </row>
    <row r="111" customFormat="false" ht="21.75" hidden="false" customHeight="true" outlineLevel="0" collapsed="false">
      <c r="B111" s="76" t="s">
        <v>127</v>
      </c>
      <c r="C111" s="76"/>
      <c r="D111" s="77" t="n">
        <f aca="false">Summary!$I25</f>
        <v>-208.68</v>
      </c>
    </row>
    <row r="112" customFormat="false" ht="15" hidden="false" customHeight="false" outlineLevel="0" collapsed="false">
      <c r="B112" s="78" t="str">
        <f aca="false">Summary!$L25</f>
        <v>SHORTFALL</v>
      </c>
      <c r="C112" s="78"/>
      <c r="D112" s="78"/>
    </row>
  </sheetData>
  <mergeCells count="39">
    <mergeCell ref="B6:D6"/>
    <mergeCell ref="F6:H6"/>
    <mergeCell ref="J6:L6"/>
    <mergeCell ref="B23:C23"/>
    <mergeCell ref="F23:G23"/>
    <mergeCell ref="J23:K23"/>
    <mergeCell ref="B24:D24"/>
    <mergeCell ref="F24:H24"/>
    <mergeCell ref="J24:L24"/>
    <mergeCell ref="B28:D28"/>
    <mergeCell ref="F28:H28"/>
    <mergeCell ref="J28:L28"/>
    <mergeCell ref="B45:C45"/>
    <mergeCell ref="F45:G45"/>
    <mergeCell ref="J45:K45"/>
    <mergeCell ref="B46:D46"/>
    <mergeCell ref="F46:H46"/>
    <mergeCell ref="J46:L46"/>
    <mergeCell ref="B50:D50"/>
    <mergeCell ref="F50:H50"/>
    <mergeCell ref="J50:L50"/>
    <mergeCell ref="B67:C67"/>
    <mergeCell ref="F67:G67"/>
    <mergeCell ref="J67:K67"/>
    <mergeCell ref="B68:D68"/>
    <mergeCell ref="F68:H68"/>
    <mergeCell ref="J68:L68"/>
    <mergeCell ref="B72:D72"/>
    <mergeCell ref="F72:H72"/>
    <mergeCell ref="J72:L72"/>
    <mergeCell ref="B89:C89"/>
    <mergeCell ref="F89:G89"/>
    <mergeCell ref="J89:K89"/>
    <mergeCell ref="B90:D90"/>
    <mergeCell ref="F90:H90"/>
    <mergeCell ref="J90:L90"/>
    <mergeCell ref="B94:D94"/>
    <mergeCell ref="B111:C111"/>
    <mergeCell ref="B112:D112"/>
  </mergeCells>
  <conditionalFormatting sqref="B9:D18">
    <cfRule type="expression" priority="2" aboveAverage="0" equalAverage="0" bottom="0" percent="0" rank="0" text="" dxfId="19">
      <formula>$C9&lt;&gt;""</formula>
    </cfRule>
  </conditionalFormatting>
  <conditionalFormatting sqref="B6:D6">
    <cfRule type="expression" priority="3" aboveAverage="0" equalAverage="0" bottom="0" percent="0" rank="0" text="" dxfId="20">
      <formula>Summary!$J13&lt;0</formula>
    </cfRule>
    <cfRule type="expression" priority="4" aboveAverage="0" equalAverage="0" bottom="0" percent="0" rank="0" text="" dxfId="21">
      <formula>Summary!$J13&lt;MinCushion</formula>
    </cfRule>
    <cfRule type="expression" priority="5" aboveAverage="0" equalAverage="0" bottom="0" percent="0" rank="0" text="" dxfId="22">
      <formula>Summary!$J13&gt;=MinCushion</formula>
    </cfRule>
  </conditionalFormatting>
  <conditionalFormatting sqref="B23:D23">
    <cfRule type="expression" priority="6" aboveAverage="0" equalAverage="0" bottom="0" percent="0" rank="0" text="" dxfId="20">
      <formula>Summary!$J13&lt;0</formula>
    </cfRule>
    <cfRule type="expression" priority="7" aboveAverage="0" equalAverage="0" bottom="0" percent="0" rank="0" text="" dxfId="21">
      <formula>Summary!$J13&lt;MinCushion</formula>
    </cfRule>
    <cfRule type="expression" priority="8" aboveAverage="0" equalAverage="0" bottom="0" percent="0" rank="0" text="" dxfId="22">
      <formula>Summary!$J13&gt;=MinCushion</formula>
    </cfRule>
  </conditionalFormatting>
  <conditionalFormatting sqref="F9:H18">
    <cfRule type="expression" priority="9" aboveAverage="0" equalAverage="0" bottom="0" percent="0" rank="0" text="" dxfId="19">
      <formula>$G9&lt;&gt;""</formula>
    </cfRule>
  </conditionalFormatting>
  <conditionalFormatting sqref="F6:H6">
    <cfRule type="expression" priority="10" aboveAverage="0" equalAverage="0" bottom="0" percent="0" rank="0" text="" dxfId="20">
      <formula>Summary!$J14&lt;0</formula>
    </cfRule>
    <cfRule type="expression" priority="11" aboveAverage="0" equalAverage="0" bottom="0" percent="0" rank="0" text="" dxfId="21">
      <formula>Summary!$J14&lt;MinCushion</formula>
    </cfRule>
    <cfRule type="expression" priority="12" aboveAverage="0" equalAverage="0" bottom="0" percent="0" rank="0" text="" dxfId="22">
      <formula>Summary!$J14&gt;=MinCushion</formula>
    </cfRule>
  </conditionalFormatting>
  <conditionalFormatting sqref="F23:H23">
    <cfRule type="expression" priority="13" aboveAverage="0" equalAverage="0" bottom="0" percent="0" rank="0" text="" dxfId="20">
      <formula>Summary!$J14&lt;0</formula>
    </cfRule>
    <cfRule type="expression" priority="14" aboveAverage="0" equalAverage="0" bottom="0" percent="0" rank="0" text="" dxfId="21">
      <formula>Summary!$J14&lt;MinCushion</formula>
    </cfRule>
    <cfRule type="expression" priority="15" aboveAverage="0" equalAverage="0" bottom="0" percent="0" rank="0" text="" dxfId="22">
      <formula>Summary!$J14&gt;=MinCushion</formula>
    </cfRule>
  </conditionalFormatting>
  <conditionalFormatting sqref="J9:L18">
    <cfRule type="expression" priority="16" aboveAverage="0" equalAverage="0" bottom="0" percent="0" rank="0" text="" dxfId="19">
      <formula>$K9&lt;&gt;""</formula>
    </cfRule>
  </conditionalFormatting>
  <conditionalFormatting sqref="J6:L6">
    <cfRule type="expression" priority="17" aboveAverage="0" equalAverage="0" bottom="0" percent="0" rank="0" text="" dxfId="20">
      <formula>Summary!$J15&lt;0</formula>
    </cfRule>
    <cfRule type="expression" priority="18" aboveAverage="0" equalAverage="0" bottom="0" percent="0" rank="0" text="" dxfId="21">
      <formula>Summary!$J15&lt;MinCushion</formula>
    </cfRule>
    <cfRule type="expression" priority="19" aboveAverage="0" equalAverage="0" bottom="0" percent="0" rank="0" text="" dxfId="22">
      <formula>Summary!$J15&gt;=MinCushion</formula>
    </cfRule>
  </conditionalFormatting>
  <conditionalFormatting sqref="J23:L23">
    <cfRule type="expression" priority="20" aboveAverage="0" equalAverage="0" bottom="0" percent="0" rank="0" text="" dxfId="20">
      <formula>Summary!$J15&lt;0</formula>
    </cfRule>
    <cfRule type="expression" priority="21" aboveAverage="0" equalAverage="0" bottom="0" percent="0" rank="0" text="" dxfId="21">
      <formula>Summary!$J15&lt;MinCushion</formula>
    </cfRule>
    <cfRule type="expression" priority="22" aboveAverage="0" equalAverage="0" bottom="0" percent="0" rank="0" text="" dxfId="22">
      <formula>Summary!$J15&gt;=MinCushion</formula>
    </cfRule>
  </conditionalFormatting>
  <conditionalFormatting sqref="B31:D40">
    <cfRule type="expression" priority="23" aboveAverage="0" equalAverage="0" bottom="0" percent="0" rank="0" text="" dxfId="19">
      <formula>$C31&lt;&gt;""</formula>
    </cfRule>
  </conditionalFormatting>
  <conditionalFormatting sqref="B28:D28">
    <cfRule type="expression" priority="24" aboveAverage="0" equalAverage="0" bottom="0" percent="0" rank="0" text="" dxfId="20">
      <formula>Summary!$J16&lt;0</formula>
    </cfRule>
    <cfRule type="expression" priority="25" aboveAverage="0" equalAverage="0" bottom="0" percent="0" rank="0" text="" dxfId="21">
      <formula>Summary!$J16&lt;MinCushion</formula>
    </cfRule>
    <cfRule type="expression" priority="26" aboveAverage="0" equalAverage="0" bottom="0" percent="0" rank="0" text="" dxfId="22">
      <formula>Summary!$J16&gt;=MinCushion</formula>
    </cfRule>
  </conditionalFormatting>
  <conditionalFormatting sqref="B45:D45">
    <cfRule type="expression" priority="27" aboveAverage="0" equalAverage="0" bottom="0" percent="0" rank="0" text="" dxfId="20">
      <formula>Summary!$J16&lt;0</formula>
    </cfRule>
    <cfRule type="expression" priority="28" aboveAverage="0" equalAverage="0" bottom="0" percent="0" rank="0" text="" dxfId="21">
      <formula>Summary!$J16&lt;MinCushion</formula>
    </cfRule>
    <cfRule type="expression" priority="29" aboveAverage="0" equalAverage="0" bottom="0" percent="0" rank="0" text="" dxfId="22">
      <formula>Summary!$J16&gt;=MinCushion</formula>
    </cfRule>
  </conditionalFormatting>
  <conditionalFormatting sqref="F31:H40">
    <cfRule type="expression" priority="30" aboveAverage="0" equalAverage="0" bottom="0" percent="0" rank="0" text="" dxfId="19">
      <formula>$G31&lt;&gt;""</formula>
    </cfRule>
  </conditionalFormatting>
  <conditionalFormatting sqref="F28:H28">
    <cfRule type="expression" priority="31" aboveAverage="0" equalAverage="0" bottom="0" percent="0" rank="0" text="" dxfId="20">
      <formula>Summary!$J17&lt;0</formula>
    </cfRule>
    <cfRule type="expression" priority="32" aboveAverage="0" equalAverage="0" bottom="0" percent="0" rank="0" text="" dxfId="21">
      <formula>Summary!$J17&lt;MinCushion</formula>
    </cfRule>
    <cfRule type="expression" priority="33" aboveAverage="0" equalAverage="0" bottom="0" percent="0" rank="0" text="" dxfId="22">
      <formula>Summary!$J17&gt;=MinCushion</formula>
    </cfRule>
  </conditionalFormatting>
  <conditionalFormatting sqref="F45:H45">
    <cfRule type="expression" priority="34" aboveAverage="0" equalAverage="0" bottom="0" percent="0" rank="0" text="" dxfId="20">
      <formula>Summary!$J17&lt;0</formula>
    </cfRule>
    <cfRule type="expression" priority="35" aboveAverage="0" equalAverage="0" bottom="0" percent="0" rank="0" text="" dxfId="21">
      <formula>Summary!$J17&lt;MinCushion</formula>
    </cfRule>
    <cfRule type="expression" priority="36" aboveAverage="0" equalAverage="0" bottom="0" percent="0" rank="0" text="" dxfId="22">
      <formula>Summary!$J17&gt;=MinCushion</formula>
    </cfRule>
  </conditionalFormatting>
  <conditionalFormatting sqref="J31:L40">
    <cfRule type="expression" priority="37" aboveAverage="0" equalAverage="0" bottom="0" percent="0" rank="0" text="" dxfId="19">
      <formula>$K31&lt;&gt;""</formula>
    </cfRule>
  </conditionalFormatting>
  <conditionalFormatting sqref="J28:L28">
    <cfRule type="expression" priority="38" aboveAverage="0" equalAverage="0" bottom="0" percent="0" rank="0" text="" dxfId="20">
      <formula>Summary!$J18&lt;0</formula>
    </cfRule>
    <cfRule type="expression" priority="39" aboveAverage="0" equalAverage="0" bottom="0" percent="0" rank="0" text="" dxfId="21">
      <formula>Summary!$J18&lt;MinCushion</formula>
    </cfRule>
    <cfRule type="expression" priority="40" aboveAverage="0" equalAverage="0" bottom="0" percent="0" rank="0" text="" dxfId="22">
      <formula>Summary!$J18&gt;=MinCushion</formula>
    </cfRule>
  </conditionalFormatting>
  <conditionalFormatting sqref="J45:L45">
    <cfRule type="expression" priority="41" aboveAverage="0" equalAverage="0" bottom="0" percent="0" rank="0" text="" dxfId="20">
      <formula>Summary!$J18&lt;0</formula>
    </cfRule>
    <cfRule type="expression" priority="42" aboveAverage="0" equalAverage="0" bottom="0" percent="0" rank="0" text="" dxfId="21">
      <formula>Summary!$J18&lt;MinCushion</formula>
    </cfRule>
    <cfRule type="expression" priority="43" aboveAverage="0" equalAverage="0" bottom="0" percent="0" rank="0" text="" dxfId="22">
      <formula>Summary!$J18&gt;=MinCushion</formula>
    </cfRule>
  </conditionalFormatting>
  <conditionalFormatting sqref="B53:D62">
    <cfRule type="expression" priority="44" aboveAverage="0" equalAverage="0" bottom="0" percent="0" rank="0" text="" dxfId="19">
      <formula>$C53&lt;&gt;""</formula>
    </cfRule>
  </conditionalFormatting>
  <conditionalFormatting sqref="B50:D50">
    <cfRule type="expression" priority="45" aboveAverage="0" equalAverage="0" bottom="0" percent="0" rank="0" text="" dxfId="20">
      <formula>Summary!$J19&lt;0</formula>
    </cfRule>
    <cfRule type="expression" priority="46" aboveAverage="0" equalAverage="0" bottom="0" percent="0" rank="0" text="" dxfId="21">
      <formula>Summary!$J19&lt;MinCushion</formula>
    </cfRule>
    <cfRule type="expression" priority="47" aboveAverage="0" equalAverage="0" bottom="0" percent="0" rank="0" text="" dxfId="22">
      <formula>Summary!$J19&gt;=MinCushion</formula>
    </cfRule>
  </conditionalFormatting>
  <conditionalFormatting sqref="B67:D67">
    <cfRule type="expression" priority="48" aboveAverage="0" equalAverage="0" bottom="0" percent="0" rank="0" text="" dxfId="20">
      <formula>Summary!$J19&lt;0</formula>
    </cfRule>
    <cfRule type="expression" priority="49" aboveAverage="0" equalAverage="0" bottom="0" percent="0" rank="0" text="" dxfId="21">
      <formula>Summary!$J19&lt;MinCushion</formula>
    </cfRule>
    <cfRule type="expression" priority="50" aboveAverage="0" equalAverage="0" bottom="0" percent="0" rank="0" text="" dxfId="22">
      <formula>Summary!$J19&gt;=MinCushion</formula>
    </cfRule>
  </conditionalFormatting>
  <conditionalFormatting sqref="F53:H62">
    <cfRule type="expression" priority="51" aboveAverage="0" equalAverage="0" bottom="0" percent="0" rank="0" text="" dxfId="19">
      <formula>$G53&lt;&gt;""</formula>
    </cfRule>
  </conditionalFormatting>
  <conditionalFormatting sqref="F50:H50">
    <cfRule type="expression" priority="52" aboveAverage="0" equalAverage="0" bottom="0" percent="0" rank="0" text="" dxfId="20">
      <formula>Summary!$J20&lt;0</formula>
    </cfRule>
    <cfRule type="expression" priority="53" aboveAverage="0" equalAverage="0" bottom="0" percent="0" rank="0" text="" dxfId="21">
      <formula>Summary!$J20&lt;MinCushion</formula>
    </cfRule>
    <cfRule type="expression" priority="54" aboveAverage="0" equalAverage="0" bottom="0" percent="0" rank="0" text="" dxfId="22">
      <formula>Summary!$J20&gt;=MinCushion</formula>
    </cfRule>
  </conditionalFormatting>
  <conditionalFormatting sqref="F67:H67">
    <cfRule type="expression" priority="55" aboveAverage="0" equalAverage="0" bottom="0" percent="0" rank="0" text="" dxfId="20">
      <formula>Summary!$J20&lt;0</formula>
    </cfRule>
    <cfRule type="expression" priority="56" aboveAverage="0" equalAverage="0" bottom="0" percent="0" rank="0" text="" dxfId="21">
      <formula>Summary!$J20&lt;MinCushion</formula>
    </cfRule>
    <cfRule type="expression" priority="57" aboveAverage="0" equalAverage="0" bottom="0" percent="0" rank="0" text="" dxfId="22">
      <formula>Summary!$J20&gt;=MinCushion</formula>
    </cfRule>
  </conditionalFormatting>
  <conditionalFormatting sqref="J53:L62">
    <cfRule type="expression" priority="58" aboveAverage="0" equalAverage="0" bottom="0" percent="0" rank="0" text="" dxfId="19">
      <formula>$K53&lt;&gt;""</formula>
    </cfRule>
  </conditionalFormatting>
  <conditionalFormatting sqref="J50:L50">
    <cfRule type="expression" priority="59" aboveAverage="0" equalAverage="0" bottom="0" percent="0" rank="0" text="" dxfId="20">
      <formula>Summary!$J21&lt;0</formula>
    </cfRule>
    <cfRule type="expression" priority="60" aboveAverage="0" equalAverage="0" bottom="0" percent="0" rank="0" text="" dxfId="21">
      <formula>Summary!$J21&lt;MinCushion</formula>
    </cfRule>
    <cfRule type="expression" priority="61" aboveAverage="0" equalAverage="0" bottom="0" percent="0" rank="0" text="" dxfId="22">
      <formula>Summary!$J21&gt;=MinCushion</formula>
    </cfRule>
  </conditionalFormatting>
  <conditionalFormatting sqref="J67:L67">
    <cfRule type="expression" priority="62" aboveAverage="0" equalAverage="0" bottom="0" percent="0" rank="0" text="" dxfId="20">
      <formula>Summary!$J21&lt;0</formula>
    </cfRule>
    <cfRule type="expression" priority="63" aboveAverage="0" equalAverage="0" bottom="0" percent="0" rank="0" text="" dxfId="21">
      <formula>Summary!$J21&lt;MinCushion</formula>
    </cfRule>
    <cfRule type="expression" priority="64" aboveAverage="0" equalAverage="0" bottom="0" percent="0" rank="0" text="" dxfId="22">
      <formula>Summary!$J21&gt;=MinCushion</formula>
    </cfRule>
  </conditionalFormatting>
  <conditionalFormatting sqref="B75:D84">
    <cfRule type="expression" priority="65" aboveAverage="0" equalAverage="0" bottom="0" percent="0" rank="0" text="" dxfId="19">
      <formula>$C75&lt;&gt;""</formula>
    </cfRule>
  </conditionalFormatting>
  <conditionalFormatting sqref="B72:D72">
    <cfRule type="expression" priority="66" aboveAverage="0" equalAverage="0" bottom="0" percent="0" rank="0" text="" dxfId="20">
      <formula>Summary!$J22&lt;0</formula>
    </cfRule>
    <cfRule type="expression" priority="67" aboveAverage="0" equalAverage="0" bottom="0" percent="0" rank="0" text="" dxfId="21">
      <formula>Summary!$J22&lt;MinCushion</formula>
    </cfRule>
    <cfRule type="expression" priority="68" aboveAverage="0" equalAverage="0" bottom="0" percent="0" rank="0" text="" dxfId="22">
      <formula>Summary!$J22&gt;=MinCushion</formula>
    </cfRule>
  </conditionalFormatting>
  <conditionalFormatting sqref="B89:D89">
    <cfRule type="expression" priority="69" aboveAverage="0" equalAverage="0" bottom="0" percent="0" rank="0" text="" dxfId="20">
      <formula>Summary!$J22&lt;0</formula>
    </cfRule>
    <cfRule type="expression" priority="70" aboveAverage="0" equalAverage="0" bottom="0" percent="0" rank="0" text="" dxfId="21">
      <formula>Summary!$J22&lt;MinCushion</formula>
    </cfRule>
    <cfRule type="expression" priority="71" aboveAverage="0" equalAverage="0" bottom="0" percent="0" rank="0" text="" dxfId="22">
      <formula>Summary!$J22&gt;=MinCushion</formula>
    </cfRule>
  </conditionalFormatting>
  <conditionalFormatting sqref="F75:H84">
    <cfRule type="expression" priority="72" aboveAverage="0" equalAverage="0" bottom="0" percent="0" rank="0" text="" dxfId="19">
      <formula>$G75&lt;&gt;""</formula>
    </cfRule>
  </conditionalFormatting>
  <conditionalFormatting sqref="F72:H72">
    <cfRule type="expression" priority="73" aboveAverage="0" equalAverage="0" bottom="0" percent="0" rank="0" text="" dxfId="20">
      <formula>Summary!$J23&lt;0</formula>
    </cfRule>
    <cfRule type="expression" priority="74" aboveAverage="0" equalAverage="0" bottom="0" percent="0" rank="0" text="" dxfId="21">
      <formula>Summary!$J23&lt;MinCushion</formula>
    </cfRule>
    <cfRule type="expression" priority="75" aboveAverage="0" equalAverage="0" bottom="0" percent="0" rank="0" text="" dxfId="22">
      <formula>Summary!$J23&gt;=MinCushion</formula>
    </cfRule>
  </conditionalFormatting>
  <conditionalFormatting sqref="F89:H89">
    <cfRule type="expression" priority="76" aboveAverage="0" equalAverage="0" bottom="0" percent="0" rank="0" text="" dxfId="20">
      <formula>Summary!$J23&lt;0</formula>
    </cfRule>
    <cfRule type="expression" priority="77" aboveAverage="0" equalAverage="0" bottom="0" percent="0" rank="0" text="" dxfId="21">
      <formula>Summary!$J23&lt;MinCushion</formula>
    </cfRule>
    <cfRule type="expression" priority="78" aboveAverage="0" equalAverage="0" bottom="0" percent="0" rank="0" text="" dxfId="22">
      <formula>Summary!$J23&gt;=MinCushion</formula>
    </cfRule>
  </conditionalFormatting>
  <conditionalFormatting sqref="J75:L84">
    <cfRule type="expression" priority="79" aboveAverage="0" equalAverage="0" bottom="0" percent="0" rank="0" text="" dxfId="19">
      <formula>$K75&lt;&gt;""</formula>
    </cfRule>
  </conditionalFormatting>
  <conditionalFormatting sqref="J72:L72">
    <cfRule type="expression" priority="80" aboveAverage="0" equalAverage="0" bottom="0" percent="0" rank="0" text="" dxfId="20">
      <formula>Summary!$J24&lt;0</formula>
    </cfRule>
    <cfRule type="expression" priority="81" aboveAverage="0" equalAverage="0" bottom="0" percent="0" rank="0" text="" dxfId="21">
      <formula>Summary!$J24&lt;MinCushion</formula>
    </cfRule>
    <cfRule type="expression" priority="82" aboveAverage="0" equalAverage="0" bottom="0" percent="0" rank="0" text="" dxfId="22">
      <formula>Summary!$J24&gt;=MinCushion</formula>
    </cfRule>
  </conditionalFormatting>
  <conditionalFormatting sqref="J89:L89">
    <cfRule type="expression" priority="83" aboveAverage="0" equalAverage="0" bottom="0" percent="0" rank="0" text="" dxfId="20">
      <formula>Summary!$J24&lt;0</formula>
    </cfRule>
    <cfRule type="expression" priority="84" aboveAverage="0" equalAverage="0" bottom="0" percent="0" rank="0" text="" dxfId="21">
      <formula>Summary!$J24&lt;MinCushion</formula>
    </cfRule>
    <cfRule type="expression" priority="85" aboveAverage="0" equalAverage="0" bottom="0" percent="0" rank="0" text="" dxfId="22">
      <formula>Summary!$J24&gt;=MinCushion</formula>
    </cfRule>
  </conditionalFormatting>
  <conditionalFormatting sqref="B97:D106">
    <cfRule type="expression" priority="86" aboveAverage="0" equalAverage="0" bottom="0" percent="0" rank="0" text="" dxfId="19">
      <formula>$C97&lt;&gt;""</formula>
    </cfRule>
  </conditionalFormatting>
  <conditionalFormatting sqref="B94:D94">
    <cfRule type="expression" priority="87" aboveAverage="0" equalAverage="0" bottom="0" percent="0" rank="0" text="" dxfId="20">
      <formula>Summary!$J25&lt;0</formula>
    </cfRule>
    <cfRule type="expression" priority="88" aboveAverage="0" equalAverage="0" bottom="0" percent="0" rank="0" text="" dxfId="21">
      <formula>Summary!$J25&lt;MinCushion</formula>
    </cfRule>
    <cfRule type="expression" priority="89" aboveAverage="0" equalAverage="0" bottom="0" percent="0" rank="0" text="" dxfId="22">
      <formula>Summary!$J25&gt;=MinCushion</formula>
    </cfRule>
  </conditionalFormatting>
  <conditionalFormatting sqref="B111:D111">
    <cfRule type="expression" priority="90" aboveAverage="0" equalAverage="0" bottom="0" percent="0" rank="0" text="" dxfId="20">
      <formula>Summary!$J25&lt;0</formula>
    </cfRule>
    <cfRule type="expression" priority="91" aboveAverage="0" equalAverage="0" bottom="0" percent="0" rank="0" text="" dxfId="21">
      <formula>Summary!$J25&lt;MinCushion</formula>
    </cfRule>
    <cfRule type="expression" priority="92" aboveAverage="0" equalAverage="0" bottom="0" percent="0" rank="0" text="" dxfId="22">
      <formula>Summary!$J25&gt;=MinCushion</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N7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11" topLeftCell="B69" activePane="bottomRight" state="frozen"/>
      <selection pane="topLeft" activeCell="A1" activeCellId="0" sqref="A1"/>
      <selection pane="topRight" activeCell="B1" activeCellId="0" sqref="B1"/>
      <selection pane="bottomLeft" activeCell="A69" activeCellId="0" sqref="A69"/>
      <selection pane="bottomRight" activeCell="F82" activeCellId="0" sqref="F82"/>
    </sheetView>
  </sheetViews>
  <sheetFormatPr defaultColWidth="8.57421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3"/>
    <col collapsed="false" customWidth="true" hidden="false" outlineLevel="0" max="4" min="4" style="0" width="11"/>
    <col collapsed="false" customWidth="true" hidden="false" outlineLevel="0" max="8" min="5" style="0" width="14"/>
    <col collapsed="false" customWidth="true" hidden="false" outlineLevel="0" max="9" min="9" style="0" width="15"/>
    <col collapsed="false" customWidth="true" hidden="false" outlineLevel="0" max="10" min="10" style="0" width="12"/>
    <col collapsed="false" customWidth="true" hidden="false" outlineLevel="0" max="11" min="11" style="0" width="13"/>
    <col collapsed="false" customWidth="true" hidden="true" outlineLevel="0" max="12" min="12" style="0" width="10"/>
    <col collapsed="false" customWidth="true" hidden="true" outlineLevel="0" max="13" min="13" style="0" width="8"/>
    <col collapsed="false" customWidth="true" hidden="false" outlineLevel="0" max="14" min="14" style="0" width="54"/>
  </cols>
  <sheetData>
    <row r="1" customFormat="false" ht="19.5" hidden="false" customHeight="true" outlineLevel="0" collapsed="false">
      <c r="B1" s="1" t="s">
        <v>0</v>
      </c>
    </row>
    <row r="2" customFormat="false" ht="15" hidden="false" customHeight="true" outlineLevel="0" collapsed="false">
      <c r="B2" s="2" t="s">
        <v>128</v>
      </c>
    </row>
    <row r="4" customFormat="false" ht="15" hidden="false" customHeight="true" outlineLevel="0" collapsed="false">
      <c r="B4" s="3" t="s">
        <v>129</v>
      </c>
    </row>
    <row r="5" customFormat="false" ht="15" hidden="false" customHeight="true" outlineLevel="0" collapsed="false">
      <c r="B5" s="6" t="s">
        <v>130</v>
      </c>
      <c r="E5" s="79" t="n">
        <v>228.41</v>
      </c>
    </row>
    <row r="6" customFormat="false" ht="15" hidden="false" customHeight="true" outlineLevel="0" collapsed="false">
      <c r="B6" s="6" t="s">
        <v>131</v>
      </c>
      <c r="E6" s="80" t="n">
        <v>46249</v>
      </c>
      <c r="G6" s="25" t="str">
        <f aca="false">IF($E$6="","","Projection runs "&amp;TEXT($E$6,"ddd mmm d")&amp;" to "&amp;TEXT($E$6+90,"ddd mmm d, yyyy")&amp;"  ·  periods are full 7-day weeks beginning "&amp;TEXT($E$6,"dddd")&amp;"s.")</f>
        <v>Projection runs Sat Aug 15 to Fri Nov 13, 2026  ·  periods are full 7-day weeks beginning Saturdays.</v>
      </c>
    </row>
    <row r="7" customFormat="false" ht="15" hidden="false" customHeight="true" outlineLevel="0" collapsed="false">
      <c r="B7" s="6" t="s">
        <v>132</v>
      </c>
      <c r="E7" s="79" t="n">
        <v>200</v>
      </c>
    </row>
    <row r="8" customFormat="false" ht="15" hidden="false" customHeight="true" outlineLevel="0" collapsed="false">
      <c r="B8" s="6" t="s">
        <v>133</v>
      </c>
      <c r="E8" s="79" t="n">
        <v>400</v>
      </c>
      <c r="G8" s="25" t="s">
        <v>134</v>
      </c>
    </row>
    <row r="9" customFormat="false" ht="15" hidden="false" customHeight="true" outlineLevel="0" collapsed="false">
      <c r="B9" s="47" t="s">
        <v>135</v>
      </c>
      <c r="E9" s="81" t="n">
        <f aca="true">TODAY()</f>
        <v>46258</v>
      </c>
    </row>
    <row r="10" customFormat="false" ht="15" hidden="false" customHeight="true" outlineLevel="0" collapsed="false">
      <c r="B10" s="25" t="s">
        <v>136</v>
      </c>
    </row>
    <row r="11" customFormat="false" ht="15" hidden="false" customHeight="true" outlineLevel="0" collapsed="false">
      <c r="B11" s="25" t="s">
        <v>137</v>
      </c>
    </row>
    <row r="12" customFormat="false" ht="15" hidden="false" customHeight="true" outlineLevel="0" collapsed="false">
      <c r="B12" s="25" t="s">
        <v>138</v>
      </c>
    </row>
    <row r="13" customFormat="false" ht="21.75" hidden="false" customHeight="true" outlineLevel="0" collapsed="false">
      <c r="B13" s="82" t="str">
        <f aca="false">"WEEK 1     "&amp;TEXT($E$6+0,"ddd, mmm d")&amp;"   through   "&amp;TEXT($E$6+0+6,"ddd, mmm d, yyyy")</f>
        <v>WEEK 1     Sat, Aug 15   through   Fri, Aug 21, 2026</v>
      </c>
      <c r="C13" s="83"/>
      <c r="D13" s="83"/>
      <c r="E13" s="83"/>
      <c r="F13" s="83"/>
      <c r="G13" s="84" t="s">
        <v>139</v>
      </c>
      <c r="H13" s="83"/>
      <c r="I13" s="85" t="n">
        <f aca="false">$E$5</f>
        <v>228.41</v>
      </c>
      <c r="J13" s="83"/>
      <c r="K13" s="86"/>
      <c r="N13" s="86" t="str">
        <f aca="false">IF(COUNTIF(Schedule!$I$4:$I$483,1)&gt;10,"! "&amp;COUNTIF(Schedule!$I$4:$I$483,1)-10&amp;" more transaction(s) fall in this week than there are rows to show them.","")</f>
        <v/>
      </c>
    </row>
    <row r="14" customFormat="false" ht="25.5" hidden="false" customHeight="true" outlineLevel="0" collapsed="false">
      <c r="B14" s="87" t="s">
        <v>140</v>
      </c>
      <c r="C14" s="87" t="s">
        <v>141</v>
      </c>
      <c r="D14" s="87" t="s">
        <v>42</v>
      </c>
      <c r="E14" s="87" t="s">
        <v>142</v>
      </c>
      <c r="F14" s="87" t="s">
        <v>143</v>
      </c>
      <c r="G14" s="36" t="s">
        <v>144</v>
      </c>
      <c r="H14" s="37" t="s">
        <v>145</v>
      </c>
      <c r="I14" s="87" t="s">
        <v>146</v>
      </c>
      <c r="J14" s="87" t="s">
        <v>14</v>
      </c>
      <c r="K14" s="87" t="s">
        <v>147</v>
      </c>
    </row>
    <row r="15" customFormat="false" ht="15" hidden="false" customHeight="true" outlineLevel="0" collapsed="false">
      <c r="B15" s="7" t="str">
        <f aca="false">IFERROR(INDEX(Schedule!$C$4:$C$483,MATCH(1001,Schedule!$K$4:$K$483,0)),"")</f>
        <v>Maine Revenue Services</v>
      </c>
      <c r="C15" s="88" t="n">
        <f aca="false">IF($B15="","",INDEX(Schedule!$G$4:$G$483,MATCH(1001,Schedule!$K$4:$K$483,0)))</f>
        <v>46250</v>
      </c>
      <c r="D15" s="89" t="str">
        <f aca="false">IF($B15="","",INDEX(Schedule!$D$4:$D$483,MATCH(1001,Schedule!$K$4:$K$483,0)))</f>
        <v>Expense</v>
      </c>
      <c r="E15" s="90" t="n">
        <f aca="false">IF($B15="","",INDEX(Schedule!$E$4:$E$483,MATCH(1001,Schedule!$K$4:$K$483,0)))</f>
        <v>45</v>
      </c>
      <c r="F15" s="91"/>
      <c r="G15" s="92" t="str">
        <f aca="false">IF($B15="","",IF($D15="Income",IF($F15&lt;&gt;"",$F15,IF(COUNTIFS('Paid Log'!$B$9:$B$308,$C15,'Paid Log'!$C$9:$C$308,$B15)&gt;0,SUMIFS('Paid Log'!$D$9:$D$308,'Paid Log'!$B$9:$B$308,$C15,'Paid Log'!$C$9:$C$308,$B15),$E15)),""))</f>
        <v/>
      </c>
      <c r="H15" s="93" t="n">
        <f aca="false">IF($B15="","",IF($D15="Income","",IF($F15&lt;&gt;"",$F15,IF(COUNTIFS('Paid Log'!$B$9:$B$308,$C15,'Paid Log'!$C$9:$C$308,$B15)&gt;0,SUMIFS('Paid Log'!$D$9:$D$308,'Paid Log'!$B$9:$B$308,$C15,'Paid Log'!$C$9:$C$308,$B15),$E15))))</f>
        <v>45</v>
      </c>
      <c r="I15" s="94" t="n">
        <f aca="false">IF($B15="","",$I$13+SUMIFS($G$15:$G$65,$M$15:$M$65,"&lt;="&amp;$M15)-SUMIFS($H$15:$H$65,$M$15:$M$65,"&lt;="&amp;$M15))</f>
        <v>139.17</v>
      </c>
      <c r="J15" s="95" t="str">
        <f aca="true">IF($B15="","",IF(OR($F15&lt;&gt;"",COUNTIFS('Paid Log'!$B$9:$B$308,$C15,'Paid Log'!$C$9:$C$308,$B15)&gt;0),IF($C15&gt;TODAY(),"ADJUSTED","PAID"),IF($C15&lt;TODAY(),"PAST DUE",IF($C15&lt;=TODAY()+7,"DUE","Upcoming"))))</f>
        <v>PAID</v>
      </c>
      <c r="K15" s="96" t="str">
        <f aca="false">IF($B15="","",IF(OR($F15&lt;&gt;"",COUNTIFS('Paid Log'!$B$9:$B$308,$C15,'Paid Log'!$C$9:$C$308,$B15)&gt;0),"ACTUAL","FORECAST"))</f>
        <v>ACTUAL</v>
      </c>
      <c r="L15" s="97" t="n">
        <f aca="false">IF($B15="","",$C15)</f>
        <v>46250</v>
      </c>
      <c r="M15" s="0" t="n">
        <f aca="false">IF($L15="","",COUNTIFS($L$15:$L$65,"&lt;"&amp;$L15)+COUNTIFS($L$15:$L15,$L15))</f>
        <v>5</v>
      </c>
    </row>
    <row r="16" customFormat="false" ht="15" hidden="false" customHeight="true" outlineLevel="0" collapsed="false">
      <c r="B16" s="7" t="str">
        <f aca="false">IFERROR(INDEX(Schedule!$C$4:$C$483,MATCH(1002,Schedule!$K$4:$K$483,0)),"")</f>
        <v>Bruno's Restaurant (paycheck)</v>
      </c>
      <c r="C16" s="88" t="n">
        <f aca="false">IF($B16="","",INDEX(Schedule!$G$4:$G$483,MATCH(1002,Schedule!$K$4:$K$483,0)))</f>
        <v>46253</v>
      </c>
      <c r="D16" s="89" t="str">
        <f aca="false">IF($B16="","",INDEX(Schedule!$D$4:$D$483,MATCH(1002,Schedule!$K$4:$K$483,0)))</f>
        <v>Income</v>
      </c>
      <c r="E16" s="90" t="n">
        <f aca="false">IF($B16="","",INDEX(Schedule!$E$4:$E$483,MATCH(1002,Schedule!$K$4:$K$483,0)))</f>
        <v>90</v>
      </c>
      <c r="F16" s="91"/>
      <c r="G16" s="92" t="n">
        <f aca="false">IF($B16="","",IF($D16="Income",IF($F16&lt;&gt;"",$F16,IF(COUNTIFS('Paid Log'!$B$9:$B$308,$C16,'Paid Log'!$C$9:$C$308,$B16)&gt;0,SUMIFS('Paid Log'!$D$9:$D$308,'Paid Log'!$B$9:$B$308,$C16,'Paid Log'!$C$9:$C$308,$B16),$E16)),""))</f>
        <v>148.34</v>
      </c>
      <c r="H16" s="93" t="str">
        <f aca="false">IF($B16="","",IF($D16="Income","",IF($F16&lt;&gt;"",$F16,IF(COUNTIFS('Paid Log'!$B$9:$B$308,$C16,'Paid Log'!$C$9:$C$308,$B16)&gt;0,SUMIFS('Paid Log'!$D$9:$D$308,'Paid Log'!$B$9:$B$308,$C16,'Paid Log'!$C$9:$C$308,$B16),$E16))))</f>
        <v/>
      </c>
      <c r="I16" s="94" t="n">
        <f aca="false">IF($B16="","",$I$13+SUMIFS($G$15:$G$65,$M$15:$M$65,"&lt;="&amp;$M16)-SUMIFS($H$15:$H$65,$M$15:$M$65,"&lt;="&amp;$M16))</f>
        <v>119.84</v>
      </c>
      <c r="J16" s="95" t="str">
        <f aca="true">IF($B16="","",IF(OR($F16&lt;&gt;"",COUNTIFS('Paid Log'!$B$9:$B$308,$C16,'Paid Log'!$C$9:$C$308,$B16)&gt;0),IF($C16&gt;TODAY(),"ADJUSTED","PAID"),IF($C16&lt;TODAY(),"PAST DUE",IF($C16&lt;=TODAY()+7,"DUE","Upcoming"))))</f>
        <v>PAID</v>
      </c>
      <c r="K16" s="96" t="str">
        <f aca="false">IF($B16="","",IF(OR($F16&lt;&gt;"",COUNTIFS('Paid Log'!$B$9:$B$308,$C16,'Paid Log'!$C$9:$C$308,$B16)&gt;0),"ACTUAL","FORECAST"))</f>
        <v>ACTUAL</v>
      </c>
      <c r="L16" s="97" t="n">
        <f aca="false">IF($B16="","",$C16)</f>
        <v>46253</v>
      </c>
      <c r="M16" s="0" t="n">
        <f aca="false">IF($L16="","",COUNTIFS($L$15:$L$65,"&lt;"&amp;$L16)+COUNTIFS($L$15:$L16,$L16))</f>
        <v>14</v>
      </c>
    </row>
    <row r="17" customFormat="false" ht="15" hidden="false" customHeight="true" outlineLevel="0" collapsed="false">
      <c r="B17" s="7" t="str">
        <f aca="false">IFERROR(INDEX(Schedule!$C$4:$C$483,MATCH(1003,Schedule!$K$4:$K$483,0)),"")</f>
        <v>Compunnel Software (paycheck)</v>
      </c>
      <c r="C17" s="88" t="n">
        <f aca="false">IF($B17="","",INDEX(Schedule!$G$4:$G$483,MATCH(1003,Schedule!$K$4:$K$483,0)))</f>
        <v>46255</v>
      </c>
      <c r="D17" s="89" t="str">
        <f aca="false">IF($B17="","",INDEX(Schedule!$D$4:$D$483,MATCH(1003,Schedule!$K$4:$K$483,0)))</f>
        <v>Income</v>
      </c>
      <c r="E17" s="90" t="n">
        <f aca="false">IF($B17="","",INDEX(Schedule!$E$4:$E$483,MATCH(1003,Schedule!$K$4:$K$483,0)))</f>
        <v>745</v>
      </c>
      <c r="F17" s="91"/>
      <c r="G17" s="92" t="n">
        <f aca="false">IF($B17="","",IF($D17="Income",IF($F17&lt;&gt;"",$F17,IF(COUNTIFS('Paid Log'!$B$9:$B$308,$C17,'Paid Log'!$C$9:$C$308,$B17)&gt;0,SUMIFS('Paid Log'!$D$9:$D$308,'Paid Log'!$B$9:$B$308,$C17,'Paid Log'!$C$9:$C$308,$B17),$E17)),""))</f>
        <v>802.65</v>
      </c>
      <c r="H17" s="93" t="str">
        <f aca="false">IF($B17="","",IF($D17="Income","",IF($F17&lt;&gt;"",$F17,IF(COUNTIFS('Paid Log'!$B$9:$B$308,$C17,'Paid Log'!$C$9:$C$308,$B17)&gt;0,SUMIFS('Paid Log'!$D$9:$D$308,'Paid Log'!$B$9:$B$308,$C17,'Paid Log'!$C$9:$C$308,$B17),$E17))))</f>
        <v/>
      </c>
      <c r="I17" s="94" t="n">
        <f aca="false">IF($B17="","",$I$13+SUMIFS($G$15:$G$65,$M$15:$M$65,"&lt;="&amp;$M17)-SUMIFS($H$15:$H$65,$M$15:$M$65,"&lt;="&amp;$M17))</f>
        <v>540.01</v>
      </c>
      <c r="J17" s="95" t="str">
        <f aca="true">IF($B17="","",IF(OR($F17&lt;&gt;"",COUNTIFS('Paid Log'!$B$9:$B$308,$C17,'Paid Log'!$C$9:$C$308,$B17)&gt;0),IF($C17&gt;TODAY(),"ADJUSTED","PAID"),IF($C17&lt;TODAY(),"PAST DUE",IF($C17&lt;=TODAY()+7,"DUE","Upcoming"))))</f>
        <v>PAID</v>
      </c>
      <c r="K17" s="96" t="str">
        <f aca="false">IF($B17="","",IF(OR($F17&lt;&gt;"",COUNTIFS('Paid Log'!$B$9:$B$308,$C17,'Paid Log'!$C$9:$C$308,$B17)&gt;0),"ACTUAL","FORECAST"))</f>
        <v>ACTUAL</v>
      </c>
      <c r="L17" s="97" t="n">
        <f aca="false">IF($B17="","",$C17)</f>
        <v>46255</v>
      </c>
      <c r="M17" s="0" t="n">
        <f aca="false">IF($L17="","",COUNTIFS($L$15:$L$65,"&lt;"&amp;$L17)+COUNTIFS($L$15:$L17,$L17))</f>
        <v>27</v>
      </c>
    </row>
    <row r="18" customFormat="false" ht="15" hidden="false" customHeight="true" outlineLevel="0" collapsed="false">
      <c r="B18" s="7" t="str">
        <f aca="false">IFERROR(INDEX(Schedule!$C$4:$C$483,MATCH(1004,Schedule!$K$4:$K$483,0)),"")</f>
        <v>Spectrum</v>
      </c>
      <c r="C18" s="88" t="n">
        <f aca="false">IF($B18="","",INDEX(Schedule!$G$4:$G$483,MATCH(1004,Schedule!$K$4:$K$483,0)))</f>
        <v>46255</v>
      </c>
      <c r="D18" s="89" t="str">
        <f aca="false">IF($B18="","",INDEX(Schedule!$D$4:$D$483,MATCH(1004,Schedule!$K$4:$K$483,0)))</f>
        <v>Expense</v>
      </c>
      <c r="E18" s="90" t="n">
        <f aca="false">IF($B18="","",INDEX(Schedule!$E$4:$E$483,MATCH(1004,Schedule!$K$4:$K$483,0)))</f>
        <v>171.1</v>
      </c>
      <c r="F18" s="91"/>
      <c r="G18" s="92" t="str">
        <f aca="false">IF($B18="","",IF($D18="Income",IF($F18&lt;&gt;"",$F18,IF(COUNTIFS('Paid Log'!$B$9:$B$308,$C18,'Paid Log'!$C$9:$C$308,$B18)&gt;0,SUMIFS('Paid Log'!$D$9:$D$308,'Paid Log'!$B$9:$B$308,$C18,'Paid Log'!$C$9:$C$308,$B18),$E18)),""))</f>
        <v/>
      </c>
      <c r="H18" s="93" t="n">
        <f aca="false">IF($B18="","",IF($D18="Income","",IF($F18&lt;&gt;"",$F18,IF(COUNTIFS('Paid Log'!$B$9:$B$308,$C18,'Paid Log'!$C$9:$C$308,$B18)&gt;0,SUMIFS('Paid Log'!$D$9:$D$308,'Paid Log'!$B$9:$B$308,$C18,'Paid Log'!$C$9:$C$308,$B18),$E18))))</f>
        <v>0</v>
      </c>
      <c r="I18" s="94" t="n">
        <f aca="false">IF($B18="","",$I$13+SUMIFS($G$15:$G$65,$M$15:$M$65,"&lt;="&amp;$M18)-SUMIFS($H$15:$H$65,$M$15:$M$65,"&lt;="&amp;$M18))</f>
        <v>540.01</v>
      </c>
      <c r="J18" s="95" t="str">
        <f aca="true">IF($B18="","",IF(OR($F18&lt;&gt;"",COUNTIFS('Paid Log'!$B$9:$B$308,$C18,'Paid Log'!$C$9:$C$308,$B18)&gt;0),IF($C18&gt;TODAY(),"ADJUSTED","PAID"),IF($C18&lt;TODAY(),"PAST DUE",IF($C18&lt;=TODAY()+7,"DUE","Upcoming"))))</f>
        <v>PAID</v>
      </c>
      <c r="K18" s="96" t="str">
        <f aca="false">IF($B18="","",IF(OR($F18&lt;&gt;"",COUNTIFS('Paid Log'!$B$9:$B$308,$C18,'Paid Log'!$C$9:$C$308,$B18)&gt;0),"ACTUAL","FORECAST"))</f>
        <v>ACTUAL</v>
      </c>
      <c r="L18" s="97" t="n">
        <f aca="false">IF($B18="","",$C18)</f>
        <v>46255</v>
      </c>
      <c r="M18" s="0" t="n">
        <f aca="false">IF($L18="","",COUNTIFS($L$15:$L$65,"&lt;"&amp;$L18)+COUNTIFS($L$15:$L18,$L18))</f>
        <v>28</v>
      </c>
    </row>
    <row r="19" customFormat="false" ht="15" hidden="false" customHeight="true" outlineLevel="0" collapsed="false">
      <c r="B19" s="7" t="str">
        <f aca="false">IFERROR(INDEX(Schedule!$C$4:$C$483,MATCH(1005,Schedule!$K$4:$K$483,0)),"")</f>
        <v/>
      </c>
      <c r="C19" s="88" t="str">
        <f aca="false">IF($B19="","",INDEX(Schedule!$G$4:$G$483,MATCH(1005,Schedule!$K$4:$K$483,0)))</f>
        <v/>
      </c>
      <c r="D19" s="89" t="str">
        <f aca="false">IF($B19="","",INDEX(Schedule!$D$4:$D$483,MATCH(1005,Schedule!$K$4:$K$483,0)))</f>
        <v/>
      </c>
      <c r="E19" s="90" t="str">
        <f aca="false">IF($B19="","",INDEX(Schedule!$E$4:$E$483,MATCH(1005,Schedule!$K$4:$K$483,0)))</f>
        <v/>
      </c>
      <c r="F19" s="91"/>
      <c r="G19" s="92" t="str">
        <f aca="false">IF($B19="","",IF($D19="Income",IF($F19&lt;&gt;"",$F19,IF(COUNTIFS('Paid Log'!$B$9:$B$308,$C19,'Paid Log'!$C$9:$C$308,$B19)&gt;0,SUMIFS('Paid Log'!$D$9:$D$308,'Paid Log'!$B$9:$B$308,$C19,'Paid Log'!$C$9:$C$308,$B19),$E19)),""))</f>
        <v/>
      </c>
      <c r="H19" s="93" t="str">
        <f aca="false">IF($B19="","",IF($D19="Income","",IF($F19&lt;&gt;"",$F19,IF(COUNTIFS('Paid Log'!$B$9:$B$308,$C19,'Paid Log'!$C$9:$C$308,$B19)&gt;0,SUMIFS('Paid Log'!$D$9:$D$308,'Paid Log'!$B$9:$B$308,$C19,'Paid Log'!$C$9:$C$308,$B19),$E19))))</f>
        <v/>
      </c>
      <c r="I19" s="94" t="str">
        <f aca="false">IF($B19="","",$I$13+SUMIFS($G$15:$G$65,$M$15:$M$65,"&lt;="&amp;$M19)-SUMIFS($H$15:$H$65,$M$15:$M$65,"&lt;="&amp;$M19))</f>
        <v/>
      </c>
      <c r="J19" s="95" t="str">
        <f aca="true">IF($B19="","",IF(OR($F19&lt;&gt;"",COUNTIFS('Paid Log'!$B$9:$B$308,$C19,'Paid Log'!$C$9:$C$308,$B19)&gt;0),IF($C19&gt;TODAY(),"ADJUSTED","PAID"),IF($C19&lt;TODAY(),"PAST DUE",IF($C19&lt;=TODAY()+7,"DUE","Upcoming"))))</f>
        <v/>
      </c>
      <c r="K19" s="96" t="str">
        <f aca="false">IF($B19="","",IF(OR($F19&lt;&gt;"",COUNTIFS('Paid Log'!$B$9:$B$308,$C19,'Paid Log'!$C$9:$C$308,$B19)&gt;0),"ACTUAL","FORECAST"))</f>
        <v/>
      </c>
      <c r="L19" s="0" t="str">
        <f aca="false">IF($B19="","",$C19)</f>
        <v/>
      </c>
      <c r="M19" s="0" t="str">
        <f aca="false">IF($L19="","",COUNTIFS($L$15:$L$65,"&lt;"&amp;$L19)+COUNTIFS($L$15:$L19,$L19))</f>
        <v/>
      </c>
    </row>
    <row r="20" customFormat="false" ht="15" hidden="false" customHeight="true" outlineLevel="0" collapsed="false">
      <c r="B20" s="7" t="str">
        <f aca="false">IFERROR(INDEX(Schedule!$C$4:$C$483,MATCH(1006,Schedule!$K$4:$K$483,0)),"")</f>
        <v/>
      </c>
      <c r="C20" s="88" t="str">
        <f aca="false">IF($B20="","",INDEX(Schedule!$G$4:$G$483,MATCH(1006,Schedule!$K$4:$K$483,0)))</f>
        <v/>
      </c>
      <c r="D20" s="89" t="str">
        <f aca="false">IF($B20="","",INDEX(Schedule!$D$4:$D$483,MATCH(1006,Schedule!$K$4:$K$483,0)))</f>
        <v/>
      </c>
      <c r="E20" s="90" t="str">
        <f aca="false">IF($B20="","",INDEX(Schedule!$E$4:$E$483,MATCH(1006,Schedule!$K$4:$K$483,0)))</f>
        <v/>
      </c>
      <c r="F20" s="91"/>
      <c r="G20" s="92" t="str">
        <f aca="false">IF($B20="","",IF($D20="Income",IF($F20&lt;&gt;"",$F20,IF(COUNTIFS('Paid Log'!$B$9:$B$308,$C20,'Paid Log'!$C$9:$C$308,$B20)&gt;0,SUMIFS('Paid Log'!$D$9:$D$308,'Paid Log'!$B$9:$B$308,$C20,'Paid Log'!$C$9:$C$308,$B20),$E20)),""))</f>
        <v/>
      </c>
      <c r="H20" s="93" t="str">
        <f aca="false">IF($B20="","",IF($D20="Income","",IF($F20&lt;&gt;"",$F20,IF(COUNTIFS('Paid Log'!$B$9:$B$308,$C20,'Paid Log'!$C$9:$C$308,$B20)&gt;0,SUMIFS('Paid Log'!$D$9:$D$308,'Paid Log'!$B$9:$B$308,$C20,'Paid Log'!$C$9:$C$308,$B20),$E20))))</f>
        <v/>
      </c>
      <c r="I20" s="94" t="str">
        <f aca="false">IF($B20="","",$I$13+SUMIFS($G$15:$G$65,$M$15:$M$65,"&lt;="&amp;$M20)-SUMIFS($H$15:$H$65,$M$15:$M$65,"&lt;="&amp;$M20))</f>
        <v/>
      </c>
      <c r="J20" s="95" t="str">
        <f aca="true">IF($B20="","",IF(OR($F20&lt;&gt;"",COUNTIFS('Paid Log'!$B$9:$B$308,$C20,'Paid Log'!$C$9:$C$308,$B20)&gt;0),IF($C20&gt;TODAY(),"ADJUSTED","PAID"),IF($C20&lt;TODAY(),"PAST DUE",IF($C20&lt;=TODAY()+7,"DUE","Upcoming"))))</f>
        <v/>
      </c>
      <c r="K20" s="96" t="str">
        <f aca="false">IF($B20="","",IF(OR($F20&lt;&gt;"",COUNTIFS('Paid Log'!$B$9:$B$308,$C20,'Paid Log'!$C$9:$C$308,$B20)&gt;0),"ACTUAL","FORECAST"))</f>
        <v/>
      </c>
      <c r="L20" s="0" t="str">
        <f aca="false">IF($B20="","",$C20)</f>
        <v/>
      </c>
      <c r="M20" s="0" t="str">
        <f aca="false">IF($L20="","",COUNTIFS($L$15:$L$65,"&lt;"&amp;$L20)+COUNTIFS($L$15:$L20,$L20))</f>
        <v/>
      </c>
    </row>
    <row r="21" customFormat="false" ht="15" hidden="false" customHeight="true" outlineLevel="0" collapsed="false">
      <c r="B21" s="7" t="str">
        <f aca="false">IFERROR(INDEX(Schedule!$C$4:$C$483,MATCH(1007,Schedule!$K$4:$K$483,0)),"")</f>
        <v/>
      </c>
      <c r="C21" s="88" t="str">
        <f aca="false">IF($B21="","",INDEX(Schedule!$G$4:$G$483,MATCH(1007,Schedule!$K$4:$K$483,0)))</f>
        <v/>
      </c>
      <c r="D21" s="89" t="str">
        <f aca="false">IF($B21="","",INDEX(Schedule!$D$4:$D$483,MATCH(1007,Schedule!$K$4:$K$483,0)))</f>
        <v/>
      </c>
      <c r="E21" s="90" t="str">
        <f aca="false">IF($B21="","",INDEX(Schedule!$E$4:$E$483,MATCH(1007,Schedule!$K$4:$K$483,0)))</f>
        <v/>
      </c>
      <c r="F21" s="91"/>
      <c r="G21" s="92" t="str">
        <f aca="false">IF($B21="","",IF($D21="Income",IF($F21&lt;&gt;"",$F21,IF(COUNTIFS('Paid Log'!$B$9:$B$308,$C21,'Paid Log'!$C$9:$C$308,$B21)&gt;0,SUMIFS('Paid Log'!$D$9:$D$308,'Paid Log'!$B$9:$B$308,$C21,'Paid Log'!$C$9:$C$308,$B21),$E21)),""))</f>
        <v/>
      </c>
      <c r="H21" s="93" t="str">
        <f aca="false">IF($B21="","",IF($D21="Income","",IF($F21&lt;&gt;"",$F21,IF(COUNTIFS('Paid Log'!$B$9:$B$308,$C21,'Paid Log'!$C$9:$C$308,$B21)&gt;0,SUMIFS('Paid Log'!$D$9:$D$308,'Paid Log'!$B$9:$B$308,$C21,'Paid Log'!$C$9:$C$308,$B21),$E21))))</f>
        <v/>
      </c>
      <c r="I21" s="94" t="str">
        <f aca="false">IF($B21="","",$I$13+SUMIFS($G$15:$G$65,$M$15:$M$65,"&lt;="&amp;$M21)-SUMIFS($H$15:$H$65,$M$15:$M$65,"&lt;="&amp;$M21))</f>
        <v/>
      </c>
      <c r="J21" s="95" t="str">
        <f aca="true">IF($B21="","",IF(OR($F21&lt;&gt;"",COUNTIFS('Paid Log'!$B$9:$B$308,$C21,'Paid Log'!$C$9:$C$308,$B21)&gt;0),IF($C21&gt;TODAY(),"ADJUSTED","PAID"),IF($C21&lt;TODAY(),"PAST DUE",IF($C21&lt;=TODAY()+7,"DUE","Upcoming"))))</f>
        <v/>
      </c>
      <c r="K21" s="96" t="str">
        <f aca="false">IF($B21="","",IF(OR($F21&lt;&gt;"",COUNTIFS('Paid Log'!$B$9:$B$308,$C21,'Paid Log'!$C$9:$C$308,$B21)&gt;0),"ACTUAL","FORECAST"))</f>
        <v/>
      </c>
      <c r="L21" s="0" t="str">
        <f aca="false">IF($B21="","",$C21)</f>
        <v/>
      </c>
      <c r="M21" s="0" t="str">
        <f aca="false">IF($L21="","",COUNTIFS($L$15:$L$65,"&lt;"&amp;$L21)+COUNTIFS($L$15:$L21,$L21))</f>
        <v/>
      </c>
    </row>
    <row r="22" customFormat="false" ht="15" hidden="false" customHeight="true" outlineLevel="0" collapsed="false">
      <c r="B22" s="7" t="str">
        <f aca="false">IFERROR(INDEX(Schedule!$C$4:$C$483,MATCH(1008,Schedule!$K$4:$K$483,0)),"")</f>
        <v/>
      </c>
      <c r="C22" s="88" t="str">
        <f aca="false">IF($B22="","",INDEX(Schedule!$G$4:$G$483,MATCH(1008,Schedule!$K$4:$K$483,0)))</f>
        <v/>
      </c>
      <c r="D22" s="89" t="str">
        <f aca="false">IF($B22="","",INDEX(Schedule!$D$4:$D$483,MATCH(1008,Schedule!$K$4:$K$483,0)))</f>
        <v/>
      </c>
      <c r="E22" s="90" t="str">
        <f aca="false">IF($B22="","",INDEX(Schedule!$E$4:$E$483,MATCH(1008,Schedule!$K$4:$K$483,0)))</f>
        <v/>
      </c>
      <c r="F22" s="91"/>
      <c r="G22" s="92" t="str">
        <f aca="false">IF($B22="","",IF($D22="Income",IF($F22&lt;&gt;"",$F22,IF(COUNTIFS('Paid Log'!$B$9:$B$308,$C22,'Paid Log'!$C$9:$C$308,$B22)&gt;0,SUMIFS('Paid Log'!$D$9:$D$308,'Paid Log'!$B$9:$B$308,$C22,'Paid Log'!$C$9:$C$308,$B22),$E22)),""))</f>
        <v/>
      </c>
      <c r="H22" s="93" t="str">
        <f aca="false">IF($B22="","",IF($D22="Income","",IF($F22&lt;&gt;"",$F22,IF(COUNTIFS('Paid Log'!$B$9:$B$308,$C22,'Paid Log'!$C$9:$C$308,$B22)&gt;0,SUMIFS('Paid Log'!$D$9:$D$308,'Paid Log'!$B$9:$B$308,$C22,'Paid Log'!$C$9:$C$308,$B22),$E22))))</f>
        <v/>
      </c>
      <c r="I22" s="94" t="str">
        <f aca="false">IF($B22="","",$I$13+SUMIFS($G$15:$G$65,$M$15:$M$65,"&lt;="&amp;$M22)-SUMIFS($H$15:$H$65,$M$15:$M$65,"&lt;="&amp;$M22))</f>
        <v/>
      </c>
      <c r="J22" s="95" t="str">
        <f aca="true">IF($B22="","",IF(OR($F22&lt;&gt;"",COUNTIFS('Paid Log'!$B$9:$B$308,$C22,'Paid Log'!$C$9:$C$308,$B22)&gt;0),IF($C22&gt;TODAY(),"ADJUSTED","PAID"),IF($C22&lt;TODAY(),"PAST DUE",IF($C22&lt;=TODAY()+7,"DUE","Upcoming"))))</f>
        <v/>
      </c>
      <c r="K22" s="96" t="str">
        <f aca="false">IF($B22="","",IF(OR($F22&lt;&gt;"",COUNTIFS('Paid Log'!$B$9:$B$308,$C22,'Paid Log'!$C$9:$C$308,$B22)&gt;0),"ACTUAL","FORECAST"))</f>
        <v/>
      </c>
      <c r="L22" s="0" t="str">
        <f aca="false">IF($B22="","",$C22)</f>
        <v/>
      </c>
      <c r="M22" s="0" t="str">
        <f aca="false">IF($L22="","",COUNTIFS($L$15:$L$65,"&lt;"&amp;$L22)+COUNTIFS($L$15:$L22,$L22))</f>
        <v/>
      </c>
    </row>
    <row r="23" customFormat="false" ht="15" hidden="false" customHeight="true" outlineLevel="0" collapsed="false">
      <c r="B23" s="7" t="str">
        <f aca="false">IFERROR(INDEX(Schedule!$C$4:$C$483,MATCH(1009,Schedule!$K$4:$K$483,0)),"")</f>
        <v/>
      </c>
      <c r="C23" s="88" t="str">
        <f aca="false">IF($B23="","",INDEX(Schedule!$G$4:$G$483,MATCH(1009,Schedule!$K$4:$K$483,0)))</f>
        <v/>
      </c>
      <c r="D23" s="89" t="str">
        <f aca="false">IF($B23="","",INDEX(Schedule!$D$4:$D$483,MATCH(1009,Schedule!$K$4:$K$483,0)))</f>
        <v/>
      </c>
      <c r="E23" s="90" t="str">
        <f aca="false">IF($B23="","",INDEX(Schedule!$E$4:$E$483,MATCH(1009,Schedule!$K$4:$K$483,0)))</f>
        <v/>
      </c>
      <c r="F23" s="91"/>
      <c r="G23" s="92" t="str">
        <f aca="false">IF($B23="","",IF($D23="Income",IF($F23&lt;&gt;"",$F23,IF(COUNTIFS('Paid Log'!$B$9:$B$308,$C23,'Paid Log'!$C$9:$C$308,$B23)&gt;0,SUMIFS('Paid Log'!$D$9:$D$308,'Paid Log'!$B$9:$B$308,$C23,'Paid Log'!$C$9:$C$308,$B23),$E23)),""))</f>
        <v/>
      </c>
      <c r="H23" s="93" t="str">
        <f aca="false">IF($B23="","",IF($D23="Income","",IF($F23&lt;&gt;"",$F23,IF(COUNTIFS('Paid Log'!$B$9:$B$308,$C23,'Paid Log'!$C$9:$C$308,$B23)&gt;0,SUMIFS('Paid Log'!$D$9:$D$308,'Paid Log'!$B$9:$B$308,$C23,'Paid Log'!$C$9:$C$308,$B23),$E23))))</f>
        <v/>
      </c>
      <c r="I23" s="94" t="str">
        <f aca="false">IF($B23="","",$I$13+SUMIFS($G$15:$G$65,$M$15:$M$65,"&lt;="&amp;$M23)-SUMIFS($H$15:$H$65,$M$15:$M$65,"&lt;="&amp;$M23))</f>
        <v/>
      </c>
      <c r="J23" s="95" t="str">
        <f aca="true">IF($B23="","",IF(OR($F23&lt;&gt;"",COUNTIFS('Paid Log'!$B$9:$B$308,$C23,'Paid Log'!$C$9:$C$308,$B23)&gt;0),IF($C23&gt;TODAY(),"ADJUSTED","PAID"),IF($C23&lt;TODAY(),"PAST DUE",IF($C23&lt;=TODAY()+7,"DUE","Upcoming"))))</f>
        <v/>
      </c>
      <c r="K23" s="96" t="str">
        <f aca="false">IF($B23="","",IF(OR($F23&lt;&gt;"",COUNTIFS('Paid Log'!$B$9:$B$308,$C23,'Paid Log'!$C$9:$C$308,$B23)&gt;0),"ACTUAL","FORECAST"))</f>
        <v/>
      </c>
      <c r="L23" s="0" t="str">
        <f aca="false">IF($B23="","",$C23)</f>
        <v/>
      </c>
      <c r="M23" s="0" t="str">
        <f aca="false">IF($L23="","",COUNTIFS($L$15:$L$65,"&lt;"&amp;$L23)+COUNTIFS($L$15:$L23,$L23))</f>
        <v/>
      </c>
    </row>
    <row r="24" customFormat="false" ht="15" hidden="false" customHeight="true" outlineLevel="0" collapsed="false">
      <c r="B24" s="7" t="str">
        <f aca="false">IFERROR(INDEX(Schedule!$C$4:$C$483,MATCH(1010,Schedule!$K$4:$K$483,0)),"")</f>
        <v/>
      </c>
      <c r="C24" s="88" t="str">
        <f aca="false">IF($B24="","",INDEX(Schedule!$G$4:$G$483,MATCH(1010,Schedule!$K$4:$K$483,0)))</f>
        <v/>
      </c>
      <c r="D24" s="89" t="str">
        <f aca="false">IF($B24="","",INDEX(Schedule!$D$4:$D$483,MATCH(1010,Schedule!$K$4:$K$483,0)))</f>
        <v/>
      </c>
      <c r="E24" s="90" t="str">
        <f aca="false">IF($B24="","",INDEX(Schedule!$E$4:$E$483,MATCH(1010,Schedule!$K$4:$K$483,0)))</f>
        <v/>
      </c>
      <c r="F24" s="91"/>
      <c r="G24" s="92" t="str">
        <f aca="false">IF($B24="","",IF($D24="Income",IF($F24&lt;&gt;"",$F24,IF(COUNTIFS('Paid Log'!$B$9:$B$308,$C24,'Paid Log'!$C$9:$C$308,$B24)&gt;0,SUMIFS('Paid Log'!$D$9:$D$308,'Paid Log'!$B$9:$B$308,$C24,'Paid Log'!$C$9:$C$308,$B24),$E24)),""))</f>
        <v/>
      </c>
      <c r="H24" s="93" t="str">
        <f aca="false">IF($B24="","",IF($D24="Income","",IF($F24&lt;&gt;"",$F24,IF(COUNTIFS('Paid Log'!$B$9:$B$308,$C24,'Paid Log'!$C$9:$C$308,$B24)&gt;0,SUMIFS('Paid Log'!$D$9:$D$308,'Paid Log'!$B$9:$B$308,$C24,'Paid Log'!$C$9:$C$308,$B24),$E24))))</f>
        <v/>
      </c>
      <c r="I24" s="94" t="str">
        <f aca="false">IF($B24="","",$I$13+SUMIFS($G$15:$G$65,$M$15:$M$65,"&lt;="&amp;$M24)-SUMIFS($H$15:$H$65,$M$15:$M$65,"&lt;="&amp;$M24))</f>
        <v/>
      </c>
      <c r="J24" s="95" t="str">
        <f aca="true">IF($B24="","",IF(OR($F24&lt;&gt;"",COUNTIFS('Paid Log'!$B$9:$B$308,$C24,'Paid Log'!$C$9:$C$308,$B24)&gt;0),IF($C24&gt;TODAY(),"ADJUSTED","PAID"),IF($C24&lt;TODAY(),"PAST DUE",IF($C24&lt;=TODAY()+7,"DUE","Upcoming"))))</f>
        <v/>
      </c>
      <c r="K24" s="96" t="str">
        <f aca="false">IF($B24="","",IF(OR($F24&lt;&gt;"",COUNTIFS('Paid Log'!$B$9:$B$308,$C24,'Paid Log'!$C$9:$C$308,$B24)&gt;0),"ACTUAL","FORECAST"))</f>
        <v/>
      </c>
      <c r="L24" s="0" t="str">
        <f aca="false">IF($B24="","",$C24)</f>
        <v/>
      </c>
      <c r="M24" s="0" t="str">
        <f aca="false">IF($L24="","",COUNTIFS($L$15:$L$65,"&lt;"&amp;$L24)+COUNTIFS($L$15:$L24,$L24))</f>
        <v/>
      </c>
    </row>
    <row r="25" customFormat="false" ht="15" hidden="false" customHeight="true" outlineLevel="0" collapsed="false">
      <c r="B25" s="98" t="s">
        <v>148</v>
      </c>
      <c r="C25" s="99"/>
      <c r="D25" s="99"/>
      <c r="E25" s="99"/>
      <c r="F25" s="99"/>
      <c r="G25" s="99"/>
      <c r="H25" s="99"/>
      <c r="I25" s="99"/>
      <c r="J25" s="99"/>
    </row>
    <row r="26" customFormat="false" ht="15" hidden="false" customHeight="true" outlineLevel="0" collapsed="false">
      <c r="B26" s="12" t="s">
        <v>149</v>
      </c>
      <c r="C26" s="100" t="n">
        <v>46249</v>
      </c>
      <c r="D26" s="101" t="str">
        <f aca="false">IF($B26="","","Expense")</f>
        <v>Expense</v>
      </c>
      <c r="E26" s="14" t="n">
        <v>10.61</v>
      </c>
      <c r="F26" s="102"/>
      <c r="G26" s="102"/>
      <c r="H26" s="103" t="n">
        <f aca="false">IF($B26="","",N($E26))</f>
        <v>10.61</v>
      </c>
      <c r="I26" s="104" t="n">
        <f aca="false">IF($B26="","",$I$13+SUMIFS($G$15:$G$65,$M$15:$M$65,"&lt;="&amp;$M26)-SUMIFS($H$15:$H$65,$M$15:$M$65,"&lt;="&amp;$M26))</f>
        <v>217.8</v>
      </c>
      <c r="J26" s="102"/>
      <c r="K26" s="96" t="str">
        <f aca="false">IF($B26="","","ACTUAL")</f>
        <v>ACTUAL</v>
      </c>
      <c r="L26" s="97" t="n">
        <f aca="false">IF($B26="","",IF($C26="",$E$6+6,$C26))</f>
        <v>46249</v>
      </c>
      <c r="M26" s="0" t="n">
        <f aca="false">IF($L26="","",COUNTIFS($L$15:$L$65,"&lt;"&amp;$L26)+COUNTIFS($L$15:$L26,$L26))</f>
        <v>1</v>
      </c>
    </row>
    <row r="27" customFormat="false" ht="15" hidden="false" customHeight="true" outlineLevel="0" collapsed="false">
      <c r="B27" s="12" t="s">
        <v>150</v>
      </c>
      <c r="C27" s="100" t="n">
        <v>46249</v>
      </c>
      <c r="D27" s="101" t="str">
        <f aca="false">IF($B27="","","Expense")</f>
        <v>Expense</v>
      </c>
      <c r="E27" s="14" t="n">
        <v>24.68</v>
      </c>
      <c r="F27" s="102"/>
      <c r="G27" s="102"/>
      <c r="H27" s="103" t="n">
        <f aca="false">IF($B27="","",N($E27))</f>
        <v>24.68</v>
      </c>
      <c r="I27" s="104" t="n">
        <f aca="false">IF($B27="","",$I$13+SUMIFS($G$15:$G$65,$M$15:$M$65,"&lt;="&amp;$M27)-SUMIFS($H$15:$H$65,$M$15:$M$65,"&lt;="&amp;$M27))</f>
        <v>193.12</v>
      </c>
      <c r="J27" s="102"/>
      <c r="K27" s="96" t="str">
        <f aca="false">IF($B27="","","ACTUAL")</f>
        <v>ACTUAL</v>
      </c>
      <c r="L27" s="97" t="n">
        <f aca="false">IF($B27="","",IF($C27="",$E$6+6,$C27))</f>
        <v>46249</v>
      </c>
      <c r="M27" s="0" t="n">
        <f aca="false">IF($L27="","",COUNTIFS($L$15:$L$65,"&lt;"&amp;$L27)+COUNTIFS($L$15:$L27,$L27))</f>
        <v>2</v>
      </c>
    </row>
    <row r="28" customFormat="false" ht="15" hidden="false" customHeight="true" outlineLevel="0" collapsed="false">
      <c r="B28" s="12" t="s">
        <v>151</v>
      </c>
      <c r="C28" s="100" t="n">
        <v>46249</v>
      </c>
      <c r="D28" s="101" t="str">
        <f aca="false">IF($B28="","","Expense")</f>
        <v>Expense</v>
      </c>
      <c r="E28" s="14" t="n">
        <v>2.47</v>
      </c>
      <c r="F28" s="102"/>
      <c r="G28" s="102"/>
      <c r="H28" s="103" t="n">
        <f aca="false">IF($B28="","",N($E28))</f>
        <v>2.47</v>
      </c>
      <c r="I28" s="104" t="n">
        <f aca="false">IF($B28="","",$I$13+SUMIFS($G$15:$G$65,$M$15:$M$65,"&lt;="&amp;$M28)-SUMIFS($H$15:$H$65,$M$15:$M$65,"&lt;="&amp;$M28))</f>
        <v>190.65</v>
      </c>
      <c r="J28" s="102"/>
      <c r="K28" s="96" t="str">
        <f aca="false">IF($B28="","","ACTUAL")</f>
        <v>ACTUAL</v>
      </c>
      <c r="L28" s="97" t="n">
        <f aca="false">IF($B28="","",IF($C28="",$E$6+6,$C28))</f>
        <v>46249</v>
      </c>
      <c r="M28" s="0" t="n">
        <f aca="false">IF($L28="","",COUNTIFS($L$15:$L$65,"&lt;"&amp;$L28)+COUNTIFS($L$15:$L28,$L28))</f>
        <v>3</v>
      </c>
    </row>
    <row r="29" customFormat="false" ht="15" hidden="false" customHeight="true" outlineLevel="0" collapsed="false">
      <c r="B29" s="12" t="s">
        <v>152</v>
      </c>
      <c r="C29" s="100" t="n">
        <v>46249</v>
      </c>
      <c r="D29" s="101" t="str">
        <f aca="false">IF($B29="","","Expense")</f>
        <v>Expense</v>
      </c>
      <c r="E29" s="14" t="n">
        <v>6.48</v>
      </c>
      <c r="F29" s="102"/>
      <c r="G29" s="102"/>
      <c r="H29" s="103" t="n">
        <f aca="false">IF($B29="","",N($E29))</f>
        <v>6.48</v>
      </c>
      <c r="I29" s="104" t="n">
        <f aca="false">IF($B29="","",$I$13+SUMIFS($G$15:$G$65,$M$15:$M$65,"&lt;="&amp;$M29)-SUMIFS($H$15:$H$65,$M$15:$M$65,"&lt;="&amp;$M29))</f>
        <v>184.17</v>
      </c>
      <c r="J29" s="102"/>
      <c r="K29" s="96" t="str">
        <f aca="false">IF($B29="","","ACTUAL")</f>
        <v>ACTUAL</v>
      </c>
      <c r="L29" s="97" t="n">
        <f aca="false">IF($B29="","",IF($C29="",$E$6+6,$C29))</f>
        <v>46249</v>
      </c>
      <c r="M29" s="0" t="n">
        <f aca="false">IF($L29="","",COUNTIFS($L$15:$L$65,"&lt;"&amp;$L29)+COUNTIFS($L$15:$L29,$L29))</f>
        <v>4</v>
      </c>
    </row>
    <row r="30" customFormat="false" ht="15" hidden="false" customHeight="true" outlineLevel="0" collapsed="false">
      <c r="B30" s="12" t="s">
        <v>153</v>
      </c>
      <c r="C30" s="100" t="n">
        <v>46250</v>
      </c>
      <c r="D30" s="101" t="str">
        <f aca="false">IF($B30="","","Expense")</f>
        <v>Expense</v>
      </c>
      <c r="E30" s="14" t="n">
        <v>11.52</v>
      </c>
      <c r="F30" s="102"/>
      <c r="G30" s="102"/>
      <c r="H30" s="103" t="n">
        <f aca="false">IF($B30="","",N($E30))</f>
        <v>11.52</v>
      </c>
      <c r="I30" s="104" t="n">
        <f aca="false">IF($B30="","",$I$13+SUMIFS($G$15:$G$65,$M$15:$M$65,"&lt;="&amp;$M30)-SUMIFS($H$15:$H$65,$M$15:$M$65,"&lt;="&amp;$M30))</f>
        <v>127.65</v>
      </c>
      <c r="J30" s="102"/>
      <c r="K30" s="96" t="str">
        <f aca="false">IF($B30="","","ACTUAL")</f>
        <v>ACTUAL</v>
      </c>
      <c r="L30" s="97" t="n">
        <f aca="false">IF($B30="","",IF($C30="",$E$6+6,$C30))</f>
        <v>46250</v>
      </c>
      <c r="M30" s="0" t="n">
        <f aca="false">IF($L30="","",COUNTIFS($L$15:$L$65,"&lt;"&amp;$L30)+COUNTIFS($L$15:$L30,$L30))</f>
        <v>6</v>
      </c>
    </row>
    <row r="31" customFormat="false" ht="15" hidden="false" customHeight="true" outlineLevel="0" collapsed="false">
      <c r="B31" s="12" t="s">
        <v>150</v>
      </c>
      <c r="C31" s="100" t="n">
        <v>46250</v>
      </c>
      <c r="D31" s="101" t="str">
        <f aca="false">IF($B31="","","Expense")</f>
        <v>Expense</v>
      </c>
      <c r="E31" s="14" t="n">
        <v>12.6</v>
      </c>
      <c r="F31" s="102"/>
      <c r="G31" s="102"/>
      <c r="H31" s="103" t="n">
        <f aca="false">IF($B31="","",N($E31))</f>
        <v>12.6</v>
      </c>
      <c r="I31" s="104" t="n">
        <f aca="false">IF($B31="","",$I$13+SUMIFS($G$15:$G$65,$M$15:$M$65,"&lt;="&amp;$M31)-SUMIFS($H$15:$H$65,$M$15:$M$65,"&lt;="&amp;$M31))</f>
        <v>115.05</v>
      </c>
      <c r="J31" s="102"/>
      <c r="K31" s="96" t="str">
        <f aca="false">IF($B31="","","ACTUAL")</f>
        <v>ACTUAL</v>
      </c>
      <c r="L31" s="97" t="n">
        <f aca="false">IF($B31="","",IF($C31="",$E$6+6,$C31))</f>
        <v>46250</v>
      </c>
      <c r="M31" s="0" t="n">
        <f aca="false">IF($L31="","",COUNTIFS($L$15:$L$65,"&lt;"&amp;$L31)+COUNTIFS($L$15:$L31,$L31))</f>
        <v>7</v>
      </c>
    </row>
    <row r="32" customFormat="false" ht="15" hidden="false" customHeight="true" outlineLevel="0" collapsed="false">
      <c r="B32" s="12" t="s">
        <v>151</v>
      </c>
      <c r="C32" s="100" t="n">
        <v>46250</v>
      </c>
      <c r="D32" s="101" t="str">
        <f aca="false">IF($B32="","","Expense")</f>
        <v>Expense</v>
      </c>
      <c r="E32" s="14" t="n">
        <v>91.84</v>
      </c>
      <c r="F32" s="102"/>
      <c r="G32" s="102"/>
      <c r="H32" s="103" t="n">
        <f aca="false">IF($B32="","",N($E32))</f>
        <v>91.84</v>
      </c>
      <c r="I32" s="104" t="n">
        <f aca="false">IF($B32="","",$I$13+SUMIFS($G$15:$G$65,$M$15:$M$65,"&lt;="&amp;$M32)-SUMIFS($H$15:$H$65,$M$15:$M$65,"&lt;="&amp;$M32))</f>
        <v>23.21</v>
      </c>
      <c r="J32" s="102"/>
      <c r="K32" s="96" t="str">
        <f aca="false">IF($B32="","","ACTUAL")</f>
        <v>ACTUAL</v>
      </c>
      <c r="L32" s="97" t="n">
        <f aca="false">IF($B32="","",IF($C32="",$E$6+6,$C32))</f>
        <v>46250</v>
      </c>
      <c r="M32" s="0" t="n">
        <f aca="false">IF($L32="","",COUNTIFS($L$15:$L$65,"&lt;"&amp;$L32)+COUNTIFS($L$15:$L32,$L32))</f>
        <v>8</v>
      </c>
    </row>
    <row r="33" customFormat="false" ht="15" hidden="false" customHeight="true" outlineLevel="0" collapsed="false">
      <c r="B33" s="12" t="s">
        <v>154</v>
      </c>
      <c r="C33" s="100" t="n">
        <v>46250</v>
      </c>
      <c r="D33" s="101" t="str">
        <f aca="false">IF($B33="","","Expense")</f>
        <v>Expense</v>
      </c>
      <c r="E33" s="14" t="n">
        <v>10.54</v>
      </c>
      <c r="F33" s="102"/>
      <c r="G33" s="102"/>
      <c r="H33" s="103" t="n">
        <f aca="false">IF($B33="","",N($E33))</f>
        <v>10.54</v>
      </c>
      <c r="I33" s="104" t="n">
        <f aca="false">IF($B33="","",$I$13+SUMIFS($G$15:$G$65,$M$15:$M$65,"&lt;="&amp;$M33)-SUMIFS($H$15:$H$65,$M$15:$M$65,"&lt;="&amp;$M33))</f>
        <v>12.67</v>
      </c>
      <c r="J33" s="102"/>
      <c r="K33" s="96" t="str">
        <f aca="false">IF($B33="","","ACTUAL")</f>
        <v>ACTUAL</v>
      </c>
      <c r="L33" s="97" t="n">
        <f aca="false">IF($B33="","",IF($C33="",$E$6+6,$C33))</f>
        <v>46250</v>
      </c>
      <c r="M33" s="0" t="n">
        <f aca="false">IF($L33="","",COUNTIFS($L$15:$L$65,"&lt;"&amp;$L33)+COUNTIFS($L$15:$L33,$L33))</f>
        <v>9</v>
      </c>
    </row>
    <row r="34" customFormat="false" ht="15" hidden="false" customHeight="true" outlineLevel="0" collapsed="false">
      <c r="B34" s="12" t="s">
        <v>155</v>
      </c>
      <c r="C34" s="100" t="n">
        <v>46251</v>
      </c>
      <c r="D34" s="101" t="str">
        <f aca="false">IF($B34="","","Expense")</f>
        <v>Expense</v>
      </c>
      <c r="E34" s="14" t="n">
        <v>12.1</v>
      </c>
      <c r="F34" s="102"/>
      <c r="G34" s="102"/>
      <c r="H34" s="103" t="n">
        <f aca="false">IF($B34="","",N($E34))</f>
        <v>12.1</v>
      </c>
      <c r="I34" s="104" t="n">
        <f aca="false">IF($B34="","",$I$13+SUMIFS($G$15:$G$65,$M$15:$M$65,"&lt;="&amp;$M34)-SUMIFS($H$15:$H$65,$M$15:$M$65,"&lt;="&amp;$M34))</f>
        <v>0.569999999999993</v>
      </c>
      <c r="J34" s="102"/>
      <c r="K34" s="96" t="str">
        <f aca="false">IF($B34="","","ACTUAL")</f>
        <v>ACTUAL</v>
      </c>
      <c r="L34" s="97" t="n">
        <f aca="false">IF($B34="","",IF($C34="",$E$6+6,$C34))</f>
        <v>46251</v>
      </c>
      <c r="M34" s="0" t="n">
        <f aca="false">IF($L34="","",COUNTIFS($L$15:$L$65,"&lt;"&amp;$L34)+COUNTIFS($L$15:$L34,$L34))</f>
        <v>10</v>
      </c>
    </row>
    <row r="35" customFormat="false" ht="15" hidden="false" customHeight="true" outlineLevel="0" collapsed="false">
      <c r="B35" s="12" t="s">
        <v>156</v>
      </c>
      <c r="C35" s="100" t="n">
        <v>46252</v>
      </c>
      <c r="D35" s="101" t="str">
        <f aca="false">IF($B35="","","Expense")</f>
        <v>Expense</v>
      </c>
      <c r="E35" s="14" t="n">
        <v>14.68</v>
      </c>
      <c r="F35" s="102"/>
      <c r="G35" s="102"/>
      <c r="H35" s="103" t="n">
        <f aca="false">IF($B35="","",N($E35))</f>
        <v>14.68</v>
      </c>
      <c r="I35" s="104" t="n">
        <f aca="false">IF($B35="","",$I$13+SUMIFS($G$15:$G$65,$M$15:$M$65,"&lt;="&amp;$M35)-SUMIFS($H$15:$H$65,$M$15:$M$65,"&lt;="&amp;$M35))</f>
        <v>-14.11</v>
      </c>
      <c r="J35" s="102"/>
      <c r="K35" s="96" t="str">
        <f aca="false">IF($B35="","","ACTUAL")</f>
        <v>ACTUAL</v>
      </c>
      <c r="L35" s="97" t="n">
        <f aca="false">IF($B35="","",IF($C35="",$E$6+6,$C35))</f>
        <v>46252</v>
      </c>
      <c r="M35" s="0" t="n">
        <f aca="false">IF($L35="","",COUNTIFS($L$15:$L$65,"&lt;"&amp;$L35)+COUNTIFS($L$15:$L35,$L35))</f>
        <v>11</v>
      </c>
    </row>
    <row r="36" customFormat="false" ht="15" hidden="false" customHeight="true" outlineLevel="0" collapsed="false">
      <c r="B36" s="12" t="s">
        <v>157</v>
      </c>
      <c r="C36" s="100" t="n">
        <v>46252</v>
      </c>
      <c r="D36" s="101" t="str">
        <f aca="false">IF($B36="","","Expense")</f>
        <v>Expense</v>
      </c>
      <c r="E36" s="14" t="n">
        <v>2.64</v>
      </c>
      <c r="F36" s="102"/>
      <c r="G36" s="102"/>
      <c r="H36" s="103" t="n">
        <f aca="false">IF($B36="","",N($E36))</f>
        <v>2.64</v>
      </c>
      <c r="I36" s="104" t="n">
        <f aca="false">IF($B36="","",$I$13+SUMIFS($G$15:$G$65,$M$15:$M$65,"&lt;="&amp;$M36)-SUMIFS($H$15:$H$65,$M$15:$M$65,"&lt;="&amp;$M36))</f>
        <v>-16.75</v>
      </c>
      <c r="J36" s="102"/>
      <c r="K36" s="96" t="str">
        <f aca="false">IF($B36="","","ACTUAL")</f>
        <v>ACTUAL</v>
      </c>
      <c r="L36" s="97" t="n">
        <f aca="false">IF($B36="","",IF($C36="",$E$6+6,$C36))</f>
        <v>46252</v>
      </c>
      <c r="M36" s="0" t="n">
        <f aca="false">IF($L36="","",COUNTIFS($L$15:$L$65,"&lt;"&amp;$L36)+COUNTIFS($L$15:$L36,$L36))</f>
        <v>12</v>
      </c>
    </row>
    <row r="37" customFormat="false" ht="15" hidden="false" customHeight="true" outlineLevel="0" collapsed="false">
      <c r="B37" s="12" t="s">
        <v>158</v>
      </c>
      <c r="C37" s="100" t="n">
        <v>46252</v>
      </c>
      <c r="D37" s="101" t="str">
        <f aca="false">IF($B37="","","Expense")</f>
        <v>Expense</v>
      </c>
      <c r="E37" s="14" t="n">
        <v>11.75</v>
      </c>
      <c r="F37" s="102"/>
      <c r="G37" s="102"/>
      <c r="H37" s="103" t="n">
        <f aca="false">IF($B37="","",N($E37))</f>
        <v>11.75</v>
      </c>
      <c r="I37" s="104" t="n">
        <f aca="false">IF($B37="","",$I$13+SUMIFS($G$15:$G$65,$M$15:$M$65,"&lt;="&amp;$M37)-SUMIFS($H$15:$H$65,$M$15:$M$65,"&lt;="&amp;$M37))</f>
        <v>-28.5</v>
      </c>
      <c r="J37" s="102"/>
      <c r="K37" s="96" t="str">
        <f aca="false">IF($B37="","","ACTUAL")</f>
        <v>ACTUAL</v>
      </c>
      <c r="L37" s="97" t="n">
        <f aca="false">IF($B37="","",IF($C37="",$E$6+6,$C37))</f>
        <v>46252</v>
      </c>
      <c r="M37" s="0" t="n">
        <f aca="false">IF($L37="","",COUNTIFS($L$15:$L$65,"&lt;"&amp;$L37)+COUNTIFS($L$15:$L37,$L37))</f>
        <v>13</v>
      </c>
    </row>
    <row r="38" customFormat="false" ht="15" hidden="false" customHeight="true" outlineLevel="0" collapsed="false">
      <c r="B38" s="12" t="s">
        <v>155</v>
      </c>
      <c r="C38" s="100" t="n">
        <v>46253</v>
      </c>
      <c r="D38" s="101" t="str">
        <f aca="false">IF($B38="","","Expense")</f>
        <v>Expense</v>
      </c>
      <c r="E38" s="14" t="n">
        <v>8.6</v>
      </c>
      <c r="F38" s="102"/>
      <c r="G38" s="102"/>
      <c r="H38" s="103" t="n">
        <f aca="false">IF($B38="","",N($E38))</f>
        <v>8.6</v>
      </c>
      <c r="I38" s="104" t="n">
        <f aca="false">IF($B38="","",$I$13+SUMIFS($G$15:$G$65,$M$15:$M$65,"&lt;="&amp;$M38)-SUMIFS($H$15:$H$65,$M$15:$M$65,"&lt;="&amp;$M38))</f>
        <v>111.24</v>
      </c>
      <c r="J38" s="102"/>
      <c r="K38" s="96" t="str">
        <f aca="false">IF($B38="","","ACTUAL")</f>
        <v>ACTUAL</v>
      </c>
      <c r="L38" s="97" t="n">
        <f aca="false">IF($B38="","",IF($C38="",$E$6+6,$C38))</f>
        <v>46253</v>
      </c>
      <c r="M38" s="0" t="n">
        <f aca="false">IF($L38="","",COUNTIFS($L$15:$L$65,"&lt;"&amp;$L38)+COUNTIFS($L$15:$L38,$L38))</f>
        <v>15</v>
      </c>
    </row>
    <row r="39" customFormat="false" ht="15" hidden="false" customHeight="true" outlineLevel="0" collapsed="false">
      <c r="B39" s="12"/>
      <c r="C39" s="100"/>
      <c r="D39" s="101" t="str">
        <f aca="false">IF($B39="","","Expense")</f>
        <v/>
      </c>
      <c r="E39" s="14"/>
      <c r="F39" s="102"/>
      <c r="G39" s="102"/>
      <c r="H39" s="103" t="str">
        <f aca="false">IF($B39="","",N($E39))</f>
        <v/>
      </c>
      <c r="I39" s="104" t="str">
        <f aca="false">IF($B39="","",$I$13+SUMIFS($G$15:$G$65,$M$15:$M$65,"&lt;="&amp;$M39)-SUMIFS($H$15:$H$65,$M$15:$M$65,"&lt;="&amp;$M39))</f>
        <v/>
      </c>
      <c r="J39" s="102"/>
      <c r="K39" s="96" t="str">
        <f aca="false">IF($B39="","","ACTUAL")</f>
        <v/>
      </c>
      <c r="L39" s="97" t="str">
        <f aca="false">IF($B39="","",IF($C39="",$E$6+6,$C39))</f>
        <v/>
      </c>
      <c r="M39" s="0" t="str">
        <f aca="false">IF($L39="","",COUNTIFS($L$15:$L$65,"&lt;"&amp;$L39)+COUNTIFS($L$15:$L39,$L39))</f>
        <v/>
      </c>
    </row>
    <row r="40" customFormat="false" ht="15" hidden="false" customHeight="true" outlineLevel="0" collapsed="false">
      <c r="B40" s="12"/>
      <c r="C40" s="100"/>
      <c r="D40" s="101" t="str">
        <f aca="false">IF($B40="","","Expense")</f>
        <v/>
      </c>
      <c r="E40" s="14"/>
      <c r="F40" s="102"/>
      <c r="G40" s="102"/>
      <c r="H40" s="103" t="str">
        <f aca="false">IF($B40="","",N($E40))</f>
        <v/>
      </c>
      <c r="I40" s="104" t="str">
        <f aca="false">IF($B40="","",$I$13+SUMIFS($G$15:$G$65,$M$15:$M$65,"&lt;="&amp;$M40)-SUMIFS($H$15:$H$65,$M$15:$M$65,"&lt;="&amp;$M40))</f>
        <v/>
      </c>
      <c r="J40" s="102"/>
      <c r="K40" s="96" t="str">
        <f aca="false">IF($B40="","","ACTUAL")</f>
        <v/>
      </c>
      <c r="L40" s="97" t="str">
        <f aca="false">IF($B40="","",IF($C40="",$E$6+6,$C40))</f>
        <v/>
      </c>
      <c r="M40" s="0" t="str">
        <f aca="false">IF($L40="","",COUNTIFS($L$15:$L$65,"&lt;"&amp;$L40)+COUNTIFS($L$15:$L40,$L40))</f>
        <v/>
      </c>
    </row>
    <row r="41" customFormat="false" ht="15" hidden="false" customHeight="true" outlineLevel="0" collapsed="false">
      <c r="B41" s="12"/>
      <c r="C41" s="100"/>
      <c r="D41" s="101" t="str">
        <f aca="false">IF($B41="","","Expense")</f>
        <v/>
      </c>
      <c r="E41" s="14"/>
      <c r="F41" s="102"/>
      <c r="G41" s="102"/>
      <c r="H41" s="103" t="str">
        <f aca="false">IF($B41="","",N($E41))</f>
        <v/>
      </c>
      <c r="I41" s="104" t="str">
        <f aca="false">IF($B41="","",$I$13+SUMIFS($G$15:$G$65,$M$15:$M$65,"&lt;="&amp;$M41)-SUMIFS($H$15:$H$65,$M$15:$M$65,"&lt;="&amp;$M41))</f>
        <v/>
      </c>
      <c r="J41" s="102"/>
      <c r="K41" s="96" t="str">
        <f aca="false">IF($B41="","","ACTUAL")</f>
        <v/>
      </c>
      <c r="L41" s="97" t="str">
        <f aca="false">IF($B41="","",IF($C41="",$E$6+6,$C41))</f>
        <v/>
      </c>
      <c r="M41" s="0" t="str">
        <f aca="false">IF($L41="","",COUNTIFS($L$15:$L$65,"&lt;"&amp;$L41)+COUNTIFS($L$15:$L41,$L41))</f>
        <v/>
      </c>
    </row>
    <row r="42" customFormat="false" ht="15" hidden="false" customHeight="true" outlineLevel="0" collapsed="false">
      <c r="B42" s="12"/>
      <c r="C42" s="100"/>
      <c r="D42" s="101" t="str">
        <f aca="false">IF($B42="","","Expense")</f>
        <v/>
      </c>
      <c r="E42" s="14"/>
      <c r="F42" s="102"/>
      <c r="G42" s="102"/>
      <c r="H42" s="103" t="str">
        <f aca="false">IF($B42="","",N($E42))</f>
        <v/>
      </c>
      <c r="I42" s="104" t="str">
        <f aca="false">IF($B42="","",$I$13+SUMIFS($G$15:$G$65,$M$15:$M$65,"&lt;="&amp;$M42)-SUMIFS($H$15:$H$65,$M$15:$M$65,"&lt;="&amp;$M42))</f>
        <v/>
      </c>
      <c r="J42" s="102"/>
      <c r="K42" s="96" t="str">
        <f aca="false">IF($B42="","","ACTUAL")</f>
        <v/>
      </c>
      <c r="L42" s="97" t="str">
        <f aca="false">IF($B42="","",IF($C42="",$E$6+6,$C42))</f>
        <v/>
      </c>
      <c r="M42" s="0" t="str">
        <f aca="false">IF($L42="","",COUNTIFS($L$15:$L$65,"&lt;"&amp;$L42)+COUNTIFS($L$15:$L42,$L42))</f>
        <v/>
      </c>
    </row>
    <row r="43" customFormat="false" ht="15" hidden="false" customHeight="true" outlineLevel="0" collapsed="false">
      <c r="B43" s="12" t="s">
        <v>159</v>
      </c>
      <c r="C43" s="100" t="n">
        <v>46253</v>
      </c>
      <c r="D43" s="101" t="str">
        <f aca="false">IF($B43="","","Expense")</f>
        <v>Expense</v>
      </c>
      <c r="E43" s="14" t="n">
        <v>8.32</v>
      </c>
      <c r="F43" s="102"/>
      <c r="G43" s="102"/>
      <c r="H43" s="103" t="n">
        <f aca="false">IF($B43="","",N($E43))</f>
        <v>8.32</v>
      </c>
      <c r="I43" s="104" t="n">
        <f aca="false">IF($B43="","",$I$13+SUMIFS($G$15:$G$65,$M$15:$M$65,"&lt;="&amp;$M43)-SUMIFS($H$15:$H$65,$M$15:$M$65,"&lt;="&amp;$M43))</f>
        <v>102.92</v>
      </c>
      <c r="J43" s="102"/>
      <c r="K43" s="96" t="str">
        <f aca="false">IF($B43="","","ACTUAL")</f>
        <v>ACTUAL</v>
      </c>
      <c r="L43" s="97" t="n">
        <f aca="false">IF($B43="","",IF($C43="",$E$6+6,$C43))</f>
        <v>46253</v>
      </c>
      <c r="M43" s="0" t="n">
        <f aca="false">IF($L43="","",COUNTIFS($L$15:$L$65,"&lt;"&amp;$L43)+COUNTIFS($L$15:$L43,$L43))</f>
        <v>16</v>
      </c>
    </row>
    <row r="44" customFormat="false" ht="15" hidden="false" customHeight="true" outlineLevel="0" collapsed="false">
      <c r="B44" s="12" t="s">
        <v>160</v>
      </c>
      <c r="C44" s="100" t="n">
        <v>46253</v>
      </c>
      <c r="D44" s="101" t="str">
        <f aca="false">IF($B44="","","Expense")</f>
        <v>Expense</v>
      </c>
      <c r="E44" s="14" t="n">
        <v>25.51</v>
      </c>
      <c r="F44" s="102"/>
      <c r="G44" s="102"/>
      <c r="H44" s="103" t="n">
        <f aca="false">IF($B44="","",N($E44))</f>
        <v>25.51</v>
      </c>
      <c r="I44" s="104" t="n">
        <f aca="false">IF($B44="","",$I$13+SUMIFS($G$15:$G$65,$M$15:$M$65,"&lt;="&amp;$M44)-SUMIFS($H$15:$H$65,$M$15:$M$65,"&lt;="&amp;$M44))</f>
        <v>77.41</v>
      </c>
      <c r="J44" s="102"/>
      <c r="K44" s="96" t="str">
        <f aca="false">IF($B44="","","ACTUAL")</f>
        <v>ACTUAL</v>
      </c>
      <c r="L44" s="97" t="n">
        <f aca="false">IF($B44="","",IF($C44="",$E$6+6,$C44))</f>
        <v>46253</v>
      </c>
      <c r="M44" s="0" t="n">
        <f aca="false">IF($L44="","",COUNTIFS($L$15:$L$65,"&lt;"&amp;$L44)+COUNTIFS($L$15:$L44,$L44))</f>
        <v>17</v>
      </c>
    </row>
    <row r="45" customFormat="false" ht="15" hidden="false" customHeight="true" outlineLevel="0" collapsed="false">
      <c r="B45" s="12"/>
      <c r="C45" s="100"/>
      <c r="D45" s="101" t="str">
        <f aca="false">IF($B45="","","Expense")</f>
        <v/>
      </c>
      <c r="E45" s="14"/>
      <c r="F45" s="102"/>
      <c r="G45" s="102"/>
      <c r="H45" s="103" t="str">
        <f aca="false">IF($B45="","",N($E45))</f>
        <v/>
      </c>
      <c r="I45" s="104" t="str">
        <f aca="false">IF($B45="","",$I$13+SUMIFS($G$15:$G$65,$M$15:$M$65,"&lt;="&amp;$M45)-SUMIFS($H$15:$H$65,$M$15:$M$65,"&lt;="&amp;$M45))</f>
        <v/>
      </c>
      <c r="J45" s="102"/>
      <c r="K45" s="96" t="str">
        <f aca="false">IF($B45="","","ACTUAL")</f>
        <v/>
      </c>
      <c r="L45" s="97" t="str">
        <f aca="false">IF($B45="","",IF($C45="",$E$6+6,$C45))</f>
        <v/>
      </c>
      <c r="M45" s="0" t="str">
        <f aca="false">IF($L45="","",COUNTIFS($L$15:$L$65,"&lt;"&amp;$L45)+COUNTIFS($L$15:$L45,$L45))</f>
        <v/>
      </c>
    </row>
    <row r="46" customFormat="false" ht="15" hidden="false" customHeight="true" outlineLevel="0" collapsed="false">
      <c r="B46" s="12" t="s">
        <v>161</v>
      </c>
      <c r="C46" s="100" t="n">
        <v>46253</v>
      </c>
      <c r="D46" s="101" t="str">
        <f aca="false">IF($B46="","","Expense")</f>
        <v>Expense</v>
      </c>
      <c r="E46" s="14" t="n">
        <v>16.68</v>
      </c>
      <c r="F46" s="102"/>
      <c r="G46" s="102"/>
      <c r="H46" s="103" t="n">
        <f aca="false">IF($B46="","",N($E46))</f>
        <v>16.68</v>
      </c>
      <c r="I46" s="104" t="n">
        <f aca="false">IF($B46="","",$I$13+SUMIFS($G$15:$G$65,$M$15:$M$65,"&lt;="&amp;$M46)-SUMIFS($H$15:$H$65,$M$15:$M$65,"&lt;="&amp;$M46))</f>
        <v>60.73</v>
      </c>
      <c r="J46" s="102"/>
      <c r="K46" s="96" t="str">
        <f aca="false">IF($B46="","","ACTUAL")</f>
        <v>ACTUAL</v>
      </c>
      <c r="L46" s="97" t="n">
        <f aca="false">IF($B46="","",IF($C46="",$E$6+6,$C46))</f>
        <v>46253</v>
      </c>
      <c r="M46" s="0" t="n">
        <f aca="false">IF($L46="","",COUNTIFS($L$15:$L$65,"&lt;"&amp;$L46)+COUNTIFS($L$15:$L46,$L46))</f>
        <v>18</v>
      </c>
    </row>
    <row r="47" customFormat="false" ht="15" hidden="false" customHeight="true" outlineLevel="0" collapsed="false">
      <c r="B47" s="12" t="s">
        <v>162</v>
      </c>
      <c r="C47" s="100" t="n">
        <v>46253</v>
      </c>
      <c r="D47" s="101" t="str">
        <f aca="false">IF($B47="","","Expense")</f>
        <v>Expense</v>
      </c>
      <c r="E47" s="14" t="n">
        <v>9.75</v>
      </c>
      <c r="F47" s="102"/>
      <c r="G47" s="102"/>
      <c r="H47" s="103" t="n">
        <f aca="false">IF($B47="","",N($E47))</f>
        <v>9.75</v>
      </c>
      <c r="I47" s="104" t="n">
        <f aca="false">IF($B47="","",$I$13+SUMIFS($G$15:$G$65,$M$15:$M$65,"&lt;="&amp;$M47)-SUMIFS($H$15:$H$65,$M$15:$M$65,"&lt;="&amp;$M47))</f>
        <v>50.98</v>
      </c>
      <c r="J47" s="102"/>
      <c r="K47" s="96" t="str">
        <f aca="false">IF($B47="","","ACTUAL")</f>
        <v>ACTUAL</v>
      </c>
      <c r="L47" s="97" t="n">
        <f aca="false">IF($B47="","",IF($C47="",$E$6+6,$C47))</f>
        <v>46253</v>
      </c>
      <c r="M47" s="0" t="n">
        <f aca="false">IF($L47="","",COUNTIFS($L$15:$L$65,"&lt;"&amp;$L47)+COUNTIFS($L$15:$L47,$L47))</f>
        <v>19</v>
      </c>
    </row>
    <row r="48" customFormat="false" ht="15" hidden="false" customHeight="true" outlineLevel="0" collapsed="false">
      <c r="B48" s="12" t="s">
        <v>163</v>
      </c>
      <c r="C48" s="100" t="n">
        <v>46253</v>
      </c>
      <c r="D48" s="101" t="str">
        <f aca="false">IF($B48="","","Expense")</f>
        <v>Expense</v>
      </c>
      <c r="E48" s="14" t="n">
        <v>21</v>
      </c>
      <c r="F48" s="102"/>
      <c r="G48" s="102"/>
      <c r="H48" s="103" t="n">
        <f aca="false">IF($B48="","",N($E48))</f>
        <v>21</v>
      </c>
      <c r="I48" s="104" t="n">
        <f aca="false">IF($B48="","",$I$13+SUMIFS($G$15:$G$65,$M$15:$M$65,"&lt;="&amp;$M48)-SUMIFS($H$15:$H$65,$M$15:$M$65,"&lt;="&amp;$M48))</f>
        <v>29.98</v>
      </c>
      <c r="J48" s="102"/>
      <c r="K48" s="96" t="str">
        <f aca="false">IF($B48="","","ACTUAL")</f>
        <v>ACTUAL</v>
      </c>
      <c r="L48" s="97" t="n">
        <f aca="false">IF($B48="","",IF($C48="",$E$6+6,$C48))</f>
        <v>46253</v>
      </c>
      <c r="M48" s="0" t="n">
        <f aca="false">IF($L48="","",COUNTIFS($L$15:$L$65,"&lt;"&amp;$L48)+COUNTIFS($L$15:$L48,$L48))</f>
        <v>20</v>
      </c>
    </row>
    <row r="49" customFormat="false" ht="15" hidden="false" customHeight="true" outlineLevel="0" collapsed="false">
      <c r="B49" s="12" t="s">
        <v>164</v>
      </c>
      <c r="C49" s="100" t="n">
        <v>46253</v>
      </c>
      <c r="D49" s="101" t="str">
        <f aca="false">IF($B49="","","Expense")</f>
        <v>Expense</v>
      </c>
      <c r="E49" s="14" t="n">
        <v>14.26</v>
      </c>
      <c r="F49" s="102"/>
      <c r="G49" s="102"/>
      <c r="H49" s="103" t="n">
        <f aca="false">IF($B49="","",N($E49))</f>
        <v>14.26</v>
      </c>
      <c r="I49" s="104" t="n">
        <f aca="false">IF($B49="","",$I$13+SUMIFS($G$15:$G$65,$M$15:$M$65,"&lt;="&amp;$M49)-SUMIFS($H$15:$H$65,$M$15:$M$65,"&lt;="&amp;$M49))</f>
        <v>15.72</v>
      </c>
      <c r="J49" s="102"/>
      <c r="K49" s="96" t="str">
        <f aca="false">IF($B49="","","ACTUAL")</f>
        <v>ACTUAL</v>
      </c>
      <c r="L49" s="97" t="n">
        <f aca="false">IF($B49="","",IF($C49="",$E$6+6,$C49))</f>
        <v>46253</v>
      </c>
      <c r="M49" s="0" t="n">
        <f aca="false">IF($L49="","",COUNTIFS($L$15:$L$65,"&lt;"&amp;$L49)+COUNTIFS($L$15:$L49,$L49))</f>
        <v>21</v>
      </c>
    </row>
    <row r="50" customFormat="false" ht="15" hidden="false" customHeight="true" outlineLevel="0" collapsed="false">
      <c r="B50" s="12" t="s">
        <v>165</v>
      </c>
      <c r="C50" s="100" t="n">
        <v>46254</v>
      </c>
      <c r="D50" s="101" t="str">
        <f aca="false">IF($B50="","","Expense")</f>
        <v>Expense</v>
      </c>
      <c r="E50" s="14" t="n">
        <v>125.9</v>
      </c>
      <c r="F50" s="102"/>
      <c r="G50" s="102"/>
      <c r="H50" s="103" t="n">
        <f aca="false">IF($B50="","",N($E50))</f>
        <v>125.9</v>
      </c>
      <c r="I50" s="104" t="n">
        <f aca="false">IF($B50="","",$I$13+SUMIFS($G$15:$G$65,$M$15:$M$65,"&lt;="&amp;$M50)-SUMIFS($H$15:$H$65,$M$15:$M$65,"&lt;="&amp;$M50))</f>
        <v>-110.18</v>
      </c>
      <c r="J50" s="102"/>
      <c r="K50" s="96" t="str">
        <f aca="false">IF($B50="","","ACTUAL")</f>
        <v>ACTUAL</v>
      </c>
      <c r="L50" s="97" t="n">
        <f aca="false">IF($B50="","",IF($C50="",$E$6+6,$C50))</f>
        <v>46254</v>
      </c>
      <c r="M50" s="0" t="n">
        <f aca="false">IF($L50="","",COUNTIFS($L$15:$L$65,"&lt;"&amp;$L50)+COUNTIFS($L$15:$L50,$L50))</f>
        <v>22</v>
      </c>
    </row>
    <row r="51" customFormat="false" ht="15" hidden="false" customHeight="true" outlineLevel="0" collapsed="false">
      <c r="B51" s="12" t="s">
        <v>166</v>
      </c>
      <c r="C51" s="100" t="n">
        <v>46254</v>
      </c>
      <c r="D51" s="101" t="str">
        <f aca="false">IF($B51="","","Expense")</f>
        <v>Expense</v>
      </c>
      <c r="E51" s="14" t="n">
        <v>15</v>
      </c>
      <c r="F51" s="102"/>
      <c r="G51" s="102"/>
      <c r="H51" s="103" t="n">
        <f aca="false">IF($B51="","",N($E51))</f>
        <v>15</v>
      </c>
      <c r="I51" s="104" t="n">
        <f aca="false">IF($B51="","",$I$13+SUMIFS($G$15:$G$65,$M$15:$M$65,"&lt;="&amp;$M51)-SUMIFS($H$15:$H$65,$M$15:$M$65,"&lt;="&amp;$M51))</f>
        <v>-125.18</v>
      </c>
      <c r="J51" s="102"/>
      <c r="K51" s="96" t="str">
        <f aca="false">IF($B51="","","ACTUAL")</f>
        <v>ACTUAL</v>
      </c>
      <c r="L51" s="97" t="n">
        <f aca="false">IF($B51="","",IF($C51="",$E$6+6,$C51))</f>
        <v>46254</v>
      </c>
      <c r="M51" s="0" t="n">
        <f aca="false">IF($L51="","",COUNTIFS($L$15:$L$65,"&lt;"&amp;$L51)+COUNTIFS($L$15:$L51,$L51))</f>
        <v>23</v>
      </c>
    </row>
    <row r="52" customFormat="false" ht="15" hidden="false" customHeight="true" outlineLevel="0" collapsed="false">
      <c r="B52" s="12" t="s">
        <v>150</v>
      </c>
      <c r="C52" s="100" t="n">
        <v>46254</v>
      </c>
      <c r="D52" s="101" t="str">
        <f aca="false">IF($B52="","","Expense")</f>
        <v>Expense</v>
      </c>
      <c r="E52" s="14" t="n">
        <v>14.47</v>
      </c>
      <c r="F52" s="102"/>
      <c r="G52" s="102"/>
      <c r="H52" s="103" t="n">
        <f aca="false">IF($B52="","",N($E52))</f>
        <v>14.47</v>
      </c>
      <c r="I52" s="104" t="n">
        <f aca="false">IF($B52="","",$I$13+SUMIFS($G$15:$G$65,$M$15:$M$65,"&lt;="&amp;$M52)-SUMIFS($H$15:$H$65,$M$15:$M$65,"&lt;="&amp;$M52))</f>
        <v>-139.65</v>
      </c>
      <c r="J52" s="102"/>
      <c r="K52" s="96" t="str">
        <f aca="false">IF($B52="","","ACTUAL")</f>
        <v>ACTUAL</v>
      </c>
      <c r="L52" s="97" t="n">
        <f aca="false">IF($B52="","",IF($C52="",$E$6+6,$C52))</f>
        <v>46254</v>
      </c>
      <c r="M52" s="0" t="n">
        <f aca="false">IF($L52="","",COUNTIFS($L$15:$L$65,"&lt;"&amp;$L52)+COUNTIFS($L$15:$L52,$L52))</f>
        <v>24</v>
      </c>
    </row>
    <row r="53" customFormat="false" ht="15" hidden="false" customHeight="true" outlineLevel="0" collapsed="false">
      <c r="B53" s="12" t="s">
        <v>167</v>
      </c>
      <c r="C53" s="100" t="n">
        <v>46254</v>
      </c>
      <c r="D53" s="101" t="str">
        <f aca="false">IF($B53="","","Expense")</f>
        <v>Expense</v>
      </c>
      <c r="E53" s="14" t="n">
        <v>111.99</v>
      </c>
      <c r="F53" s="102"/>
      <c r="G53" s="102"/>
      <c r="H53" s="103" t="n">
        <f aca="false">IF($B53="","",N($E53))</f>
        <v>111.99</v>
      </c>
      <c r="I53" s="104" t="n">
        <f aca="false">IF($B53="","",$I$13+SUMIFS($G$15:$G$65,$M$15:$M$65,"&lt;="&amp;$M53)-SUMIFS($H$15:$H$65,$M$15:$M$65,"&lt;="&amp;$M53))</f>
        <v>-251.64</v>
      </c>
      <c r="J53" s="102"/>
      <c r="K53" s="96" t="str">
        <f aca="false">IF($B53="","","ACTUAL")</f>
        <v>ACTUAL</v>
      </c>
      <c r="L53" s="97" t="n">
        <f aca="false">IF($B53="","",IF($C53="",$E$6+6,$C53))</f>
        <v>46254</v>
      </c>
      <c r="M53" s="0" t="n">
        <f aca="false">IF($L53="","",COUNTIFS($L$15:$L$65,"&lt;"&amp;$L53)+COUNTIFS($L$15:$L53,$L53))</f>
        <v>25</v>
      </c>
    </row>
    <row r="54" customFormat="false" ht="15" hidden="false" customHeight="true" outlineLevel="0" collapsed="false">
      <c r="B54" s="12" t="s">
        <v>162</v>
      </c>
      <c r="C54" s="100" t="n">
        <v>46254</v>
      </c>
      <c r="D54" s="101" t="str">
        <f aca="false">IF($B54="","","Expense")</f>
        <v>Expense</v>
      </c>
      <c r="E54" s="14" t="n">
        <v>11</v>
      </c>
      <c r="F54" s="102"/>
      <c r="G54" s="102"/>
      <c r="H54" s="103" t="n">
        <f aca="false">IF($B54="","",N($E54))</f>
        <v>11</v>
      </c>
      <c r="I54" s="104" t="n">
        <f aca="false">IF($B54="","",$I$13+SUMIFS($G$15:$G$65,$M$15:$M$65,"&lt;="&amp;$M54)-SUMIFS($H$15:$H$65,$M$15:$M$65,"&lt;="&amp;$M54))</f>
        <v>-262.64</v>
      </c>
      <c r="J54" s="102"/>
      <c r="K54" s="96" t="str">
        <f aca="false">IF($B54="","","ACTUAL")</f>
        <v>ACTUAL</v>
      </c>
      <c r="L54" s="97" t="n">
        <f aca="false">IF($B54="","",IF($C54="",$E$6+6,$C54))</f>
        <v>46254</v>
      </c>
      <c r="M54" s="0" t="n">
        <f aca="false">IF($L54="","",COUNTIFS($L$15:$L$65,"&lt;"&amp;$L54)+COUNTIFS($L$15:$L54,$L54))</f>
        <v>26</v>
      </c>
    </row>
    <row r="55" customFormat="false" ht="15" hidden="false" customHeight="true" outlineLevel="0" collapsed="false">
      <c r="B55" s="12" t="s">
        <v>152</v>
      </c>
      <c r="C55" s="100" t="n">
        <v>46255</v>
      </c>
      <c r="D55" s="101" t="str">
        <f aca="false">IF($B55="","","Expense")</f>
        <v>Expense</v>
      </c>
      <c r="E55" s="14" t="n">
        <v>6.48</v>
      </c>
      <c r="F55" s="102"/>
      <c r="G55" s="102"/>
      <c r="H55" s="103" t="n">
        <f aca="false">IF($B55="","",N($E55))</f>
        <v>6.48</v>
      </c>
      <c r="I55" s="104" t="n">
        <f aca="false">IF($B55="","",$I$13+SUMIFS($G$15:$G$65,$M$15:$M$65,"&lt;="&amp;$M55)-SUMIFS($H$15:$H$65,$M$15:$M$65,"&lt;="&amp;$M55))</f>
        <v>533.53</v>
      </c>
      <c r="J55" s="102"/>
      <c r="K55" s="96" t="str">
        <f aca="false">IF($B55="","","ACTUAL")</f>
        <v>ACTUAL</v>
      </c>
      <c r="L55" s="97" t="n">
        <f aca="false">IF($B55="","",IF($C55="",$E$6+6,$C55))</f>
        <v>46255</v>
      </c>
      <c r="M55" s="0" t="n">
        <f aca="false">IF($L55="","",COUNTIFS($L$15:$L$65,"&lt;"&amp;$L55)+COUNTIFS($L$15:$L55,$L55))</f>
        <v>29</v>
      </c>
    </row>
    <row r="56" customFormat="false" ht="15" hidden="false" customHeight="true" outlineLevel="0" collapsed="false">
      <c r="B56" s="12" t="s">
        <v>166</v>
      </c>
      <c r="C56" s="100" t="n">
        <v>46255</v>
      </c>
      <c r="D56" s="101" t="str">
        <f aca="false">IF($B56="","","Expense")</f>
        <v>Expense</v>
      </c>
      <c r="E56" s="14" t="n">
        <v>7.82</v>
      </c>
      <c r="F56" s="102"/>
      <c r="G56" s="102"/>
      <c r="H56" s="103" t="n">
        <f aca="false">IF($B56="","",N($E56))</f>
        <v>7.82</v>
      </c>
      <c r="I56" s="104" t="n">
        <f aca="false">IF($B56="","",$I$13+SUMIFS($G$15:$G$65,$M$15:$M$65,"&lt;="&amp;$M56)-SUMIFS($H$15:$H$65,$M$15:$M$65,"&lt;="&amp;$M56))</f>
        <v>525.71</v>
      </c>
      <c r="J56" s="102"/>
      <c r="K56" s="96" t="str">
        <f aca="false">IF($B56="","","ACTUAL")</f>
        <v>ACTUAL</v>
      </c>
      <c r="L56" s="97" t="n">
        <f aca="false">IF($B56="","",IF($C56="",$E$6+6,$C56))</f>
        <v>46255</v>
      </c>
      <c r="M56" s="0" t="n">
        <f aca="false">IF($L56="","",COUNTIFS($L$15:$L$65,"&lt;"&amp;$L56)+COUNTIFS($L$15:$L56,$L56))</f>
        <v>30</v>
      </c>
    </row>
    <row r="57" customFormat="false" ht="15" hidden="false" customHeight="true" outlineLevel="0" collapsed="false">
      <c r="B57" s="12" t="s">
        <v>166</v>
      </c>
      <c r="C57" s="100" t="n">
        <v>46255</v>
      </c>
      <c r="D57" s="101" t="str">
        <f aca="false">IF($B57="","","Expense")</f>
        <v>Expense</v>
      </c>
      <c r="E57" s="14" t="n">
        <v>10.58</v>
      </c>
      <c r="F57" s="102"/>
      <c r="G57" s="102"/>
      <c r="H57" s="103" t="n">
        <f aca="false">IF($B57="","",N($E57))</f>
        <v>10.58</v>
      </c>
      <c r="I57" s="104" t="n">
        <f aca="false">IF($B57="","",$I$13+SUMIFS($G$15:$G$65,$M$15:$M$65,"&lt;="&amp;$M57)-SUMIFS($H$15:$H$65,$M$15:$M$65,"&lt;="&amp;$M57))</f>
        <v>515.13</v>
      </c>
      <c r="J57" s="102"/>
      <c r="K57" s="96" t="str">
        <f aca="false">IF($B57="","","ACTUAL")</f>
        <v>ACTUAL</v>
      </c>
      <c r="L57" s="97" t="n">
        <f aca="false">IF($B57="","",IF($C57="",$E$6+6,$C57))</f>
        <v>46255</v>
      </c>
      <c r="M57" s="0" t="n">
        <f aca="false">IF($L57="","",COUNTIFS($L$15:$L$65,"&lt;"&amp;$L57)+COUNTIFS($L$15:$L57,$L57))</f>
        <v>31</v>
      </c>
    </row>
    <row r="58" customFormat="false" ht="15" hidden="false" customHeight="true" outlineLevel="0" collapsed="false">
      <c r="B58" s="12" t="s">
        <v>151</v>
      </c>
      <c r="C58" s="100" t="n">
        <v>46255</v>
      </c>
      <c r="D58" s="101" t="str">
        <f aca="false">IF($B58="","","Expense")</f>
        <v>Expense</v>
      </c>
      <c r="E58" s="14" t="n">
        <v>2.47</v>
      </c>
      <c r="F58" s="102"/>
      <c r="G58" s="102"/>
      <c r="H58" s="103" t="n">
        <f aca="false">IF($B58="","",N($E58))</f>
        <v>2.47</v>
      </c>
      <c r="I58" s="104" t="n">
        <f aca="false">IF($B58="","",$I$13+SUMIFS($G$15:$G$65,$M$15:$M$65,"&lt;="&amp;$M58)-SUMIFS($H$15:$H$65,$M$15:$M$65,"&lt;="&amp;$M58))</f>
        <v>512.66</v>
      </c>
      <c r="J58" s="102"/>
      <c r="K58" s="96" t="str">
        <f aca="false">IF($B58="","","ACTUAL")</f>
        <v>ACTUAL</v>
      </c>
      <c r="L58" s="97" t="n">
        <f aca="false">IF($B58="","",IF($C58="",$E$6+6,$C58))</f>
        <v>46255</v>
      </c>
      <c r="M58" s="0" t="n">
        <f aca="false">IF($L58="","",COUNTIFS($L$15:$L$65,"&lt;"&amp;$L58)+COUNTIFS($L$15:$L58,$L58))</f>
        <v>32</v>
      </c>
    </row>
    <row r="59" customFormat="false" ht="15" hidden="false" customHeight="true" outlineLevel="0" collapsed="false">
      <c r="B59" s="12"/>
      <c r="C59" s="100"/>
      <c r="D59" s="101" t="str">
        <f aca="false">IF($B59="","","Expense")</f>
        <v/>
      </c>
      <c r="E59" s="14"/>
      <c r="F59" s="102"/>
      <c r="G59" s="102"/>
      <c r="H59" s="103" t="str">
        <f aca="false">IF($B59="","",N($E59))</f>
        <v/>
      </c>
      <c r="I59" s="104" t="str">
        <f aca="false">IF($B59="","",$I$13+SUMIFS($G$15:$G$65,$M$15:$M$65,"&lt;="&amp;$M59)-SUMIFS($H$15:$H$65,$M$15:$M$65,"&lt;="&amp;$M59))</f>
        <v/>
      </c>
      <c r="J59" s="102"/>
      <c r="K59" s="96" t="str">
        <f aca="false">IF($B59="","","ACTUAL")</f>
        <v/>
      </c>
      <c r="L59" s="0" t="str">
        <f aca="false">IF($B59="","",IF($C59="",$E$6+6,$C59))</f>
        <v/>
      </c>
      <c r="M59" s="0" t="str">
        <f aca="false">IF($L59="","",COUNTIFS($L$15:$L$65,"&lt;"&amp;$L59)+COUNTIFS($L$15:$L59,$L59))</f>
        <v/>
      </c>
    </row>
    <row r="60" customFormat="false" ht="15" hidden="false" customHeight="true" outlineLevel="0" collapsed="false">
      <c r="B60" s="12"/>
      <c r="C60" s="100"/>
      <c r="D60" s="101" t="str">
        <f aca="false">IF($B60="","","Expense")</f>
        <v/>
      </c>
      <c r="E60" s="14"/>
      <c r="F60" s="102"/>
      <c r="G60" s="102"/>
      <c r="H60" s="103" t="str">
        <f aca="false">IF($B60="","",N($E60))</f>
        <v/>
      </c>
      <c r="I60" s="104" t="str">
        <f aca="false">IF($B60="","",$I$13+SUMIFS($G$15:$G$65,$M$15:$M$65,"&lt;="&amp;$M60)-SUMIFS($H$15:$H$65,$M$15:$M$65,"&lt;="&amp;$M60))</f>
        <v/>
      </c>
      <c r="J60" s="102"/>
      <c r="K60" s="96" t="str">
        <f aca="false">IF($B60="","","ACTUAL")</f>
        <v/>
      </c>
      <c r="L60" s="0" t="str">
        <f aca="false">IF($B60="","",IF($C60="",$E$6+6,$C60))</f>
        <v/>
      </c>
      <c r="M60" s="0" t="str">
        <f aca="false">IF($L60="","",COUNTIFS($L$15:$L$65,"&lt;"&amp;$L60)+COUNTIFS($L$15:$L60,$L60))</f>
        <v/>
      </c>
    </row>
    <row r="61" customFormat="false" ht="15" hidden="false" customHeight="true" outlineLevel="0" collapsed="false">
      <c r="B61" s="12"/>
      <c r="C61" s="100"/>
      <c r="D61" s="101" t="str">
        <f aca="false">IF($B61="","","Expense")</f>
        <v/>
      </c>
      <c r="E61" s="14"/>
      <c r="F61" s="102"/>
      <c r="G61" s="102"/>
      <c r="H61" s="103" t="str">
        <f aca="false">IF($B61="","",N($E61))</f>
        <v/>
      </c>
      <c r="I61" s="104" t="str">
        <f aca="false">IF($B61="","",$I$13+SUMIFS($G$15:$G$65,$M$15:$M$65,"&lt;="&amp;$M61)-SUMIFS($H$15:$H$65,$M$15:$M$65,"&lt;="&amp;$M61))</f>
        <v/>
      </c>
      <c r="J61" s="102"/>
      <c r="K61" s="96" t="str">
        <f aca="false">IF($B61="","","ACTUAL")</f>
        <v/>
      </c>
      <c r="L61" s="0" t="str">
        <f aca="false">IF($B61="","",IF($C61="",$E$6+6,$C61))</f>
        <v/>
      </c>
      <c r="M61" s="0" t="str">
        <f aca="false">IF($L61="","",COUNTIFS($L$15:$L$65,"&lt;"&amp;$L61)+COUNTIFS($L$15:$L61,$L61))</f>
        <v/>
      </c>
    </row>
    <row r="62" customFormat="false" ht="15" hidden="false" customHeight="true" outlineLevel="0" collapsed="false">
      <c r="B62" s="12"/>
      <c r="C62" s="100"/>
      <c r="D62" s="101" t="str">
        <f aca="false">IF($B62="","","Expense")</f>
        <v/>
      </c>
      <c r="E62" s="14"/>
      <c r="F62" s="102"/>
      <c r="G62" s="102"/>
      <c r="H62" s="103" t="str">
        <f aca="false">IF($B62="","",N($E62))</f>
        <v/>
      </c>
      <c r="I62" s="104" t="str">
        <f aca="false">IF($B62="","",$I$13+SUMIFS($G$15:$G$65,$M$15:$M$65,"&lt;="&amp;$M62)-SUMIFS($H$15:$H$65,$M$15:$M$65,"&lt;="&amp;$M62))</f>
        <v/>
      </c>
      <c r="J62" s="102"/>
      <c r="K62" s="96" t="str">
        <f aca="false">IF($B62="","","ACTUAL")</f>
        <v/>
      </c>
      <c r="L62" s="0" t="str">
        <f aca="false">IF($B62="","",IF($C62="",$E$6+6,$C62))</f>
        <v/>
      </c>
      <c r="M62" s="0" t="str">
        <f aca="false">IF($L62="","",COUNTIFS($L$15:$L$65,"&lt;"&amp;$L62)+COUNTIFS($L$15:$L62,$L62))</f>
        <v/>
      </c>
    </row>
    <row r="63" customFormat="false" ht="15" hidden="false" customHeight="true" outlineLevel="0" collapsed="false">
      <c r="B63" s="12"/>
      <c r="C63" s="100"/>
      <c r="D63" s="101" t="str">
        <f aca="false">IF($B63="","","Expense")</f>
        <v/>
      </c>
      <c r="E63" s="14"/>
      <c r="F63" s="102"/>
      <c r="G63" s="102"/>
      <c r="H63" s="103" t="str">
        <f aca="false">IF($B63="","",N($E63))</f>
        <v/>
      </c>
      <c r="I63" s="104" t="str">
        <f aca="false">IF($B63="","",$I$13+SUMIFS($G$15:$G$65,$M$15:$M$65,"&lt;="&amp;$M63)-SUMIFS($H$15:$H$65,$M$15:$M$65,"&lt;="&amp;$M63))</f>
        <v/>
      </c>
      <c r="J63" s="102"/>
      <c r="K63" s="96" t="str">
        <f aca="false">IF($B63="","","ACTUAL")</f>
        <v/>
      </c>
      <c r="L63" s="0" t="str">
        <f aca="false">IF($B63="","",IF($C63="",$E$6+6,$C63))</f>
        <v/>
      </c>
      <c r="M63" s="0" t="str">
        <f aca="false">IF($L63="","",COUNTIFS($L$15:$L$65,"&lt;"&amp;$L63)+COUNTIFS($L$15:$L63,$L63))</f>
        <v/>
      </c>
    </row>
    <row r="64" customFormat="false" ht="15" hidden="false" customHeight="true" outlineLevel="0" collapsed="false">
      <c r="B64" s="12"/>
      <c r="C64" s="100"/>
      <c r="D64" s="101" t="str">
        <f aca="false">IF($B64="","","Expense")</f>
        <v/>
      </c>
      <c r="E64" s="14"/>
      <c r="F64" s="102"/>
      <c r="G64" s="102"/>
      <c r="H64" s="103" t="str">
        <f aca="false">IF($B64="","",N($E64))</f>
        <v/>
      </c>
      <c r="I64" s="104" t="str">
        <f aca="false">IF($B64="","",$I$13+SUMIFS($G$15:$G$65,$M$15:$M$65,"&lt;="&amp;$M64)-SUMIFS($H$15:$H$65,$M$15:$M$65,"&lt;="&amp;$M64))</f>
        <v/>
      </c>
      <c r="J64" s="102"/>
      <c r="K64" s="96" t="str">
        <f aca="false">IF($B64="","","ACTUAL")</f>
        <v/>
      </c>
      <c r="L64" s="0" t="str">
        <f aca="false">IF($B64="","",IF($C64="",$E$6+6,$C64))</f>
        <v/>
      </c>
      <c r="M64" s="0" t="str">
        <f aca="false">IF($L64="","",COUNTIFS($L$15:$L$65,"&lt;"&amp;$L64)+COUNTIFS($L$15:$L64,$L64))</f>
        <v/>
      </c>
    </row>
    <row r="65" customFormat="false" ht="15" hidden="false" customHeight="true" outlineLevel="0" collapsed="false">
      <c r="B65" s="105" t="str">
        <f aca="false">"Everyday spending still expected this week"</f>
        <v>Everyday spending still expected this week</v>
      </c>
      <c r="C65" s="106" t="n">
        <f aca="false">$E$6+6</f>
        <v>46255</v>
      </c>
      <c r="D65" s="101" t="str">
        <f aca="false">IF($B65="","","Expense")</f>
        <v>Expense</v>
      </c>
      <c r="E65" s="107" t="n">
        <f aca="false">MAX(0,$E$8-SUM($E$26:$E$64))</f>
        <v>0</v>
      </c>
      <c r="F65" s="102"/>
      <c r="G65" s="102"/>
      <c r="H65" s="103" t="n">
        <f aca="false">IF($B65="","",N($E65))</f>
        <v>0</v>
      </c>
      <c r="I65" s="104" t="n">
        <f aca="false">IF($B65="","",$I$13+SUMIFS($G$15:$G$65,$M$15:$M$65,"&lt;="&amp;$M65)-SUMIFS($H$15:$H$65,$M$15:$M$65,"&lt;="&amp;$M65))</f>
        <v>512.66</v>
      </c>
      <c r="J65" s="102"/>
      <c r="K65" s="96" t="str">
        <f aca="false">"FORECAST"</f>
        <v>FORECAST</v>
      </c>
      <c r="L65" s="97" t="n">
        <f aca="false">IF($B65="","",IF($C65="",$E$6+6,$C65))</f>
        <v>46255</v>
      </c>
      <c r="M65" s="0" t="n">
        <f aca="false">IF($L65="","",COUNTIFS($L$15:$L$65,"&lt;"&amp;$L65)+COUNTIFS($L$15:$L65,$L65))</f>
        <v>33</v>
      </c>
    </row>
    <row r="66" customFormat="false" ht="15" hidden="false" customHeight="true" outlineLevel="0" collapsed="false">
      <c r="B66" s="108" t="s">
        <v>168</v>
      </c>
      <c r="C66" s="57"/>
      <c r="D66" s="57"/>
      <c r="E66" s="57"/>
      <c r="F66" s="57"/>
      <c r="G66" s="56" t="n">
        <f aca="false">SUM($G$15:$G$65)</f>
        <v>950.99</v>
      </c>
      <c r="H66" s="56" t="n">
        <f aca="false">SUM($H$15:$H$65)</f>
        <v>666.74</v>
      </c>
      <c r="I66" s="109" t="n">
        <f aca="false">$I$13+$G$66-$H$66</f>
        <v>512.66</v>
      </c>
      <c r="J66" s="110" t="str">
        <f aca="false">IF($I$66&lt;0,"SHORTFALL",IF($I$66&lt;$E$7,"TIGHT","OK"))</f>
        <v>OK</v>
      </c>
      <c r="K66" s="111"/>
      <c r="N66" s="111" t="str">
        <f aca="false">IF(COUNT($I$15:$I$65)=0,"","Lowest point this week: "&amp;TEXT(MIN($I$15:$I$65),"$#,##0.00;-$#,##0.00")&amp;" on "&amp;TEXT(INDEX($C$15:$C$65,MATCH(MIN($I$15:$I$65),$I$15:$I$65,0)),"ddd mmm d")&amp;"     (in "&amp;TEXT($G$66,"$#,##0.00")&amp;", out "&amp;TEXT($H$66,"$#,##0.00")&amp;")")</f>
        <v>Lowest point this week: -$262.64 on Thu Aug 20     (in $950.99, out $666.74)</v>
      </c>
    </row>
    <row r="68" customFormat="false" ht="21.75" hidden="false" customHeight="true" outlineLevel="0" collapsed="false">
      <c r="B68" s="82" t="str">
        <f aca="false">"WEEK 2     "&amp;TEXT($E$6+7,"ddd, mmm d")&amp;"   through   "&amp;TEXT($E$6+7+6,"ddd, mmm d, yyyy")</f>
        <v>WEEK 2     Sat, Aug 22   through   Fri, Aug 28, 2026</v>
      </c>
      <c r="C68" s="83"/>
      <c r="D68" s="83"/>
      <c r="E68" s="83"/>
      <c r="F68" s="83"/>
      <c r="G68" s="84" t="s">
        <v>139</v>
      </c>
      <c r="H68" s="83"/>
      <c r="I68" s="85" t="n">
        <f aca="false">$I$66</f>
        <v>512.66</v>
      </c>
      <c r="J68" s="83"/>
      <c r="K68" s="86"/>
      <c r="N68" s="86" t="str">
        <f aca="false">IF(COUNTIF(Schedule!$I$4:$I$483,2)&gt;10,"! "&amp;COUNTIF(Schedule!$I$4:$I$483,2)-10&amp;" more transaction(s) fall in this week than there are rows to show them.","")</f>
        <v/>
      </c>
    </row>
    <row r="69" customFormat="false" ht="25.5" hidden="false" customHeight="true" outlineLevel="0" collapsed="false">
      <c r="B69" s="87" t="s">
        <v>140</v>
      </c>
      <c r="C69" s="87" t="s">
        <v>141</v>
      </c>
      <c r="D69" s="87" t="s">
        <v>42</v>
      </c>
      <c r="E69" s="87" t="s">
        <v>142</v>
      </c>
      <c r="F69" s="87" t="s">
        <v>143</v>
      </c>
      <c r="G69" s="36" t="s">
        <v>144</v>
      </c>
      <c r="H69" s="37" t="s">
        <v>145</v>
      </c>
      <c r="I69" s="87" t="s">
        <v>146</v>
      </c>
      <c r="J69" s="87" t="s">
        <v>14</v>
      </c>
      <c r="K69" s="87" t="s">
        <v>147</v>
      </c>
    </row>
    <row r="70" customFormat="false" ht="15" hidden="false" customHeight="true" outlineLevel="0" collapsed="false">
      <c r="B70" s="7" t="str">
        <f aca="false">IFERROR(INDEX(Schedule!$C$4:$C$483,MATCH(2001,Schedule!$K$4:$K$483,0)),"")</f>
        <v>Microsoft</v>
      </c>
      <c r="C70" s="88" t="n">
        <f aca="false">IF($B70="","",INDEX(Schedule!$G$4:$G$483,MATCH(2001,Schedule!$K$4:$K$483,0)))</f>
        <v>46256</v>
      </c>
      <c r="D70" s="89" t="str">
        <f aca="false">IF($B70="","",INDEX(Schedule!$D$4:$D$483,MATCH(2001,Schedule!$K$4:$K$483,0)))</f>
        <v>Expense</v>
      </c>
      <c r="E70" s="90" t="n">
        <f aca="false">IF($B70="","",INDEX(Schedule!$E$4:$E$483,MATCH(2001,Schedule!$K$4:$K$483,0)))</f>
        <v>13.7</v>
      </c>
      <c r="F70" s="91" t="n">
        <v>13.7</v>
      </c>
      <c r="G70" s="92" t="str">
        <f aca="false">IF($B70="","",IF($D70="Income",IF($F70&lt;&gt;"",$F70,IF(COUNTIFS('Paid Log'!$B$9:$B$308,$C70,'Paid Log'!$C$9:$C$308,$B70)&gt;0,SUMIFS('Paid Log'!$D$9:$D$308,'Paid Log'!$B$9:$B$308,$C70,'Paid Log'!$C$9:$C$308,$B70),$E70)),""))</f>
        <v/>
      </c>
      <c r="H70" s="93" t="n">
        <f aca="false">IF($B70="","",IF($D70="Income","",IF($F70&lt;&gt;"",$F70,IF(COUNTIFS('Paid Log'!$B$9:$B$308,$C70,'Paid Log'!$C$9:$C$308,$B70)&gt;0,SUMIFS('Paid Log'!$D$9:$D$308,'Paid Log'!$B$9:$B$308,$C70,'Paid Log'!$C$9:$C$308,$B70),$E70))))</f>
        <v>13.7</v>
      </c>
      <c r="I70" s="94" t="n">
        <f aca="false">IF($B70="","",$I$68+SUMIFS($G$70:$G$120,$M$70:$M$120,"&lt;="&amp;$M70)-SUMIFS($H$70:$H$120,$M$70:$M$120,"&lt;="&amp;$M70))</f>
        <v>498.96</v>
      </c>
      <c r="J70" s="95" t="str">
        <f aca="true">IF($B70="","",IF(OR($F70&lt;&gt;"",COUNTIFS('Paid Log'!$B$9:$B$308,$C70,'Paid Log'!$C$9:$C$308,$B70)&gt;0),IF($C70&gt;TODAY(),"ADJUSTED","PAID"),IF($C70&lt;TODAY(),"PAST DUE",IF($C70&lt;=TODAY()+7,"DUE","Upcoming"))))</f>
        <v>PAID</v>
      </c>
      <c r="K70" s="96" t="str">
        <f aca="false">IF($B70="","",IF(OR($F70&lt;&gt;"",COUNTIFS('Paid Log'!$B$9:$B$308,$C70,'Paid Log'!$C$9:$C$308,$B70)&gt;0),"ACTUAL","FORECAST"))</f>
        <v>ACTUAL</v>
      </c>
      <c r="L70" s="97" t="n">
        <f aca="false">IF($B70="","",$C70)</f>
        <v>46256</v>
      </c>
      <c r="M70" s="0" t="n">
        <f aca="false">IF($L70="","",COUNTIFS($L$70:$L$120,"&lt;"&amp;$L70)+COUNTIFS($L$70:$L70,$L70))</f>
        <v>1</v>
      </c>
    </row>
    <row r="71" customFormat="false" ht="15" hidden="false" customHeight="true" outlineLevel="0" collapsed="false">
      <c r="B71" s="7" t="str">
        <f aca="false">IFERROR(INDEX(Schedule!$C$4:$C$483,MATCH(2002,Schedule!$K$4:$K$483,0)),"")</f>
        <v>School clothes (back to school)</v>
      </c>
      <c r="C71" s="88" t="n">
        <f aca="false">IF($B71="","",INDEX(Schedule!$G$4:$G$483,MATCH(2002,Schedule!$K$4:$K$483,0)))</f>
        <v>46256</v>
      </c>
      <c r="D71" s="89" t="str">
        <f aca="false">IF($B71="","",INDEX(Schedule!$D$4:$D$483,MATCH(2002,Schedule!$K$4:$K$483,0)))</f>
        <v>Expense</v>
      </c>
      <c r="E71" s="90" t="n">
        <f aca="false">IF($B71="","",INDEX(Schedule!$E$4:$E$483,MATCH(2002,Schedule!$K$4:$K$483,0)))</f>
        <v>300</v>
      </c>
      <c r="F71" s="91"/>
      <c r="G71" s="92" t="str">
        <f aca="false">IF($B71="","",IF($D71="Income",IF($F71&lt;&gt;"",$F71,IF(COUNTIFS('Paid Log'!$B$9:$B$308,$C71,'Paid Log'!$C$9:$C$308,$B71)&gt;0,SUMIFS('Paid Log'!$D$9:$D$308,'Paid Log'!$B$9:$B$308,$C71,'Paid Log'!$C$9:$C$308,$B71),$E71)),""))</f>
        <v/>
      </c>
      <c r="H71" s="93" t="n">
        <f aca="false">IF($B71="","",IF($D71="Income","",IF($F71&lt;&gt;"",$F71,IF(COUNTIFS('Paid Log'!$B$9:$B$308,$C71,'Paid Log'!$C$9:$C$308,$B71)&gt;0,SUMIFS('Paid Log'!$D$9:$D$308,'Paid Log'!$B$9:$B$308,$C71,'Paid Log'!$C$9:$C$308,$B71),$E71))))</f>
        <v>300</v>
      </c>
      <c r="I71" s="94" t="n">
        <f aca="false">IF($B71="","",$I$68+SUMIFS($G$70:$G$120,$M$70:$M$120,"&lt;="&amp;$M71)-SUMIFS($H$70:$H$120,$M$70:$M$120,"&lt;="&amp;$M71))</f>
        <v>198.96</v>
      </c>
      <c r="J71" s="95" t="str">
        <f aca="true">IF($B71="","",IF(OR($F71&lt;&gt;"",COUNTIFS('Paid Log'!$B$9:$B$308,$C71,'Paid Log'!$C$9:$C$308,$B71)&gt;0),IF($C71&gt;TODAY(),"ADJUSTED","PAID"),IF($C71&lt;TODAY(),"PAST DUE",IF($C71&lt;=TODAY()+7,"DUE","Upcoming"))))</f>
        <v>PAST DUE</v>
      </c>
      <c r="K71" s="96" t="str">
        <f aca="false">IF($B71="","",IF(OR($F71&lt;&gt;"",COUNTIFS('Paid Log'!$B$9:$B$308,$C71,'Paid Log'!$C$9:$C$308,$B71)&gt;0),"ACTUAL","FORECAST"))</f>
        <v>FORECAST</v>
      </c>
      <c r="L71" s="97" t="n">
        <f aca="false">IF($B71="","",$C71)</f>
        <v>46256</v>
      </c>
      <c r="M71" s="0" t="n">
        <f aca="false">IF($L71="","",COUNTIFS($L$70:$L$120,"&lt;"&amp;$L71)+COUNTIFS($L$70:$L71,$L71))</f>
        <v>2</v>
      </c>
    </row>
    <row r="72" customFormat="false" ht="15" hidden="false" customHeight="true" outlineLevel="0" collapsed="false">
      <c r="B72" s="7" t="str">
        <f aca="false">IFERROR(INDEX(Schedule!$C$4:$C$483,MATCH(2003,Schedule!$K$4:$K$483,0)),"")</f>
        <v>Bruno's Restaurant (paycheck)</v>
      </c>
      <c r="C72" s="88" t="n">
        <f aca="false">IF($B72="","",INDEX(Schedule!$G$4:$G$483,MATCH(2003,Schedule!$K$4:$K$483,0)))</f>
        <v>46260</v>
      </c>
      <c r="D72" s="89" t="str">
        <f aca="false">IF($B72="","",INDEX(Schedule!$D$4:$D$483,MATCH(2003,Schedule!$K$4:$K$483,0)))</f>
        <v>Income</v>
      </c>
      <c r="E72" s="90" t="n">
        <f aca="false">IF($B72="","",INDEX(Schedule!$E$4:$E$483,MATCH(2003,Schedule!$K$4:$K$483,0)))</f>
        <v>90</v>
      </c>
      <c r="F72" s="91"/>
      <c r="G72" s="92" t="n">
        <f aca="false">IF($B72="","",IF($D72="Income",IF($F72&lt;&gt;"",$F72,IF(COUNTIFS('Paid Log'!$B$9:$B$308,$C72,'Paid Log'!$C$9:$C$308,$B72)&gt;0,SUMIFS('Paid Log'!$D$9:$D$308,'Paid Log'!$B$9:$B$308,$C72,'Paid Log'!$C$9:$C$308,$B72),$E72)),""))</f>
        <v>90</v>
      </c>
      <c r="H72" s="93" t="str">
        <f aca="false">IF($B72="","",IF($D72="Income","",IF($F72&lt;&gt;"",$F72,IF(COUNTIFS('Paid Log'!$B$9:$B$308,$C72,'Paid Log'!$C$9:$C$308,$B72)&gt;0,SUMIFS('Paid Log'!$D$9:$D$308,'Paid Log'!$B$9:$B$308,$C72,'Paid Log'!$C$9:$C$308,$B72),$E72))))</f>
        <v/>
      </c>
      <c r="I72" s="94" t="n">
        <f aca="false">IF($B72="","",$I$68+SUMIFS($G$70:$G$120,$M$70:$M$120,"&lt;="&amp;$M72)-SUMIFS($H$70:$H$120,$M$70:$M$120,"&lt;="&amp;$M72))</f>
        <v>258.67</v>
      </c>
      <c r="J72" s="95" t="str">
        <f aca="true">IF($B72="","",IF(OR($F72&lt;&gt;"",COUNTIFS('Paid Log'!$B$9:$B$308,$C72,'Paid Log'!$C$9:$C$308,$B72)&gt;0),IF($C72&gt;TODAY(),"ADJUSTED","PAID"),IF($C72&lt;TODAY(),"PAST DUE",IF($C72&lt;=TODAY()+7,"DUE","Upcoming"))))</f>
        <v>DUE</v>
      </c>
      <c r="K72" s="96" t="str">
        <f aca="false">IF($B72="","",IF(OR($F72&lt;&gt;"",COUNTIFS('Paid Log'!$B$9:$B$308,$C72,'Paid Log'!$C$9:$C$308,$B72)&gt;0),"ACTUAL","FORECAST"))</f>
        <v>FORECAST</v>
      </c>
      <c r="L72" s="97" t="n">
        <f aca="false">IF($B72="","",$C72)</f>
        <v>46260</v>
      </c>
      <c r="M72" s="0" t="n">
        <f aca="false">IF($L72="","",COUNTIFS($L$70:$L$120,"&lt;"&amp;$L72)+COUNTIFS($L$70:$L72,$L72))</f>
        <v>5</v>
      </c>
    </row>
    <row r="73" customFormat="false" ht="15" hidden="false" customHeight="true" outlineLevel="0" collapsed="false">
      <c r="B73" s="7" t="str">
        <f aca="false">IFERROR(INDEX(Schedule!$C$4:$C$483,MATCH(2004,Schedule!$K$4:$K$483,0)),"")</f>
        <v>Compunnel Software (paycheck)</v>
      </c>
      <c r="C73" s="88" t="n">
        <f aca="false">IF($B73="","",INDEX(Schedule!$G$4:$G$483,MATCH(2004,Schedule!$K$4:$K$483,0)))</f>
        <v>46262</v>
      </c>
      <c r="D73" s="89" t="str">
        <f aca="false">IF($B73="","",INDEX(Schedule!$D$4:$D$483,MATCH(2004,Schedule!$K$4:$K$483,0)))</f>
        <v>Income</v>
      </c>
      <c r="E73" s="90" t="n">
        <f aca="false">IF($B73="","",INDEX(Schedule!$E$4:$E$483,MATCH(2004,Schedule!$K$4:$K$483,0)))</f>
        <v>745</v>
      </c>
      <c r="F73" s="91"/>
      <c r="G73" s="92" t="n">
        <f aca="false">IF($B73="","",IF($D73="Income",IF($F73&lt;&gt;"",$F73,IF(COUNTIFS('Paid Log'!$B$9:$B$308,$C73,'Paid Log'!$C$9:$C$308,$B73)&gt;0,SUMIFS('Paid Log'!$D$9:$D$308,'Paid Log'!$B$9:$B$308,$C73,'Paid Log'!$C$9:$C$308,$B73),$E73)),""))</f>
        <v>745</v>
      </c>
      <c r="H73" s="93" t="str">
        <f aca="false">IF($B73="","",IF($D73="Income","",IF($F73&lt;&gt;"",$F73,IF(COUNTIFS('Paid Log'!$B$9:$B$308,$C73,'Paid Log'!$C$9:$C$308,$B73)&gt;0,SUMIFS('Paid Log'!$D$9:$D$308,'Paid Log'!$B$9:$B$308,$C73,'Paid Log'!$C$9:$C$308,$B73),$E73))))</f>
        <v/>
      </c>
      <c r="I73" s="94" t="n">
        <f aca="false">IF($B73="","",$I$68+SUMIFS($G$70:$G$120,$M$70:$M$120,"&lt;="&amp;$M73)-SUMIFS($H$70:$H$120,$M$70:$M$120,"&lt;="&amp;$M73))</f>
        <v>1003.67</v>
      </c>
      <c r="J73" s="95" t="str">
        <f aca="true">IF($B73="","",IF(OR($F73&lt;&gt;"",COUNTIFS('Paid Log'!$B$9:$B$308,$C73,'Paid Log'!$C$9:$C$308,$B73)&gt;0),IF($C73&gt;TODAY(),"ADJUSTED","PAID"),IF($C73&lt;TODAY(),"PAST DUE",IF($C73&lt;=TODAY()+7,"DUE","Upcoming"))))</f>
        <v>DUE</v>
      </c>
      <c r="K73" s="96" t="str">
        <f aca="false">IF($B73="","",IF(OR($F73&lt;&gt;"",COUNTIFS('Paid Log'!$B$9:$B$308,$C73,'Paid Log'!$C$9:$C$308,$B73)&gt;0),"ACTUAL","FORECAST"))</f>
        <v>FORECAST</v>
      </c>
      <c r="L73" s="97" t="n">
        <f aca="false">IF($B73="","",$C73)</f>
        <v>46262</v>
      </c>
      <c r="M73" s="0" t="n">
        <f aca="false">IF($L73="","",COUNTIFS($L$70:$L$120,"&lt;"&amp;$L73)+COUNTIFS($L$70:$L73,$L73))</f>
        <v>6</v>
      </c>
    </row>
    <row r="74" customFormat="false" ht="15" hidden="false" customHeight="true" outlineLevel="0" collapsed="false">
      <c r="B74" s="7" t="str">
        <f aca="false">IFERROR(INDEX(Schedule!$C$4:$C$483,MATCH(2005,Schedule!$K$4:$K$483,0)),"")</f>
        <v/>
      </c>
      <c r="C74" s="88" t="str">
        <f aca="false">IF($B74="","",INDEX(Schedule!$G$4:$G$483,MATCH(2005,Schedule!$K$4:$K$483,0)))</f>
        <v/>
      </c>
      <c r="D74" s="89" t="str">
        <f aca="false">IF($B74="","",INDEX(Schedule!$D$4:$D$483,MATCH(2005,Schedule!$K$4:$K$483,0)))</f>
        <v/>
      </c>
      <c r="E74" s="90" t="str">
        <f aca="false">IF($B74="","",INDEX(Schedule!$E$4:$E$483,MATCH(2005,Schedule!$K$4:$K$483,0)))</f>
        <v/>
      </c>
      <c r="F74" s="91"/>
      <c r="G74" s="92" t="str">
        <f aca="false">IF($B74="","",IF($D74="Income",IF($F74&lt;&gt;"",$F74,IF(COUNTIFS('Paid Log'!$B$9:$B$308,$C74,'Paid Log'!$C$9:$C$308,$B74)&gt;0,SUMIFS('Paid Log'!$D$9:$D$308,'Paid Log'!$B$9:$B$308,$C74,'Paid Log'!$C$9:$C$308,$B74),$E74)),""))</f>
        <v/>
      </c>
      <c r="H74" s="93" t="str">
        <f aca="false">IF($B74="","",IF($D74="Income","",IF($F74&lt;&gt;"",$F74,IF(COUNTIFS('Paid Log'!$B$9:$B$308,$C74,'Paid Log'!$C$9:$C$308,$B74)&gt;0,SUMIFS('Paid Log'!$D$9:$D$308,'Paid Log'!$B$9:$B$308,$C74,'Paid Log'!$C$9:$C$308,$B74),$E74))))</f>
        <v/>
      </c>
      <c r="I74" s="94" t="str">
        <f aca="false">IF($B74="","",$I$68+SUMIFS($G$70:$G$120,$M$70:$M$120,"&lt;="&amp;$M74)-SUMIFS($H$70:$H$120,$M$70:$M$120,"&lt;="&amp;$M74))</f>
        <v/>
      </c>
      <c r="J74" s="95" t="str">
        <f aca="true">IF($B74="","",IF(OR($F74&lt;&gt;"",COUNTIFS('Paid Log'!$B$9:$B$308,$C74,'Paid Log'!$C$9:$C$308,$B74)&gt;0),IF($C74&gt;TODAY(),"ADJUSTED","PAID"),IF($C74&lt;TODAY(),"PAST DUE",IF($C74&lt;=TODAY()+7,"DUE","Upcoming"))))</f>
        <v/>
      </c>
      <c r="K74" s="96" t="str">
        <f aca="false">IF($B74="","",IF(OR($F74&lt;&gt;"",COUNTIFS('Paid Log'!$B$9:$B$308,$C74,'Paid Log'!$C$9:$C$308,$B74)&gt;0),"ACTUAL","FORECAST"))</f>
        <v/>
      </c>
      <c r="L74" s="0" t="str">
        <f aca="false">IF($B74="","",$C74)</f>
        <v/>
      </c>
      <c r="M74" s="0" t="str">
        <f aca="false">IF($L74="","",COUNTIFS($L$70:$L$120,"&lt;"&amp;$L74)+COUNTIFS($L$70:$L74,$L74))</f>
        <v/>
      </c>
    </row>
    <row r="75" customFormat="false" ht="15" hidden="false" customHeight="true" outlineLevel="0" collapsed="false">
      <c r="B75" s="7" t="str">
        <f aca="false">IFERROR(INDEX(Schedule!$C$4:$C$483,MATCH(2006,Schedule!$K$4:$K$483,0)),"")</f>
        <v/>
      </c>
      <c r="C75" s="88" t="str">
        <f aca="false">IF($B75="","",INDEX(Schedule!$G$4:$G$483,MATCH(2006,Schedule!$K$4:$K$483,0)))</f>
        <v/>
      </c>
      <c r="D75" s="89" t="str">
        <f aca="false">IF($B75="","",INDEX(Schedule!$D$4:$D$483,MATCH(2006,Schedule!$K$4:$K$483,0)))</f>
        <v/>
      </c>
      <c r="E75" s="90" t="str">
        <f aca="false">IF($B75="","",INDEX(Schedule!$E$4:$E$483,MATCH(2006,Schedule!$K$4:$K$483,0)))</f>
        <v/>
      </c>
      <c r="F75" s="91"/>
      <c r="G75" s="92" t="str">
        <f aca="false">IF($B75="","",IF($D75="Income",IF($F75&lt;&gt;"",$F75,IF(COUNTIFS('Paid Log'!$B$9:$B$308,$C75,'Paid Log'!$C$9:$C$308,$B75)&gt;0,SUMIFS('Paid Log'!$D$9:$D$308,'Paid Log'!$B$9:$B$308,$C75,'Paid Log'!$C$9:$C$308,$B75),$E75)),""))</f>
        <v/>
      </c>
      <c r="H75" s="93" t="str">
        <f aca="false">IF($B75="","",IF($D75="Income","",IF($F75&lt;&gt;"",$F75,IF(COUNTIFS('Paid Log'!$B$9:$B$308,$C75,'Paid Log'!$C$9:$C$308,$B75)&gt;0,SUMIFS('Paid Log'!$D$9:$D$308,'Paid Log'!$B$9:$B$308,$C75,'Paid Log'!$C$9:$C$308,$B75),$E75))))</f>
        <v/>
      </c>
      <c r="I75" s="94" t="str">
        <f aca="false">IF($B75="","",$I$68+SUMIFS($G$70:$G$120,$M$70:$M$120,"&lt;="&amp;$M75)-SUMIFS($H$70:$H$120,$M$70:$M$120,"&lt;="&amp;$M75))</f>
        <v/>
      </c>
      <c r="J75" s="95" t="str">
        <f aca="true">IF($B75="","",IF(OR($F75&lt;&gt;"",COUNTIFS('Paid Log'!$B$9:$B$308,$C75,'Paid Log'!$C$9:$C$308,$B75)&gt;0),IF($C75&gt;TODAY(),"ADJUSTED","PAID"),IF($C75&lt;TODAY(),"PAST DUE",IF($C75&lt;=TODAY()+7,"DUE","Upcoming"))))</f>
        <v/>
      </c>
      <c r="K75" s="96" t="str">
        <f aca="false">IF($B75="","",IF(OR($F75&lt;&gt;"",COUNTIFS('Paid Log'!$B$9:$B$308,$C75,'Paid Log'!$C$9:$C$308,$B75)&gt;0),"ACTUAL","FORECAST"))</f>
        <v/>
      </c>
      <c r="L75" s="0" t="str">
        <f aca="false">IF($B75="","",$C75)</f>
        <v/>
      </c>
      <c r="M75" s="0" t="str">
        <f aca="false">IF($L75="","",COUNTIFS($L$70:$L$120,"&lt;"&amp;$L75)+COUNTIFS($L$70:$L75,$L75))</f>
        <v/>
      </c>
    </row>
    <row r="76" customFormat="false" ht="15" hidden="false" customHeight="true" outlineLevel="0" collapsed="false">
      <c r="B76" s="7" t="str">
        <f aca="false">IFERROR(INDEX(Schedule!$C$4:$C$483,MATCH(2007,Schedule!$K$4:$K$483,0)),"")</f>
        <v/>
      </c>
      <c r="C76" s="88" t="str">
        <f aca="false">IF($B76="","",INDEX(Schedule!$G$4:$G$483,MATCH(2007,Schedule!$K$4:$K$483,0)))</f>
        <v/>
      </c>
      <c r="D76" s="89" t="str">
        <f aca="false">IF($B76="","",INDEX(Schedule!$D$4:$D$483,MATCH(2007,Schedule!$K$4:$K$483,0)))</f>
        <v/>
      </c>
      <c r="E76" s="90" t="str">
        <f aca="false">IF($B76="","",INDEX(Schedule!$E$4:$E$483,MATCH(2007,Schedule!$K$4:$K$483,0)))</f>
        <v/>
      </c>
      <c r="F76" s="91"/>
      <c r="G76" s="92" t="str">
        <f aca="false">IF($B76="","",IF($D76="Income",IF($F76&lt;&gt;"",$F76,IF(COUNTIFS('Paid Log'!$B$9:$B$308,$C76,'Paid Log'!$C$9:$C$308,$B76)&gt;0,SUMIFS('Paid Log'!$D$9:$D$308,'Paid Log'!$B$9:$B$308,$C76,'Paid Log'!$C$9:$C$308,$B76),$E76)),""))</f>
        <v/>
      </c>
      <c r="H76" s="93" t="str">
        <f aca="false">IF($B76="","",IF($D76="Income","",IF($F76&lt;&gt;"",$F76,IF(COUNTIFS('Paid Log'!$B$9:$B$308,$C76,'Paid Log'!$C$9:$C$308,$B76)&gt;0,SUMIFS('Paid Log'!$D$9:$D$308,'Paid Log'!$B$9:$B$308,$C76,'Paid Log'!$C$9:$C$308,$B76),$E76))))</f>
        <v/>
      </c>
      <c r="I76" s="94" t="str">
        <f aca="false">IF($B76="","",$I$68+SUMIFS($G$70:$G$120,$M$70:$M$120,"&lt;="&amp;$M76)-SUMIFS($H$70:$H$120,$M$70:$M$120,"&lt;="&amp;$M76))</f>
        <v/>
      </c>
      <c r="J76" s="95" t="str">
        <f aca="true">IF($B76="","",IF(OR($F76&lt;&gt;"",COUNTIFS('Paid Log'!$B$9:$B$308,$C76,'Paid Log'!$C$9:$C$308,$B76)&gt;0),IF($C76&gt;TODAY(),"ADJUSTED","PAID"),IF($C76&lt;TODAY(),"PAST DUE",IF($C76&lt;=TODAY()+7,"DUE","Upcoming"))))</f>
        <v/>
      </c>
      <c r="K76" s="96" t="str">
        <f aca="false">IF($B76="","",IF(OR($F76&lt;&gt;"",COUNTIFS('Paid Log'!$B$9:$B$308,$C76,'Paid Log'!$C$9:$C$308,$B76)&gt;0),"ACTUAL","FORECAST"))</f>
        <v/>
      </c>
      <c r="L76" s="0" t="str">
        <f aca="false">IF($B76="","",$C76)</f>
        <v/>
      </c>
      <c r="M76" s="0" t="str">
        <f aca="false">IF($L76="","",COUNTIFS($L$70:$L$120,"&lt;"&amp;$L76)+COUNTIFS($L$70:$L76,$L76))</f>
        <v/>
      </c>
    </row>
    <row r="77" customFormat="false" ht="15" hidden="false" customHeight="true" outlineLevel="0" collapsed="false">
      <c r="B77" s="7" t="str">
        <f aca="false">IFERROR(INDEX(Schedule!$C$4:$C$483,MATCH(2008,Schedule!$K$4:$K$483,0)),"")</f>
        <v/>
      </c>
      <c r="C77" s="88" t="str">
        <f aca="false">IF($B77="","",INDEX(Schedule!$G$4:$G$483,MATCH(2008,Schedule!$K$4:$K$483,0)))</f>
        <v/>
      </c>
      <c r="D77" s="89" t="str">
        <f aca="false">IF($B77="","",INDEX(Schedule!$D$4:$D$483,MATCH(2008,Schedule!$K$4:$K$483,0)))</f>
        <v/>
      </c>
      <c r="E77" s="90" t="str">
        <f aca="false">IF($B77="","",INDEX(Schedule!$E$4:$E$483,MATCH(2008,Schedule!$K$4:$K$483,0)))</f>
        <v/>
      </c>
      <c r="F77" s="91"/>
      <c r="G77" s="92" t="str">
        <f aca="false">IF($B77="","",IF($D77="Income",IF($F77&lt;&gt;"",$F77,IF(COUNTIFS('Paid Log'!$B$9:$B$308,$C77,'Paid Log'!$C$9:$C$308,$B77)&gt;0,SUMIFS('Paid Log'!$D$9:$D$308,'Paid Log'!$B$9:$B$308,$C77,'Paid Log'!$C$9:$C$308,$B77),$E77)),""))</f>
        <v/>
      </c>
      <c r="H77" s="93" t="str">
        <f aca="false">IF($B77="","",IF($D77="Income","",IF($F77&lt;&gt;"",$F77,IF(COUNTIFS('Paid Log'!$B$9:$B$308,$C77,'Paid Log'!$C$9:$C$308,$B77)&gt;0,SUMIFS('Paid Log'!$D$9:$D$308,'Paid Log'!$B$9:$B$308,$C77,'Paid Log'!$C$9:$C$308,$B77),$E77))))</f>
        <v/>
      </c>
      <c r="I77" s="94" t="str">
        <f aca="false">IF($B77="","",$I$68+SUMIFS($G$70:$G$120,$M$70:$M$120,"&lt;="&amp;$M77)-SUMIFS($H$70:$H$120,$M$70:$M$120,"&lt;="&amp;$M77))</f>
        <v/>
      </c>
      <c r="J77" s="95" t="str">
        <f aca="true">IF($B77="","",IF(OR($F77&lt;&gt;"",COUNTIFS('Paid Log'!$B$9:$B$308,$C77,'Paid Log'!$C$9:$C$308,$B77)&gt;0),IF($C77&gt;TODAY(),"ADJUSTED","PAID"),IF($C77&lt;TODAY(),"PAST DUE",IF($C77&lt;=TODAY()+7,"DUE","Upcoming"))))</f>
        <v/>
      </c>
      <c r="K77" s="96" t="str">
        <f aca="false">IF($B77="","",IF(OR($F77&lt;&gt;"",COUNTIFS('Paid Log'!$B$9:$B$308,$C77,'Paid Log'!$C$9:$C$308,$B77)&gt;0),"ACTUAL","FORECAST"))</f>
        <v/>
      </c>
      <c r="L77" s="0" t="str">
        <f aca="false">IF($B77="","",$C77)</f>
        <v/>
      </c>
      <c r="M77" s="0" t="str">
        <f aca="false">IF($L77="","",COUNTIFS($L$70:$L$120,"&lt;"&amp;$L77)+COUNTIFS($L$70:$L77,$L77))</f>
        <v/>
      </c>
    </row>
    <row r="78" customFormat="false" ht="15" hidden="false" customHeight="true" outlineLevel="0" collapsed="false">
      <c r="B78" s="7" t="str">
        <f aca="false">IFERROR(INDEX(Schedule!$C$4:$C$483,MATCH(2009,Schedule!$K$4:$K$483,0)),"")</f>
        <v/>
      </c>
      <c r="C78" s="88" t="str">
        <f aca="false">IF($B78="","",INDEX(Schedule!$G$4:$G$483,MATCH(2009,Schedule!$K$4:$K$483,0)))</f>
        <v/>
      </c>
      <c r="D78" s="89" t="str">
        <f aca="false">IF($B78="","",INDEX(Schedule!$D$4:$D$483,MATCH(2009,Schedule!$K$4:$K$483,0)))</f>
        <v/>
      </c>
      <c r="E78" s="90" t="str">
        <f aca="false">IF($B78="","",INDEX(Schedule!$E$4:$E$483,MATCH(2009,Schedule!$K$4:$K$483,0)))</f>
        <v/>
      </c>
      <c r="F78" s="91"/>
      <c r="G78" s="92" t="str">
        <f aca="false">IF($B78="","",IF($D78="Income",IF($F78&lt;&gt;"",$F78,IF(COUNTIFS('Paid Log'!$B$9:$B$308,$C78,'Paid Log'!$C$9:$C$308,$B78)&gt;0,SUMIFS('Paid Log'!$D$9:$D$308,'Paid Log'!$B$9:$B$308,$C78,'Paid Log'!$C$9:$C$308,$B78),$E78)),""))</f>
        <v/>
      </c>
      <c r="H78" s="93" t="str">
        <f aca="false">IF($B78="","",IF($D78="Income","",IF($F78&lt;&gt;"",$F78,IF(COUNTIFS('Paid Log'!$B$9:$B$308,$C78,'Paid Log'!$C$9:$C$308,$B78)&gt;0,SUMIFS('Paid Log'!$D$9:$D$308,'Paid Log'!$B$9:$B$308,$C78,'Paid Log'!$C$9:$C$308,$B78),$E78))))</f>
        <v/>
      </c>
      <c r="I78" s="94" t="str">
        <f aca="false">IF($B78="","",$I$68+SUMIFS($G$70:$G$120,$M$70:$M$120,"&lt;="&amp;$M78)-SUMIFS($H$70:$H$120,$M$70:$M$120,"&lt;="&amp;$M78))</f>
        <v/>
      </c>
      <c r="J78" s="95" t="str">
        <f aca="true">IF($B78="","",IF(OR($F78&lt;&gt;"",COUNTIFS('Paid Log'!$B$9:$B$308,$C78,'Paid Log'!$C$9:$C$308,$B78)&gt;0),IF($C78&gt;TODAY(),"ADJUSTED","PAID"),IF($C78&lt;TODAY(),"PAST DUE",IF($C78&lt;=TODAY()+7,"DUE","Upcoming"))))</f>
        <v/>
      </c>
      <c r="K78" s="96" t="str">
        <f aca="false">IF($B78="","",IF(OR($F78&lt;&gt;"",COUNTIFS('Paid Log'!$B$9:$B$308,$C78,'Paid Log'!$C$9:$C$308,$B78)&gt;0),"ACTUAL","FORECAST"))</f>
        <v/>
      </c>
      <c r="L78" s="0" t="str">
        <f aca="false">IF($B78="","",$C78)</f>
        <v/>
      </c>
      <c r="M78" s="0" t="str">
        <f aca="false">IF($L78="","",COUNTIFS($L$70:$L$120,"&lt;"&amp;$L78)+COUNTIFS($L$70:$L78,$L78))</f>
        <v/>
      </c>
    </row>
    <row r="79" customFormat="false" ht="15" hidden="false" customHeight="true" outlineLevel="0" collapsed="false">
      <c r="B79" s="7" t="str">
        <f aca="false">IFERROR(INDEX(Schedule!$C$4:$C$483,MATCH(2010,Schedule!$K$4:$K$483,0)),"")</f>
        <v/>
      </c>
      <c r="C79" s="88" t="str">
        <f aca="false">IF($B79="","",INDEX(Schedule!$G$4:$G$483,MATCH(2010,Schedule!$K$4:$K$483,0)))</f>
        <v/>
      </c>
      <c r="D79" s="89" t="str">
        <f aca="false">IF($B79="","",INDEX(Schedule!$D$4:$D$483,MATCH(2010,Schedule!$K$4:$K$483,0)))</f>
        <v/>
      </c>
      <c r="E79" s="90" t="str">
        <f aca="false">IF($B79="","",INDEX(Schedule!$E$4:$E$483,MATCH(2010,Schedule!$K$4:$K$483,0)))</f>
        <v/>
      </c>
      <c r="F79" s="91"/>
      <c r="G79" s="92" t="str">
        <f aca="false">IF($B79="","",IF($D79="Income",IF($F79&lt;&gt;"",$F79,IF(COUNTIFS('Paid Log'!$B$9:$B$308,$C79,'Paid Log'!$C$9:$C$308,$B79)&gt;0,SUMIFS('Paid Log'!$D$9:$D$308,'Paid Log'!$B$9:$B$308,$C79,'Paid Log'!$C$9:$C$308,$B79),$E79)),""))</f>
        <v/>
      </c>
      <c r="H79" s="93" t="str">
        <f aca="false">IF($B79="","",IF($D79="Income","",IF($F79&lt;&gt;"",$F79,IF(COUNTIFS('Paid Log'!$B$9:$B$308,$C79,'Paid Log'!$C$9:$C$308,$B79)&gt;0,SUMIFS('Paid Log'!$D$9:$D$308,'Paid Log'!$B$9:$B$308,$C79,'Paid Log'!$C$9:$C$308,$B79),$E79))))</f>
        <v/>
      </c>
      <c r="I79" s="94" t="str">
        <f aca="false">IF($B79="","",$I$68+SUMIFS($G$70:$G$120,$M$70:$M$120,"&lt;="&amp;$M79)-SUMIFS($H$70:$H$120,$M$70:$M$120,"&lt;="&amp;$M79))</f>
        <v/>
      </c>
      <c r="J79" s="95" t="str">
        <f aca="true">IF($B79="","",IF(OR($F79&lt;&gt;"",COUNTIFS('Paid Log'!$B$9:$B$308,$C79,'Paid Log'!$C$9:$C$308,$B79)&gt;0),IF($C79&gt;TODAY(),"ADJUSTED","PAID"),IF($C79&lt;TODAY(),"PAST DUE",IF($C79&lt;=TODAY()+7,"DUE","Upcoming"))))</f>
        <v/>
      </c>
      <c r="K79" s="96" t="str">
        <f aca="false">IF($B79="","",IF(OR($F79&lt;&gt;"",COUNTIFS('Paid Log'!$B$9:$B$308,$C79,'Paid Log'!$C$9:$C$308,$B79)&gt;0),"ACTUAL","FORECAST"))</f>
        <v/>
      </c>
      <c r="L79" s="0" t="str">
        <f aca="false">IF($B79="","",$C79)</f>
        <v/>
      </c>
      <c r="M79" s="0" t="str">
        <f aca="false">IF($L79="","",COUNTIFS($L$70:$L$120,"&lt;"&amp;$L79)+COUNTIFS($L$70:$L79,$L79))</f>
        <v/>
      </c>
    </row>
    <row r="80" customFormat="false" ht="15" hidden="false" customHeight="true" outlineLevel="0" collapsed="false">
      <c r="B80" s="98" t="s">
        <v>148</v>
      </c>
      <c r="C80" s="99"/>
      <c r="D80" s="99"/>
      <c r="E80" s="99"/>
      <c r="F80" s="99"/>
      <c r="G80" s="99"/>
      <c r="H80" s="99"/>
      <c r="I80" s="99"/>
      <c r="J80" s="99"/>
    </row>
    <row r="81" customFormat="false" ht="15" hidden="false" customHeight="true" outlineLevel="0" collapsed="false">
      <c r="B81" s="12" t="s">
        <v>169</v>
      </c>
      <c r="C81" s="100" t="n">
        <v>46256</v>
      </c>
      <c r="D81" s="101" t="str">
        <f aca="false">IF($B81="","","Expense")</f>
        <v>Expense</v>
      </c>
      <c r="E81" s="14" t="n">
        <v>20.29</v>
      </c>
      <c r="F81" s="102"/>
      <c r="G81" s="102"/>
      <c r="H81" s="103" t="n">
        <f aca="false">IF($B81="","",N($E81))</f>
        <v>20.29</v>
      </c>
      <c r="I81" s="104" t="n">
        <f aca="false">IF($B81="","",$I$68+SUMIFS($G$70:$G$120,$M$70:$M$120,"&lt;="&amp;$M81)-SUMIFS($H$70:$H$120,$M$70:$M$120,"&lt;="&amp;$M81))</f>
        <v>178.67</v>
      </c>
      <c r="J81" s="102"/>
      <c r="K81" s="96" t="str">
        <f aca="false">IF($B81="","","ACTUAL")</f>
        <v>ACTUAL</v>
      </c>
      <c r="L81" s="97" t="n">
        <f aca="false">IF($B81="","",IF($C81="",$E$6+13,$C81))</f>
        <v>46256</v>
      </c>
      <c r="M81" s="0" t="n">
        <f aca="false">IF($L81="","",COUNTIFS($L$70:$L$120,"&lt;"&amp;$L81)+COUNTIFS($L$70:$L81,$L81))</f>
        <v>3</v>
      </c>
    </row>
    <row r="82" customFormat="false" ht="15" hidden="false" customHeight="true" outlineLevel="0" collapsed="false">
      <c r="B82" s="12" t="s">
        <v>169</v>
      </c>
      <c r="C82" s="100" t="n">
        <v>46256</v>
      </c>
      <c r="D82" s="101" t="str">
        <f aca="false">IF($B82="","","Expense")</f>
        <v>Expense</v>
      </c>
      <c r="E82" s="14" t="n">
        <v>10</v>
      </c>
      <c r="F82" s="102"/>
      <c r="G82" s="102"/>
      <c r="H82" s="103" t="n">
        <f aca="false">IF($B82="","",N($E82))</f>
        <v>10</v>
      </c>
      <c r="I82" s="104" t="n">
        <f aca="false">IF($B82="","",$I$68+SUMIFS($G$70:$G$120,$M$70:$M$120,"&lt;="&amp;$M82)-SUMIFS($H$70:$H$120,$M$70:$M$120,"&lt;="&amp;$M82))</f>
        <v>168.67</v>
      </c>
      <c r="J82" s="102"/>
      <c r="K82" s="96" t="str">
        <f aca="false">IF($B82="","","ACTUAL")</f>
        <v>ACTUAL</v>
      </c>
      <c r="L82" s="97" t="n">
        <f aca="false">IF($B82="","",IF($C82="",$E$6+13,$C82))</f>
        <v>46256</v>
      </c>
      <c r="M82" s="0" t="n">
        <f aca="false">IF($L82="","",COUNTIFS($L$70:$L$120,"&lt;"&amp;$L82)+COUNTIFS($L$70:$L82,$L82))</f>
        <v>4</v>
      </c>
    </row>
    <row r="83" customFormat="false" ht="15" hidden="false" customHeight="true" outlineLevel="0" collapsed="false">
      <c r="B83" s="12"/>
      <c r="C83" s="100"/>
      <c r="D83" s="101" t="str">
        <f aca="false">IF($B83="","","Expense")</f>
        <v/>
      </c>
      <c r="E83" s="14"/>
      <c r="F83" s="102"/>
      <c r="G83" s="102"/>
      <c r="H83" s="103" t="str">
        <f aca="false">IF($B83="","",N($E83))</f>
        <v/>
      </c>
      <c r="I83" s="104" t="str">
        <f aca="false">IF($B83="","",$I$68+SUMIFS($G$70:$G$120,$M$70:$M$120,"&lt;="&amp;$M83)-SUMIFS($H$70:$H$120,$M$70:$M$120,"&lt;="&amp;$M83))</f>
        <v/>
      </c>
      <c r="J83" s="102"/>
      <c r="K83" s="96" t="str">
        <f aca="false">IF($B83="","","ACTUAL")</f>
        <v/>
      </c>
      <c r="L83" s="0" t="str">
        <f aca="false">IF($B83="","",IF($C83="",$E$6+13,$C83))</f>
        <v/>
      </c>
      <c r="M83" s="0" t="str">
        <f aca="false">IF($L83="","",COUNTIFS($L$70:$L$120,"&lt;"&amp;$L83)+COUNTIFS($L$70:$L83,$L83))</f>
        <v/>
      </c>
    </row>
    <row r="84" customFormat="false" ht="15" hidden="false" customHeight="true" outlineLevel="0" collapsed="false">
      <c r="B84" s="12"/>
      <c r="C84" s="100"/>
      <c r="D84" s="101" t="str">
        <f aca="false">IF($B84="","","Expense")</f>
        <v/>
      </c>
      <c r="E84" s="14"/>
      <c r="F84" s="102"/>
      <c r="G84" s="102"/>
      <c r="H84" s="103" t="str">
        <f aca="false">IF($B84="","",N($E84))</f>
        <v/>
      </c>
      <c r="I84" s="104" t="str">
        <f aca="false">IF($B84="","",$I$68+SUMIFS($G$70:$G$120,$M$70:$M$120,"&lt;="&amp;$M84)-SUMIFS($H$70:$H$120,$M$70:$M$120,"&lt;="&amp;$M84))</f>
        <v/>
      </c>
      <c r="J84" s="102"/>
      <c r="K84" s="96" t="str">
        <f aca="false">IF($B84="","","ACTUAL")</f>
        <v/>
      </c>
      <c r="L84" s="0" t="str">
        <f aca="false">IF($B84="","",IF($C84="",$E$6+13,$C84))</f>
        <v/>
      </c>
      <c r="M84" s="0" t="str">
        <f aca="false">IF($L84="","",COUNTIFS($L$70:$L$120,"&lt;"&amp;$L84)+COUNTIFS($L$70:$L84,$L84))</f>
        <v/>
      </c>
    </row>
    <row r="85" customFormat="false" ht="15" hidden="false" customHeight="true" outlineLevel="0" collapsed="false">
      <c r="B85" s="12"/>
      <c r="C85" s="100"/>
      <c r="D85" s="101" t="str">
        <f aca="false">IF($B85="","","Expense")</f>
        <v/>
      </c>
      <c r="E85" s="14"/>
      <c r="F85" s="102"/>
      <c r="G85" s="102"/>
      <c r="H85" s="103" t="str">
        <f aca="false">IF($B85="","",N($E85))</f>
        <v/>
      </c>
      <c r="I85" s="104" t="str">
        <f aca="false">IF($B85="","",$I$68+SUMIFS($G$70:$G$120,$M$70:$M$120,"&lt;="&amp;$M85)-SUMIFS($H$70:$H$120,$M$70:$M$120,"&lt;="&amp;$M85))</f>
        <v/>
      </c>
      <c r="J85" s="102"/>
      <c r="K85" s="96" t="str">
        <f aca="false">IF($B85="","","ACTUAL")</f>
        <v/>
      </c>
      <c r="L85" s="0" t="str">
        <f aca="false">IF($B85="","",IF($C85="",$E$6+13,$C85))</f>
        <v/>
      </c>
      <c r="M85" s="0" t="str">
        <f aca="false">IF($L85="","",COUNTIFS($L$70:$L$120,"&lt;"&amp;$L85)+COUNTIFS($L$70:$L85,$L85))</f>
        <v/>
      </c>
    </row>
    <row r="86" customFormat="false" ht="15" hidden="false" customHeight="true" outlineLevel="0" collapsed="false">
      <c r="B86" s="12"/>
      <c r="C86" s="100"/>
      <c r="D86" s="101" t="str">
        <f aca="false">IF($B86="","","Expense")</f>
        <v/>
      </c>
      <c r="E86" s="14"/>
      <c r="F86" s="102"/>
      <c r="G86" s="102"/>
      <c r="H86" s="103" t="str">
        <f aca="false">IF($B86="","",N($E86))</f>
        <v/>
      </c>
      <c r="I86" s="104" t="str">
        <f aca="false">IF($B86="","",$I$68+SUMIFS($G$70:$G$120,$M$70:$M$120,"&lt;="&amp;$M86)-SUMIFS($H$70:$H$120,$M$70:$M$120,"&lt;="&amp;$M86))</f>
        <v/>
      </c>
      <c r="J86" s="102"/>
      <c r="K86" s="96" t="str">
        <f aca="false">IF($B86="","","ACTUAL")</f>
        <v/>
      </c>
      <c r="L86" s="0" t="str">
        <f aca="false">IF($B86="","",IF($C86="",$E$6+13,$C86))</f>
        <v/>
      </c>
      <c r="M86" s="0" t="str">
        <f aca="false">IF($L86="","",COUNTIFS($L$70:$L$120,"&lt;"&amp;$L86)+COUNTIFS($L$70:$L86,$L86))</f>
        <v/>
      </c>
    </row>
    <row r="87" customFormat="false" ht="15" hidden="false" customHeight="true" outlineLevel="0" collapsed="false">
      <c r="B87" s="12"/>
      <c r="C87" s="100"/>
      <c r="D87" s="101" t="str">
        <f aca="false">IF($B87="","","Expense")</f>
        <v/>
      </c>
      <c r="E87" s="14"/>
      <c r="F87" s="102"/>
      <c r="G87" s="102"/>
      <c r="H87" s="103" t="str">
        <f aca="false">IF($B87="","",N($E87))</f>
        <v/>
      </c>
      <c r="I87" s="104" t="str">
        <f aca="false">IF($B87="","",$I$68+SUMIFS($G$70:$G$120,$M$70:$M$120,"&lt;="&amp;$M87)-SUMIFS($H$70:$H$120,$M$70:$M$120,"&lt;="&amp;$M87))</f>
        <v/>
      </c>
      <c r="J87" s="102"/>
      <c r="K87" s="96" t="str">
        <f aca="false">IF($B87="","","ACTUAL")</f>
        <v/>
      </c>
      <c r="L87" s="0" t="str">
        <f aca="false">IF($B87="","",IF($C87="",$E$6+13,$C87))</f>
        <v/>
      </c>
      <c r="M87" s="0" t="str">
        <f aca="false">IF($L87="","",COUNTIFS($L$70:$L$120,"&lt;"&amp;$L87)+COUNTIFS($L$70:$L87,$L87))</f>
        <v/>
      </c>
    </row>
    <row r="88" customFormat="false" ht="15" hidden="false" customHeight="true" outlineLevel="0" collapsed="false">
      <c r="B88" s="12"/>
      <c r="C88" s="100"/>
      <c r="D88" s="101" t="str">
        <f aca="false">IF($B88="","","Expense")</f>
        <v/>
      </c>
      <c r="E88" s="14"/>
      <c r="F88" s="102"/>
      <c r="G88" s="102"/>
      <c r="H88" s="103" t="str">
        <f aca="false">IF($B88="","",N($E88))</f>
        <v/>
      </c>
      <c r="I88" s="104" t="str">
        <f aca="false">IF($B88="","",$I$68+SUMIFS($G$70:$G$120,$M$70:$M$120,"&lt;="&amp;$M88)-SUMIFS($H$70:$H$120,$M$70:$M$120,"&lt;="&amp;$M88))</f>
        <v/>
      </c>
      <c r="J88" s="102"/>
      <c r="K88" s="96" t="str">
        <f aca="false">IF($B88="","","ACTUAL")</f>
        <v/>
      </c>
      <c r="L88" s="0" t="str">
        <f aca="false">IF($B88="","",IF($C88="",$E$6+13,$C88))</f>
        <v/>
      </c>
      <c r="M88" s="0" t="str">
        <f aca="false">IF($L88="","",COUNTIFS($L$70:$L$120,"&lt;"&amp;$L88)+COUNTIFS($L$70:$L88,$L88))</f>
        <v/>
      </c>
    </row>
    <row r="89" customFormat="false" ht="15" hidden="false" customHeight="true" outlineLevel="0" collapsed="false">
      <c r="B89" s="12"/>
      <c r="C89" s="100"/>
      <c r="D89" s="101" t="str">
        <f aca="false">IF($B89="","","Expense")</f>
        <v/>
      </c>
      <c r="E89" s="14"/>
      <c r="F89" s="102"/>
      <c r="G89" s="102"/>
      <c r="H89" s="103" t="str">
        <f aca="false">IF($B89="","",N($E89))</f>
        <v/>
      </c>
      <c r="I89" s="104" t="str">
        <f aca="false">IF($B89="","",$I$68+SUMIFS($G$70:$G$120,$M$70:$M$120,"&lt;="&amp;$M89)-SUMIFS($H$70:$H$120,$M$70:$M$120,"&lt;="&amp;$M89))</f>
        <v/>
      </c>
      <c r="J89" s="102"/>
      <c r="K89" s="96" t="str">
        <f aca="false">IF($B89="","","ACTUAL")</f>
        <v/>
      </c>
      <c r="L89" s="0" t="str">
        <f aca="false">IF($B89="","",IF($C89="",$E$6+13,$C89))</f>
        <v/>
      </c>
      <c r="M89" s="0" t="str">
        <f aca="false">IF($L89="","",COUNTIFS($L$70:$L$120,"&lt;"&amp;$L89)+COUNTIFS($L$70:$L89,$L89))</f>
        <v/>
      </c>
    </row>
    <row r="90" customFormat="false" ht="15" hidden="false" customHeight="true" outlineLevel="0" collapsed="false">
      <c r="B90" s="12"/>
      <c r="C90" s="100"/>
      <c r="D90" s="101" t="str">
        <f aca="false">IF($B90="","","Expense")</f>
        <v/>
      </c>
      <c r="E90" s="14"/>
      <c r="F90" s="102"/>
      <c r="G90" s="102"/>
      <c r="H90" s="103" t="str">
        <f aca="false">IF($B90="","",N($E90))</f>
        <v/>
      </c>
      <c r="I90" s="104" t="str">
        <f aca="false">IF($B90="","",$I$68+SUMIFS($G$70:$G$120,$M$70:$M$120,"&lt;="&amp;$M90)-SUMIFS($H$70:$H$120,$M$70:$M$120,"&lt;="&amp;$M90))</f>
        <v/>
      </c>
      <c r="J90" s="102"/>
      <c r="K90" s="96" t="str">
        <f aca="false">IF($B90="","","ACTUAL")</f>
        <v/>
      </c>
      <c r="L90" s="0" t="str">
        <f aca="false">IF($B90="","",IF($C90="",$E$6+13,$C90))</f>
        <v/>
      </c>
      <c r="M90" s="0" t="str">
        <f aca="false">IF($L90="","",COUNTIFS($L$70:$L$120,"&lt;"&amp;$L90)+COUNTIFS($L$70:$L90,$L90))</f>
        <v/>
      </c>
    </row>
    <row r="91" customFormat="false" ht="15" hidden="false" customHeight="true" outlineLevel="0" collapsed="false">
      <c r="B91" s="12"/>
      <c r="C91" s="100"/>
      <c r="D91" s="101" t="str">
        <f aca="false">IF($B91="","","Expense")</f>
        <v/>
      </c>
      <c r="E91" s="14"/>
      <c r="F91" s="102"/>
      <c r="G91" s="102"/>
      <c r="H91" s="103" t="str">
        <f aca="false">IF($B91="","",N($E91))</f>
        <v/>
      </c>
      <c r="I91" s="104" t="str">
        <f aca="false">IF($B91="","",$I$68+SUMIFS($G$70:$G$120,$M$70:$M$120,"&lt;="&amp;$M91)-SUMIFS($H$70:$H$120,$M$70:$M$120,"&lt;="&amp;$M91))</f>
        <v/>
      </c>
      <c r="J91" s="102"/>
      <c r="K91" s="96" t="str">
        <f aca="false">IF($B91="","","ACTUAL")</f>
        <v/>
      </c>
      <c r="L91" s="0" t="str">
        <f aca="false">IF($B91="","",IF($C91="",$E$6+13,$C91))</f>
        <v/>
      </c>
      <c r="M91" s="0" t="str">
        <f aca="false">IF($L91="","",COUNTIFS($L$70:$L$120,"&lt;"&amp;$L91)+COUNTIFS($L$70:$L91,$L91))</f>
        <v/>
      </c>
    </row>
    <row r="92" customFormat="false" ht="15" hidden="false" customHeight="true" outlineLevel="0" collapsed="false">
      <c r="B92" s="12"/>
      <c r="C92" s="100"/>
      <c r="D92" s="101" t="str">
        <f aca="false">IF($B92="","","Expense")</f>
        <v/>
      </c>
      <c r="E92" s="14"/>
      <c r="F92" s="102"/>
      <c r="G92" s="102"/>
      <c r="H92" s="103" t="str">
        <f aca="false">IF($B92="","",N($E92))</f>
        <v/>
      </c>
      <c r="I92" s="104" t="str">
        <f aca="false">IF($B92="","",$I$68+SUMIFS($G$70:$G$120,$M$70:$M$120,"&lt;="&amp;$M92)-SUMIFS($H$70:$H$120,$M$70:$M$120,"&lt;="&amp;$M92))</f>
        <v/>
      </c>
      <c r="J92" s="102"/>
      <c r="K92" s="96" t="str">
        <f aca="false">IF($B92="","","ACTUAL")</f>
        <v/>
      </c>
      <c r="L92" s="0" t="str">
        <f aca="false">IF($B92="","",IF($C92="",$E$6+13,$C92))</f>
        <v/>
      </c>
      <c r="M92" s="0" t="str">
        <f aca="false">IF($L92="","",COUNTIFS($L$70:$L$120,"&lt;"&amp;$L92)+COUNTIFS($L$70:$L92,$L92))</f>
        <v/>
      </c>
    </row>
    <row r="93" customFormat="false" ht="15" hidden="false" customHeight="true" outlineLevel="0" collapsed="false">
      <c r="B93" s="12"/>
      <c r="C93" s="100"/>
      <c r="D93" s="101" t="str">
        <f aca="false">IF($B93="","","Expense")</f>
        <v/>
      </c>
      <c r="E93" s="14"/>
      <c r="F93" s="102"/>
      <c r="G93" s="102"/>
      <c r="H93" s="103" t="str">
        <f aca="false">IF($B93="","",N($E93))</f>
        <v/>
      </c>
      <c r="I93" s="104" t="str">
        <f aca="false">IF($B93="","",$I$68+SUMIFS($G$70:$G$120,$M$70:$M$120,"&lt;="&amp;$M93)-SUMIFS($H$70:$H$120,$M$70:$M$120,"&lt;="&amp;$M93))</f>
        <v/>
      </c>
      <c r="J93" s="102"/>
      <c r="K93" s="96" t="str">
        <f aca="false">IF($B93="","","ACTUAL")</f>
        <v/>
      </c>
      <c r="L93" s="0" t="str">
        <f aca="false">IF($B93="","",IF($C93="",$E$6+13,$C93))</f>
        <v/>
      </c>
      <c r="M93" s="0" t="str">
        <f aca="false">IF($L93="","",COUNTIFS($L$70:$L$120,"&lt;"&amp;$L93)+COUNTIFS($L$70:$L93,$L93))</f>
        <v/>
      </c>
    </row>
    <row r="94" customFormat="false" ht="15" hidden="false" customHeight="true" outlineLevel="0" collapsed="false">
      <c r="B94" s="12"/>
      <c r="C94" s="100"/>
      <c r="D94" s="101" t="str">
        <f aca="false">IF($B94="","","Expense")</f>
        <v/>
      </c>
      <c r="E94" s="14"/>
      <c r="F94" s="102"/>
      <c r="G94" s="102"/>
      <c r="H94" s="103" t="str">
        <f aca="false">IF($B94="","",N($E94))</f>
        <v/>
      </c>
      <c r="I94" s="104" t="str">
        <f aca="false">IF($B94="","",$I$68+SUMIFS($G$70:$G$120,$M$70:$M$120,"&lt;="&amp;$M94)-SUMIFS($H$70:$H$120,$M$70:$M$120,"&lt;="&amp;$M94))</f>
        <v/>
      </c>
      <c r="J94" s="102"/>
      <c r="K94" s="96" t="str">
        <f aca="false">IF($B94="","","ACTUAL")</f>
        <v/>
      </c>
      <c r="L94" s="0" t="str">
        <f aca="false">IF($B94="","",IF($C94="",$E$6+13,$C94))</f>
        <v/>
      </c>
      <c r="M94" s="0" t="str">
        <f aca="false">IF($L94="","",COUNTIFS($L$70:$L$120,"&lt;"&amp;$L94)+COUNTIFS($L$70:$L94,$L94))</f>
        <v/>
      </c>
    </row>
    <row r="95" customFormat="false" ht="15" hidden="false" customHeight="true" outlineLevel="0" collapsed="false">
      <c r="B95" s="12"/>
      <c r="C95" s="100"/>
      <c r="D95" s="101" t="str">
        <f aca="false">IF($B95="","","Expense")</f>
        <v/>
      </c>
      <c r="E95" s="14"/>
      <c r="F95" s="102"/>
      <c r="G95" s="102"/>
      <c r="H95" s="103" t="str">
        <f aca="false">IF($B95="","",N($E95))</f>
        <v/>
      </c>
      <c r="I95" s="104" t="str">
        <f aca="false">IF($B95="","",$I$68+SUMIFS($G$70:$G$120,$M$70:$M$120,"&lt;="&amp;$M95)-SUMIFS($H$70:$H$120,$M$70:$M$120,"&lt;="&amp;$M95))</f>
        <v/>
      </c>
      <c r="J95" s="102"/>
      <c r="K95" s="96" t="str">
        <f aca="false">IF($B95="","","ACTUAL")</f>
        <v/>
      </c>
      <c r="L95" s="0" t="str">
        <f aca="false">IF($B95="","",IF($C95="",$E$6+13,$C95))</f>
        <v/>
      </c>
      <c r="M95" s="0" t="str">
        <f aca="false">IF($L95="","",COUNTIFS($L$70:$L$120,"&lt;"&amp;$L95)+COUNTIFS($L$70:$L95,$L95))</f>
        <v/>
      </c>
    </row>
    <row r="96" customFormat="false" ht="15" hidden="false" customHeight="true" outlineLevel="0" collapsed="false">
      <c r="B96" s="12"/>
      <c r="C96" s="100"/>
      <c r="D96" s="101" t="str">
        <f aca="false">IF($B96="","","Expense")</f>
        <v/>
      </c>
      <c r="E96" s="14"/>
      <c r="F96" s="102"/>
      <c r="G96" s="102"/>
      <c r="H96" s="103" t="str">
        <f aca="false">IF($B96="","",N($E96))</f>
        <v/>
      </c>
      <c r="I96" s="104" t="str">
        <f aca="false">IF($B96="","",$I$68+SUMIFS($G$70:$G$120,$M$70:$M$120,"&lt;="&amp;$M96)-SUMIFS($H$70:$H$120,$M$70:$M$120,"&lt;="&amp;$M96))</f>
        <v/>
      </c>
      <c r="J96" s="102"/>
      <c r="K96" s="96" t="str">
        <f aca="false">IF($B96="","","ACTUAL")</f>
        <v/>
      </c>
      <c r="L96" s="0" t="str">
        <f aca="false">IF($B96="","",IF($C96="",$E$6+13,$C96))</f>
        <v/>
      </c>
      <c r="M96" s="0" t="str">
        <f aca="false">IF($L96="","",COUNTIFS($L$70:$L$120,"&lt;"&amp;$L96)+COUNTIFS($L$70:$L96,$L96))</f>
        <v/>
      </c>
    </row>
    <row r="97" customFormat="false" ht="15" hidden="false" customHeight="true" outlineLevel="0" collapsed="false">
      <c r="B97" s="12"/>
      <c r="C97" s="100"/>
      <c r="D97" s="101" t="str">
        <f aca="false">IF($B97="","","Expense")</f>
        <v/>
      </c>
      <c r="E97" s="14"/>
      <c r="F97" s="102"/>
      <c r="G97" s="102"/>
      <c r="H97" s="103" t="str">
        <f aca="false">IF($B97="","",N($E97))</f>
        <v/>
      </c>
      <c r="I97" s="104" t="str">
        <f aca="false">IF($B97="","",$I$68+SUMIFS($G$70:$G$120,$M$70:$M$120,"&lt;="&amp;$M97)-SUMIFS($H$70:$H$120,$M$70:$M$120,"&lt;="&amp;$M97))</f>
        <v/>
      </c>
      <c r="J97" s="102"/>
      <c r="K97" s="96" t="str">
        <f aca="false">IF($B97="","","ACTUAL")</f>
        <v/>
      </c>
      <c r="L97" s="0" t="str">
        <f aca="false">IF($B97="","",IF($C97="",$E$6+13,$C97))</f>
        <v/>
      </c>
      <c r="M97" s="0" t="str">
        <f aca="false">IF($L97="","",COUNTIFS($L$70:$L$120,"&lt;"&amp;$L97)+COUNTIFS($L$70:$L97,$L97))</f>
        <v/>
      </c>
    </row>
    <row r="98" customFormat="false" ht="15" hidden="false" customHeight="true" outlineLevel="0" collapsed="false">
      <c r="B98" s="12"/>
      <c r="C98" s="100"/>
      <c r="D98" s="101" t="str">
        <f aca="false">IF($B98="","","Expense")</f>
        <v/>
      </c>
      <c r="E98" s="14"/>
      <c r="F98" s="102"/>
      <c r="G98" s="102"/>
      <c r="H98" s="103" t="str">
        <f aca="false">IF($B98="","",N($E98))</f>
        <v/>
      </c>
      <c r="I98" s="104" t="str">
        <f aca="false">IF($B98="","",$I$68+SUMIFS($G$70:$G$120,$M$70:$M$120,"&lt;="&amp;$M98)-SUMIFS($H$70:$H$120,$M$70:$M$120,"&lt;="&amp;$M98))</f>
        <v/>
      </c>
      <c r="J98" s="102"/>
      <c r="K98" s="96" t="str">
        <f aca="false">IF($B98="","","ACTUAL")</f>
        <v/>
      </c>
      <c r="L98" s="0" t="str">
        <f aca="false">IF($B98="","",IF($C98="",$E$6+13,$C98))</f>
        <v/>
      </c>
      <c r="M98" s="0" t="str">
        <f aca="false">IF($L98="","",COUNTIFS($L$70:$L$120,"&lt;"&amp;$L98)+COUNTIFS($L$70:$L98,$L98))</f>
        <v/>
      </c>
    </row>
    <row r="99" customFormat="false" ht="15" hidden="false" customHeight="true" outlineLevel="0" collapsed="false">
      <c r="B99" s="12"/>
      <c r="C99" s="100"/>
      <c r="D99" s="101" t="str">
        <f aca="false">IF($B99="","","Expense")</f>
        <v/>
      </c>
      <c r="E99" s="14"/>
      <c r="F99" s="102"/>
      <c r="G99" s="102"/>
      <c r="H99" s="103" t="str">
        <f aca="false">IF($B99="","",N($E99))</f>
        <v/>
      </c>
      <c r="I99" s="104" t="str">
        <f aca="false">IF($B99="","",$I$68+SUMIFS($G$70:$G$120,$M$70:$M$120,"&lt;="&amp;$M99)-SUMIFS($H$70:$H$120,$M$70:$M$120,"&lt;="&amp;$M99))</f>
        <v/>
      </c>
      <c r="J99" s="102"/>
      <c r="K99" s="96" t="str">
        <f aca="false">IF($B99="","","ACTUAL")</f>
        <v/>
      </c>
      <c r="L99" s="0" t="str">
        <f aca="false">IF($B99="","",IF($C99="",$E$6+13,$C99))</f>
        <v/>
      </c>
      <c r="M99" s="0" t="str">
        <f aca="false">IF($L99="","",COUNTIFS($L$70:$L$120,"&lt;"&amp;$L99)+COUNTIFS($L$70:$L99,$L99))</f>
        <v/>
      </c>
    </row>
    <row r="100" customFormat="false" ht="15" hidden="false" customHeight="true" outlineLevel="0" collapsed="false">
      <c r="B100" s="12"/>
      <c r="C100" s="100"/>
      <c r="D100" s="101" t="str">
        <f aca="false">IF($B100="","","Expense")</f>
        <v/>
      </c>
      <c r="E100" s="14"/>
      <c r="F100" s="102"/>
      <c r="G100" s="102"/>
      <c r="H100" s="103" t="str">
        <f aca="false">IF($B100="","",N($E100))</f>
        <v/>
      </c>
      <c r="I100" s="104" t="str">
        <f aca="false">IF($B100="","",$I$68+SUMIFS($G$70:$G$120,$M$70:$M$120,"&lt;="&amp;$M100)-SUMIFS($H$70:$H$120,$M$70:$M$120,"&lt;="&amp;$M100))</f>
        <v/>
      </c>
      <c r="J100" s="102"/>
      <c r="K100" s="96" t="str">
        <f aca="false">IF($B100="","","ACTUAL")</f>
        <v/>
      </c>
      <c r="L100" s="0" t="str">
        <f aca="false">IF($B100="","",IF($C100="",$E$6+13,$C100))</f>
        <v/>
      </c>
      <c r="M100" s="0" t="str">
        <f aca="false">IF($L100="","",COUNTIFS($L$70:$L$120,"&lt;"&amp;$L100)+COUNTIFS($L$70:$L100,$L100))</f>
        <v/>
      </c>
    </row>
    <row r="101" customFormat="false" ht="15" hidden="false" customHeight="true" outlineLevel="0" collapsed="false">
      <c r="B101" s="12"/>
      <c r="C101" s="100"/>
      <c r="D101" s="101" t="str">
        <f aca="false">IF($B101="","","Expense")</f>
        <v/>
      </c>
      <c r="E101" s="14"/>
      <c r="F101" s="102"/>
      <c r="G101" s="102"/>
      <c r="H101" s="103" t="str">
        <f aca="false">IF($B101="","",N($E101))</f>
        <v/>
      </c>
      <c r="I101" s="104" t="str">
        <f aca="false">IF($B101="","",$I$68+SUMIFS($G$70:$G$120,$M$70:$M$120,"&lt;="&amp;$M101)-SUMIFS($H$70:$H$120,$M$70:$M$120,"&lt;="&amp;$M101))</f>
        <v/>
      </c>
      <c r="J101" s="102"/>
      <c r="K101" s="96" t="str">
        <f aca="false">IF($B101="","","ACTUAL")</f>
        <v/>
      </c>
      <c r="L101" s="0" t="str">
        <f aca="false">IF($B101="","",IF($C101="",$E$6+13,$C101))</f>
        <v/>
      </c>
      <c r="M101" s="0" t="str">
        <f aca="false">IF($L101="","",COUNTIFS($L$70:$L$120,"&lt;"&amp;$L101)+COUNTIFS($L$70:$L101,$L101))</f>
        <v/>
      </c>
    </row>
    <row r="102" customFormat="false" ht="15" hidden="false" customHeight="true" outlineLevel="0" collapsed="false">
      <c r="B102" s="12"/>
      <c r="C102" s="100"/>
      <c r="D102" s="101" t="str">
        <f aca="false">IF($B102="","","Expense")</f>
        <v/>
      </c>
      <c r="E102" s="14"/>
      <c r="F102" s="102"/>
      <c r="G102" s="102"/>
      <c r="H102" s="103" t="str">
        <f aca="false">IF($B102="","",N($E102))</f>
        <v/>
      </c>
      <c r="I102" s="104" t="str">
        <f aca="false">IF($B102="","",$I$68+SUMIFS($G$70:$G$120,$M$70:$M$120,"&lt;="&amp;$M102)-SUMIFS($H$70:$H$120,$M$70:$M$120,"&lt;="&amp;$M102))</f>
        <v/>
      </c>
      <c r="J102" s="102"/>
      <c r="K102" s="96" t="str">
        <f aca="false">IF($B102="","","ACTUAL")</f>
        <v/>
      </c>
      <c r="L102" s="0" t="str">
        <f aca="false">IF($B102="","",IF($C102="",$E$6+13,$C102))</f>
        <v/>
      </c>
      <c r="M102" s="0" t="str">
        <f aca="false">IF($L102="","",COUNTIFS($L$70:$L$120,"&lt;"&amp;$L102)+COUNTIFS($L$70:$L102,$L102))</f>
        <v/>
      </c>
    </row>
    <row r="103" customFormat="false" ht="15" hidden="false" customHeight="true" outlineLevel="0" collapsed="false">
      <c r="B103" s="12"/>
      <c r="C103" s="100"/>
      <c r="D103" s="101" t="str">
        <f aca="false">IF($B103="","","Expense")</f>
        <v/>
      </c>
      <c r="E103" s="14"/>
      <c r="F103" s="102"/>
      <c r="G103" s="102"/>
      <c r="H103" s="103" t="str">
        <f aca="false">IF($B103="","",N($E103))</f>
        <v/>
      </c>
      <c r="I103" s="104" t="str">
        <f aca="false">IF($B103="","",$I$68+SUMIFS($G$70:$G$120,$M$70:$M$120,"&lt;="&amp;$M103)-SUMIFS($H$70:$H$120,$M$70:$M$120,"&lt;="&amp;$M103))</f>
        <v/>
      </c>
      <c r="J103" s="102"/>
      <c r="K103" s="96" t="str">
        <f aca="false">IF($B103="","","ACTUAL")</f>
        <v/>
      </c>
      <c r="L103" s="0" t="str">
        <f aca="false">IF($B103="","",IF($C103="",$E$6+13,$C103))</f>
        <v/>
      </c>
      <c r="M103" s="0" t="str">
        <f aca="false">IF($L103="","",COUNTIFS($L$70:$L$120,"&lt;"&amp;$L103)+COUNTIFS($L$70:$L103,$L103))</f>
        <v/>
      </c>
    </row>
    <row r="104" customFormat="false" ht="15" hidden="false" customHeight="true" outlineLevel="0" collapsed="false">
      <c r="B104" s="12"/>
      <c r="C104" s="100"/>
      <c r="D104" s="101" t="str">
        <f aca="false">IF($B104="","","Expense")</f>
        <v/>
      </c>
      <c r="E104" s="14"/>
      <c r="F104" s="102"/>
      <c r="G104" s="102"/>
      <c r="H104" s="103" t="str">
        <f aca="false">IF($B104="","",N($E104))</f>
        <v/>
      </c>
      <c r="I104" s="104" t="str">
        <f aca="false">IF($B104="","",$I$68+SUMIFS($G$70:$G$120,$M$70:$M$120,"&lt;="&amp;$M104)-SUMIFS($H$70:$H$120,$M$70:$M$120,"&lt;="&amp;$M104))</f>
        <v/>
      </c>
      <c r="J104" s="102"/>
      <c r="K104" s="96" t="str">
        <f aca="false">IF($B104="","","ACTUAL")</f>
        <v/>
      </c>
      <c r="L104" s="0" t="str">
        <f aca="false">IF($B104="","",IF($C104="",$E$6+13,$C104))</f>
        <v/>
      </c>
      <c r="M104" s="0" t="str">
        <f aca="false">IF($L104="","",COUNTIFS($L$70:$L$120,"&lt;"&amp;$L104)+COUNTIFS($L$70:$L104,$L104))</f>
        <v/>
      </c>
    </row>
    <row r="105" customFormat="false" ht="15" hidden="false" customHeight="true" outlineLevel="0" collapsed="false">
      <c r="B105" s="12"/>
      <c r="C105" s="100"/>
      <c r="D105" s="101" t="str">
        <f aca="false">IF($B105="","","Expense")</f>
        <v/>
      </c>
      <c r="E105" s="14"/>
      <c r="F105" s="102"/>
      <c r="G105" s="102"/>
      <c r="H105" s="103" t="str">
        <f aca="false">IF($B105="","",N($E105))</f>
        <v/>
      </c>
      <c r="I105" s="104" t="str">
        <f aca="false">IF($B105="","",$I$68+SUMIFS($G$70:$G$120,$M$70:$M$120,"&lt;="&amp;$M105)-SUMIFS($H$70:$H$120,$M$70:$M$120,"&lt;="&amp;$M105))</f>
        <v/>
      </c>
      <c r="J105" s="102"/>
      <c r="K105" s="96" t="str">
        <f aca="false">IF($B105="","","ACTUAL")</f>
        <v/>
      </c>
      <c r="L105" s="0" t="str">
        <f aca="false">IF($B105="","",IF($C105="",$E$6+13,$C105))</f>
        <v/>
      </c>
      <c r="M105" s="0" t="str">
        <f aca="false">IF($L105="","",COUNTIFS($L$70:$L$120,"&lt;"&amp;$L105)+COUNTIFS($L$70:$L105,$L105))</f>
        <v/>
      </c>
    </row>
    <row r="106" customFormat="false" ht="15" hidden="false" customHeight="true" outlineLevel="0" collapsed="false">
      <c r="B106" s="12"/>
      <c r="C106" s="100"/>
      <c r="D106" s="101" t="str">
        <f aca="false">IF($B106="","","Expense")</f>
        <v/>
      </c>
      <c r="E106" s="14"/>
      <c r="F106" s="102"/>
      <c r="G106" s="102"/>
      <c r="H106" s="103" t="str">
        <f aca="false">IF($B106="","",N($E106))</f>
        <v/>
      </c>
      <c r="I106" s="104" t="str">
        <f aca="false">IF($B106="","",$I$68+SUMIFS($G$70:$G$120,$M$70:$M$120,"&lt;="&amp;$M106)-SUMIFS($H$70:$H$120,$M$70:$M$120,"&lt;="&amp;$M106))</f>
        <v/>
      </c>
      <c r="J106" s="102"/>
      <c r="K106" s="96" t="str">
        <f aca="false">IF($B106="","","ACTUAL")</f>
        <v/>
      </c>
      <c r="L106" s="0" t="str">
        <f aca="false">IF($B106="","",IF($C106="",$E$6+13,$C106))</f>
        <v/>
      </c>
      <c r="M106" s="0" t="str">
        <f aca="false">IF($L106="","",COUNTIFS($L$70:$L$120,"&lt;"&amp;$L106)+COUNTIFS($L$70:$L106,$L106))</f>
        <v/>
      </c>
    </row>
    <row r="107" customFormat="false" ht="15" hidden="false" customHeight="true" outlineLevel="0" collapsed="false">
      <c r="B107" s="12"/>
      <c r="C107" s="100"/>
      <c r="D107" s="101" t="str">
        <f aca="false">IF($B107="","","Expense")</f>
        <v/>
      </c>
      <c r="E107" s="14"/>
      <c r="F107" s="102"/>
      <c r="G107" s="102"/>
      <c r="H107" s="103" t="str">
        <f aca="false">IF($B107="","",N($E107))</f>
        <v/>
      </c>
      <c r="I107" s="104" t="str">
        <f aca="false">IF($B107="","",$I$68+SUMIFS($G$70:$G$120,$M$70:$M$120,"&lt;="&amp;$M107)-SUMIFS($H$70:$H$120,$M$70:$M$120,"&lt;="&amp;$M107))</f>
        <v/>
      </c>
      <c r="J107" s="102"/>
      <c r="K107" s="96" t="str">
        <f aca="false">IF($B107="","","ACTUAL")</f>
        <v/>
      </c>
      <c r="L107" s="0" t="str">
        <f aca="false">IF($B107="","",IF($C107="",$E$6+13,$C107))</f>
        <v/>
      </c>
      <c r="M107" s="0" t="str">
        <f aca="false">IF($L107="","",COUNTIFS($L$70:$L$120,"&lt;"&amp;$L107)+COUNTIFS($L$70:$L107,$L107))</f>
        <v/>
      </c>
    </row>
    <row r="108" customFormat="false" ht="15" hidden="false" customHeight="true" outlineLevel="0" collapsed="false">
      <c r="B108" s="12"/>
      <c r="C108" s="100"/>
      <c r="D108" s="101" t="str">
        <f aca="false">IF($B108="","","Expense")</f>
        <v/>
      </c>
      <c r="E108" s="14"/>
      <c r="F108" s="102"/>
      <c r="G108" s="102"/>
      <c r="H108" s="103" t="str">
        <f aca="false">IF($B108="","",N($E108))</f>
        <v/>
      </c>
      <c r="I108" s="104" t="str">
        <f aca="false">IF($B108="","",$I$68+SUMIFS($G$70:$G$120,$M$70:$M$120,"&lt;="&amp;$M108)-SUMIFS($H$70:$H$120,$M$70:$M$120,"&lt;="&amp;$M108))</f>
        <v/>
      </c>
      <c r="J108" s="102"/>
      <c r="K108" s="96" t="str">
        <f aca="false">IF($B108="","","ACTUAL")</f>
        <v/>
      </c>
      <c r="L108" s="0" t="str">
        <f aca="false">IF($B108="","",IF($C108="",$E$6+13,$C108))</f>
        <v/>
      </c>
      <c r="M108" s="0" t="str">
        <f aca="false">IF($L108="","",COUNTIFS($L$70:$L$120,"&lt;"&amp;$L108)+COUNTIFS($L$70:$L108,$L108))</f>
        <v/>
      </c>
    </row>
    <row r="109" customFormat="false" ht="15" hidden="false" customHeight="true" outlineLevel="0" collapsed="false">
      <c r="B109" s="12"/>
      <c r="C109" s="100"/>
      <c r="D109" s="101" t="str">
        <f aca="false">IF($B109="","","Expense")</f>
        <v/>
      </c>
      <c r="E109" s="14"/>
      <c r="F109" s="102"/>
      <c r="G109" s="102"/>
      <c r="H109" s="103" t="str">
        <f aca="false">IF($B109="","",N($E109))</f>
        <v/>
      </c>
      <c r="I109" s="104" t="str">
        <f aca="false">IF($B109="","",$I$68+SUMIFS($G$70:$G$120,$M$70:$M$120,"&lt;="&amp;$M109)-SUMIFS($H$70:$H$120,$M$70:$M$120,"&lt;="&amp;$M109))</f>
        <v/>
      </c>
      <c r="J109" s="102"/>
      <c r="K109" s="96" t="str">
        <f aca="false">IF($B109="","","ACTUAL")</f>
        <v/>
      </c>
      <c r="L109" s="0" t="str">
        <f aca="false">IF($B109="","",IF($C109="",$E$6+13,$C109))</f>
        <v/>
      </c>
      <c r="M109" s="0" t="str">
        <f aca="false">IF($L109="","",COUNTIFS($L$70:$L$120,"&lt;"&amp;$L109)+COUNTIFS($L$70:$L109,$L109))</f>
        <v/>
      </c>
    </row>
    <row r="110" customFormat="false" ht="15" hidden="false" customHeight="true" outlineLevel="0" collapsed="false">
      <c r="B110" s="12"/>
      <c r="C110" s="100"/>
      <c r="D110" s="101" t="str">
        <f aca="false">IF($B110="","","Expense")</f>
        <v/>
      </c>
      <c r="E110" s="14"/>
      <c r="F110" s="102"/>
      <c r="G110" s="102"/>
      <c r="H110" s="103" t="str">
        <f aca="false">IF($B110="","",N($E110))</f>
        <v/>
      </c>
      <c r="I110" s="104" t="str">
        <f aca="false">IF($B110="","",$I$68+SUMIFS($G$70:$G$120,$M$70:$M$120,"&lt;="&amp;$M110)-SUMIFS($H$70:$H$120,$M$70:$M$120,"&lt;="&amp;$M110))</f>
        <v/>
      </c>
      <c r="J110" s="102"/>
      <c r="K110" s="96" t="str">
        <f aca="false">IF($B110="","","ACTUAL")</f>
        <v/>
      </c>
      <c r="L110" s="0" t="str">
        <f aca="false">IF($B110="","",IF($C110="",$E$6+13,$C110))</f>
        <v/>
      </c>
      <c r="M110" s="0" t="str">
        <f aca="false">IF($L110="","",COUNTIFS($L$70:$L$120,"&lt;"&amp;$L110)+COUNTIFS($L$70:$L110,$L110))</f>
        <v/>
      </c>
    </row>
    <row r="111" customFormat="false" ht="15" hidden="false" customHeight="true" outlineLevel="0" collapsed="false">
      <c r="B111" s="12"/>
      <c r="C111" s="100"/>
      <c r="D111" s="101" t="str">
        <f aca="false">IF($B111="","","Expense")</f>
        <v/>
      </c>
      <c r="E111" s="14"/>
      <c r="F111" s="102"/>
      <c r="G111" s="102"/>
      <c r="H111" s="103" t="str">
        <f aca="false">IF($B111="","",N($E111))</f>
        <v/>
      </c>
      <c r="I111" s="104" t="str">
        <f aca="false">IF($B111="","",$I$68+SUMIFS($G$70:$G$120,$M$70:$M$120,"&lt;="&amp;$M111)-SUMIFS($H$70:$H$120,$M$70:$M$120,"&lt;="&amp;$M111))</f>
        <v/>
      </c>
      <c r="J111" s="102"/>
      <c r="K111" s="96" t="str">
        <f aca="false">IF($B111="","","ACTUAL")</f>
        <v/>
      </c>
      <c r="L111" s="0" t="str">
        <f aca="false">IF($B111="","",IF($C111="",$E$6+13,$C111))</f>
        <v/>
      </c>
      <c r="M111" s="0" t="str">
        <f aca="false">IF($L111="","",COUNTIFS($L$70:$L$120,"&lt;"&amp;$L111)+COUNTIFS($L$70:$L111,$L111))</f>
        <v/>
      </c>
    </row>
    <row r="112" customFormat="false" ht="15" hidden="false" customHeight="true" outlineLevel="0" collapsed="false">
      <c r="B112" s="12"/>
      <c r="C112" s="100"/>
      <c r="D112" s="101" t="str">
        <f aca="false">IF($B112="","","Expense")</f>
        <v/>
      </c>
      <c r="E112" s="14"/>
      <c r="F112" s="102"/>
      <c r="G112" s="102"/>
      <c r="H112" s="103" t="str">
        <f aca="false">IF($B112="","",N($E112))</f>
        <v/>
      </c>
      <c r="I112" s="104" t="str">
        <f aca="false">IF($B112="","",$I$68+SUMIFS($G$70:$G$120,$M$70:$M$120,"&lt;="&amp;$M112)-SUMIFS($H$70:$H$120,$M$70:$M$120,"&lt;="&amp;$M112))</f>
        <v/>
      </c>
      <c r="J112" s="102"/>
      <c r="K112" s="96" t="str">
        <f aca="false">IF($B112="","","ACTUAL")</f>
        <v/>
      </c>
      <c r="L112" s="0" t="str">
        <f aca="false">IF($B112="","",IF($C112="",$E$6+13,$C112))</f>
        <v/>
      </c>
      <c r="M112" s="0" t="str">
        <f aca="false">IF($L112="","",COUNTIFS($L$70:$L$120,"&lt;"&amp;$L112)+COUNTIFS($L$70:$L112,$L112))</f>
        <v/>
      </c>
    </row>
    <row r="113" customFormat="false" ht="15" hidden="false" customHeight="true" outlineLevel="0" collapsed="false">
      <c r="B113" s="12"/>
      <c r="C113" s="100"/>
      <c r="D113" s="101" t="str">
        <f aca="false">IF($B113="","","Expense")</f>
        <v/>
      </c>
      <c r="E113" s="14"/>
      <c r="F113" s="102"/>
      <c r="G113" s="102"/>
      <c r="H113" s="103" t="str">
        <f aca="false">IF($B113="","",N($E113))</f>
        <v/>
      </c>
      <c r="I113" s="104" t="str">
        <f aca="false">IF($B113="","",$I$68+SUMIFS($G$70:$G$120,$M$70:$M$120,"&lt;="&amp;$M113)-SUMIFS($H$70:$H$120,$M$70:$M$120,"&lt;="&amp;$M113))</f>
        <v/>
      </c>
      <c r="J113" s="102"/>
      <c r="K113" s="96" t="str">
        <f aca="false">IF($B113="","","ACTUAL")</f>
        <v/>
      </c>
      <c r="L113" s="0" t="str">
        <f aca="false">IF($B113="","",IF($C113="",$E$6+13,$C113))</f>
        <v/>
      </c>
      <c r="M113" s="0" t="str">
        <f aca="false">IF($L113="","",COUNTIFS($L$70:$L$120,"&lt;"&amp;$L113)+COUNTIFS($L$70:$L113,$L113))</f>
        <v/>
      </c>
    </row>
    <row r="114" customFormat="false" ht="15" hidden="false" customHeight="true" outlineLevel="0" collapsed="false">
      <c r="B114" s="12"/>
      <c r="C114" s="100"/>
      <c r="D114" s="101" t="str">
        <f aca="false">IF($B114="","","Expense")</f>
        <v/>
      </c>
      <c r="E114" s="14"/>
      <c r="F114" s="102"/>
      <c r="G114" s="102"/>
      <c r="H114" s="103" t="str">
        <f aca="false">IF($B114="","",N($E114))</f>
        <v/>
      </c>
      <c r="I114" s="104" t="str">
        <f aca="false">IF($B114="","",$I$68+SUMIFS($G$70:$G$120,$M$70:$M$120,"&lt;="&amp;$M114)-SUMIFS($H$70:$H$120,$M$70:$M$120,"&lt;="&amp;$M114))</f>
        <v/>
      </c>
      <c r="J114" s="102"/>
      <c r="K114" s="96" t="str">
        <f aca="false">IF($B114="","","ACTUAL")</f>
        <v/>
      </c>
      <c r="L114" s="0" t="str">
        <f aca="false">IF($B114="","",IF($C114="",$E$6+13,$C114))</f>
        <v/>
      </c>
      <c r="M114" s="0" t="str">
        <f aca="false">IF($L114="","",COUNTIFS($L$70:$L$120,"&lt;"&amp;$L114)+COUNTIFS($L$70:$L114,$L114))</f>
        <v/>
      </c>
    </row>
    <row r="115" customFormat="false" ht="15" hidden="false" customHeight="true" outlineLevel="0" collapsed="false">
      <c r="B115" s="12"/>
      <c r="C115" s="100"/>
      <c r="D115" s="101" t="str">
        <f aca="false">IF($B115="","","Expense")</f>
        <v/>
      </c>
      <c r="E115" s="14"/>
      <c r="F115" s="102"/>
      <c r="G115" s="102"/>
      <c r="H115" s="103" t="str">
        <f aca="false">IF($B115="","",N($E115))</f>
        <v/>
      </c>
      <c r="I115" s="104" t="str">
        <f aca="false">IF($B115="","",$I$68+SUMIFS($G$70:$G$120,$M$70:$M$120,"&lt;="&amp;$M115)-SUMIFS($H$70:$H$120,$M$70:$M$120,"&lt;="&amp;$M115))</f>
        <v/>
      </c>
      <c r="J115" s="102"/>
      <c r="K115" s="96" t="str">
        <f aca="false">IF($B115="","","ACTUAL")</f>
        <v/>
      </c>
      <c r="L115" s="0" t="str">
        <f aca="false">IF($B115="","",IF($C115="",$E$6+13,$C115))</f>
        <v/>
      </c>
      <c r="M115" s="0" t="str">
        <f aca="false">IF($L115="","",COUNTIFS($L$70:$L$120,"&lt;"&amp;$L115)+COUNTIFS($L$70:$L115,$L115))</f>
        <v/>
      </c>
    </row>
    <row r="116" customFormat="false" ht="15" hidden="false" customHeight="true" outlineLevel="0" collapsed="false">
      <c r="B116" s="12"/>
      <c r="C116" s="100"/>
      <c r="D116" s="101" t="str">
        <f aca="false">IF($B116="","","Expense")</f>
        <v/>
      </c>
      <c r="E116" s="14"/>
      <c r="F116" s="102"/>
      <c r="G116" s="102"/>
      <c r="H116" s="103" t="str">
        <f aca="false">IF($B116="","",N($E116))</f>
        <v/>
      </c>
      <c r="I116" s="104" t="str">
        <f aca="false">IF($B116="","",$I$68+SUMIFS($G$70:$G$120,$M$70:$M$120,"&lt;="&amp;$M116)-SUMIFS($H$70:$H$120,$M$70:$M$120,"&lt;="&amp;$M116))</f>
        <v/>
      </c>
      <c r="J116" s="102"/>
      <c r="K116" s="96" t="str">
        <f aca="false">IF($B116="","","ACTUAL")</f>
        <v/>
      </c>
      <c r="L116" s="0" t="str">
        <f aca="false">IF($B116="","",IF($C116="",$E$6+13,$C116))</f>
        <v/>
      </c>
      <c r="M116" s="0" t="str">
        <f aca="false">IF($L116="","",COUNTIFS($L$70:$L$120,"&lt;"&amp;$L116)+COUNTIFS($L$70:$L116,$L116))</f>
        <v/>
      </c>
    </row>
    <row r="117" customFormat="false" ht="15" hidden="false" customHeight="true" outlineLevel="0" collapsed="false">
      <c r="B117" s="12"/>
      <c r="C117" s="100"/>
      <c r="D117" s="101" t="str">
        <f aca="false">IF($B117="","","Expense")</f>
        <v/>
      </c>
      <c r="E117" s="14"/>
      <c r="F117" s="102"/>
      <c r="G117" s="102"/>
      <c r="H117" s="103" t="str">
        <f aca="false">IF($B117="","",N($E117))</f>
        <v/>
      </c>
      <c r="I117" s="104" t="str">
        <f aca="false">IF($B117="","",$I$68+SUMIFS($G$70:$G$120,$M$70:$M$120,"&lt;="&amp;$M117)-SUMIFS($H$70:$H$120,$M$70:$M$120,"&lt;="&amp;$M117))</f>
        <v/>
      </c>
      <c r="J117" s="102"/>
      <c r="K117" s="96" t="str">
        <f aca="false">IF($B117="","","ACTUAL")</f>
        <v/>
      </c>
      <c r="L117" s="0" t="str">
        <f aca="false">IF($B117="","",IF($C117="",$E$6+13,$C117))</f>
        <v/>
      </c>
      <c r="M117" s="0" t="str">
        <f aca="false">IF($L117="","",COUNTIFS($L$70:$L$120,"&lt;"&amp;$L117)+COUNTIFS($L$70:$L117,$L117))</f>
        <v/>
      </c>
    </row>
    <row r="118" customFormat="false" ht="15" hidden="false" customHeight="true" outlineLevel="0" collapsed="false">
      <c r="B118" s="12"/>
      <c r="C118" s="100"/>
      <c r="D118" s="101" t="str">
        <f aca="false">IF($B118="","","Expense")</f>
        <v/>
      </c>
      <c r="E118" s="14"/>
      <c r="F118" s="102"/>
      <c r="G118" s="102"/>
      <c r="H118" s="103" t="str">
        <f aca="false">IF($B118="","",N($E118))</f>
        <v/>
      </c>
      <c r="I118" s="104" t="str">
        <f aca="false">IF($B118="","",$I$68+SUMIFS($G$70:$G$120,$M$70:$M$120,"&lt;="&amp;$M118)-SUMIFS($H$70:$H$120,$M$70:$M$120,"&lt;="&amp;$M118))</f>
        <v/>
      </c>
      <c r="J118" s="102"/>
      <c r="K118" s="96" t="str">
        <f aca="false">IF($B118="","","ACTUAL")</f>
        <v/>
      </c>
      <c r="L118" s="0" t="str">
        <f aca="false">IF($B118="","",IF($C118="",$E$6+13,$C118))</f>
        <v/>
      </c>
      <c r="M118" s="0" t="str">
        <f aca="false">IF($L118="","",COUNTIFS($L$70:$L$120,"&lt;"&amp;$L118)+COUNTIFS($L$70:$L118,$L118))</f>
        <v/>
      </c>
    </row>
    <row r="119" customFormat="false" ht="15" hidden="false" customHeight="true" outlineLevel="0" collapsed="false">
      <c r="B119" s="12"/>
      <c r="C119" s="100"/>
      <c r="D119" s="101" t="str">
        <f aca="false">IF($B119="","","Expense")</f>
        <v/>
      </c>
      <c r="E119" s="14"/>
      <c r="F119" s="102"/>
      <c r="G119" s="102"/>
      <c r="H119" s="103" t="str">
        <f aca="false">IF($B119="","",N($E119))</f>
        <v/>
      </c>
      <c r="I119" s="104" t="str">
        <f aca="false">IF($B119="","",$I$68+SUMIFS($G$70:$G$120,$M$70:$M$120,"&lt;="&amp;$M119)-SUMIFS($H$70:$H$120,$M$70:$M$120,"&lt;="&amp;$M119))</f>
        <v/>
      </c>
      <c r="J119" s="102"/>
      <c r="K119" s="96" t="str">
        <f aca="false">IF($B119="","","ACTUAL")</f>
        <v/>
      </c>
      <c r="L119" s="0" t="str">
        <f aca="false">IF($B119="","",IF($C119="",$E$6+13,$C119))</f>
        <v/>
      </c>
      <c r="M119" s="0" t="str">
        <f aca="false">IF($L119="","",COUNTIFS($L$70:$L$120,"&lt;"&amp;$L119)+COUNTIFS($L$70:$L119,$L119))</f>
        <v/>
      </c>
    </row>
    <row r="120" customFormat="false" ht="15" hidden="false" customHeight="true" outlineLevel="0" collapsed="false">
      <c r="B120" s="105" t="str">
        <f aca="false">"Everyday spending still expected this week"</f>
        <v>Everyday spending still expected this week</v>
      </c>
      <c r="C120" s="106" t="n">
        <f aca="false">$E$6+13</f>
        <v>46262</v>
      </c>
      <c r="D120" s="101" t="str">
        <f aca="false">IF($B120="","","Expense")</f>
        <v>Expense</v>
      </c>
      <c r="E120" s="107" t="n">
        <f aca="false">MAX(0,$E$8-SUM($E$81:$E$119))</f>
        <v>369.71</v>
      </c>
      <c r="F120" s="102"/>
      <c r="G120" s="102"/>
      <c r="H120" s="103" t="n">
        <f aca="false">IF($B120="","",N($E120))</f>
        <v>369.71</v>
      </c>
      <c r="I120" s="104" t="n">
        <f aca="false">IF($B120="","",$I$68+SUMIFS($G$70:$G$120,$M$70:$M$120,"&lt;="&amp;$M120)-SUMIFS($H$70:$H$120,$M$70:$M$120,"&lt;="&amp;$M120))</f>
        <v>633.96</v>
      </c>
      <c r="J120" s="102"/>
      <c r="K120" s="96" t="str">
        <f aca="false">"FORECAST"</f>
        <v>FORECAST</v>
      </c>
      <c r="L120" s="97" t="n">
        <f aca="false">IF($B120="","",IF($C120="",$E$6+13,$C120))</f>
        <v>46262</v>
      </c>
      <c r="M120" s="0" t="n">
        <f aca="false">IF($L120="","",COUNTIFS($L$70:$L$120,"&lt;"&amp;$L120)+COUNTIFS($L$70:$L120,$L120))</f>
        <v>7</v>
      </c>
    </row>
    <row r="121" customFormat="false" ht="15" hidden="false" customHeight="true" outlineLevel="0" collapsed="false">
      <c r="B121" s="108" t="s">
        <v>170</v>
      </c>
      <c r="C121" s="57"/>
      <c r="D121" s="57"/>
      <c r="E121" s="57"/>
      <c r="F121" s="57"/>
      <c r="G121" s="56" t="n">
        <f aca="false">SUM($G$70:$G$120)</f>
        <v>835</v>
      </c>
      <c r="H121" s="56" t="n">
        <f aca="false">SUM($H$70:$H$120)</f>
        <v>713.7</v>
      </c>
      <c r="I121" s="109" t="n">
        <f aca="false">$I$68+$G$121-$H$121</f>
        <v>633.96</v>
      </c>
      <c r="J121" s="110" t="str">
        <f aca="false">IF($I$121&lt;0,"SHORTFALL",IF($I$121&lt;$E$7,"TIGHT","OK"))</f>
        <v>OK</v>
      </c>
      <c r="K121" s="111"/>
      <c r="N121" s="111" t="str">
        <f aca="false">IF(COUNT($I$70:$I$120)=0,"","Lowest point this week: "&amp;TEXT(MIN($I$70:$I$120),"$#,##0.00;-$#,##0.00")&amp;" on "&amp;TEXT(INDEX($C$70:$C$120,MATCH(MIN($I$70:$I$120),$I$70:$I$120,0)),"ddd mmm d")&amp;"     (in "&amp;TEXT($G$121,"$#,##0.00")&amp;", out "&amp;TEXT($H$121,"$#,##0.00")&amp;")")</f>
        <v>Lowest point this week: $168.67 on Sat Aug 22     (in $835.00, out $713.70)</v>
      </c>
    </row>
    <row r="123" customFormat="false" ht="21.75" hidden="false" customHeight="true" outlineLevel="0" collapsed="false">
      <c r="B123" s="82" t="str">
        <f aca="false">"WEEK 3     "&amp;TEXT($E$6+14,"ddd, mmm d")&amp;"   through   "&amp;TEXT($E$6+14+6,"ddd, mmm d, yyyy")</f>
        <v>WEEK 3     Sat, Aug 29   through   Fri, Sep 4, 2026</v>
      </c>
      <c r="C123" s="83"/>
      <c r="D123" s="83"/>
      <c r="E123" s="83"/>
      <c r="F123" s="83"/>
      <c r="G123" s="84" t="s">
        <v>139</v>
      </c>
      <c r="H123" s="83"/>
      <c r="I123" s="85" t="n">
        <f aca="false">$I$121</f>
        <v>633.96</v>
      </c>
      <c r="J123" s="83"/>
      <c r="K123" s="86"/>
      <c r="N123" s="86" t="str">
        <f aca="false">IF(COUNTIF(Schedule!$I$4:$I$483,3)&gt;10,"! "&amp;COUNTIF(Schedule!$I$4:$I$483,3)-10&amp;" more transaction(s) fall in this week than there are rows to show them.","")</f>
        <v/>
      </c>
    </row>
    <row r="124" customFormat="false" ht="25.5" hidden="false" customHeight="true" outlineLevel="0" collapsed="false">
      <c r="B124" s="87" t="s">
        <v>140</v>
      </c>
      <c r="C124" s="87" t="s">
        <v>141</v>
      </c>
      <c r="D124" s="87" t="s">
        <v>42</v>
      </c>
      <c r="E124" s="87" t="s">
        <v>142</v>
      </c>
      <c r="F124" s="87" t="s">
        <v>143</v>
      </c>
      <c r="G124" s="36" t="s">
        <v>144</v>
      </c>
      <c r="H124" s="37" t="s">
        <v>145</v>
      </c>
      <c r="I124" s="87" t="s">
        <v>146</v>
      </c>
      <c r="J124" s="87" t="s">
        <v>14</v>
      </c>
      <c r="K124" s="87" t="s">
        <v>147</v>
      </c>
    </row>
    <row r="125" customFormat="false" ht="15" hidden="false" customHeight="true" outlineLevel="0" collapsed="false">
      <c r="B125" s="7" t="str">
        <f aca="false">IFERROR(INDEX(Schedule!$C$4:$C$483,MATCH(3001,Schedule!$K$4:$K$483,0)),"")</f>
        <v>Maine Revenue Services (2)</v>
      </c>
      <c r="C125" s="88" t="n">
        <f aca="false">IF($B125="","",INDEX(Schedule!$G$4:$G$483,MATCH(3001,Schedule!$K$4:$K$483,0)))</f>
        <v>46264</v>
      </c>
      <c r="D125" s="89" t="str">
        <f aca="false">IF($B125="","",INDEX(Schedule!$D$4:$D$483,MATCH(3001,Schedule!$K$4:$K$483,0)))</f>
        <v>Expense</v>
      </c>
      <c r="E125" s="90" t="n">
        <f aca="false">IF($B125="","",INDEX(Schedule!$E$4:$E$483,MATCH(3001,Schedule!$K$4:$K$483,0)))</f>
        <v>150</v>
      </c>
      <c r="F125" s="91"/>
      <c r="G125" s="92" t="str">
        <f aca="false">IF($B125="","",IF($D125="Income",IF($F125&lt;&gt;"",$F125,IF(COUNTIFS('Paid Log'!$B$9:$B$308,$C125,'Paid Log'!$C$9:$C$308,$B125)&gt;0,SUMIFS('Paid Log'!$D$9:$D$308,'Paid Log'!$B$9:$B$308,$C125,'Paid Log'!$C$9:$C$308,$B125),$E125)),""))</f>
        <v/>
      </c>
      <c r="H125" s="93" t="n">
        <f aca="false">IF($B125="","",IF($D125="Income","",IF($F125&lt;&gt;"",$F125,IF(COUNTIFS('Paid Log'!$B$9:$B$308,$C125,'Paid Log'!$C$9:$C$308,$B125)&gt;0,SUMIFS('Paid Log'!$D$9:$D$308,'Paid Log'!$B$9:$B$308,$C125,'Paid Log'!$C$9:$C$308,$B125),$E125))))</f>
        <v>150</v>
      </c>
      <c r="I125" s="94" t="n">
        <f aca="false">IF($B125="","",$I$123+SUMIFS($G$125:$G$175,$M$125:$M$175,"&lt;="&amp;$M125)-SUMIFS($H$125:$H$175,$M$125:$M$175,"&lt;="&amp;$M125))</f>
        <v>483.96</v>
      </c>
      <c r="J125" s="95" t="str">
        <f aca="true">IF($B125="","",IF(OR($F125&lt;&gt;"",COUNTIFS('Paid Log'!$B$9:$B$308,$C125,'Paid Log'!$C$9:$C$308,$B125)&gt;0),IF($C125&gt;TODAY(),"ADJUSTED","PAID"),IF($C125&lt;TODAY(),"PAST DUE",IF($C125&lt;=TODAY()+7,"DUE","Upcoming"))))</f>
        <v>DUE</v>
      </c>
      <c r="K125" s="96" t="str">
        <f aca="false">IF($B125="","",IF(OR($F125&lt;&gt;"",COUNTIFS('Paid Log'!$B$9:$B$308,$C125,'Paid Log'!$C$9:$C$308,$B125)&gt;0),"ACTUAL","FORECAST"))</f>
        <v>FORECAST</v>
      </c>
      <c r="L125" s="97" t="n">
        <f aca="false">IF($B125="","",$C125)</f>
        <v>46264</v>
      </c>
      <c r="M125" s="0" t="n">
        <f aca="false">IF($L125="","",COUNTIFS($L$125:$L$175,"&lt;"&amp;$L125)+COUNTIFS($L$125:$L125,$L125))</f>
        <v>1</v>
      </c>
    </row>
    <row r="126" customFormat="false" ht="15" hidden="false" customHeight="true" outlineLevel="0" collapsed="false">
      <c r="B126" s="7" t="str">
        <f aca="false">IFERROR(INDEX(Schedule!$C$4:$C$483,MATCH(3002,Schedule!$K$4:$K$483,0)),"")</f>
        <v>Patrick Rombalski (rent)</v>
      </c>
      <c r="C126" s="88" t="n">
        <f aca="false">IF($B126="","",INDEX(Schedule!$G$4:$G$483,MATCH(3002,Schedule!$K$4:$K$483,0)))</f>
        <v>46265</v>
      </c>
      <c r="D126" s="89" t="str">
        <f aca="false">IF($B126="","",INDEX(Schedule!$D$4:$D$483,MATCH(3002,Schedule!$K$4:$K$483,0)))</f>
        <v>Expense</v>
      </c>
      <c r="E126" s="90" t="n">
        <f aca="false">IF($B126="","",INDEX(Schedule!$E$4:$E$483,MATCH(3002,Schedule!$K$4:$K$483,0)))</f>
        <v>350</v>
      </c>
      <c r="F126" s="91"/>
      <c r="G126" s="92" t="str">
        <f aca="false">IF($B126="","",IF($D126="Income",IF($F126&lt;&gt;"",$F126,IF(COUNTIFS('Paid Log'!$B$9:$B$308,$C126,'Paid Log'!$C$9:$C$308,$B126)&gt;0,SUMIFS('Paid Log'!$D$9:$D$308,'Paid Log'!$B$9:$B$308,$C126,'Paid Log'!$C$9:$C$308,$B126),$E126)),""))</f>
        <v/>
      </c>
      <c r="H126" s="93" t="n">
        <f aca="false">IF($B126="","",IF($D126="Income","",IF($F126&lt;&gt;"",$F126,IF(COUNTIFS('Paid Log'!$B$9:$B$308,$C126,'Paid Log'!$C$9:$C$308,$B126)&gt;0,SUMIFS('Paid Log'!$D$9:$D$308,'Paid Log'!$B$9:$B$308,$C126,'Paid Log'!$C$9:$C$308,$B126),$E126))))</f>
        <v>350</v>
      </c>
      <c r="I126" s="94" t="n">
        <f aca="false">IF($B126="","",$I$123+SUMIFS($G$125:$G$175,$M$125:$M$175,"&lt;="&amp;$M126)-SUMIFS($H$125:$H$175,$M$125:$M$175,"&lt;="&amp;$M126))</f>
        <v>133.96</v>
      </c>
      <c r="J126" s="95" t="str">
        <f aca="true">IF($B126="","",IF(OR($F126&lt;&gt;"",COUNTIFS('Paid Log'!$B$9:$B$308,$C126,'Paid Log'!$C$9:$C$308,$B126)&gt;0),IF($C126&gt;TODAY(),"ADJUSTED","PAID"),IF($C126&lt;TODAY(),"PAST DUE",IF($C126&lt;=TODAY()+7,"DUE","Upcoming"))))</f>
        <v>DUE</v>
      </c>
      <c r="K126" s="96" t="str">
        <f aca="false">IF($B126="","",IF(OR($F126&lt;&gt;"",COUNTIFS('Paid Log'!$B$9:$B$308,$C126,'Paid Log'!$C$9:$C$308,$B126)&gt;0),"ACTUAL","FORECAST"))</f>
        <v>FORECAST</v>
      </c>
      <c r="L126" s="97" t="n">
        <f aca="false">IF($B126="","",$C126)</f>
        <v>46265</v>
      </c>
      <c r="M126" s="0" t="n">
        <f aca="false">IF($L126="","",COUNTIFS($L$125:$L$175,"&lt;"&amp;$L126)+COUNTIFS($L$125:$L126,$L126))</f>
        <v>2</v>
      </c>
    </row>
    <row r="127" customFormat="false" ht="15" hidden="false" customHeight="true" outlineLevel="0" collapsed="false">
      <c r="B127" s="7" t="str">
        <f aca="false">IFERROR(INDEX(Schedule!$C$4:$C$483,MATCH(3003,Schedule!$K$4:$K$483,0)),"")</f>
        <v>Progressive Insurance</v>
      </c>
      <c r="C127" s="88" t="n">
        <f aca="false">IF($B127="","",INDEX(Schedule!$G$4:$G$483,MATCH(3003,Schedule!$K$4:$K$483,0)))</f>
        <v>46265</v>
      </c>
      <c r="D127" s="89" t="str">
        <f aca="false">IF($B127="","",INDEX(Schedule!$D$4:$D$483,MATCH(3003,Schedule!$K$4:$K$483,0)))</f>
        <v>Expense</v>
      </c>
      <c r="E127" s="90" t="n">
        <f aca="false">IF($B127="","",INDEX(Schedule!$E$4:$E$483,MATCH(3003,Schedule!$K$4:$K$483,0)))</f>
        <v>143.37</v>
      </c>
      <c r="F127" s="91"/>
      <c r="G127" s="92" t="str">
        <f aca="false">IF($B127="","",IF($D127="Income",IF($F127&lt;&gt;"",$F127,IF(COUNTIFS('Paid Log'!$B$9:$B$308,$C127,'Paid Log'!$C$9:$C$308,$B127)&gt;0,SUMIFS('Paid Log'!$D$9:$D$308,'Paid Log'!$B$9:$B$308,$C127,'Paid Log'!$C$9:$C$308,$B127),$E127)),""))</f>
        <v/>
      </c>
      <c r="H127" s="93" t="n">
        <f aca="false">IF($B127="","",IF($D127="Income","",IF($F127&lt;&gt;"",$F127,IF(COUNTIFS('Paid Log'!$B$9:$B$308,$C127,'Paid Log'!$C$9:$C$308,$B127)&gt;0,SUMIFS('Paid Log'!$D$9:$D$308,'Paid Log'!$B$9:$B$308,$C127,'Paid Log'!$C$9:$C$308,$B127),$E127))))</f>
        <v>143.37</v>
      </c>
      <c r="I127" s="94" t="n">
        <f aca="false">IF($B127="","",$I$123+SUMIFS($G$125:$G$175,$M$125:$M$175,"&lt;="&amp;$M127)-SUMIFS($H$125:$H$175,$M$125:$M$175,"&lt;="&amp;$M127))</f>
        <v>-9.40999999999997</v>
      </c>
      <c r="J127" s="95" t="str">
        <f aca="true">IF($B127="","",IF(OR($F127&lt;&gt;"",COUNTIFS('Paid Log'!$B$9:$B$308,$C127,'Paid Log'!$C$9:$C$308,$B127)&gt;0),IF($C127&gt;TODAY(),"ADJUSTED","PAID"),IF($C127&lt;TODAY(),"PAST DUE",IF($C127&lt;=TODAY()+7,"DUE","Upcoming"))))</f>
        <v>DUE</v>
      </c>
      <c r="K127" s="96" t="str">
        <f aca="false">IF($B127="","",IF(OR($F127&lt;&gt;"",COUNTIFS('Paid Log'!$B$9:$B$308,$C127,'Paid Log'!$C$9:$C$308,$B127)&gt;0),"ACTUAL","FORECAST"))</f>
        <v>FORECAST</v>
      </c>
      <c r="L127" s="97" t="n">
        <f aca="false">IF($B127="","",$C127)</f>
        <v>46265</v>
      </c>
      <c r="M127" s="0" t="n">
        <f aca="false">IF($L127="","",COUNTIFS($L$125:$L$175,"&lt;"&amp;$L127)+COUNTIFS($L$125:$L127,$L127))</f>
        <v>3</v>
      </c>
    </row>
    <row r="128" customFormat="false" ht="15" hidden="false" customHeight="true" outlineLevel="0" collapsed="false">
      <c r="B128" s="7" t="str">
        <f aca="false">IFERROR(INDEX(Schedule!$C$4:$C$483,MATCH(3004,Schedule!$K$4:$K$483,0)),"")</f>
        <v>Bruno's Restaurant (paycheck)</v>
      </c>
      <c r="C128" s="88" t="n">
        <f aca="false">IF($B128="","",INDEX(Schedule!$G$4:$G$483,MATCH(3004,Schedule!$K$4:$K$483,0)))</f>
        <v>46267</v>
      </c>
      <c r="D128" s="89" t="str">
        <f aca="false">IF($B128="","",INDEX(Schedule!$D$4:$D$483,MATCH(3004,Schedule!$K$4:$K$483,0)))</f>
        <v>Income</v>
      </c>
      <c r="E128" s="90" t="n">
        <f aca="false">IF($B128="","",INDEX(Schedule!$E$4:$E$483,MATCH(3004,Schedule!$K$4:$K$483,0)))</f>
        <v>90</v>
      </c>
      <c r="F128" s="91"/>
      <c r="G128" s="92" t="n">
        <f aca="false">IF($B128="","",IF($D128="Income",IF($F128&lt;&gt;"",$F128,IF(COUNTIFS('Paid Log'!$B$9:$B$308,$C128,'Paid Log'!$C$9:$C$308,$B128)&gt;0,SUMIFS('Paid Log'!$D$9:$D$308,'Paid Log'!$B$9:$B$308,$C128,'Paid Log'!$C$9:$C$308,$B128),$E128)),""))</f>
        <v>90</v>
      </c>
      <c r="H128" s="93" t="str">
        <f aca="false">IF($B128="","",IF($D128="Income","",IF($F128&lt;&gt;"",$F128,IF(COUNTIFS('Paid Log'!$B$9:$B$308,$C128,'Paid Log'!$C$9:$C$308,$B128)&gt;0,SUMIFS('Paid Log'!$D$9:$D$308,'Paid Log'!$B$9:$B$308,$C128,'Paid Log'!$C$9:$C$308,$B128),$E128))))</f>
        <v/>
      </c>
      <c r="I128" s="94" t="n">
        <f aca="false">IF($B128="","",$I$123+SUMIFS($G$125:$G$175,$M$125:$M$175,"&lt;="&amp;$M128)-SUMIFS($H$125:$H$175,$M$125:$M$175,"&lt;="&amp;$M128))</f>
        <v>80.59</v>
      </c>
      <c r="J128" s="95" t="str">
        <f aca="true">IF($B128="","",IF(OR($F128&lt;&gt;"",COUNTIFS('Paid Log'!$B$9:$B$308,$C128,'Paid Log'!$C$9:$C$308,$B128)&gt;0),IF($C128&gt;TODAY(),"ADJUSTED","PAID"),IF($C128&lt;TODAY(),"PAST DUE",IF($C128&lt;=TODAY()+7,"DUE","Upcoming"))))</f>
        <v>Upcoming</v>
      </c>
      <c r="K128" s="96" t="str">
        <f aca="false">IF($B128="","",IF(OR($F128&lt;&gt;"",COUNTIFS('Paid Log'!$B$9:$B$308,$C128,'Paid Log'!$C$9:$C$308,$B128)&gt;0),"ACTUAL","FORECAST"))</f>
        <v>FORECAST</v>
      </c>
      <c r="L128" s="97" t="n">
        <f aca="false">IF($B128="","",$C128)</f>
        <v>46267</v>
      </c>
      <c r="M128" s="0" t="n">
        <f aca="false">IF($L128="","",COUNTIFS($L$125:$L$175,"&lt;"&amp;$L128)+COUNTIFS($L$125:$L128,$L128))</f>
        <v>4</v>
      </c>
    </row>
    <row r="129" customFormat="false" ht="15" hidden="false" customHeight="true" outlineLevel="0" collapsed="false">
      <c r="B129" s="7" t="str">
        <f aca="false">IFERROR(INDEX(Schedule!$C$4:$C$483,MATCH(3005,Schedule!$K$4:$K$483,0)),"")</f>
        <v>Compunnel Software (paycheck)</v>
      </c>
      <c r="C129" s="88" t="n">
        <f aca="false">IF($B129="","",INDEX(Schedule!$G$4:$G$483,MATCH(3005,Schedule!$K$4:$K$483,0)))</f>
        <v>46269</v>
      </c>
      <c r="D129" s="89" t="str">
        <f aca="false">IF($B129="","",INDEX(Schedule!$D$4:$D$483,MATCH(3005,Schedule!$K$4:$K$483,0)))</f>
        <v>Income</v>
      </c>
      <c r="E129" s="90" t="n">
        <f aca="false">IF($B129="","",INDEX(Schedule!$E$4:$E$483,MATCH(3005,Schedule!$K$4:$K$483,0)))</f>
        <v>745</v>
      </c>
      <c r="F129" s="91"/>
      <c r="G129" s="92" t="n">
        <f aca="false">IF($B129="","",IF($D129="Income",IF($F129&lt;&gt;"",$F129,IF(COUNTIFS('Paid Log'!$B$9:$B$308,$C129,'Paid Log'!$C$9:$C$308,$B129)&gt;0,SUMIFS('Paid Log'!$D$9:$D$308,'Paid Log'!$B$9:$B$308,$C129,'Paid Log'!$C$9:$C$308,$B129),$E129)),""))</f>
        <v>745</v>
      </c>
      <c r="H129" s="93" t="str">
        <f aca="false">IF($B129="","",IF($D129="Income","",IF($F129&lt;&gt;"",$F129,IF(COUNTIFS('Paid Log'!$B$9:$B$308,$C129,'Paid Log'!$C$9:$C$308,$B129)&gt;0,SUMIFS('Paid Log'!$D$9:$D$308,'Paid Log'!$B$9:$B$308,$C129,'Paid Log'!$C$9:$C$308,$B129),$E129))))</f>
        <v/>
      </c>
      <c r="I129" s="94" t="n">
        <f aca="false">IF($B129="","",$I$123+SUMIFS($G$125:$G$175,$M$125:$M$175,"&lt;="&amp;$M129)-SUMIFS($H$125:$H$175,$M$125:$M$175,"&lt;="&amp;$M129))</f>
        <v>825.59</v>
      </c>
      <c r="J129" s="95" t="str">
        <f aca="true">IF($B129="","",IF(OR($F129&lt;&gt;"",COUNTIFS('Paid Log'!$B$9:$B$308,$C129,'Paid Log'!$C$9:$C$308,$B129)&gt;0),IF($C129&gt;TODAY(),"ADJUSTED","PAID"),IF($C129&lt;TODAY(),"PAST DUE",IF($C129&lt;=TODAY()+7,"DUE","Upcoming"))))</f>
        <v>Upcoming</v>
      </c>
      <c r="K129" s="96" t="str">
        <f aca="false">IF($B129="","",IF(OR($F129&lt;&gt;"",COUNTIFS('Paid Log'!$B$9:$B$308,$C129,'Paid Log'!$C$9:$C$308,$B129)&gt;0),"ACTUAL","FORECAST"))</f>
        <v>FORECAST</v>
      </c>
      <c r="L129" s="97" t="n">
        <f aca="false">IF($B129="","",$C129)</f>
        <v>46269</v>
      </c>
      <c r="M129" s="0" t="n">
        <f aca="false">IF($L129="","",COUNTIFS($L$125:$L$175,"&lt;"&amp;$L129)+COUNTIFS($L$125:$L129,$L129))</f>
        <v>5</v>
      </c>
    </row>
    <row r="130" customFormat="false" ht="15" hidden="false" customHeight="true" outlineLevel="0" collapsed="false">
      <c r="B130" s="7" t="str">
        <f aca="false">IFERROR(INDEX(Schedule!$C$4:$C$483,MATCH(3006,Schedule!$K$4:$K$483,0)),"")</f>
        <v>Apple: Claude</v>
      </c>
      <c r="C130" s="88" t="n">
        <f aca="false">IF($B130="","",INDEX(Schedule!$G$4:$G$483,MATCH(3006,Schedule!$K$4:$K$483,0)))</f>
        <v>46269</v>
      </c>
      <c r="D130" s="89" t="str">
        <f aca="false">IF($B130="","",INDEX(Schedule!$D$4:$D$483,MATCH(3006,Schedule!$K$4:$K$483,0)))</f>
        <v>Expense</v>
      </c>
      <c r="E130" s="90" t="n">
        <f aca="false">IF($B130="","",INDEX(Schedule!$E$4:$E$483,MATCH(3006,Schedule!$K$4:$K$483,0)))</f>
        <v>21.1</v>
      </c>
      <c r="F130" s="91"/>
      <c r="G130" s="92" t="str">
        <f aca="false">IF($B130="","",IF($D130="Income",IF($F130&lt;&gt;"",$F130,IF(COUNTIFS('Paid Log'!$B$9:$B$308,$C130,'Paid Log'!$C$9:$C$308,$B130)&gt;0,SUMIFS('Paid Log'!$D$9:$D$308,'Paid Log'!$B$9:$B$308,$C130,'Paid Log'!$C$9:$C$308,$B130),$E130)),""))</f>
        <v/>
      </c>
      <c r="H130" s="93" t="n">
        <f aca="false">IF($B130="","",IF($D130="Income","",IF($F130&lt;&gt;"",$F130,IF(COUNTIFS('Paid Log'!$B$9:$B$308,$C130,'Paid Log'!$C$9:$C$308,$B130)&gt;0,SUMIFS('Paid Log'!$D$9:$D$308,'Paid Log'!$B$9:$B$308,$C130,'Paid Log'!$C$9:$C$308,$B130),$E130))))</f>
        <v>21.1</v>
      </c>
      <c r="I130" s="94" t="n">
        <f aca="false">IF($B130="","",$I$123+SUMIFS($G$125:$G$175,$M$125:$M$175,"&lt;="&amp;$M130)-SUMIFS($H$125:$H$175,$M$125:$M$175,"&lt;="&amp;$M130))</f>
        <v>804.49</v>
      </c>
      <c r="J130" s="95" t="str">
        <f aca="true">IF($B130="","",IF(OR($F130&lt;&gt;"",COUNTIFS('Paid Log'!$B$9:$B$308,$C130,'Paid Log'!$C$9:$C$308,$B130)&gt;0),IF($C130&gt;TODAY(),"ADJUSTED","PAID"),IF($C130&lt;TODAY(),"PAST DUE",IF($C130&lt;=TODAY()+7,"DUE","Upcoming"))))</f>
        <v>Upcoming</v>
      </c>
      <c r="K130" s="96" t="str">
        <f aca="false">IF($B130="","",IF(OR($F130&lt;&gt;"",COUNTIFS('Paid Log'!$B$9:$B$308,$C130,'Paid Log'!$C$9:$C$308,$B130)&gt;0),"ACTUAL","FORECAST"))</f>
        <v>FORECAST</v>
      </c>
      <c r="L130" s="97" t="n">
        <f aca="false">IF($B130="","",$C130)</f>
        <v>46269</v>
      </c>
      <c r="M130" s="0" t="n">
        <f aca="false">IF($L130="","",COUNTIFS($L$125:$L$175,"&lt;"&amp;$L130)+COUNTIFS($L$125:$L130,$L130))</f>
        <v>6</v>
      </c>
    </row>
    <row r="131" customFormat="false" ht="15" hidden="false" customHeight="true" outlineLevel="0" collapsed="false">
      <c r="B131" s="7" t="str">
        <f aca="false">IFERROR(INDEX(Schedule!$C$4:$C$483,MATCH(3007,Schedule!$K$4:$K$483,0)),"")</f>
        <v/>
      </c>
      <c r="C131" s="88" t="str">
        <f aca="false">IF($B131="","",INDEX(Schedule!$G$4:$G$483,MATCH(3007,Schedule!$K$4:$K$483,0)))</f>
        <v/>
      </c>
      <c r="D131" s="89" t="str">
        <f aca="false">IF($B131="","",INDEX(Schedule!$D$4:$D$483,MATCH(3007,Schedule!$K$4:$K$483,0)))</f>
        <v/>
      </c>
      <c r="E131" s="90" t="str">
        <f aca="false">IF($B131="","",INDEX(Schedule!$E$4:$E$483,MATCH(3007,Schedule!$K$4:$K$483,0)))</f>
        <v/>
      </c>
      <c r="F131" s="91"/>
      <c r="G131" s="92" t="str">
        <f aca="false">IF($B131="","",IF($D131="Income",IF($F131&lt;&gt;"",$F131,IF(COUNTIFS('Paid Log'!$B$9:$B$308,$C131,'Paid Log'!$C$9:$C$308,$B131)&gt;0,SUMIFS('Paid Log'!$D$9:$D$308,'Paid Log'!$B$9:$B$308,$C131,'Paid Log'!$C$9:$C$308,$B131),$E131)),""))</f>
        <v/>
      </c>
      <c r="H131" s="93" t="str">
        <f aca="false">IF($B131="","",IF($D131="Income","",IF($F131&lt;&gt;"",$F131,IF(COUNTIFS('Paid Log'!$B$9:$B$308,$C131,'Paid Log'!$C$9:$C$308,$B131)&gt;0,SUMIFS('Paid Log'!$D$9:$D$308,'Paid Log'!$B$9:$B$308,$C131,'Paid Log'!$C$9:$C$308,$B131),$E131))))</f>
        <v/>
      </c>
      <c r="I131" s="94" t="str">
        <f aca="false">IF($B131="","",$I$123+SUMIFS($G$125:$G$175,$M$125:$M$175,"&lt;="&amp;$M131)-SUMIFS($H$125:$H$175,$M$125:$M$175,"&lt;="&amp;$M131))</f>
        <v/>
      </c>
      <c r="J131" s="95" t="str">
        <f aca="true">IF($B131="","",IF(OR($F131&lt;&gt;"",COUNTIFS('Paid Log'!$B$9:$B$308,$C131,'Paid Log'!$C$9:$C$308,$B131)&gt;0),IF($C131&gt;TODAY(),"ADJUSTED","PAID"),IF($C131&lt;TODAY(),"PAST DUE",IF($C131&lt;=TODAY()+7,"DUE","Upcoming"))))</f>
        <v/>
      </c>
      <c r="K131" s="96" t="str">
        <f aca="false">IF($B131="","",IF(OR($F131&lt;&gt;"",COUNTIFS('Paid Log'!$B$9:$B$308,$C131,'Paid Log'!$C$9:$C$308,$B131)&gt;0),"ACTUAL","FORECAST"))</f>
        <v/>
      </c>
      <c r="L131" s="0" t="str">
        <f aca="false">IF($B131="","",$C131)</f>
        <v/>
      </c>
      <c r="M131" s="0" t="str">
        <f aca="false">IF($L131="","",COUNTIFS($L$125:$L$175,"&lt;"&amp;$L131)+COUNTIFS($L$125:$L131,$L131))</f>
        <v/>
      </c>
    </row>
    <row r="132" customFormat="false" ht="15" hidden="false" customHeight="true" outlineLevel="0" collapsed="false">
      <c r="B132" s="7" t="str">
        <f aca="false">IFERROR(INDEX(Schedule!$C$4:$C$483,MATCH(3008,Schedule!$K$4:$K$483,0)),"")</f>
        <v/>
      </c>
      <c r="C132" s="88" t="str">
        <f aca="false">IF($B132="","",INDEX(Schedule!$G$4:$G$483,MATCH(3008,Schedule!$K$4:$K$483,0)))</f>
        <v/>
      </c>
      <c r="D132" s="89" t="str">
        <f aca="false">IF($B132="","",INDEX(Schedule!$D$4:$D$483,MATCH(3008,Schedule!$K$4:$K$483,0)))</f>
        <v/>
      </c>
      <c r="E132" s="90" t="str">
        <f aca="false">IF($B132="","",INDEX(Schedule!$E$4:$E$483,MATCH(3008,Schedule!$K$4:$K$483,0)))</f>
        <v/>
      </c>
      <c r="F132" s="91"/>
      <c r="G132" s="92" t="str">
        <f aca="false">IF($B132="","",IF($D132="Income",IF($F132&lt;&gt;"",$F132,IF(COUNTIFS('Paid Log'!$B$9:$B$308,$C132,'Paid Log'!$C$9:$C$308,$B132)&gt;0,SUMIFS('Paid Log'!$D$9:$D$308,'Paid Log'!$B$9:$B$308,$C132,'Paid Log'!$C$9:$C$308,$B132),$E132)),""))</f>
        <v/>
      </c>
      <c r="H132" s="93" t="str">
        <f aca="false">IF($B132="","",IF($D132="Income","",IF($F132&lt;&gt;"",$F132,IF(COUNTIFS('Paid Log'!$B$9:$B$308,$C132,'Paid Log'!$C$9:$C$308,$B132)&gt;0,SUMIFS('Paid Log'!$D$9:$D$308,'Paid Log'!$B$9:$B$308,$C132,'Paid Log'!$C$9:$C$308,$B132),$E132))))</f>
        <v/>
      </c>
      <c r="I132" s="94" t="str">
        <f aca="false">IF($B132="","",$I$123+SUMIFS($G$125:$G$175,$M$125:$M$175,"&lt;="&amp;$M132)-SUMIFS($H$125:$H$175,$M$125:$M$175,"&lt;="&amp;$M132))</f>
        <v/>
      </c>
      <c r="J132" s="95" t="str">
        <f aca="true">IF($B132="","",IF(OR($F132&lt;&gt;"",COUNTIFS('Paid Log'!$B$9:$B$308,$C132,'Paid Log'!$C$9:$C$308,$B132)&gt;0),IF($C132&gt;TODAY(),"ADJUSTED","PAID"),IF($C132&lt;TODAY(),"PAST DUE",IF($C132&lt;=TODAY()+7,"DUE","Upcoming"))))</f>
        <v/>
      </c>
      <c r="K132" s="96" t="str">
        <f aca="false">IF($B132="","",IF(OR($F132&lt;&gt;"",COUNTIFS('Paid Log'!$B$9:$B$308,$C132,'Paid Log'!$C$9:$C$308,$B132)&gt;0),"ACTUAL","FORECAST"))</f>
        <v/>
      </c>
      <c r="L132" s="0" t="str">
        <f aca="false">IF($B132="","",$C132)</f>
        <v/>
      </c>
      <c r="M132" s="0" t="str">
        <f aca="false">IF($L132="","",COUNTIFS($L$125:$L$175,"&lt;"&amp;$L132)+COUNTIFS($L$125:$L132,$L132))</f>
        <v/>
      </c>
    </row>
    <row r="133" customFormat="false" ht="15" hidden="false" customHeight="true" outlineLevel="0" collapsed="false">
      <c r="B133" s="7" t="str">
        <f aca="false">IFERROR(INDEX(Schedule!$C$4:$C$483,MATCH(3009,Schedule!$K$4:$K$483,0)),"")</f>
        <v/>
      </c>
      <c r="C133" s="88" t="str">
        <f aca="false">IF($B133="","",INDEX(Schedule!$G$4:$G$483,MATCH(3009,Schedule!$K$4:$K$483,0)))</f>
        <v/>
      </c>
      <c r="D133" s="89" t="str">
        <f aca="false">IF($B133="","",INDEX(Schedule!$D$4:$D$483,MATCH(3009,Schedule!$K$4:$K$483,0)))</f>
        <v/>
      </c>
      <c r="E133" s="90" t="str">
        <f aca="false">IF($B133="","",INDEX(Schedule!$E$4:$E$483,MATCH(3009,Schedule!$K$4:$K$483,0)))</f>
        <v/>
      </c>
      <c r="F133" s="91"/>
      <c r="G133" s="92" t="str">
        <f aca="false">IF($B133="","",IF($D133="Income",IF($F133&lt;&gt;"",$F133,IF(COUNTIFS('Paid Log'!$B$9:$B$308,$C133,'Paid Log'!$C$9:$C$308,$B133)&gt;0,SUMIFS('Paid Log'!$D$9:$D$308,'Paid Log'!$B$9:$B$308,$C133,'Paid Log'!$C$9:$C$308,$B133),$E133)),""))</f>
        <v/>
      </c>
      <c r="H133" s="93" t="str">
        <f aca="false">IF($B133="","",IF($D133="Income","",IF($F133&lt;&gt;"",$F133,IF(COUNTIFS('Paid Log'!$B$9:$B$308,$C133,'Paid Log'!$C$9:$C$308,$B133)&gt;0,SUMIFS('Paid Log'!$D$9:$D$308,'Paid Log'!$B$9:$B$308,$C133,'Paid Log'!$C$9:$C$308,$B133),$E133))))</f>
        <v/>
      </c>
      <c r="I133" s="94" t="str">
        <f aca="false">IF($B133="","",$I$123+SUMIFS($G$125:$G$175,$M$125:$M$175,"&lt;="&amp;$M133)-SUMIFS($H$125:$H$175,$M$125:$M$175,"&lt;="&amp;$M133))</f>
        <v/>
      </c>
      <c r="J133" s="95" t="str">
        <f aca="true">IF($B133="","",IF(OR($F133&lt;&gt;"",COUNTIFS('Paid Log'!$B$9:$B$308,$C133,'Paid Log'!$C$9:$C$308,$B133)&gt;0),IF($C133&gt;TODAY(),"ADJUSTED","PAID"),IF($C133&lt;TODAY(),"PAST DUE",IF($C133&lt;=TODAY()+7,"DUE","Upcoming"))))</f>
        <v/>
      </c>
      <c r="K133" s="96" t="str">
        <f aca="false">IF($B133="","",IF(OR($F133&lt;&gt;"",COUNTIFS('Paid Log'!$B$9:$B$308,$C133,'Paid Log'!$C$9:$C$308,$B133)&gt;0),"ACTUAL","FORECAST"))</f>
        <v/>
      </c>
      <c r="L133" s="0" t="str">
        <f aca="false">IF($B133="","",$C133)</f>
        <v/>
      </c>
      <c r="M133" s="0" t="str">
        <f aca="false">IF($L133="","",COUNTIFS($L$125:$L$175,"&lt;"&amp;$L133)+COUNTIFS($L$125:$L133,$L133))</f>
        <v/>
      </c>
    </row>
    <row r="134" customFormat="false" ht="15" hidden="false" customHeight="true" outlineLevel="0" collapsed="false">
      <c r="B134" s="7" t="str">
        <f aca="false">IFERROR(INDEX(Schedule!$C$4:$C$483,MATCH(3010,Schedule!$K$4:$K$483,0)),"")</f>
        <v/>
      </c>
      <c r="C134" s="88" t="str">
        <f aca="false">IF($B134="","",INDEX(Schedule!$G$4:$G$483,MATCH(3010,Schedule!$K$4:$K$483,0)))</f>
        <v/>
      </c>
      <c r="D134" s="89" t="str">
        <f aca="false">IF($B134="","",INDEX(Schedule!$D$4:$D$483,MATCH(3010,Schedule!$K$4:$K$483,0)))</f>
        <v/>
      </c>
      <c r="E134" s="90" t="str">
        <f aca="false">IF($B134="","",INDEX(Schedule!$E$4:$E$483,MATCH(3010,Schedule!$K$4:$K$483,0)))</f>
        <v/>
      </c>
      <c r="F134" s="91"/>
      <c r="G134" s="92" t="str">
        <f aca="false">IF($B134="","",IF($D134="Income",IF($F134&lt;&gt;"",$F134,IF(COUNTIFS('Paid Log'!$B$9:$B$308,$C134,'Paid Log'!$C$9:$C$308,$B134)&gt;0,SUMIFS('Paid Log'!$D$9:$D$308,'Paid Log'!$B$9:$B$308,$C134,'Paid Log'!$C$9:$C$308,$B134),$E134)),""))</f>
        <v/>
      </c>
      <c r="H134" s="93" t="str">
        <f aca="false">IF($B134="","",IF($D134="Income","",IF($F134&lt;&gt;"",$F134,IF(COUNTIFS('Paid Log'!$B$9:$B$308,$C134,'Paid Log'!$C$9:$C$308,$B134)&gt;0,SUMIFS('Paid Log'!$D$9:$D$308,'Paid Log'!$B$9:$B$308,$C134,'Paid Log'!$C$9:$C$308,$B134),$E134))))</f>
        <v/>
      </c>
      <c r="I134" s="94" t="str">
        <f aca="false">IF($B134="","",$I$123+SUMIFS($G$125:$G$175,$M$125:$M$175,"&lt;="&amp;$M134)-SUMIFS($H$125:$H$175,$M$125:$M$175,"&lt;="&amp;$M134))</f>
        <v/>
      </c>
      <c r="J134" s="95" t="str">
        <f aca="true">IF($B134="","",IF(OR($F134&lt;&gt;"",COUNTIFS('Paid Log'!$B$9:$B$308,$C134,'Paid Log'!$C$9:$C$308,$B134)&gt;0),IF($C134&gt;TODAY(),"ADJUSTED","PAID"),IF($C134&lt;TODAY(),"PAST DUE",IF($C134&lt;=TODAY()+7,"DUE","Upcoming"))))</f>
        <v/>
      </c>
      <c r="K134" s="96" t="str">
        <f aca="false">IF($B134="","",IF(OR($F134&lt;&gt;"",COUNTIFS('Paid Log'!$B$9:$B$308,$C134,'Paid Log'!$C$9:$C$308,$B134)&gt;0),"ACTUAL","FORECAST"))</f>
        <v/>
      </c>
      <c r="L134" s="0" t="str">
        <f aca="false">IF($B134="","",$C134)</f>
        <v/>
      </c>
      <c r="M134" s="0" t="str">
        <f aca="false">IF($L134="","",COUNTIFS($L$125:$L$175,"&lt;"&amp;$L134)+COUNTIFS($L$125:$L134,$L134))</f>
        <v/>
      </c>
    </row>
    <row r="135" customFormat="false" ht="15" hidden="false" customHeight="true" outlineLevel="0" collapsed="false">
      <c r="B135" s="98" t="s">
        <v>148</v>
      </c>
      <c r="C135" s="99"/>
      <c r="D135" s="99"/>
      <c r="E135" s="99"/>
      <c r="F135" s="99"/>
      <c r="G135" s="99"/>
      <c r="H135" s="99"/>
      <c r="I135" s="99"/>
      <c r="J135" s="99"/>
    </row>
    <row r="136" customFormat="false" ht="15" hidden="false" customHeight="true" outlineLevel="0" collapsed="false">
      <c r="B136" s="12"/>
      <c r="C136" s="100"/>
      <c r="D136" s="101" t="str">
        <f aca="false">IF($B136="","","Expense")</f>
        <v/>
      </c>
      <c r="E136" s="14"/>
      <c r="F136" s="102"/>
      <c r="G136" s="102"/>
      <c r="H136" s="103" t="str">
        <f aca="false">IF($B136="","",N($E136))</f>
        <v/>
      </c>
      <c r="I136" s="104" t="str">
        <f aca="false">IF($B136="","",$I$123+SUMIFS($G$125:$G$175,$M$125:$M$175,"&lt;="&amp;$M136)-SUMIFS($H$125:$H$175,$M$125:$M$175,"&lt;="&amp;$M136))</f>
        <v/>
      </c>
      <c r="J136" s="102"/>
      <c r="K136" s="96" t="str">
        <f aca="false">IF($B136="","","ACTUAL")</f>
        <v/>
      </c>
      <c r="L136" s="0" t="str">
        <f aca="false">IF($B136="","",IF($C136="",$E$6+20,$C136))</f>
        <v/>
      </c>
      <c r="M136" s="0" t="str">
        <f aca="false">IF($L136="","",COUNTIFS($L$125:$L$175,"&lt;"&amp;$L136)+COUNTIFS($L$125:$L136,$L136))</f>
        <v/>
      </c>
    </row>
    <row r="137" customFormat="false" ht="15" hidden="false" customHeight="true" outlineLevel="0" collapsed="false">
      <c r="B137" s="12"/>
      <c r="C137" s="100"/>
      <c r="D137" s="101" t="str">
        <f aca="false">IF($B137="","","Expense")</f>
        <v/>
      </c>
      <c r="E137" s="14"/>
      <c r="F137" s="102"/>
      <c r="G137" s="102"/>
      <c r="H137" s="103" t="str">
        <f aca="false">IF($B137="","",N($E137))</f>
        <v/>
      </c>
      <c r="I137" s="104" t="str">
        <f aca="false">IF($B137="","",$I$123+SUMIFS($G$125:$G$175,$M$125:$M$175,"&lt;="&amp;$M137)-SUMIFS($H$125:$H$175,$M$125:$M$175,"&lt;="&amp;$M137))</f>
        <v/>
      </c>
      <c r="J137" s="102"/>
      <c r="K137" s="96" t="str">
        <f aca="false">IF($B137="","","ACTUAL")</f>
        <v/>
      </c>
      <c r="L137" s="0" t="str">
        <f aca="false">IF($B137="","",IF($C137="",$E$6+20,$C137))</f>
        <v/>
      </c>
      <c r="M137" s="0" t="str">
        <f aca="false">IF($L137="","",COUNTIFS($L$125:$L$175,"&lt;"&amp;$L137)+COUNTIFS($L$125:$L137,$L137))</f>
        <v/>
      </c>
    </row>
    <row r="138" customFormat="false" ht="15" hidden="false" customHeight="true" outlineLevel="0" collapsed="false">
      <c r="B138" s="12"/>
      <c r="C138" s="100"/>
      <c r="D138" s="101" t="str">
        <f aca="false">IF($B138="","","Expense")</f>
        <v/>
      </c>
      <c r="E138" s="14"/>
      <c r="F138" s="102"/>
      <c r="G138" s="102"/>
      <c r="H138" s="103" t="str">
        <f aca="false">IF($B138="","",N($E138))</f>
        <v/>
      </c>
      <c r="I138" s="104" t="str">
        <f aca="false">IF($B138="","",$I$123+SUMIFS($G$125:$G$175,$M$125:$M$175,"&lt;="&amp;$M138)-SUMIFS($H$125:$H$175,$M$125:$M$175,"&lt;="&amp;$M138))</f>
        <v/>
      </c>
      <c r="J138" s="102"/>
      <c r="K138" s="96" t="str">
        <f aca="false">IF($B138="","","ACTUAL")</f>
        <v/>
      </c>
      <c r="L138" s="0" t="str">
        <f aca="false">IF($B138="","",IF($C138="",$E$6+20,$C138))</f>
        <v/>
      </c>
      <c r="M138" s="0" t="str">
        <f aca="false">IF($L138="","",COUNTIFS($L$125:$L$175,"&lt;"&amp;$L138)+COUNTIFS($L$125:$L138,$L138))</f>
        <v/>
      </c>
    </row>
    <row r="139" customFormat="false" ht="15" hidden="false" customHeight="true" outlineLevel="0" collapsed="false">
      <c r="B139" s="12"/>
      <c r="C139" s="100"/>
      <c r="D139" s="101" t="str">
        <f aca="false">IF($B139="","","Expense")</f>
        <v/>
      </c>
      <c r="E139" s="14"/>
      <c r="F139" s="102"/>
      <c r="G139" s="102"/>
      <c r="H139" s="103" t="str">
        <f aca="false">IF($B139="","",N($E139))</f>
        <v/>
      </c>
      <c r="I139" s="104" t="str">
        <f aca="false">IF($B139="","",$I$123+SUMIFS($G$125:$G$175,$M$125:$M$175,"&lt;="&amp;$M139)-SUMIFS($H$125:$H$175,$M$125:$M$175,"&lt;="&amp;$M139))</f>
        <v/>
      </c>
      <c r="J139" s="102"/>
      <c r="K139" s="96" t="str">
        <f aca="false">IF($B139="","","ACTUAL")</f>
        <v/>
      </c>
      <c r="L139" s="0" t="str">
        <f aca="false">IF($B139="","",IF($C139="",$E$6+20,$C139))</f>
        <v/>
      </c>
      <c r="M139" s="0" t="str">
        <f aca="false">IF($L139="","",COUNTIFS($L$125:$L$175,"&lt;"&amp;$L139)+COUNTIFS($L$125:$L139,$L139))</f>
        <v/>
      </c>
    </row>
    <row r="140" customFormat="false" ht="15" hidden="false" customHeight="true" outlineLevel="0" collapsed="false">
      <c r="B140" s="12"/>
      <c r="C140" s="100"/>
      <c r="D140" s="101" t="str">
        <f aca="false">IF($B140="","","Expense")</f>
        <v/>
      </c>
      <c r="E140" s="14"/>
      <c r="F140" s="102"/>
      <c r="G140" s="102"/>
      <c r="H140" s="103" t="str">
        <f aca="false">IF($B140="","",N($E140))</f>
        <v/>
      </c>
      <c r="I140" s="104" t="str">
        <f aca="false">IF($B140="","",$I$123+SUMIFS($G$125:$G$175,$M$125:$M$175,"&lt;="&amp;$M140)-SUMIFS($H$125:$H$175,$M$125:$M$175,"&lt;="&amp;$M140))</f>
        <v/>
      </c>
      <c r="J140" s="102"/>
      <c r="K140" s="96" t="str">
        <f aca="false">IF($B140="","","ACTUAL")</f>
        <v/>
      </c>
      <c r="L140" s="0" t="str">
        <f aca="false">IF($B140="","",IF($C140="",$E$6+20,$C140))</f>
        <v/>
      </c>
      <c r="M140" s="0" t="str">
        <f aca="false">IF($L140="","",COUNTIFS($L$125:$L$175,"&lt;"&amp;$L140)+COUNTIFS($L$125:$L140,$L140))</f>
        <v/>
      </c>
    </row>
    <row r="141" customFormat="false" ht="15" hidden="false" customHeight="true" outlineLevel="0" collapsed="false">
      <c r="B141" s="12"/>
      <c r="C141" s="100"/>
      <c r="D141" s="101" t="str">
        <f aca="false">IF($B141="","","Expense")</f>
        <v/>
      </c>
      <c r="E141" s="14"/>
      <c r="F141" s="102"/>
      <c r="G141" s="102"/>
      <c r="H141" s="103" t="str">
        <f aca="false">IF($B141="","",N($E141))</f>
        <v/>
      </c>
      <c r="I141" s="104" t="str">
        <f aca="false">IF($B141="","",$I$123+SUMIFS($G$125:$G$175,$M$125:$M$175,"&lt;="&amp;$M141)-SUMIFS($H$125:$H$175,$M$125:$M$175,"&lt;="&amp;$M141))</f>
        <v/>
      </c>
      <c r="J141" s="102"/>
      <c r="K141" s="96" t="str">
        <f aca="false">IF($B141="","","ACTUAL")</f>
        <v/>
      </c>
      <c r="L141" s="0" t="str">
        <f aca="false">IF($B141="","",IF($C141="",$E$6+20,$C141))</f>
        <v/>
      </c>
      <c r="M141" s="0" t="str">
        <f aca="false">IF($L141="","",COUNTIFS($L$125:$L$175,"&lt;"&amp;$L141)+COUNTIFS($L$125:$L141,$L141))</f>
        <v/>
      </c>
    </row>
    <row r="142" customFormat="false" ht="15" hidden="false" customHeight="true" outlineLevel="0" collapsed="false">
      <c r="B142" s="12"/>
      <c r="C142" s="100"/>
      <c r="D142" s="101" t="str">
        <f aca="false">IF($B142="","","Expense")</f>
        <v/>
      </c>
      <c r="E142" s="14"/>
      <c r="F142" s="102"/>
      <c r="G142" s="102"/>
      <c r="H142" s="103" t="str">
        <f aca="false">IF($B142="","",N($E142))</f>
        <v/>
      </c>
      <c r="I142" s="104" t="str">
        <f aca="false">IF($B142="","",$I$123+SUMIFS($G$125:$G$175,$M$125:$M$175,"&lt;="&amp;$M142)-SUMIFS($H$125:$H$175,$M$125:$M$175,"&lt;="&amp;$M142))</f>
        <v/>
      </c>
      <c r="J142" s="102"/>
      <c r="K142" s="96" t="str">
        <f aca="false">IF($B142="","","ACTUAL")</f>
        <v/>
      </c>
      <c r="L142" s="0" t="str">
        <f aca="false">IF($B142="","",IF($C142="",$E$6+20,$C142))</f>
        <v/>
      </c>
      <c r="M142" s="0" t="str">
        <f aca="false">IF($L142="","",COUNTIFS($L$125:$L$175,"&lt;"&amp;$L142)+COUNTIFS($L$125:$L142,$L142))</f>
        <v/>
      </c>
    </row>
    <row r="143" customFormat="false" ht="15" hidden="false" customHeight="true" outlineLevel="0" collapsed="false">
      <c r="B143" s="12"/>
      <c r="C143" s="100"/>
      <c r="D143" s="101" t="str">
        <f aca="false">IF($B143="","","Expense")</f>
        <v/>
      </c>
      <c r="E143" s="14"/>
      <c r="F143" s="102"/>
      <c r="G143" s="102"/>
      <c r="H143" s="103" t="str">
        <f aca="false">IF($B143="","",N($E143))</f>
        <v/>
      </c>
      <c r="I143" s="104" t="str">
        <f aca="false">IF($B143="","",$I$123+SUMIFS($G$125:$G$175,$M$125:$M$175,"&lt;="&amp;$M143)-SUMIFS($H$125:$H$175,$M$125:$M$175,"&lt;="&amp;$M143))</f>
        <v/>
      </c>
      <c r="J143" s="102"/>
      <c r="K143" s="96" t="str">
        <f aca="false">IF($B143="","","ACTUAL")</f>
        <v/>
      </c>
      <c r="L143" s="0" t="str">
        <f aca="false">IF($B143="","",IF($C143="",$E$6+20,$C143))</f>
        <v/>
      </c>
      <c r="M143" s="0" t="str">
        <f aca="false">IF($L143="","",COUNTIFS($L$125:$L$175,"&lt;"&amp;$L143)+COUNTIFS($L$125:$L143,$L143))</f>
        <v/>
      </c>
    </row>
    <row r="144" customFormat="false" ht="15" hidden="false" customHeight="true" outlineLevel="0" collapsed="false">
      <c r="B144" s="12"/>
      <c r="C144" s="100"/>
      <c r="D144" s="101" t="str">
        <f aca="false">IF($B144="","","Expense")</f>
        <v/>
      </c>
      <c r="E144" s="14"/>
      <c r="F144" s="102"/>
      <c r="G144" s="102"/>
      <c r="H144" s="103" t="str">
        <f aca="false">IF($B144="","",N($E144))</f>
        <v/>
      </c>
      <c r="I144" s="104" t="str">
        <f aca="false">IF($B144="","",$I$123+SUMIFS($G$125:$G$175,$M$125:$M$175,"&lt;="&amp;$M144)-SUMIFS($H$125:$H$175,$M$125:$M$175,"&lt;="&amp;$M144))</f>
        <v/>
      </c>
      <c r="J144" s="102"/>
      <c r="K144" s="96" t="str">
        <f aca="false">IF($B144="","","ACTUAL")</f>
        <v/>
      </c>
      <c r="L144" s="0" t="str">
        <f aca="false">IF($B144="","",IF($C144="",$E$6+20,$C144))</f>
        <v/>
      </c>
      <c r="M144" s="0" t="str">
        <f aca="false">IF($L144="","",COUNTIFS($L$125:$L$175,"&lt;"&amp;$L144)+COUNTIFS($L$125:$L144,$L144))</f>
        <v/>
      </c>
    </row>
    <row r="145" customFormat="false" ht="15" hidden="false" customHeight="true" outlineLevel="0" collapsed="false">
      <c r="B145" s="12"/>
      <c r="C145" s="100"/>
      <c r="D145" s="101" t="str">
        <f aca="false">IF($B145="","","Expense")</f>
        <v/>
      </c>
      <c r="E145" s="14"/>
      <c r="F145" s="102"/>
      <c r="G145" s="102"/>
      <c r="H145" s="103" t="str">
        <f aca="false">IF($B145="","",N($E145))</f>
        <v/>
      </c>
      <c r="I145" s="104" t="str">
        <f aca="false">IF($B145="","",$I$123+SUMIFS($G$125:$G$175,$M$125:$M$175,"&lt;="&amp;$M145)-SUMIFS($H$125:$H$175,$M$125:$M$175,"&lt;="&amp;$M145))</f>
        <v/>
      </c>
      <c r="J145" s="102"/>
      <c r="K145" s="96" t="str">
        <f aca="false">IF($B145="","","ACTUAL")</f>
        <v/>
      </c>
      <c r="L145" s="0" t="str">
        <f aca="false">IF($B145="","",IF($C145="",$E$6+20,$C145))</f>
        <v/>
      </c>
      <c r="M145" s="0" t="str">
        <f aca="false">IF($L145="","",COUNTIFS($L$125:$L$175,"&lt;"&amp;$L145)+COUNTIFS($L$125:$L145,$L145))</f>
        <v/>
      </c>
    </row>
    <row r="146" customFormat="false" ht="15" hidden="false" customHeight="true" outlineLevel="0" collapsed="false">
      <c r="B146" s="12"/>
      <c r="C146" s="100"/>
      <c r="D146" s="101" t="str">
        <f aca="false">IF($B146="","","Expense")</f>
        <v/>
      </c>
      <c r="E146" s="14"/>
      <c r="F146" s="102"/>
      <c r="G146" s="102"/>
      <c r="H146" s="103" t="str">
        <f aca="false">IF($B146="","",N($E146))</f>
        <v/>
      </c>
      <c r="I146" s="104" t="str">
        <f aca="false">IF($B146="","",$I$123+SUMIFS($G$125:$G$175,$M$125:$M$175,"&lt;="&amp;$M146)-SUMIFS($H$125:$H$175,$M$125:$M$175,"&lt;="&amp;$M146))</f>
        <v/>
      </c>
      <c r="J146" s="102"/>
      <c r="K146" s="96" t="str">
        <f aca="false">IF($B146="","","ACTUAL")</f>
        <v/>
      </c>
      <c r="L146" s="0" t="str">
        <f aca="false">IF($B146="","",IF($C146="",$E$6+20,$C146))</f>
        <v/>
      </c>
      <c r="M146" s="0" t="str">
        <f aca="false">IF($L146="","",COUNTIFS($L$125:$L$175,"&lt;"&amp;$L146)+COUNTIFS($L$125:$L146,$L146))</f>
        <v/>
      </c>
    </row>
    <row r="147" customFormat="false" ht="15" hidden="false" customHeight="true" outlineLevel="0" collapsed="false">
      <c r="B147" s="12"/>
      <c r="C147" s="100"/>
      <c r="D147" s="101" t="str">
        <f aca="false">IF($B147="","","Expense")</f>
        <v/>
      </c>
      <c r="E147" s="14"/>
      <c r="F147" s="102"/>
      <c r="G147" s="102"/>
      <c r="H147" s="103" t="str">
        <f aca="false">IF($B147="","",N($E147))</f>
        <v/>
      </c>
      <c r="I147" s="104" t="str">
        <f aca="false">IF($B147="","",$I$123+SUMIFS($G$125:$G$175,$M$125:$M$175,"&lt;="&amp;$M147)-SUMIFS($H$125:$H$175,$M$125:$M$175,"&lt;="&amp;$M147))</f>
        <v/>
      </c>
      <c r="J147" s="102"/>
      <c r="K147" s="96" t="str">
        <f aca="false">IF($B147="","","ACTUAL")</f>
        <v/>
      </c>
      <c r="L147" s="0" t="str">
        <f aca="false">IF($B147="","",IF($C147="",$E$6+20,$C147))</f>
        <v/>
      </c>
      <c r="M147" s="0" t="str">
        <f aca="false">IF($L147="","",COUNTIFS($L$125:$L$175,"&lt;"&amp;$L147)+COUNTIFS($L$125:$L147,$L147))</f>
        <v/>
      </c>
    </row>
    <row r="148" customFormat="false" ht="15" hidden="false" customHeight="true" outlineLevel="0" collapsed="false">
      <c r="B148" s="12"/>
      <c r="C148" s="100"/>
      <c r="D148" s="101" t="str">
        <f aca="false">IF($B148="","","Expense")</f>
        <v/>
      </c>
      <c r="E148" s="14"/>
      <c r="F148" s="102"/>
      <c r="G148" s="102"/>
      <c r="H148" s="103" t="str">
        <f aca="false">IF($B148="","",N($E148))</f>
        <v/>
      </c>
      <c r="I148" s="104" t="str">
        <f aca="false">IF($B148="","",$I$123+SUMIFS($G$125:$G$175,$M$125:$M$175,"&lt;="&amp;$M148)-SUMIFS($H$125:$H$175,$M$125:$M$175,"&lt;="&amp;$M148))</f>
        <v/>
      </c>
      <c r="J148" s="102"/>
      <c r="K148" s="96" t="str">
        <f aca="false">IF($B148="","","ACTUAL")</f>
        <v/>
      </c>
      <c r="L148" s="0" t="str">
        <f aca="false">IF($B148="","",IF($C148="",$E$6+20,$C148))</f>
        <v/>
      </c>
      <c r="M148" s="0" t="str">
        <f aca="false">IF($L148="","",COUNTIFS($L$125:$L$175,"&lt;"&amp;$L148)+COUNTIFS($L$125:$L148,$L148))</f>
        <v/>
      </c>
    </row>
    <row r="149" customFormat="false" ht="15" hidden="false" customHeight="true" outlineLevel="0" collapsed="false">
      <c r="B149" s="12"/>
      <c r="C149" s="100"/>
      <c r="D149" s="101" t="str">
        <f aca="false">IF($B149="","","Expense")</f>
        <v/>
      </c>
      <c r="E149" s="14"/>
      <c r="F149" s="102"/>
      <c r="G149" s="102"/>
      <c r="H149" s="103" t="str">
        <f aca="false">IF($B149="","",N($E149))</f>
        <v/>
      </c>
      <c r="I149" s="104" t="str">
        <f aca="false">IF($B149="","",$I$123+SUMIFS($G$125:$G$175,$M$125:$M$175,"&lt;="&amp;$M149)-SUMIFS($H$125:$H$175,$M$125:$M$175,"&lt;="&amp;$M149))</f>
        <v/>
      </c>
      <c r="J149" s="102"/>
      <c r="K149" s="96" t="str">
        <f aca="false">IF($B149="","","ACTUAL")</f>
        <v/>
      </c>
      <c r="L149" s="0" t="str">
        <f aca="false">IF($B149="","",IF($C149="",$E$6+20,$C149))</f>
        <v/>
      </c>
      <c r="M149" s="0" t="str">
        <f aca="false">IF($L149="","",COUNTIFS($L$125:$L$175,"&lt;"&amp;$L149)+COUNTIFS($L$125:$L149,$L149))</f>
        <v/>
      </c>
    </row>
    <row r="150" customFormat="false" ht="15" hidden="false" customHeight="true" outlineLevel="0" collapsed="false">
      <c r="B150" s="12"/>
      <c r="C150" s="100"/>
      <c r="D150" s="101" t="str">
        <f aca="false">IF($B150="","","Expense")</f>
        <v/>
      </c>
      <c r="E150" s="14"/>
      <c r="F150" s="102"/>
      <c r="G150" s="102"/>
      <c r="H150" s="103" t="str">
        <f aca="false">IF($B150="","",N($E150))</f>
        <v/>
      </c>
      <c r="I150" s="104" t="str">
        <f aca="false">IF($B150="","",$I$123+SUMIFS($G$125:$G$175,$M$125:$M$175,"&lt;="&amp;$M150)-SUMIFS($H$125:$H$175,$M$125:$M$175,"&lt;="&amp;$M150))</f>
        <v/>
      </c>
      <c r="J150" s="102"/>
      <c r="K150" s="96" t="str">
        <f aca="false">IF($B150="","","ACTUAL")</f>
        <v/>
      </c>
      <c r="L150" s="0" t="str">
        <f aca="false">IF($B150="","",IF($C150="",$E$6+20,$C150))</f>
        <v/>
      </c>
      <c r="M150" s="0" t="str">
        <f aca="false">IF($L150="","",COUNTIFS($L$125:$L$175,"&lt;"&amp;$L150)+COUNTIFS($L$125:$L150,$L150))</f>
        <v/>
      </c>
    </row>
    <row r="151" customFormat="false" ht="15" hidden="false" customHeight="true" outlineLevel="0" collapsed="false">
      <c r="B151" s="12"/>
      <c r="C151" s="100"/>
      <c r="D151" s="101" t="str">
        <f aca="false">IF($B151="","","Expense")</f>
        <v/>
      </c>
      <c r="E151" s="14"/>
      <c r="F151" s="102"/>
      <c r="G151" s="102"/>
      <c r="H151" s="103" t="str">
        <f aca="false">IF($B151="","",N($E151))</f>
        <v/>
      </c>
      <c r="I151" s="104" t="str">
        <f aca="false">IF($B151="","",$I$123+SUMIFS($G$125:$G$175,$M$125:$M$175,"&lt;="&amp;$M151)-SUMIFS($H$125:$H$175,$M$125:$M$175,"&lt;="&amp;$M151))</f>
        <v/>
      </c>
      <c r="J151" s="102"/>
      <c r="K151" s="96" t="str">
        <f aca="false">IF($B151="","","ACTUAL")</f>
        <v/>
      </c>
      <c r="L151" s="0" t="str">
        <f aca="false">IF($B151="","",IF($C151="",$E$6+20,$C151))</f>
        <v/>
      </c>
      <c r="M151" s="0" t="str">
        <f aca="false">IF($L151="","",COUNTIFS($L$125:$L$175,"&lt;"&amp;$L151)+COUNTIFS($L$125:$L151,$L151))</f>
        <v/>
      </c>
    </row>
    <row r="152" customFormat="false" ht="15" hidden="false" customHeight="true" outlineLevel="0" collapsed="false">
      <c r="B152" s="12"/>
      <c r="C152" s="100"/>
      <c r="D152" s="101" t="str">
        <f aca="false">IF($B152="","","Expense")</f>
        <v/>
      </c>
      <c r="E152" s="14"/>
      <c r="F152" s="102"/>
      <c r="G152" s="102"/>
      <c r="H152" s="103" t="str">
        <f aca="false">IF($B152="","",N($E152))</f>
        <v/>
      </c>
      <c r="I152" s="104" t="str">
        <f aca="false">IF($B152="","",$I$123+SUMIFS($G$125:$G$175,$M$125:$M$175,"&lt;="&amp;$M152)-SUMIFS($H$125:$H$175,$M$125:$M$175,"&lt;="&amp;$M152))</f>
        <v/>
      </c>
      <c r="J152" s="102"/>
      <c r="K152" s="96" t="str">
        <f aca="false">IF($B152="","","ACTUAL")</f>
        <v/>
      </c>
      <c r="L152" s="0" t="str">
        <f aca="false">IF($B152="","",IF($C152="",$E$6+20,$C152))</f>
        <v/>
      </c>
      <c r="M152" s="0" t="str">
        <f aca="false">IF($L152="","",COUNTIFS($L$125:$L$175,"&lt;"&amp;$L152)+COUNTIFS($L$125:$L152,$L152))</f>
        <v/>
      </c>
    </row>
    <row r="153" customFormat="false" ht="15" hidden="false" customHeight="true" outlineLevel="0" collapsed="false">
      <c r="B153" s="12"/>
      <c r="C153" s="100"/>
      <c r="D153" s="101" t="str">
        <f aca="false">IF($B153="","","Expense")</f>
        <v/>
      </c>
      <c r="E153" s="14"/>
      <c r="F153" s="102"/>
      <c r="G153" s="102"/>
      <c r="H153" s="103" t="str">
        <f aca="false">IF($B153="","",N($E153))</f>
        <v/>
      </c>
      <c r="I153" s="104" t="str">
        <f aca="false">IF($B153="","",$I$123+SUMIFS($G$125:$G$175,$M$125:$M$175,"&lt;="&amp;$M153)-SUMIFS($H$125:$H$175,$M$125:$M$175,"&lt;="&amp;$M153))</f>
        <v/>
      </c>
      <c r="J153" s="102"/>
      <c r="K153" s="96" t="str">
        <f aca="false">IF($B153="","","ACTUAL")</f>
        <v/>
      </c>
      <c r="L153" s="0" t="str">
        <f aca="false">IF($B153="","",IF($C153="",$E$6+20,$C153))</f>
        <v/>
      </c>
      <c r="M153" s="0" t="str">
        <f aca="false">IF($L153="","",COUNTIFS($L$125:$L$175,"&lt;"&amp;$L153)+COUNTIFS($L$125:$L153,$L153))</f>
        <v/>
      </c>
    </row>
    <row r="154" customFormat="false" ht="15" hidden="false" customHeight="true" outlineLevel="0" collapsed="false">
      <c r="B154" s="12"/>
      <c r="C154" s="100"/>
      <c r="D154" s="101" t="str">
        <f aca="false">IF($B154="","","Expense")</f>
        <v/>
      </c>
      <c r="E154" s="14"/>
      <c r="F154" s="102"/>
      <c r="G154" s="102"/>
      <c r="H154" s="103" t="str">
        <f aca="false">IF($B154="","",N($E154))</f>
        <v/>
      </c>
      <c r="I154" s="104" t="str">
        <f aca="false">IF($B154="","",$I$123+SUMIFS($G$125:$G$175,$M$125:$M$175,"&lt;="&amp;$M154)-SUMIFS($H$125:$H$175,$M$125:$M$175,"&lt;="&amp;$M154))</f>
        <v/>
      </c>
      <c r="J154" s="102"/>
      <c r="K154" s="96" t="str">
        <f aca="false">IF($B154="","","ACTUAL")</f>
        <v/>
      </c>
      <c r="L154" s="0" t="str">
        <f aca="false">IF($B154="","",IF($C154="",$E$6+20,$C154))</f>
        <v/>
      </c>
      <c r="M154" s="0" t="str">
        <f aca="false">IF($L154="","",COUNTIFS($L$125:$L$175,"&lt;"&amp;$L154)+COUNTIFS($L$125:$L154,$L154))</f>
        <v/>
      </c>
    </row>
    <row r="155" customFormat="false" ht="15" hidden="false" customHeight="true" outlineLevel="0" collapsed="false">
      <c r="B155" s="12"/>
      <c r="C155" s="100"/>
      <c r="D155" s="101" t="str">
        <f aca="false">IF($B155="","","Expense")</f>
        <v/>
      </c>
      <c r="E155" s="14"/>
      <c r="F155" s="102"/>
      <c r="G155" s="102"/>
      <c r="H155" s="103" t="str">
        <f aca="false">IF($B155="","",N($E155))</f>
        <v/>
      </c>
      <c r="I155" s="104" t="str">
        <f aca="false">IF($B155="","",$I$123+SUMIFS($G$125:$G$175,$M$125:$M$175,"&lt;="&amp;$M155)-SUMIFS($H$125:$H$175,$M$125:$M$175,"&lt;="&amp;$M155))</f>
        <v/>
      </c>
      <c r="J155" s="102"/>
      <c r="K155" s="96" t="str">
        <f aca="false">IF($B155="","","ACTUAL")</f>
        <v/>
      </c>
      <c r="L155" s="0" t="str">
        <f aca="false">IF($B155="","",IF($C155="",$E$6+20,$C155))</f>
        <v/>
      </c>
      <c r="M155" s="0" t="str">
        <f aca="false">IF($L155="","",COUNTIFS($L$125:$L$175,"&lt;"&amp;$L155)+COUNTIFS($L$125:$L155,$L155))</f>
        <v/>
      </c>
    </row>
    <row r="156" customFormat="false" ht="15" hidden="false" customHeight="true" outlineLevel="0" collapsed="false">
      <c r="B156" s="12"/>
      <c r="C156" s="100"/>
      <c r="D156" s="101" t="str">
        <f aca="false">IF($B156="","","Expense")</f>
        <v/>
      </c>
      <c r="E156" s="14"/>
      <c r="F156" s="102"/>
      <c r="G156" s="102"/>
      <c r="H156" s="103" t="str">
        <f aca="false">IF($B156="","",N($E156))</f>
        <v/>
      </c>
      <c r="I156" s="104" t="str">
        <f aca="false">IF($B156="","",$I$123+SUMIFS($G$125:$G$175,$M$125:$M$175,"&lt;="&amp;$M156)-SUMIFS($H$125:$H$175,$M$125:$M$175,"&lt;="&amp;$M156))</f>
        <v/>
      </c>
      <c r="J156" s="102"/>
      <c r="K156" s="96" t="str">
        <f aca="false">IF($B156="","","ACTUAL")</f>
        <v/>
      </c>
      <c r="L156" s="0" t="str">
        <f aca="false">IF($B156="","",IF($C156="",$E$6+20,$C156))</f>
        <v/>
      </c>
      <c r="M156" s="0" t="str">
        <f aca="false">IF($L156="","",COUNTIFS($L$125:$L$175,"&lt;"&amp;$L156)+COUNTIFS($L$125:$L156,$L156))</f>
        <v/>
      </c>
    </row>
    <row r="157" customFormat="false" ht="15" hidden="false" customHeight="true" outlineLevel="0" collapsed="false">
      <c r="B157" s="12"/>
      <c r="C157" s="100"/>
      <c r="D157" s="101" t="str">
        <f aca="false">IF($B157="","","Expense")</f>
        <v/>
      </c>
      <c r="E157" s="14"/>
      <c r="F157" s="102"/>
      <c r="G157" s="102"/>
      <c r="H157" s="103" t="str">
        <f aca="false">IF($B157="","",N($E157))</f>
        <v/>
      </c>
      <c r="I157" s="104" t="str">
        <f aca="false">IF($B157="","",$I$123+SUMIFS($G$125:$G$175,$M$125:$M$175,"&lt;="&amp;$M157)-SUMIFS($H$125:$H$175,$M$125:$M$175,"&lt;="&amp;$M157))</f>
        <v/>
      </c>
      <c r="J157" s="102"/>
      <c r="K157" s="96" t="str">
        <f aca="false">IF($B157="","","ACTUAL")</f>
        <v/>
      </c>
      <c r="L157" s="0" t="str">
        <f aca="false">IF($B157="","",IF($C157="",$E$6+20,$C157))</f>
        <v/>
      </c>
      <c r="M157" s="0" t="str">
        <f aca="false">IF($L157="","",COUNTIFS($L$125:$L$175,"&lt;"&amp;$L157)+COUNTIFS($L$125:$L157,$L157))</f>
        <v/>
      </c>
    </row>
    <row r="158" customFormat="false" ht="15" hidden="false" customHeight="true" outlineLevel="0" collapsed="false">
      <c r="B158" s="12"/>
      <c r="C158" s="100"/>
      <c r="D158" s="101" t="str">
        <f aca="false">IF($B158="","","Expense")</f>
        <v/>
      </c>
      <c r="E158" s="14"/>
      <c r="F158" s="102"/>
      <c r="G158" s="102"/>
      <c r="H158" s="103" t="str">
        <f aca="false">IF($B158="","",N($E158))</f>
        <v/>
      </c>
      <c r="I158" s="104" t="str">
        <f aca="false">IF($B158="","",$I$123+SUMIFS($G$125:$G$175,$M$125:$M$175,"&lt;="&amp;$M158)-SUMIFS($H$125:$H$175,$M$125:$M$175,"&lt;="&amp;$M158))</f>
        <v/>
      </c>
      <c r="J158" s="102"/>
      <c r="K158" s="96" t="str">
        <f aca="false">IF($B158="","","ACTUAL")</f>
        <v/>
      </c>
      <c r="L158" s="0" t="str">
        <f aca="false">IF($B158="","",IF($C158="",$E$6+20,$C158))</f>
        <v/>
      </c>
      <c r="M158" s="0" t="str">
        <f aca="false">IF($L158="","",COUNTIFS($L$125:$L$175,"&lt;"&amp;$L158)+COUNTIFS($L$125:$L158,$L158))</f>
        <v/>
      </c>
    </row>
    <row r="159" customFormat="false" ht="15" hidden="false" customHeight="true" outlineLevel="0" collapsed="false">
      <c r="B159" s="12"/>
      <c r="C159" s="100"/>
      <c r="D159" s="101" t="str">
        <f aca="false">IF($B159="","","Expense")</f>
        <v/>
      </c>
      <c r="E159" s="14"/>
      <c r="F159" s="102"/>
      <c r="G159" s="102"/>
      <c r="H159" s="103" t="str">
        <f aca="false">IF($B159="","",N($E159))</f>
        <v/>
      </c>
      <c r="I159" s="104" t="str">
        <f aca="false">IF($B159="","",$I$123+SUMIFS($G$125:$G$175,$M$125:$M$175,"&lt;="&amp;$M159)-SUMIFS($H$125:$H$175,$M$125:$M$175,"&lt;="&amp;$M159))</f>
        <v/>
      </c>
      <c r="J159" s="102"/>
      <c r="K159" s="96" t="str">
        <f aca="false">IF($B159="","","ACTUAL")</f>
        <v/>
      </c>
      <c r="L159" s="0" t="str">
        <f aca="false">IF($B159="","",IF($C159="",$E$6+20,$C159))</f>
        <v/>
      </c>
      <c r="M159" s="0" t="str">
        <f aca="false">IF($L159="","",COUNTIFS($L$125:$L$175,"&lt;"&amp;$L159)+COUNTIFS($L$125:$L159,$L159))</f>
        <v/>
      </c>
    </row>
    <row r="160" customFormat="false" ht="15" hidden="false" customHeight="true" outlineLevel="0" collapsed="false">
      <c r="B160" s="12"/>
      <c r="C160" s="100"/>
      <c r="D160" s="101" t="str">
        <f aca="false">IF($B160="","","Expense")</f>
        <v/>
      </c>
      <c r="E160" s="14"/>
      <c r="F160" s="102"/>
      <c r="G160" s="102"/>
      <c r="H160" s="103" t="str">
        <f aca="false">IF($B160="","",N($E160))</f>
        <v/>
      </c>
      <c r="I160" s="104" t="str">
        <f aca="false">IF($B160="","",$I$123+SUMIFS($G$125:$G$175,$M$125:$M$175,"&lt;="&amp;$M160)-SUMIFS($H$125:$H$175,$M$125:$M$175,"&lt;="&amp;$M160))</f>
        <v/>
      </c>
      <c r="J160" s="102"/>
      <c r="K160" s="96" t="str">
        <f aca="false">IF($B160="","","ACTUAL")</f>
        <v/>
      </c>
      <c r="L160" s="0" t="str">
        <f aca="false">IF($B160="","",IF($C160="",$E$6+20,$C160))</f>
        <v/>
      </c>
      <c r="M160" s="0" t="str">
        <f aca="false">IF($L160="","",COUNTIFS($L$125:$L$175,"&lt;"&amp;$L160)+COUNTIFS($L$125:$L160,$L160))</f>
        <v/>
      </c>
    </row>
    <row r="161" customFormat="false" ht="15" hidden="false" customHeight="true" outlineLevel="0" collapsed="false">
      <c r="B161" s="12"/>
      <c r="C161" s="100"/>
      <c r="D161" s="101" t="str">
        <f aca="false">IF($B161="","","Expense")</f>
        <v/>
      </c>
      <c r="E161" s="14"/>
      <c r="F161" s="102"/>
      <c r="G161" s="102"/>
      <c r="H161" s="103" t="str">
        <f aca="false">IF($B161="","",N($E161))</f>
        <v/>
      </c>
      <c r="I161" s="104" t="str">
        <f aca="false">IF($B161="","",$I$123+SUMIFS($G$125:$G$175,$M$125:$M$175,"&lt;="&amp;$M161)-SUMIFS($H$125:$H$175,$M$125:$M$175,"&lt;="&amp;$M161))</f>
        <v/>
      </c>
      <c r="J161" s="102"/>
      <c r="K161" s="96" t="str">
        <f aca="false">IF($B161="","","ACTUAL")</f>
        <v/>
      </c>
      <c r="L161" s="0" t="str">
        <f aca="false">IF($B161="","",IF($C161="",$E$6+20,$C161))</f>
        <v/>
      </c>
      <c r="M161" s="0" t="str">
        <f aca="false">IF($L161="","",COUNTIFS($L$125:$L$175,"&lt;"&amp;$L161)+COUNTIFS($L$125:$L161,$L161))</f>
        <v/>
      </c>
    </row>
    <row r="162" customFormat="false" ht="15" hidden="false" customHeight="true" outlineLevel="0" collapsed="false">
      <c r="B162" s="12"/>
      <c r="C162" s="100"/>
      <c r="D162" s="101" t="str">
        <f aca="false">IF($B162="","","Expense")</f>
        <v/>
      </c>
      <c r="E162" s="14"/>
      <c r="F162" s="102"/>
      <c r="G162" s="102"/>
      <c r="H162" s="103" t="str">
        <f aca="false">IF($B162="","",N($E162))</f>
        <v/>
      </c>
      <c r="I162" s="104" t="str">
        <f aca="false">IF($B162="","",$I$123+SUMIFS($G$125:$G$175,$M$125:$M$175,"&lt;="&amp;$M162)-SUMIFS($H$125:$H$175,$M$125:$M$175,"&lt;="&amp;$M162))</f>
        <v/>
      </c>
      <c r="J162" s="102"/>
      <c r="K162" s="96" t="str">
        <f aca="false">IF($B162="","","ACTUAL")</f>
        <v/>
      </c>
      <c r="L162" s="0" t="str">
        <f aca="false">IF($B162="","",IF($C162="",$E$6+20,$C162))</f>
        <v/>
      </c>
      <c r="M162" s="0" t="str">
        <f aca="false">IF($L162="","",COUNTIFS($L$125:$L$175,"&lt;"&amp;$L162)+COUNTIFS($L$125:$L162,$L162))</f>
        <v/>
      </c>
    </row>
    <row r="163" customFormat="false" ht="15" hidden="false" customHeight="true" outlineLevel="0" collapsed="false">
      <c r="B163" s="12"/>
      <c r="C163" s="100"/>
      <c r="D163" s="101" t="str">
        <f aca="false">IF($B163="","","Expense")</f>
        <v/>
      </c>
      <c r="E163" s="14"/>
      <c r="F163" s="102"/>
      <c r="G163" s="102"/>
      <c r="H163" s="103" t="str">
        <f aca="false">IF($B163="","",N($E163))</f>
        <v/>
      </c>
      <c r="I163" s="104" t="str">
        <f aca="false">IF($B163="","",$I$123+SUMIFS($G$125:$G$175,$M$125:$M$175,"&lt;="&amp;$M163)-SUMIFS($H$125:$H$175,$M$125:$M$175,"&lt;="&amp;$M163))</f>
        <v/>
      </c>
      <c r="J163" s="102"/>
      <c r="K163" s="96" t="str">
        <f aca="false">IF($B163="","","ACTUAL")</f>
        <v/>
      </c>
      <c r="L163" s="0" t="str">
        <f aca="false">IF($B163="","",IF($C163="",$E$6+20,$C163))</f>
        <v/>
      </c>
      <c r="M163" s="0" t="str">
        <f aca="false">IF($L163="","",COUNTIFS($L$125:$L$175,"&lt;"&amp;$L163)+COUNTIFS($L$125:$L163,$L163))</f>
        <v/>
      </c>
    </row>
    <row r="164" customFormat="false" ht="15" hidden="false" customHeight="true" outlineLevel="0" collapsed="false">
      <c r="B164" s="12"/>
      <c r="C164" s="100"/>
      <c r="D164" s="101" t="str">
        <f aca="false">IF($B164="","","Expense")</f>
        <v/>
      </c>
      <c r="E164" s="14"/>
      <c r="F164" s="102"/>
      <c r="G164" s="102"/>
      <c r="H164" s="103" t="str">
        <f aca="false">IF($B164="","",N($E164))</f>
        <v/>
      </c>
      <c r="I164" s="104" t="str">
        <f aca="false">IF($B164="","",$I$123+SUMIFS($G$125:$G$175,$M$125:$M$175,"&lt;="&amp;$M164)-SUMIFS($H$125:$H$175,$M$125:$M$175,"&lt;="&amp;$M164))</f>
        <v/>
      </c>
      <c r="J164" s="102"/>
      <c r="K164" s="96" t="str">
        <f aca="false">IF($B164="","","ACTUAL")</f>
        <v/>
      </c>
      <c r="L164" s="0" t="str">
        <f aca="false">IF($B164="","",IF($C164="",$E$6+20,$C164))</f>
        <v/>
      </c>
      <c r="M164" s="0" t="str">
        <f aca="false">IF($L164="","",COUNTIFS($L$125:$L$175,"&lt;"&amp;$L164)+COUNTIFS($L$125:$L164,$L164))</f>
        <v/>
      </c>
    </row>
    <row r="165" customFormat="false" ht="15" hidden="false" customHeight="true" outlineLevel="0" collapsed="false">
      <c r="B165" s="12"/>
      <c r="C165" s="100"/>
      <c r="D165" s="101" t="str">
        <f aca="false">IF($B165="","","Expense")</f>
        <v/>
      </c>
      <c r="E165" s="14"/>
      <c r="F165" s="102"/>
      <c r="G165" s="102"/>
      <c r="H165" s="103" t="str">
        <f aca="false">IF($B165="","",N($E165))</f>
        <v/>
      </c>
      <c r="I165" s="104" t="str">
        <f aca="false">IF($B165="","",$I$123+SUMIFS($G$125:$G$175,$M$125:$M$175,"&lt;="&amp;$M165)-SUMIFS($H$125:$H$175,$M$125:$M$175,"&lt;="&amp;$M165))</f>
        <v/>
      </c>
      <c r="J165" s="102"/>
      <c r="K165" s="96" t="str">
        <f aca="false">IF($B165="","","ACTUAL")</f>
        <v/>
      </c>
      <c r="L165" s="0" t="str">
        <f aca="false">IF($B165="","",IF($C165="",$E$6+20,$C165))</f>
        <v/>
      </c>
      <c r="M165" s="0" t="str">
        <f aca="false">IF($L165="","",COUNTIFS($L$125:$L$175,"&lt;"&amp;$L165)+COUNTIFS($L$125:$L165,$L165))</f>
        <v/>
      </c>
    </row>
    <row r="166" customFormat="false" ht="15" hidden="false" customHeight="true" outlineLevel="0" collapsed="false">
      <c r="B166" s="12"/>
      <c r="C166" s="100"/>
      <c r="D166" s="101" t="str">
        <f aca="false">IF($B166="","","Expense")</f>
        <v/>
      </c>
      <c r="E166" s="14"/>
      <c r="F166" s="102"/>
      <c r="G166" s="102"/>
      <c r="H166" s="103" t="str">
        <f aca="false">IF($B166="","",N($E166))</f>
        <v/>
      </c>
      <c r="I166" s="104" t="str">
        <f aca="false">IF($B166="","",$I$123+SUMIFS($G$125:$G$175,$M$125:$M$175,"&lt;="&amp;$M166)-SUMIFS($H$125:$H$175,$M$125:$M$175,"&lt;="&amp;$M166))</f>
        <v/>
      </c>
      <c r="J166" s="102"/>
      <c r="K166" s="96" t="str">
        <f aca="false">IF($B166="","","ACTUAL")</f>
        <v/>
      </c>
      <c r="L166" s="0" t="str">
        <f aca="false">IF($B166="","",IF($C166="",$E$6+20,$C166))</f>
        <v/>
      </c>
      <c r="M166" s="0" t="str">
        <f aca="false">IF($L166="","",COUNTIFS($L$125:$L$175,"&lt;"&amp;$L166)+COUNTIFS($L$125:$L166,$L166))</f>
        <v/>
      </c>
    </row>
    <row r="167" customFormat="false" ht="15" hidden="false" customHeight="true" outlineLevel="0" collapsed="false">
      <c r="B167" s="12"/>
      <c r="C167" s="100"/>
      <c r="D167" s="101" t="str">
        <f aca="false">IF($B167="","","Expense")</f>
        <v/>
      </c>
      <c r="E167" s="14"/>
      <c r="F167" s="102"/>
      <c r="G167" s="102"/>
      <c r="H167" s="103" t="str">
        <f aca="false">IF($B167="","",N($E167))</f>
        <v/>
      </c>
      <c r="I167" s="104" t="str">
        <f aca="false">IF($B167="","",$I$123+SUMIFS($G$125:$G$175,$M$125:$M$175,"&lt;="&amp;$M167)-SUMIFS($H$125:$H$175,$M$125:$M$175,"&lt;="&amp;$M167))</f>
        <v/>
      </c>
      <c r="J167" s="102"/>
      <c r="K167" s="96" t="str">
        <f aca="false">IF($B167="","","ACTUAL")</f>
        <v/>
      </c>
      <c r="L167" s="0" t="str">
        <f aca="false">IF($B167="","",IF($C167="",$E$6+20,$C167))</f>
        <v/>
      </c>
      <c r="M167" s="0" t="str">
        <f aca="false">IF($L167="","",COUNTIFS($L$125:$L$175,"&lt;"&amp;$L167)+COUNTIFS($L$125:$L167,$L167))</f>
        <v/>
      </c>
    </row>
    <row r="168" customFormat="false" ht="15" hidden="false" customHeight="true" outlineLevel="0" collapsed="false">
      <c r="B168" s="12"/>
      <c r="C168" s="100"/>
      <c r="D168" s="101" t="str">
        <f aca="false">IF($B168="","","Expense")</f>
        <v/>
      </c>
      <c r="E168" s="14"/>
      <c r="F168" s="102"/>
      <c r="G168" s="102"/>
      <c r="H168" s="103" t="str">
        <f aca="false">IF($B168="","",N($E168))</f>
        <v/>
      </c>
      <c r="I168" s="104" t="str">
        <f aca="false">IF($B168="","",$I$123+SUMIFS($G$125:$G$175,$M$125:$M$175,"&lt;="&amp;$M168)-SUMIFS($H$125:$H$175,$M$125:$M$175,"&lt;="&amp;$M168))</f>
        <v/>
      </c>
      <c r="J168" s="102"/>
      <c r="K168" s="96" t="str">
        <f aca="false">IF($B168="","","ACTUAL")</f>
        <v/>
      </c>
      <c r="L168" s="0" t="str">
        <f aca="false">IF($B168="","",IF($C168="",$E$6+20,$C168))</f>
        <v/>
      </c>
      <c r="M168" s="0" t="str">
        <f aca="false">IF($L168="","",COUNTIFS($L$125:$L$175,"&lt;"&amp;$L168)+COUNTIFS($L$125:$L168,$L168))</f>
        <v/>
      </c>
    </row>
    <row r="169" customFormat="false" ht="15" hidden="false" customHeight="true" outlineLevel="0" collapsed="false">
      <c r="B169" s="12"/>
      <c r="C169" s="100"/>
      <c r="D169" s="101" t="str">
        <f aca="false">IF($B169="","","Expense")</f>
        <v/>
      </c>
      <c r="E169" s="14"/>
      <c r="F169" s="102"/>
      <c r="G169" s="102"/>
      <c r="H169" s="103" t="str">
        <f aca="false">IF($B169="","",N($E169))</f>
        <v/>
      </c>
      <c r="I169" s="104" t="str">
        <f aca="false">IF($B169="","",$I$123+SUMIFS($G$125:$G$175,$M$125:$M$175,"&lt;="&amp;$M169)-SUMIFS($H$125:$H$175,$M$125:$M$175,"&lt;="&amp;$M169))</f>
        <v/>
      </c>
      <c r="J169" s="102"/>
      <c r="K169" s="96" t="str">
        <f aca="false">IF($B169="","","ACTUAL")</f>
        <v/>
      </c>
      <c r="L169" s="0" t="str">
        <f aca="false">IF($B169="","",IF($C169="",$E$6+20,$C169))</f>
        <v/>
      </c>
      <c r="M169" s="0" t="str">
        <f aca="false">IF($L169="","",COUNTIFS($L$125:$L$175,"&lt;"&amp;$L169)+COUNTIFS($L$125:$L169,$L169))</f>
        <v/>
      </c>
    </row>
    <row r="170" customFormat="false" ht="15" hidden="false" customHeight="true" outlineLevel="0" collapsed="false">
      <c r="B170" s="12"/>
      <c r="C170" s="100"/>
      <c r="D170" s="101" t="str">
        <f aca="false">IF($B170="","","Expense")</f>
        <v/>
      </c>
      <c r="E170" s="14"/>
      <c r="F170" s="102"/>
      <c r="G170" s="102"/>
      <c r="H170" s="103" t="str">
        <f aca="false">IF($B170="","",N($E170))</f>
        <v/>
      </c>
      <c r="I170" s="104" t="str">
        <f aca="false">IF($B170="","",$I$123+SUMIFS($G$125:$G$175,$M$125:$M$175,"&lt;="&amp;$M170)-SUMIFS($H$125:$H$175,$M$125:$M$175,"&lt;="&amp;$M170))</f>
        <v/>
      </c>
      <c r="J170" s="102"/>
      <c r="K170" s="96" t="str">
        <f aca="false">IF($B170="","","ACTUAL")</f>
        <v/>
      </c>
      <c r="L170" s="0" t="str">
        <f aca="false">IF($B170="","",IF($C170="",$E$6+20,$C170))</f>
        <v/>
      </c>
      <c r="M170" s="0" t="str">
        <f aca="false">IF($L170="","",COUNTIFS($L$125:$L$175,"&lt;"&amp;$L170)+COUNTIFS($L$125:$L170,$L170))</f>
        <v/>
      </c>
    </row>
    <row r="171" customFormat="false" ht="15" hidden="false" customHeight="true" outlineLevel="0" collapsed="false">
      <c r="B171" s="12"/>
      <c r="C171" s="100"/>
      <c r="D171" s="101" t="str">
        <f aca="false">IF($B171="","","Expense")</f>
        <v/>
      </c>
      <c r="E171" s="14"/>
      <c r="F171" s="102"/>
      <c r="G171" s="102"/>
      <c r="H171" s="103" t="str">
        <f aca="false">IF($B171="","",N($E171))</f>
        <v/>
      </c>
      <c r="I171" s="104" t="str">
        <f aca="false">IF($B171="","",$I$123+SUMIFS($G$125:$G$175,$M$125:$M$175,"&lt;="&amp;$M171)-SUMIFS($H$125:$H$175,$M$125:$M$175,"&lt;="&amp;$M171))</f>
        <v/>
      </c>
      <c r="J171" s="102"/>
      <c r="K171" s="96" t="str">
        <f aca="false">IF($B171="","","ACTUAL")</f>
        <v/>
      </c>
      <c r="L171" s="0" t="str">
        <f aca="false">IF($B171="","",IF($C171="",$E$6+20,$C171))</f>
        <v/>
      </c>
      <c r="M171" s="0" t="str">
        <f aca="false">IF($L171="","",COUNTIFS($L$125:$L$175,"&lt;"&amp;$L171)+COUNTIFS($L$125:$L171,$L171))</f>
        <v/>
      </c>
    </row>
    <row r="172" customFormat="false" ht="15" hidden="false" customHeight="true" outlineLevel="0" collapsed="false">
      <c r="B172" s="12"/>
      <c r="C172" s="100"/>
      <c r="D172" s="101" t="str">
        <f aca="false">IF($B172="","","Expense")</f>
        <v/>
      </c>
      <c r="E172" s="14"/>
      <c r="F172" s="102"/>
      <c r="G172" s="102"/>
      <c r="H172" s="103" t="str">
        <f aca="false">IF($B172="","",N($E172))</f>
        <v/>
      </c>
      <c r="I172" s="104" t="str">
        <f aca="false">IF($B172="","",$I$123+SUMIFS($G$125:$G$175,$M$125:$M$175,"&lt;="&amp;$M172)-SUMIFS($H$125:$H$175,$M$125:$M$175,"&lt;="&amp;$M172))</f>
        <v/>
      </c>
      <c r="J172" s="102"/>
      <c r="K172" s="96" t="str">
        <f aca="false">IF($B172="","","ACTUAL")</f>
        <v/>
      </c>
      <c r="L172" s="0" t="str">
        <f aca="false">IF($B172="","",IF($C172="",$E$6+20,$C172))</f>
        <v/>
      </c>
      <c r="M172" s="0" t="str">
        <f aca="false">IF($L172="","",COUNTIFS($L$125:$L$175,"&lt;"&amp;$L172)+COUNTIFS($L$125:$L172,$L172))</f>
        <v/>
      </c>
    </row>
    <row r="173" customFormat="false" ht="15" hidden="false" customHeight="true" outlineLevel="0" collapsed="false">
      <c r="B173" s="12"/>
      <c r="C173" s="100"/>
      <c r="D173" s="101" t="str">
        <f aca="false">IF($B173="","","Expense")</f>
        <v/>
      </c>
      <c r="E173" s="14"/>
      <c r="F173" s="102"/>
      <c r="G173" s="102"/>
      <c r="H173" s="103" t="str">
        <f aca="false">IF($B173="","",N($E173))</f>
        <v/>
      </c>
      <c r="I173" s="104" t="str">
        <f aca="false">IF($B173="","",$I$123+SUMIFS($G$125:$G$175,$M$125:$M$175,"&lt;="&amp;$M173)-SUMIFS($H$125:$H$175,$M$125:$M$175,"&lt;="&amp;$M173))</f>
        <v/>
      </c>
      <c r="J173" s="102"/>
      <c r="K173" s="96" t="str">
        <f aca="false">IF($B173="","","ACTUAL")</f>
        <v/>
      </c>
      <c r="L173" s="0" t="str">
        <f aca="false">IF($B173="","",IF($C173="",$E$6+20,$C173))</f>
        <v/>
      </c>
      <c r="M173" s="0" t="str">
        <f aca="false">IF($L173="","",COUNTIFS($L$125:$L$175,"&lt;"&amp;$L173)+COUNTIFS($L$125:$L173,$L173))</f>
        <v/>
      </c>
    </row>
    <row r="174" customFormat="false" ht="15" hidden="false" customHeight="true" outlineLevel="0" collapsed="false">
      <c r="B174" s="12"/>
      <c r="C174" s="100"/>
      <c r="D174" s="101" t="str">
        <f aca="false">IF($B174="","","Expense")</f>
        <v/>
      </c>
      <c r="E174" s="14"/>
      <c r="F174" s="102"/>
      <c r="G174" s="102"/>
      <c r="H174" s="103" t="str">
        <f aca="false">IF($B174="","",N($E174))</f>
        <v/>
      </c>
      <c r="I174" s="104" t="str">
        <f aca="false">IF($B174="","",$I$123+SUMIFS($G$125:$G$175,$M$125:$M$175,"&lt;="&amp;$M174)-SUMIFS($H$125:$H$175,$M$125:$M$175,"&lt;="&amp;$M174))</f>
        <v/>
      </c>
      <c r="J174" s="102"/>
      <c r="K174" s="96" t="str">
        <f aca="false">IF($B174="","","ACTUAL")</f>
        <v/>
      </c>
      <c r="L174" s="0" t="str">
        <f aca="false">IF($B174="","",IF($C174="",$E$6+20,$C174))</f>
        <v/>
      </c>
      <c r="M174" s="0" t="str">
        <f aca="false">IF($L174="","",COUNTIFS($L$125:$L$175,"&lt;"&amp;$L174)+COUNTIFS($L$125:$L174,$L174))</f>
        <v/>
      </c>
    </row>
    <row r="175" customFormat="false" ht="15" hidden="false" customHeight="true" outlineLevel="0" collapsed="false">
      <c r="B175" s="105" t="str">
        <f aca="false">"Everyday spending still expected this week"</f>
        <v>Everyday spending still expected this week</v>
      </c>
      <c r="C175" s="106" t="n">
        <f aca="false">$E$6+20</f>
        <v>46269</v>
      </c>
      <c r="D175" s="101" t="str">
        <f aca="false">IF($B175="","","Expense")</f>
        <v>Expense</v>
      </c>
      <c r="E175" s="107" t="n">
        <f aca="false">MAX(0,$E$8-SUM($E$136:$E$174))</f>
        <v>400</v>
      </c>
      <c r="F175" s="102"/>
      <c r="G175" s="102"/>
      <c r="H175" s="103" t="n">
        <f aca="false">IF($B175="","",N($E175))</f>
        <v>400</v>
      </c>
      <c r="I175" s="104" t="n">
        <f aca="false">IF($B175="","",$I$123+SUMIFS($G$125:$G$175,$M$125:$M$175,"&lt;="&amp;$M175)-SUMIFS($H$125:$H$175,$M$125:$M$175,"&lt;="&amp;$M175))</f>
        <v>404.49</v>
      </c>
      <c r="J175" s="102"/>
      <c r="K175" s="96" t="str">
        <f aca="false">"FORECAST"</f>
        <v>FORECAST</v>
      </c>
      <c r="L175" s="97" t="n">
        <f aca="false">IF($B175="","",IF($C175="",$E$6+20,$C175))</f>
        <v>46269</v>
      </c>
      <c r="M175" s="0" t="n">
        <f aca="false">IF($L175="","",COUNTIFS($L$125:$L$175,"&lt;"&amp;$L175)+COUNTIFS($L$125:$L175,$L175))</f>
        <v>7</v>
      </c>
    </row>
    <row r="176" customFormat="false" ht="15" hidden="false" customHeight="true" outlineLevel="0" collapsed="false">
      <c r="B176" s="108" t="s">
        <v>171</v>
      </c>
      <c r="C176" s="57"/>
      <c r="D176" s="57"/>
      <c r="E176" s="57"/>
      <c r="F176" s="57"/>
      <c r="G176" s="56" t="n">
        <f aca="false">SUM($G$125:$G$175)</f>
        <v>835</v>
      </c>
      <c r="H176" s="56" t="n">
        <f aca="false">SUM($H$125:$H$175)</f>
        <v>1064.47</v>
      </c>
      <c r="I176" s="109" t="n">
        <f aca="false">$I$123+$G$176-$H$176</f>
        <v>404.49</v>
      </c>
      <c r="J176" s="110" t="str">
        <f aca="false">IF($I$176&lt;0,"SHORTFALL",IF($I$176&lt;$E$7,"TIGHT","OK"))</f>
        <v>OK</v>
      </c>
      <c r="K176" s="111"/>
      <c r="N176" s="111" t="str">
        <f aca="false">IF(COUNT($I$125:$I$175)=0,"","Lowest point this week: "&amp;TEXT(MIN($I$125:$I$175),"$#,##0.00;-$#,##0.00")&amp;" on "&amp;TEXT(INDEX($C$125:$C$175,MATCH(MIN($I$125:$I$175),$I$125:$I$175,0)),"ddd mmm d")&amp;"     (in "&amp;TEXT($G$176,"$#,##0.00")&amp;", out "&amp;TEXT($H$176,"$#,##0.00")&amp;")")</f>
        <v>Lowest point this week: -$9.41 on Mon Aug 31     (in $835.00, out $1,064.47)</v>
      </c>
    </row>
    <row r="178" customFormat="false" ht="21.75" hidden="false" customHeight="true" outlineLevel="0" collapsed="false">
      <c r="B178" s="82" t="str">
        <f aca="false">"WEEK 4     "&amp;TEXT($E$6+21,"ddd, mmm d")&amp;"   through   "&amp;TEXT($E$6+21+6,"ddd, mmm d, yyyy")</f>
        <v>WEEK 4     Sat, Sep 5   through   Fri, Sep 11, 2026</v>
      </c>
      <c r="C178" s="83"/>
      <c r="D178" s="83"/>
      <c r="E178" s="83"/>
      <c r="F178" s="83"/>
      <c r="G178" s="84" t="s">
        <v>139</v>
      </c>
      <c r="H178" s="83"/>
      <c r="I178" s="85" t="n">
        <f aca="false">$I$176</f>
        <v>404.49</v>
      </c>
      <c r="J178" s="83"/>
      <c r="K178" s="86"/>
      <c r="N178" s="86" t="str">
        <f aca="false">IF(COUNTIF(Schedule!$I$4:$I$483,4)&gt;10,"! "&amp;COUNTIF(Schedule!$I$4:$I$483,4)-10&amp;" more transaction(s) fall in this week than there are rows to show them.","")</f>
        <v/>
      </c>
    </row>
    <row r="179" customFormat="false" ht="25.5" hidden="false" customHeight="true" outlineLevel="0" collapsed="false">
      <c r="B179" s="87" t="s">
        <v>140</v>
      </c>
      <c r="C179" s="87" t="s">
        <v>141</v>
      </c>
      <c r="D179" s="87" t="s">
        <v>42</v>
      </c>
      <c r="E179" s="87" t="s">
        <v>142</v>
      </c>
      <c r="F179" s="87" t="s">
        <v>143</v>
      </c>
      <c r="G179" s="36" t="s">
        <v>144</v>
      </c>
      <c r="H179" s="37" t="s">
        <v>145</v>
      </c>
      <c r="I179" s="87" t="s">
        <v>146</v>
      </c>
      <c r="J179" s="87" t="s">
        <v>14</v>
      </c>
      <c r="K179" s="87" t="s">
        <v>147</v>
      </c>
    </row>
    <row r="180" customFormat="false" ht="15" hidden="false" customHeight="true" outlineLevel="0" collapsed="false">
      <c r="B180" s="7" t="str">
        <f aca="false">IFERROR(INDEX(Schedule!$C$4:$C$483,MATCH(4001,Schedule!$K$4:$K$483,0)),"")</f>
        <v>OpenAI</v>
      </c>
      <c r="C180" s="88" t="n">
        <f aca="false">IF($B180="","",INDEX(Schedule!$G$4:$G$483,MATCH(4001,Schedule!$K$4:$K$483,0)))</f>
        <v>46270</v>
      </c>
      <c r="D180" s="89" t="str">
        <f aca="false">IF($B180="","",INDEX(Schedule!$D$4:$D$483,MATCH(4001,Schedule!$K$4:$K$483,0)))</f>
        <v>Expense</v>
      </c>
      <c r="E180" s="90" t="n">
        <f aca="false">IF($B180="","",INDEX(Schedule!$E$4:$E$483,MATCH(4001,Schedule!$K$4:$K$483,0)))</f>
        <v>20</v>
      </c>
      <c r="F180" s="91"/>
      <c r="G180" s="92" t="str">
        <f aca="false">IF($B180="","",IF($D180="Income",IF($F180&lt;&gt;"",$F180,IF(COUNTIFS('Paid Log'!$B$9:$B$308,$C180,'Paid Log'!$C$9:$C$308,$B180)&gt;0,SUMIFS('Paid Log'!$D$9:$D$308,'Paid Log'!$B$9:$B$308,$C180,'Paid Log'!$C$9:$C$308,$B180),$E180)),""))</f>
        <v/>
      </c>
      <c r="H180" s="93" t="n">
        <f aca="false">IF($B180="","",IF($D180="Income","",IF($F180&lt;&gt;"",$F180,IF(COUNTIFS('Paid Log'!$B$9:$B$308,$C180,'Paid Log'!$C$9:$C$308,$B180)&gt;0,SUMIFS('Paid Log'!$D$9:$D$308,'Paid Log'!$B$9:$B$308,$C180,'Paid Log'!$C$9:$C$308,$B180),$E180))))</f>
        <v>20</v>
      </c>
      <c r="I180" s="94" t="n">
        <f aca="false">IF($B180="","",$I$178+SUMIFS($G$180:$G$230,$M$180:$M$230,"&lt;="&amp;$M180)-SUMIFS($H$180:$H$230,$M$180:$M$230,"&lt;="&amp;$M180))</f>
        <v>384.49</v>
      </c>
      <c r="J180" s="95" t="str">
        <f aca="true">IF($B180="","",IF(OR($F180&lt;&gt;"",COUNTIFS('Paid Log'!$B$9:$B$308,$C180,'Paid Log'!$C$9:$C$308,$B180)&gt;0),IF($C180&gt;TODAY(),"ADJUSTED","PAID"),IF($C180&lt;TODAY(),"PAST DUE",IF($C180&lt;=TODAY()+7,"DUE","Upcoming"))))</f>
        <v>Upcoming</v>
      </c>
      <c r="K180" s="96" t="str">
        <f aca="false">IF($B180="","",IF(OR($F180&lt;&gt;"",COUNTIFS('Paid Log'!$B$9:$B$308,$C180,'Paid Log'!$C$9:$C$308,$B180)&gt;0),"ACTUAL","FORECAST"))</f>
        <v>FORECAST</v>
      </c>
      <c r="L180" s="97" t="n">
        <f aca="false">IF($B180="","",$C180)</f>
        <v>46270</v>
      </c>
      <c r="M180" s="0" t="n">
        <f aca="false">IF($L180="","",COUNTIFS($L$180:$L$230,"&lt;"&amp;$L180)+COUNTIFS($L$180:$L180,$L180))</f>
        <v>1</v>
      </c>
    </row>
    <row r="181" customFormat="false" ht="15" hidden="false" customHeight="true" outlineLevel="0" collapsed="false">
      <c r="B181" s="7" t="str">
        <f aca="false">IFERROR(INDEX(Schedule!$C$4:$C$483,MATCH(4002,Schedule!$K$4:$K$483,0)),"")</f>
        <v>Obsidian</v>
      </c>
      <c r="C181" s="88" t="n">
        <f aca="false">IF($B181="","",INDEX(Schedule!$G$4:$G$483,MATCH(4002,Schedule!$K$4:$K$483,0)))</f>
        <v>46270</v>
      </c>
      <c r="D181" s="89" t="str">
        <f aca="false">IF($B181="","",INDEX(Schedule!$D$4:$D$483,MATCH(4002,Schedule!$K$4:$K$483,0)))</f>
        <v>Expense</v>
      </c>
      <c r="E181" s="90" t="n">
        <f aca="false">IF($B181="","",INDEX(Schedule!$E$4:$E$483,MATCH(4002,Schedule!$K$4:$K$483,0)))</f>
        <v>10</v>
      </c>
      <c r="F181" s="91"/>
      <c r="G181" s="92" t="str">
        <f aca="false">IF($B181="","",IF($D181="Income",IF($F181&lt;&gt;"",$F181,IF(COUNTIFS('Paid Log'!$B$9:$B$308,$C181,'Paid Log'!$C$9:$C$308,$B181)&gt;0,SUMIFS('Paid Log'!$D$9:$D$308,'Paid Log'!$B$9:$B$308,$C181,'Paid Log'!$C$9:$C$308,$B181),$E181)),""))</f>
        <v/>
      </c>
      <c r="H181" s="93" t="n">
        <f aca="false">IF($B181="","",IF($D181="Income","",IF($F181&lt;&gt;"",$F181,IF(COUNTIFS('Paid Log'!$B$9:$B$308,$C181,'Paid Log'!$C$9:$C$308,$B181)&gt;0,SUMIFS('Paid Log'!$D$9:$D$308,'Paid Log'!$B$9:$B$308,$C181,'Paid Log'!$C$9:$C$308,$B181),$E181))))</f>
        <v>10</v>
      </c>
      <c r="I181" s="94" t="n">
        <f aca="false">IF($B181="","",$I$178+SUMIFS($G$180:$G$230,$M$180:$M$230,"&lt;="&amp;$M181)-SUMIFS($H$180:$H$230,$M$180:$M$230,"&lt;="&amp;$M181))</f>
        <v>374.49</v>
      </c>
      <c r="J181" s="95" t="str">
        <f aca="true">IF($B181="","",IF(OR($F181&lt;&gt;"",COUNTIFS('Paid Log'!$B$9:$B$308,$C181,'Paid Log'!$C$9:$C$308,$B181)&gt;0),IF($C181&gt;TODAY(),"ADJUSTED","PAID"),IF($C181&lt;TODAY(),"PAST DUE",IF($C181&lt;=TODAY()+7,"DUE","Upcoming"))))</f>
        <v>Upcoming</v>
      </c>
      <c r="K181" s="96" t="str">
        <f aca="false">IF($B181="","",IF(OR($F181&lt;&gt;"",COUNTIFS('Paid Log'!$B$9:$B$308,$C181,'Paid Log'!$C$9:$C$308,$B181)&gt;0),"ACTUAL","FORECAST"))</f>
        <v>FORECAST</v>
      </c>
      <c r="L181" s="97" t="n">
        <f aca="false">IF($B181="","",$C181)</f>
        <v>46270</v>
      </c>
      <c r="M181" s="0" t="n">
        <f aca="false">IF($L181="","",COUNTIFS($L$180:$L$230,"&lt;"&amp;$L181)+COUNTIFS($L$180:$L181,$L181))</f>
        <v>2</v>
      </c>
    </row>
    <row r="182" customFormat="false" ht="15" hidden="false" customHeight="true" outlineLevel="0" collapsed="false">
      <c r="B182" s="7" t="str">
        <f aca="false">IFERROR(INDEX(Schedule!$C$4:$C$483,MATCH(4003,Schedule!$K$4:$K$483,0)),"")</f>
        <v>Google One</v>
      </c>
      <c r="C182" s="88" t="n">
        <f aca="false">IF($B182="","",INDEX(Schedule!$G$4:$G$483,MATCH(4003,Schedule!$K$4:$K$483,0)))</f>
        <v>46272</v>
      </c>
      <c r="D182" s="89" t="str">
        <f aca="false">IF($B182="","",INDEX(Schedule!$D$4:$D$483,MATCH(4003,Schedule!$K$4:$K$483,0)))</f>
        <v>Expense</v>
      </c>
      <c r="E182" s="90" t="n">
        <f aca="false">IF($B182="","",INDEX(Schedule!$E$4:$E$483,MATCH(4003,Schedule!$K$4:$K$483,0)))</f>
        <v>4.99</v>
      </c>
      <c r="F182" s="91"/>
      <c r="G182" s="92" t="str">
        <f aca="false">IF($B182="","",IF($D182="Income",IF($F182&lt;&gt;"",$F182,IF(COUNTIFS('Paid Log'!$B$9:$B$308,$C182,'Paid Log'!$C$9:$C$308,$B182)&gt;0,SUMIFS('Paid Log'!$D$9:$D$308,'Paid Log'!$B$9:$B$308,$C182,'Paid Log'!$C$9:$C$308,$B182),$E182)),""))</f>
        <v/>
      </c>
      <c r="H182" s="93" t="n">
        <f aca="false">IF($B182="","",IF($D182="Income","",IF($F182&lt;&gt;"",$F182,IF(COUNTIFS('Paid Log'!$B$9:$B$308,$C182,'Paid Log'!$C$9:$C$308,$B182)&gt;0,SUMIFS('Paid Log'!$D$9:$D$308,'Paid Log'!$B$9:$B$308,$C182,'Paid Log'!$C$9:$C$308,$B182),$E182))))</f>
        <v>4.99</v>
      </c>
      <c r="I182" s="94" t="n">
        <f aca="false">IF($B182="","",$I$178+SUMIFS($G$180:$G$230,$M$180:$M$230,"&lt;="&amp;$M182)-SUMIFS($H$180:$H$230,$M$180:$M$230,"&lt;="&amp;$M182))</f>
        <v>369.5</v>
      </c>
      <c r="J182" s="95" t="str">
        <f aca="true">IF($B182="","",IF(OR($F182&lt;&gt;"",COUNTIFS('Paid Log'!$B$9:$B$308,$C182,'Paid Log'!$C$9:$C$308,$B182)&gt;0),IF($C182&gt;TODAY(),"ADJUSTED","PAID"),IF($C182&lt;TODAY(),"PAST DUE",IF($C182&lt;=TODAY()+7,"DUE","Upcoming"))))</f>
        <v>Upcoming</v>
      </c>
      <c r="K182" s="96" t="str">
        <f aca="false">IF($B182="","",IF(OR($F182&lt;&gt;"",COUNTIFS('Paid Log'!$B$9:$B$308,$C182,'Paid Log'!$C$9:$C$308,$B182)&gt;0),"ACTUAL","FORECAST"))</f>
        <v>FORECAST</v>
      </c>
      <c r="L182" s="97" t="n">
        <f aca="false">IF($B182="","",$C182)</f>
        <v>46272</v>
      </c>
      <c r="M182" s="0" t="n">
        <f aca="false">IF($L182="","",COUNTIFS($L$180:$L$230,"&lt;"&amp;$L182)+COUNTIFS($L$180:$L182,$L182))</f>
        <v>3</v>
      </c>
    </row>
    <row r="183" customFormat="false" ht="15" hidden="false" customHeight="true" outlineLevel="0" collapsed="false">
      <c r="B183" s="7" t="str">
        <f aca="false">IFERROR(INDEX(Schedule!$C$4:$C$483,MATCH(4004,Schedule!$K$4:$K$483,0)),"")</f>
        <v>Upstart (loan)</v>
      </c>
      <c r="C183" s="88" t="n">
        <f aca="false">IF($B183="","",INDEX(Schedule!$G$4:$G$483,MATCH(4004,Schedule!$K$4:$K$483,0)))</f>
        <v>46272</v>
      </c>
      <c r="D183" s="89" t="str">
        <f aca="false">IF($B183="","",INDEX(Schedule!$D$4:$D$483,MATCH(4004,Schedule!$K$4:$K$483,0)))</f>
        <v>Expense</v>
      </c>
      <c r="E183" s="90" t="n">
        <f aca="false">IF($B183="","",INDEX(Schedule!$E$4:$E$483,MATCH(4004,Schedule!$K$4:$K$483,0)))</f>
        <v>500</v>
      </c>
      <c r="F183" s="91"/>
      <c r="G183" s="92" t="str">
        <f aca="false">IF($B183="","",IF($D183="Income",IF($F183&lt;&gt;"",$F183,IF(COUNTIFS('Paid Log'!$B$9:$B$308,$C183,'Paid Log'!$C$9:$C$308,$B183)&gt;0,SUMIFS('Paid Log'!$D$9:$D$308,'Paid Log'!$B$9:$B$308,$C183,'Paid Log'!$C$9:$C$308,$B183),$E183)),""))</f>
        <v/>
      </c>
      <c r="H183" s="93" t="n">
        <f aca="false">IF($B183="","",IF($D183="Income","",IF($F183&lt;&gt;"",$F183,IF(COUNTIFS('Paid Log'!$B$9:$B$308,$C183,'Paid Log'!$C$9:$C$308,$B183)&gt;0,SUMIFS('Paid Log'!$D$9:$D$308,'Paid Log'!$B$9:$B$308,$C183,'Paid Log'!$C$9:$C$308,$B183),$E183))))</f>
        <v>500</v>
      </c>
      <c r="I183" s="94" t="n">
        <f aca="false">IF($B183="","",$I$178+SUMIFS($G$180:$G$230,$M$180:$M$230,"&lt;="&amp;$M183)-SUMIFS($H$180:$H$230,$M$180:$M$230,"&lt;="&amp;$M183))</f>
        <v>-130.5</v>
      </c>
      <c r="J183" s="95" t="str">
        <f aca="true">IF($B183="","",IF(OR($F183&lt;&gt;"",COUNTIFS('Paid Log'!$B$9:$B$308,$C183,'Paid Log'!$C$9:$C$308,$B183)&gt;0),IF($C183&gt;TODAY(),"ADJUSTED","PAID"),IF($C183&lt;TODAY(),"PAST DUE",IF($C183&lt;=TODAY()+7,"DUE","Upcoming"))))</f>
        <v>Upcoming</v>
      </c>
      <c r="K183" s="96" t="str">
        <f aca="false">IF($B183="","",IF(OR($F183&lt;&gt;"",COUNTIFS('Paid Log'!$B$9:$B$308,$C183,'Paid Log'!$C$9:$C$308,$B183)&gt;0),"ACTUAL","FORECAST"))</f>
        <v>FORECAST</v>
      </c>
      <c r="L183" s="97" t="n">
        <f aca="false">IF($B183="","",$C183)</f>
        <v>46272</v>
      </c>
      <c r="M183" s="0" t="n">
        <f aca="false">IF($L183="","",COUNTIFS($L$180:$L$230,"&lt;"&amp;$L183)+COUNTIFS($L$180:$L183,$L183))</f>
        <v>4</v>
      </c>
    </row>
    <row r="184" customFormat="false" ht="15" hidden="false" customHeight="true" outlineLevel="0" collapsed="false">
      <c r="B184" s="7" t="str">
        <f aca="false">IFERROR(INDEX(Schedule!$C$4:$C$483,MATCH(4005,Schedule!$K$4:$K$483,0)),"")</f>
        <v>Central Maine Power Co.</v>
      </c>
      <c r="C184" s="88" t="n">
        <f aca="false">IF($B184="","",INDEX(Schedule!$G$4:$G$483,MATCH(4005,Schedule!$K$4:$K$483,0)))</f>
        <v>46273</v>
      </c>
      <c r="D184" s="89" t="str">
        <f aca="false">IF($B184="","",INDEX(Schedule!$D$4:$D$483,MATCH(4005,Schedule!$K$4:$K$483,0)))</f>
        <v>Expense</v>
      </c>
      <c r="E184" s="90" t="n">
        <f aca="false">IF($B184="","",INDEX(Schedule!$E$4:$E$483,MATCH(4005,Schedule!$K$4:$K$483,0)))</f>
        <v>183.69</v>
      </c>
      <c r="F184" s="91"/>
      <c r="G184" s="92" t="str">
        <f aca="false">IF($B184="","",IF($D184="Income",IF($F184&lt;&gt;"",$F184,IF(COUNTIFS('Paid Log'!$B$9:$B$308,$C184,'Paid Log'!$C$9:$C$308,$B184)&gt;0,SUMIFS('Paid Log'!$D$9:$D$308,'Paid Log'!$B$9:$B$308,$C184,'Paid Log'!$C$9:$C$308,$B184),$E184)),""))</f>
        <v/>
      </c>
      <c r="H184" s="93" t="n">
        <f aca="false">IF($B184="","",IF($D184="Income","",IF($F184&lt;&gt;"",$F184,IF(COUNTIFS('Paid Log'!$B$9:$B$308,$C184,'Paid Log'!$C$9:$C$308,$B184)&gt;0,SUMIFS('Paid Log'!$D$9:$D$308,'Paid Log'!$B$9:$B$308,$C184,'Paid Log'!$C$9:$C$308,$B184),$E184))))</f>
        <v>183.69</v>
      </c>
      <c r="I184" s="94" t="n">
        <f aca="false">IF($B184="","",$I$178+SUMIFS($G$180:$G$230,$M$180:$M$230,"&lt;="&amp;$M184)-SUMIFS($H$180:$H$230,$M$180:$M$230,"&lt;="&amp;$M184))</f>
        <v>-314.19</v>
      </c>
      <c r="J184" s="95" t="str">
        <f aca="true">IF($B184="","",IF(OR($F184&lt;&gt;"",COUNTIFS('Paid Log'!$B$9:$B$308,$C184,'Paid Log'!$C$9:$C$308,$B184)&gt;0),IF($C184&gt;TODAY(),"ADJUSTED","PAID"),IF($C184&lt;TODAY(),"PAST DUE",IF($C184&lt;=TODAY()+7,"DUE","Upcoming"))))</f>
        <v>Upcoming</v>
      </c>
      <c r="K184" s="96" t="str">
        <f aca="false">IF($B184="","",IF(OR($F184&lt;&gt;"",COUNTIFS('Paid Log'!$B$9:$B$308,$C184,'Paid Log'!$C$9:$C$308,$B184)&gt;0),"ACTUAL","FORECAST"))</f>
        <v>FORECAST</v>
      </c>
      <c r="L184" s="97" t="n">
        <f aca="false">IF($B184="","",$C184)</f>
        <v>46273</v>
      </c>
      <c r="M184" s="0" t="n">
        <f aca="false">IF($L184="","",COUNTIFS($L$180:$L$230,"&lt;"&amp;$L184)+COUNTIFS($L$180:$L184,$L184))</f>
        <v>5</v>
      </c>
    </row>
    <row r="185" customFormat="false" ht="15" hidden="false" customHeight="true" outlineLevel="0" collapsed="false">
      <c r="B185" s="7" t="str">
        <f aca="false">IFERROR(INDEX(Schedule!$C$4:$C$483,MATCH(4006,Schedule!$K$4:$K$483,0)),"")</f>
        <v>Bruno's Restaurant (paycheck)</v>
      </c>
      <c r="C185" s="88" t="n">
        <f aca="false">IF($B185="","",INDEX(Schedule!$G$4:$G$483,MATCH(4006,Schedule!$K$4:$K$483,0)))</f>
        <v>46274</v>
      </c>
      <c r="D185" s="89" t="str">
        <f aca="false">IF($B185="","",INDEX(Schedule!$D$4:$D$483,MATCH(4006,Schedule!$K$4:$K$483,0)))</f>
        <v>Income</v>
      </c>
      <c r="E185" s="90" t="n">
        <f aca="false">IF($B185="","",INDEX(Schedule!$E$4:$E$483,MATCH(4006,Schedule!$K$4:$K$483,0)))</f>
        <v>90</v>
      </c>
      <c r="F185" s="91"/>
      <c r="G185" s="92" t="n">
        <f aca="false">IF($B185="","",IF($D185="Income",IF($F185&lt;&gt;"",$F185,IF(COUNTIFS('Paid Log'!$B$9:$B$308,$C185,'Paid Log'!$C$9:$C$308,$B185)&gt;0,SUMIFS('Paid Log'!$D$9:$D$308,'Paid Log'!$B$9:$B$308,$C185,'Paid Log'!$C$9:$C$308,$B185),$E185)),""))</f>
        <v>90</v>
      </c>
      <c r="H185" s="93" t="str">
        <f aca="false">IF($B185="","",IF($D185="Income","",IF($F185&lt;&gt;"",$F185,IF(COUNTIFS('Paid Log'!$B$9:$B$308,$C185,'Paid Log'!$C$9:$C$308,$B185)&gt;0,SUMIFS('Paid Log'!$D$9:$D$308,'Paid Log'!$B$9:$B$308,$C185,'Paid Log'!$C$9:$C$308,$B185),$E185))))</f>
        <v/>
      </c>
      <c r="I185" s="94" t="n">
        <f aca="false">IF($B185="","",$I$178+SUMIFS($G$180:$G$230,$M$180:$M$230,"&lt;="&amp;$M185)-SUMIFS($H$180:$H$230,$M$180:$M$230,"&lt;="&amp;$M185))</f>
        <v>-224.19</v>
      </c>
      <c r="J185" s="95" t="str">
        <f aca="true">IF($B185="","",IF(OR($F185&lt;&gt;"",COUNTIFS('Paid Log'!$B$9:$B$308,$C185,'Paid Log'!$C$9:$C$308,$B185)&gt;0),IF($C185&gt;TODAY(),"ADJUSTED","PAID"),IF($C185&lt;TODAY(),"PAST DUE",IF($C185&lt;=TODAY()+7,"DUE","Upcoming"))))</f>
        <v>Upcoming</v>
      </c>
      <c r="K185" s="96" t="str">
        <f aca="false">IF($B185="","",IF(OR($F185&lt;&gt;"",COUNTIFS('Paid Log'!$B$9:$B$308,$C185,'Paid Log'!$C$9:$C$308,$B185)&gt;0),"ACTUAL","FORECAST"))</f>
        <v>FORECAST</v>
      </c>
      <c r="L185" s="97" t="n">
        <f aca="false">IF($B185="","",$C185)</f>
        <v>46274</v>
      </c>
      <c r="M185" s="0" t="n">
        <f aca="false">IF($L185="","",COUNTIFS($L$180:$L$230,"&lt;"&amp;$L185)+COUNTIFS($L$180:$L185,$L185))</f>
        <v>6</v>
      </c>
    </row>
    <row r="186" customFormat="false" ht="15" hidden="false" customHeight="true" outlineLevel="0" collapsed="false">
      <c r="B186" s="7" t="str">
        <f aca="false">IFERROR(INDEX(Schedule!$C$4:$C$483,MATCH(4007,Schedule!$K$4:$K$483,0)),"")</f>
        <v>Compunnel Software (paycheck)</v>
      </c>
      <c r="C186" s="88" t="n">
        <f aca="false">IF($B186="","",INDEX(Schedule!$G$4:$G$483,MATCH(4007,Schedule!$K$4:$K$483,0)))</f>
        <v>46276</v>
      </c>
      <c r="D186" s="89" t="str">
        <f aca="false">IF($B186="","",INDEX(Schedule!$D$4:$D$483,MATCH(4007,Schedule!$K$4:$K$483,0)))</f>
        <v>Income</v>
      </c>
      <c r="E186" s="90" t="n">
        <f aca="false">IF($B186="","",INDEX(Schedule!$E$4:$E$483,MATCH(4007,Schedule!$K$4:$K$483,0)))</f>
        <v>745</v>
      </c>
      <c r="F186" s="91"/>
      <c r="G186" s="92" t="n">
        <f aca="false">IF($B186="","",IF($D186="Income",IF($F186&lt;&gt;"",$F186,IF(COUNTIFS('Paid Log'!$B$9:$B$308,$C186,'Paid Log'!$C$9:$C$308,$B186)&gt;0,SUMIFS('Paid Log'!$D$9:$D$308,'Paid Log'!$B$9:$B$308,$C186,'Paid Log'!$C$9:$C$308,$B186),$E186)),""))</f>
        <v>745</v>
      </c>
      <c r="H186" s="93" t="str">
        <f aca="false">IF($B186="","",IF($D186="Income","",IF($F186&lt;&gt;"",$F186,IF(COUNTIFS('Paid Log'!$B$9:$B$308,$C186,'Paid Log'!$C$9:$C$308,$B186)&gt;0,SUMIFS('Paid Log'!$D$9:$D$308,'Paid Log'!$B$9:$B$308,$C186,'Paid Log'!$C$9:$C$308,$B186),$E186))))</f>
        <v/>
      </c>
      <c r="I186" s="94" t="n">
        <f aca="false">IF($B186="","",$I$178+SUMIFS($G$180:$G$230,$M$180:$M$230,"&lt;="&amp;$M186)-SUMIFS($H$180:$H$230,$M$180:$M$230,"&lt;="&amp;$M186))</f>
        <v>520.81</v>
      </c>
      <c r="J186" s="95" t="str">
        <f aca="true">IF($B186="","",IF(OR($F186&lt;&gt;"",COUNTIFS('Paid Log'!$B$9:$B$308,$C186,'Paid Log'!$C$9:$C$308,$B186)&gt;0),IF($C186&gt;TODAY(),"ADJUSTED","PAID"),IF($C186&lt;TODAY(),"PAST DUE",IF($C186&lt;=TODAY()+7,"DUE","Upcoming"))))</f>
        <v>Upcoming</v>
      </c>
      <c r="K186" s="96" t="str">
        <f aca="false">IF($B186="","",IF(OR($F186&lt;&gt;"",COUNTIFS('Paid Log'!$B$9:$B$308,$C186,'Paid Log'!$C$9:$C$308,$B186)&gt;0),"ACTUAL","FORECAST"))</f>
        <v>FORECAST</v>
      </c>
      <c r="L186" s="97" t="n">
        <f aca="false">IF($B186="","",$C186)</f>
        <v>46276</v>
      </c>
      <c r="M186" s="0" t="n">
        <f aca="false">IF($L186="","",COUNTIFS($L$180:$L$230,"&lt;"&amp;$L186)+COUNTIFS($L$180:$L186,$L186))</f>
        <v>7</v>
      </c>
    </row>
    <row r="187" customFormat="false" ht="15" hidden="false" customHeight="true" outlineLevel="0" collapsed="false">
      <c r="B187" s="7" t="str">
        <f aca="false">IFERROR(INDEX(Schedule!$C$4:$C$483,MATCH(4008,Schedule!$K$4:$K$483,0)),"")</f>
        <v/>
      </c>
      <c r="C187" s="88" t="str">
        <f aca="false">IF($B187="","",INDEX(Schedule!$G$4:$G$483,MATCH(4008,Schedule!$K$4:$K$483,0)))</f>
        <v/>
      </c>
      <c r="D187" s="89" t="str">
        <f aca="false">IF($B187="","",INDEX(Schedule!$D$4:$D$483,MATCH(4008,Schedule!$K$4:$K$483,0)))</f>
        <v/>
      </c>
      <c r="E187" s="90" t="str">
        <f aca="false">IF($B187="","",INDEX(Schedule!$E$4:$E$483,MATCH(4008,Schedule!$K$4:$K$483,0)))</f>
        <v/>
      </c>
      <c r="F187" s="91"/>
      <c r="G187" s="92" t="str">
        <f aca="false">IF($B187="","",IF($D187="Income",IF($F187&lt;&gt;"",$F187,IF(COUNTIFS('Paid Log'!$B$9:$B$308,$C187,'Paid Log'!$C$9:$C$308,$B187)&gt;0,SUMIFS('Paid Log'!$D$9:$D$308,'Paid Log'!$B$9:$B$308,$C187,'Paid Log'!$C$9:$C$308,$B187),$E187)),""))</f>
        <v/>
      </c>
      <c r="H187" s="93" t="str">
        <f aca="false">IF($B187="","",IF($D187="Income","",IF($F187&lt;&gt;"",$F187,IF(COUNTIFS('Paid Log'!$B$9:$B$308,$C187,'Paid Log'!$C$9:$C$308,$B187)&gt;0,SUMIFS('Paid Log'!$D$9:$D$308,'Paid Log'!$B$9:$B$308,$C187,'Paid Log'!$C$9:$C$308,$B187),$E187))))</f>
        <v/>
      </c>
      <c r="I187" s="94" t="str">
        <f aca="false">IF($B187="","",$I$178+SUMIFS($G$180:$G$230,$M$180:$M$230,"&lt;="&amp;$M187)-SUMIFS($H$180:$H$230,$M$180:$M$230,"&lt;="&amp;$M187))</f>
        <v/>
      </c>
      <c r="J187" s="95" t="str">
        <f aca="true">IF($B187="","",IF(OR($F187&lt;&gt;"",COUNTIFS('Paid Log'!$B$9:$B$308,$C187,'Paid Log'!$C$9:$C$308,$B187)&gt;0),IF($C187&gt;TODAY(),"ADJUSTED","PAID"),IF($C187&lt;TODAY(),"PAST DUE",IF($C187&lt;=TODAY()+7,"DUE","Upcoming"))))</f>
        <v/>
      </c>
      <c r="K187" s="96" t="str">
        <f aca="false">IF($B187="","",IF(OR($F187&lt;&gt;"",COUNTIFS('Paid Log'!$B$9:$B$308,$C187,'Paid Log'!$C$9:$C$308,$B187)&gt;0),"ACTUAL","FORECAST"))</f>
        <v/>
      </c>
      <c r="L187" s="0" t="str">
        <f aca="false">IF($B187="","",$C187)</f>
        <v/>
      </c>
      <c r="M187" s="0" t="str">
        <f aca="false">IF($L187="","",COUNTIFS($L$180:$L$230,"&lt;"&amp;$L187)+COUNTIFS($L$180:$L187,$L187))</f>
        <v/>
      </c>
    </row>
    <row r="188" customFormat="false" ht="15" hidden="false" customHeight="true" outlineLevel="0" collapsed="false">
      <c r="B188" s="7" t="str">
        <f aca="false">IFERROR(INDEX(Schedule!$C$4:$C$483,MATCH(4009,Schedule!$K$4:$K$483,0)),"")</f>
        <v/>
      </c>
      <c r="C188" s="88" t="str">
        <f aca="false">IF($B188="","",INDEX(Schedule!$G$4:$G$483,MATCH(4009,Schedule!$K$4:$K$483,0)))</f>
        <v/>
      </c>
      <c r="D188" s="89" t="str">
        <f aca="false">IF($B188="","",INDEX(Schedule!$D$4:$D$483,MATCH(4009,Schedule!$K$4:$K$483,0)))</f>
        <v/>
      </c>
      <c r="E188" s="90" t="str">
        <f aca="false">IF($B188="","",INDEX(Schedule!$E$4:$E$483,MATCH(4009,Schedule!$K$4:$K$483,0)))</f>
        <v/>
      </c>
      <c r="F188" s="91"/>
      <c r="G188" s="92" t="str">
        <f aca="false">IF($B188="","",IF($D188="Income",IF($F188&lt;&gt;"",$F188,IF(COUNTIFS('Paid Log'!$B$9:$B$308,$C188,'Paid Log'!$C$9:$C$308,$B188)&gt;0,SUMIFS('Paid Log'!$D$9:$D$308,'Paid Log'!$B$9:$B$308,$C188,'Paid Log'!$C$9:$C$308,$B188),$E188)),""))</f>
        <v/>
      </c>
      <c r="H188" s="93" t="str">
        <f aca="false">IF($B188="","",IF($D188="Income","",IF($F188&lt;&gt;"",$F188,IF(COUNTIFS('Paid Log'!$B$9:$B$308,$C188,'Paid Log'!$C$9:$C$308,$B188)&gt;0,SUMIFS('Paid Log'!$D$9:$D$308,'Paid Log'!$B$9:$B$308,$C188,'Paid Log'!$C$9:$C$308,$B188),$E188))))</f>
        <v/>
      </c>
      <c r="I188" s="94" t="str">
        <f aca="false">IF($B188="","",$I$178+SUMIFS($G$180:$G$230,$M$180:$M$230,"&lt;="&amp;$M188)-SUMIFS($H$180:$H$230,$M$180:$M$230,"&lt;="&amp;$M188))</f>
        <v/>
      </c>
      <c r="J188" s="95" t="str">
        <f aca="true">IF($B188="","",IF(OR($F188&lt;&gt;"",COUNTIFS('Paid Log'!$B$9:$B$308,$C188,'Paid Log'!$C$9:$C$308,$B188)&gt;0),IF($C188&gt;TODAY(),"ADJUSTED","PAID"),IF($C188&lt;TODAY(),"PAST DUE",IF($C188&lt;=TODAY()+7,"DUE","Upcoming"))))</f>
        <v/>
      </c>
      <c r="K188" s="96" t="str">
        <f aca="false">IF($B188="","",IF(OR($F188&lt;&gt;"",COUNTIFS('Paid Log'!$B$9:$B$308,$C188,'Paid Log'!$C$9:$C$308,$B188)&gt;0),"ACTUAL","FORECAST"))</f>
        <v/>
      </c>
      <c r="L188" s="0" t="str">
        <f aca="false">IF($B188="","",$C188)</f>
        <v/>
      </c>
      <c r="M188" s="0" t="str">
        <f aca="false">IF($L188="","",COUNTIFS($L$180:$L$230,"&lt;"&amp;$L188)+COUNTIFS($L$180:$L188,$L188))</f>
        <v/>
      </c>
    </row>
    <row r="189" customFormat="false" ht="15" hidden="false" customHeight="true" outlineLevel="0" collapsed="false">
      <c r="B189" s="7" t="str">
        <f aca="false">IFERROR(INDEX(Schedule!$C$4:$C$483,MATCH(4010,Schedule!$K$4:$K$483,0)),"")</f>
        <v/>
      </c>
      <c r="C189" s="88" t="str">
        <f aca="false">IF($B189="","",INDEX(Schedule!$G$4:$G$483,MATCH(4010,Schedule!$K$4:$K$483,0)))</f>
        <v/>
      </c>
      <c r="D189" s="89" t="str">
        <f aca="false">IF($B189="","",INDEX(Schedule!$D$4:$D$483,MATCH(4010,Schedule!$K$4:$K$483,0)))</f>
        <v/>
      </c>
      <c r="E189" s="90" t="str">
        <f aca="false">IF($B189="","",INDEX(Schedule!$E$4:$E$483,MATCH(4010,Schedule!$K$4:$K$483,0)))</f>
        <v/>
      </c>
      <c r="F189" s="91"/>
      <c r="G189" s="92" t="str">
        <f aca="false">IF($B189="","",IF($D189="Income",IF($F189&lt;&gt;"",$F189,IF(COUNTIFS('Paid Log'!$B$9:$B$308,$C189,'Paid Log'!$C$9:$C$308,$B189)&gt;0,SUMIFS('Paid Log'!$D$9:$D$308,'Paid Log'!$B$9:$B$308,$C189,'Paid Log'!$C$9:$C$308,$B189),$E189)),""))</f>
        <v/>
      </c>
      <c r="H189" s="93" t="str">
        <f aca="false">IF($B189="","",IF($D189="Income","",IF($F189&lt;&gt;"",$F189,IF(COUNTIFS('Paid Log'!$B$9:$B$308,$C189,'Paid Log'!$C$9:$C$308,$B189)&gt;0,SUMIFS('Paid Log'!$D$9:$D$308,'Paid Log'!$B$9:$B$308,$C189,'Paid Log'!$C$9:$C$308,$B189),$E189))))</f>
        <v/>
      </c>
      <c r="I189" s="94" t="str">
        <f aca="false">IF($B189="","",$I$178+SUMIFS($G$180:$G$230,$M$180:$M$230,"&lt;="&amp;$M189)-SUMIFS($H$180:$H$230,$M$180:$M$230,"&lt;="&amp;$M189))</f>
        <v/>
      </c>
      <c r="J189" s="95" t="str">
        <f aca="true">IF($B189="","",IF(OR($F189&lt;&gt;"",COUNTIFS('Paid Log'!$B$9:$B$308,$C189,'Paid Log'!$C$9:$C$308,$B189)&gt;0),IF($C189&gt;TODAY(),"ADJUSTED","PAID"),IF($C189&lt;TODAY(),"PAST DUE",IF($C189&lt;=TODAY()+7,"DUE","Upcoming"))))</f>
        <v/>
      </c>
      <c r="K189" s="96" t="str">
        <f aca="false">IF($B189="","",IF(OR($F189&lt;&gt;"",COUNTIFS('Paid Log'!$B$9:$B$308,$C189,'Paid Log'!$C$9:$C$308,$B189)&gt;0),"ACTUAL","FORECAST"))</f>
        <v/>
      </c>
      <c r="L189" s="0" t="str">
        <f aca="false">IF($B189="","",$C189)</f>
        <v/>
      </c>
      <c r="M189" s="0" t="str">
        <f aca="false">IF($L189="","",COUNTIFS($L$180:$L$230,"&lt;"&amp;$L189)+COUNTIFS($L$180:$L189,$L189))</f>
        <v/>
      </c>
    </row>
    <row r="190" customFormat="false" ht="15" hidden="false" customHeight="true" outlineLevel="0" collapsed="false">
      <c r="B190" s="98" t="s">
        <v>148</v>
      </c>
      <c r="C190" s="99"/>
      <c r="D190" s="99"/>
      <c r="E190" s="99"/>
      <c r="F190" s="99"/>
      <c r="G190" s="99"/>
      <c r="H190" s="99"/>
      <c r="I190" s="99"/>
      <c r="J190" s="99"/>
    </row>
    <row r="191" customFormat="false" ht="15" hidden="false" customHeight="true" outlineLevel="0" collapsed="false">
      <c r="B191" s="12"/>
      <c r="C191" s="100"/>
      <c r="D191" s="101" t="str">
        <f aca="false">IF($B191="","","Expense")</f>
        <v/>
      </c>
      <c r="E191" s="14"/>
      <c r="F191" s="102"/>
      <c r="G191" s="102"/>
      <c r="H191" s="103" t="str">
        <f aca="false">IF($B191="","",N($E191))</f>
        <v/>
      </c>
      <c r="I191" s="104" t="str">
        <f aca="false">IF($B191="","",$I$178+SUMIFS($G$180:$G$230,$M$180:$M$230,"&lt;="&amp;$M191)-SUMIFS($H$180:$H$230,$M$180:$M$230,"&lt;="&amp;$M191))</f>
        <v/>
      </c>
      <c r="J191" s="102"/>
      <c r="K191" s="96" t="str">
        <f aca="false">IF($B191="","","ACTUAL")</f>
        <v/>
      </c>
      <c r="L191" s="0" t="str">
        <f aca="false">IF($B191="","",IF($C191="",$E$6+27,$C191))</f>
        <v/>
      </c>
      <c r="M191" s="0" t="str">
        <f aca="false">IF($L191="","",COUNTIFS($L$180:$L$230,"&lt;"&amp;$L191)+COUNTIFS($L$180:$L191,$L191))</f>
        <v/>
      </c>
    </row>
    <row r="192" customFormat="false" ht="15" hidden="false" customHeight="true" outlineLevel="0" collapsed="false">
      <c r="B192" s="12"/>
      <c r="C192" s="100"/>
      <c r="D192" s="101" t="str">
        <f aca="false">IF($B192="","","Expense")</f>
        <v/>
      </c>
      <c r="E192" s="14"/>
      <c r="F192" s="102"/>
      <c r="G192" s="102"/>
      <c r="H192" s="103" t="str">
        <f aca="false">IF($B192="","",N($E192))</f>
        <v/>
      </c>
      <c r="I192" s="104" t="str">
        <f aca="false">IF($B192="","",$I$178+SUMIFS($G$180:$G$230,$M$180:$M$230,"&lt;="&amp;$M192)-SUMIFS($H$180:$H$230,$M$180:$M$230,"&lt;="&amp;$M192))</f>
        <v/>
      </c>
      <c r="J192" s="102"/>
      <c r="K192" s="96" t="str">
        <f aca="false">IF($B192="","","ACTUAL")</f>
        <v/>
      </c>
      <c r="L192" s="0" t="str">
        <f aca="false">IF($B192="","",IF($C192="",$E$6+27,$C192))</f>
        <v/>
      </c>
      <c r="M192" s="0" t="str">
        <f aca="false">IF($L192="","",COUNTIFS($L$180:$L$230,"&lt;"&amp;$L192)+COUNTIFS($L$180:$L192,$L192))</f>
        <v/>
      </c>
    </row>
    <row r="193" customFormat="false" ht="15" hidden="false" customHeight="true" outlineLevel="0" collapsed="false">
      <c r="B193" s="12"/>
      <c r="C193" s="100"/>
      <c r="D193" s="101" t="str">
        <f aca="false">IF($B193="","","Expense")</f>
        <v/>
      </c>
      <c r="E193" s="14"/>
      <c r="F193" s="102"/>
      <c r="G193" s="102"/>
      <c r="H193" s="103" t="str">
        <f aca="false">IF($B193="","",N($E193))</f>
        <v/>
      </c>
      <c r="I193" s="104" t="str">
        <f aca="false">IF($B193="","",$I$178+SUMIFS($G$180:$G$230,$M$180:$M$230,"&lt;="&amp;$M193)-SUMIFS($H$180:$H$230,$M$180:$M$230,"&lt;="&amp;$M193))</f>
        <v/>
      </c>
      <c r="J193" s="102"/>
      <c r="K193" s="96" t="str">
        <f aca="false">IF($B193="","","ACTUAL")</f>
        <v/>
      </c>
      <c r="L193" s="0" t="str">
        <f aca="false">IF($B193="","",IF($C193="",$E$6+27,$C193))</f>
        <v/>
      </c>
      <c r="M193" s="0" t="str">
        <f aca="false">IF($L193="","",COUNTIFS($L$180:$L$230,"&lt;"&amp;$L193)+COUNTIFS($L$180:$L193,$L193))</f>
        <v/>
      </c>
    </row>
    <row r="194" customFormat="false" ht="15" hidden="false" customHeight="true" outlineLevel="0" collapsed="false">
      <c r="B194" s="12"/>
      <c r="C194" s="100"/>
      <c r="D194" s="101" t="str">
        <f aca="false">IF($B194="","","Expense")</f>
        <v/>
      </c>
      <c r="E194" s="14"/>
      <c r="F194" s="102"/>
      <c r="G194" s="102"/>
      <c r="H194" s="103" t="str">
        <f aca="false">IF($B194="","",N($E194))</f>
        <v/>
      </c>
      <c r="I194" s="104" t="str">
        <f aca="false">IF($B194="","",$I$178+SUMIFS($G$180:$G$230,$M$180:$M$230,"&lt;="&amp;$M194)-SUMIFS($H$180:$H$230,$M$180:$M$230,"&lt;="&amp;$M194))</f>
        <v/>
      </c>
      <c r="J194" s="102"/>
      <c r="K194" s="96" t="str">
        <f aca="false">IF($B194="","","ACTUAL")</f>
        <v/>
      </c>
      <c r="L194" s="0" t="str">
        <f aca="false">IF($B194="","",IF($C194="",$E$6+27,$C194))</f>
        <v/>
      </c>
      <c r="M194" s="0" t="str">
        <f aca="false">IF($L194="","",COUNTIFS($L$180:$L$230,"&lt;"&amp;$L194)+COUNTIFS($L$180:$L194,$L194))</f>
        <v/>
      </c>
    </row>
    <row r="195" customFormat="false" ht="15" hidden="false" customHeight="true" outlineLevel="0" collapsed="false">
      <c r="B195" s="12"/>
      <c r="C195" s="100"/>
      <c r="D195" s="101" t="str">
        <f aca="false">IF($B195="","","Expense")</f>
        <v/>
      </c>
      <c r="E195" s="14"/>
      <c r="F195" s="102"/>
      <c r="G195" s="102"/>
      <c r="H195" s="103" t="str">
        <f aca="false">IF($B195="","",N($E195))</f>
        <v/>
      </c>
      <c r="I195" s="104" t="str">
        <f aca="false">IF($B195="","",$I$178+SUMIFS($G$180:$G$230,$M$180:$M$230,"&lt;="&amp;$M195)-SUMIFS($H$180:$H$230,$M$180:$M$230,"&lt;="&amp;$M195))</f>
        <v/>
      </c>
      <c r="J195" s="102"/>
      <c r="K195" s="96" t="str">
        <f aca="false">IF($B195="","","ACTUAL")</f>
        <v/>
      </c>
      <c r="L195" s="0" t="str">
        <f aca="false">IF($B195="","",IF($C195="",$E$6+27,$C195))</f>
        <v/>
      </c>
      <c r="M195" s="0" t="str">
        <f aca="false">IF($L195="","",COUNTIFS($L$180:$L$230,"&lt;"&amp;$L195)+COUNTIFS($L$180:$L195,$L195))</f>
        <v/>
      </c>
    </row>
    <row r="196" customFormat="false" ht="15" hidden="false" customHeight="true" outlineLevel="0" collapsed="false">
      <c r="B196" s="12"/>
      <c r="C196" s="100"/>
      <c r="D196" s="101" t="str">
        <f aca="false">IF($B196="","","Expense")</f>
        <v/>
      </c>
      <c r="E196" s="14"/>
      <c r="F196" s="102"/>
      <c r="G196" s="102"/>
      <c r="H196" s="103" t="str">
        <f aca="false">IF($B196="","",N($E196))</f>
        <v/>
      </c>
      <c r="I196" s="104" t="str">
        <f aca="false">IF($B196="","",$I$178+SUMIFS($G$180:$G$230,$M$180:$M$230,"&lt;="&amp;$M196)-SUMIFS($H$180:$H$230,$M$180:$M$230,"&lt;="&amp;$M196))</f>
        <v/>
      </c>
      <c r="J196" s="102"/>
      <c r="K196" s="96" t="str">
        <f aca="false">IF($B196="","","ACTUAL")</f>
        <v/>
      </c>
      <c r="L196" s="0" t="str">
        <f aca="false">IF($B196="","",IF($C196="",$E$6+27,$C196))</f>
        <v/>
      </c>
      <c r="M196" s="0" t="str">
        <f aca="false">IF($L196="","",COUNTIFS($L$180:$L$230,"&lt;"&amp;$L196)+COUNTIFS($L$180:$L196,$L196))</f>
        <v/>
      </c>
    </row>
    <row r="197" customFormat="false" ht="15" hidden="false" customHeight="true" outlineLevel="0" collapsed="false">
      <c r="B197" s="12"/>
      <c r="C197" s="100"/>
      <c r="D197" s="101" t="str">
        <f aca="false">IF($B197="","","Expense")</f>
        <v/>
      </c>
      <c r="E197" s="14"/>
      <c r="F197" s="102"/>
      <c r="G197" s="102"/>
      <c r="H197" s="103" t="str">
        <f aca="false">IF($B197="","",N($E197))</f>
        <v/>
      </c>
      <c r="I197" s="104" t="str">
        <f aca="false">IF($B197="","",$I$178+SUMIFS($G$180:$G$230,$M$180:$M$230,"&lt;="&amp;$M197)-SUMIFS($H$180:$H$230,$M$180:$M$230,"&lt;="&amp;$M197))</f>
        <v/>
      </c>
      <c r="J197" s="102"/>
      <c r="K197" s="96" t="str">
        <f aca="false">IF($B197="","","ACTUAL")</f>
        <v/>
      </c>
      <c r="L197" s="0" t="str">
        <f aca="false">IF($B197="","",IF($C197="",$E$6+27,$C197))</f>
        <v/>
      </c>
      <c r="M197" s="0" t="str">
        <f aca="false">IF($L197="","",COUNTIFS($L$180:$L$230,"&lt;"&amp;$L197)+COUNTIFS($L$180:$L197,$L197))</f>
        <v/>
      </c>
    </row>
    <row r="198" customFormat="false" ht="15" hidden="false" customHeight="true" outlineLevel="0" collapsed="false">
      <c r="B198" s="12"/>
      <c r="C198" s="100"/>
      <c r="D198" s="101" t="str">
        <f aca="false">IF($B198="","","Expense")</f>
        <v/>
      </c>
      <c r="E198" s="14"/>
      <c r="F198" s="102"/>
      <c r="G198" s="102"/>
      <c r="H198" s="103" t="str">
        <f aca="false">IF($B198="","",N($E198))</f>
        <v/>
      </c>
      <c r="I198" s="104" t="str">
        <f aca="false">IF($B198="","",$I$178+SUMIFS($G$180:$G$230,$M$180:$M$230,"&lt;="&amp;$M198)-SUMIFS($H$180:$H$230,$M$180:$M$230,"&lt;="&amp;$M198))</f>
        <v/>
      </c>
      <c r="J198" s="102"/>
      <c r="K198" s="96" t="str">
        <f aca="false">IF($B198="","","ACTUAL")</f>
        <v/>
      </c>
      <c r="L198" s="0" t="str">
        <f aca="false">IF($B198="","",IF($C198="",$E$6+27,$C198))</f>
        <v/>
      </c>
      <c r="M198" s="0" t="str">
        <f aca="false">IF($L198="","",COUNTIFS($L$180:$L$230,"&lt;"&amp;$L198)+COUNTIFS($L$180:$L198,$L198))</f>
        <v/>
      </c>
    </row>
    <row r="199" customFormat="false" ht="15" hidden="false" customHeight="true" outlineLevel="0" collapsed="false">
      <c r="B199" s="12"/>
      <c r="C199" s="100"/>
      <c r="D199" s="101" t="str">
        <f aca="false">IF($B199="","","Expense")</f>
        <v/>
      </c>
      <c r="E199" s="14"/>
      <c r="F199" s="102"/>
      <c r="G199" s="102"/>
      <c r="H199" s="103" t="str">
        <f aca="false">IF($B199="","",N($E199))</f>
        <v/>
      </c>
      <c r="I199" s="104" t="str">
        <f aca="false">IF($B199="","",$I$178+SUMIFS($G$180:$G$230,$M$180:$M$230,"&lt;="&amp;$M199)-SUMIFS($H$180:$H$230,$M$180:$M$230,"&lt;="&amp;$M199))</f>
        <v/>
      </c>
      <c r="J199" s="102"/>
      <c r="K199" s="96" t="str">
        <f aca="false">IF($B199="","","ACTUAL")</f>
        <v/>
      </c>
      <c r="L199" s="0" t="str">
        <f aca="false">IF($B199="","",IF($C199="",$E$6+27,$C199))</f>
        <v/>
      </c>
      <c r="M199" s="0" t="str">
        <f aca="false">IF($L199="","",COUNTIFS($L$180:$L$230,"&lt;"&amp;$L199)+COUNTIFS($L$180:$L199,$L199))</f>
        <v/>
      </c>
    </row>
    <row r="200" customFormat="false" ht="15" hidden="false" customHeight="true" outlineLevel="0" collapsed="false">
      <c r="B200" s="12"/>
      <c r="C200" s="100"/>
      <c r="D200" s="101" t="str">
        <f aca="false">IF($B200="","","Expense")</f>
        <v/>
      </c>
      <c r="E200" s="14"/>
      <c r="F200" s="102"/>
      <c r="G200" s="102"/>
      <c r="H200" s="103" t="str">
        <f aca="false">IF($B200="","",N($E200))</f>
        <v/>
      </c>
      <c r="I200" s="104" t="str">
        <f aca="false">IF($B200="","",$I$178+SUMIFS($G$180:$G$230,$M$180:$M$230,"&lt;="&amp;$M200)-SUMIFS($H$180:$H$230,$M$180:$M$230,"&lt;="&amp;$M200))</f>
        <v/>
      </c>
      <c r="J200" s="102"/>
      <c r="K200" s="96" t="str">
        <f aca="false">IF($B200="","","ACTUAL")</f>
        <v/>
      </c>
      <c r="L200" s="0" t="str">
        <f aca="false">IF($B200="","",IF($C200="",$E$6+27,$C200))</f>
        <v/>
      </c>
      <c r="M200" s="0" t="str">
        <f aca="false">IF($L200="","",COUNTIFS($L$180:$L$230,"&lt;"&amp;$L200)+COUNTIFS($L$180:$L200,$L200))</f>
        <v/>
      </c>
    </row>
    <row r="201" customFormat="false" ht="15" hidden="false" customHeight="true" outlineLevel="0" collapsed="false">
      <c r="B201" s="12"/>
      <c r="C201" s="100"/>
      <c r="D201" s="101" t="str">
        <f aca="false">IF($B201="","","Expense")</f>
        <v/>
      </c>
      <c r="E201" s="14"/>
      <c r="F201" s="102"/>
      <c r="G201" s="102"/>
      <c r="H201" s="103" t="str">
        <f aca="false">IF($B201="","",N($E201))</f>
        <v/>
      </c>
      <c r="I201" s="104" t="str">
        <f aca="false">IF($B201="","",$I$178+SUMIFS($G$180:$G$230,$M$180:$M$230,"&lt;="&amp;$M201)-SUMIFS($H$180:$H$230,$M$180:$M$230,"&lt;="&amp;$M201))</f>
        <v/>
      </c>
      <c r="J201" s="102"/>
      <c r="K201" s="96" t="str">
        <f aca="false">IF($B201="","","ACTUAL")</f>
        <v/>
      </c>
      <c r="L201" s="0" t="str">
        <f aca="false">IF($B201="","",IF($C201="",$E$6+27,$C201))</f>
        <v/>
      </c>
      <c r="M201" s="0" t="str">
        <f aca="false">IF($L201="","",COUNTIFS($L$180:$L$230,"&lt;"&amp;$L201)+COUNTIFS($L$180:$L201,$L201))</f>
        <v/>
      </c>
    </row>
    <row r="202" customFormat="false" ht="15" hidden="false" customHeight="true" outlineLevel="0" collapsed="false">
      <c r="B202" s="12"/>
      <c r="C202" s="100"/>
      <c r="D202" s="101" t="str">
        <f aca="false">IF($B202="","","Expense")</f>
        <v/>
      </c>
      <c r="E202" s="14"/>
      <c r="F202" s="102"/>
      <c r="G202" s="102"/>
      <c r="H202" s="103" t="str">
        <f aca="false">IF($B202="","",N($E202))</f>
        <v/>
      </c>
      <c r="I202" s="104" t="str">
        <f aca="false">IF($B202="","",$I$178+SUMIFS($G$180:$G$230,$M$180:$M$230,"&lt;="&amp;$M202)-SUMIFS($H$180:$H$230,$M$180:$M$230,"&lt;="&amp;$M202))</f>
        <v/>
      </c>
      <c r="J202" s="102"/>
      <c r="K202" s="96" t="str">
        <f aca="false">IF($B202="","","ACTUAL")</f>
        <v/>
      </c>
      <c r="L202" s="0" t="str">
        <f aca="false">IF($B202="","",IF($C202="",$E$6+27,$C202))</f>
        <v/>
      </c>
      <c r="M202" s="0" t="str">
        <f aca="false">IF($L202="","",COUNTIFS($L$180:$L$230,"&lt;"&amp;$L202)+COUNTIFS($L$180:$L202,$L202))</f>
        <v/>
      </c>
    </row>
    <row r="203" customFormat="false" ht="15" hidden="false" customHeight="true" outlineLevel="0" collapsed="false">
      <c r="B203" s="12"/>
      <c r="C203" s="100"/>
      <c r="D203" s="101" t="str">
        <f aca="false">IF($B203="","","Expense")</f>
        <v/>
      </c>
      <c r="E203" s="14"/>
      <c r="F203" s="102"/>
      <c r="G203" s="102"/>
      <c r="H203" s="103" t="str">
        <f aca="false">IF($B203="","",N($E203))</f>
        <v/>
      </c>
      <c r="I203" s="104" t="str">
        <f aca="false">IF($B203="","",$I$178+SUMIFS($G$180:$G$230,$M$180:$M$230,"&lt;="&amp;$M203)-SUMIFS($H$180:$H$230,$M$180:$M$230,"&lt;="&amp;$M203))</f>
        <v/>
      </c>
      <c r="J203" s="102"/>
      <c r="K203" s="96" t="str">
        <f aca="false">IF($B203="","","ACTUAL")</f>
        <v/>
      </c>
      <c r="L203" s="0" t="str">
        <f aca="false">IF($B203="","",IF($C203="",$E$6+27,$C203))</f>
        <v/>
      </c>
      <c r="M203" s="0" t="str">
        <f aca="false">IF($L203="","",COUNTIFS($L$180:$L$230,"&lt;"&amp;$L203)+COUNTIFS($L$180:$L203,$L203))</f>
        <v/>
      </c>
    </row>
    <row r="204" customFormat="false" ht="15" hidden="false" customHeight="true" outlineLevel="0" collapsed="false">
      <c r="B204" s="12"/>
      <c r="C204" s="100"/>
      <c r="D204" s="101" t="str">
        <f aca="false">IF($B204="","","Expense")</f>
        <v/>
      </c>
      <c r="E204" s="14"/>
      <c r="F204" s="102"/>
      <c r="G204" s="102"/>
      <c r="H204" s="103" t="str">
        <f aca="false">IF($B204="","",N($E204))</f>
        <v/>
      </c>
      <c r="I204" s="104" t="str">
        <f aca="false">IF($B204="","",$I$178+SUMIFS($G$180:$G$230,$M$180:$M$230,"&lt;="&amp;$M204)-SUMIFS($H$180:$H$230,$M$180:$M$230,"&lt;="&amp;$M204))</f>
        <v/>
      </c>
      <c r="J204" s="102"/>
      <c r="K204" s="96" t="str">
        <f aca="false">IF($B204="","","ACTUAL")</f>
        <v/>
      </c>
      <c r="L204" s="0" t="str">
        <f aca="false">IF($B204="","",IF($C204="",$E$6+27,$C204))</f>
        <v/>
      </c>
      <c r="M204" s="0" t="str">
        <f aca="false">IF($L204="","",COUNTIFS($L$180:$L$230,"&lt;"&amp;$L204)+COUNTIFS($L$180:$L204,$L204))</f>
        <v/>
      </c>
    </row>
    <row r="205" customFormat="false" ht="15" hidden="false" customHeight="true" outlineLevel="0" collapsed="false">
      <c r="B205" s="12"/>
      <c r="C205" s="100"/>
      <c r="D205" s="101" t="str">
        <f aca="false">IF($B205="","","Expense")</f>
        <v/>
      </c>
      <c r="E205" s="14"/>
      <c r="F205" s="102"/>
      <c r="G205" s="102"/>
      <c r="H205" s="103" t="str">
        <f aca="false">IF($B205="","",N($E205))</f>
        <v/>
      </c>
      <c r="I205" s="104" t="str">
        <f aca="false">IF($B205="","",$I$178+SUMIFS($G$180:$G$230,$M$180:$M$230,"&lt;="&amp;$M205)-SUMIFS($H$180:$H$230,$M$180:$M$230,"&lt;="&amp;$M205))</f>
        <v/>
      </c>
      <c r="J205" s="102"/>
      <c r="K205" s="96" t="str">
        <f aca="false">IF($B205="","","ACTUAL")</f>
        <v/>
      </c>
      <c r="L205" s="0" t="str">
        <f aca="false">IF($B205="","",IF($C205="",$E$6+27,$C205))</f>
        <v/>
      </c>
      <c r="M205" s="0" t="str">
        <f aca="false">IF($L205="","",COUNTIFS($L$180:$L$230,"&lt;"&amp;$L205)+COUNTIFS($L$180:$L205,$L205))</f>
        <v/>
      </c>
    </row>
    <row r="206" customFormat="false" ht="15" hidden="false" customHeight="true" outlineLevel="0" collapsed="false">
      <c r="B206" s="12"/>
      <c r="C206" s="100"/>
      <c r="D206" s="101" t="str">
        <f aca="false">IF($B206="","","Expense")</f>
        <v/>
      </c>
      <c r="E206" s="14"/>
      <c r="F206" s="102"/>
      <c r="G206" s="102"/>
      <c r="H206" s="103" t="str">
        <f aca="false">IF($B206="","",N($E206))</f>
        <v/>
      </c>
      <c r="I206" s="104" t="str">
        <f aca="false">IF($B206="","",$I$178+SUMIFS($G$180:$G$230,$M$180:$M$230,"&lt;="&amp;$M206)-SUMIFS($H$180:$H$230,$M$180:$M$230,"&lt;="&amp;$M206))</f>
        <v/>
      </c>
      <c r="J206" s="102"/>
      <c r="K206" s="96" t="str">
        <f aca="false">IF($B206="","","ACTUAL")</f>
        <v/>
      </c>
      <c r="L206" s="0" t="str">
        <f aca="false">IF($B206="","",IF($C206="",$E$6+27,$C206))</f>
        <v/>
      </c>
      <c r="M206" s="0" t="str">
        <f aca="false">IF($L206="","",COUNTIFS($L$180:$L$230,"&lt;"&amp;$L206)+COUNTIFS($L$180:$L206,$L206))</f>
        <v/>
      </c>
    </row>
    <row r="207" customFormat="false" ht="15" hidden="false" customHeight="true" outlineLevel="0" collapsed="false">
      <c r="B207" s="12"/>
      <c r="C207" s="100"/>
      <c r="D207" s="101" t="str">
        <f aca="false">IF($B207="","","Expense")</f>
        <v/>
      </c>
      <c r="E207" s="14"/>
      <c r="F207" s="102"/>
      <c r="G207" s="102"/>
      <c r="H207" s="103" t="str">
        <f aca="false">IF($B207="","",N($E207))</f>
        <v/>
      </c>
      <c r="I207" s="104" t="str">
        <f aca="false">IF($B207="","",$I$178+SUMIFS($G$180:$G$230,$M$180:$M$230,"&lt;="&amp;$M207)-SUMIFS($H$180:$H$230,$M$180:$M$230,"&lt;="&amp;$M207))</f>
        <v/>
      </c>
      <c r="J207" s="102"/>
      <c r="K207" s="96" t="str">
        <f aca="false">IF($B207="","","ACTUAL")</f>
        <v/>
      </c>
      <c r="L207" s="0" t="str">
        <f aca="false">IF($B207="","",IF($C207="",$E$6+27,$C207))</f>
        <v/>
      </c>
      <c r="M207" s="0" t="str">
        <f aca="false">IF($L207="","",COUNTIFS($L$180:$L$230,"&lt;"&amp;$L207)+COUNTIFS($L$180:$L207,$L207))</f>
        <v/>
      </c>
    </row>
    <row r="208" customFormat="false" ht="15" hidden="false" customHeight="true" outlineLevel="0" collapsed="false">
      <c r="B208" s="12"/>
      <c r="C208" s="100"/>
      <c r="D208" s="101" t="str">
        <f aca="false">IF($B208="","","Expense")</f>
        <v/>
      </c>
      <c r="E208" s="14"/>
      <c r="F208" s="102"/>
      <c r="G208" s="102"/>
      <c r="H208" s="103" t="str">
        <f aca="false">IF($B208="","",N($E208))</f>
        <v/>
      </c>
      <c r="I208" s="104" t="str">
        <f aca="false">IF($B208="","",$I$178+SUMIFS($G$180:$G$230,$M$180:$M$230,"&lt;="&amp;$M208)-SUMIFS($H$180:$H$230,$M$180:$M$230,"&lt;="&amp;$M208))</f>
        <v/>
      </c>
      <c r="J208" s="102"/>
      <c r="K208" s="96" t="str">
        <f aca="false">IF($B208="","","ACTUAL")</f>
        <v/>
      </c>
      <c r="L208" s="0" t="str">
        <f aca="false">IF($B208="","",IF($C208="",$E$6+27,$C208))</f>
        <v/>
      </c>
      <c r="M208" s="0" t="str">
        <f aca="false">IF($L208="","",COUNTIFS($L$180:$L$230,"&lt;"&amp;$L208)+COUNTIFS($L$180:$L208,$L208))</f>
        <v/>
      </c>
    </row>
    <row r="209" customFormat="false" ht="15" hidden="false" customHeight="true" outlineLevel="0" collapsed="false">
      <c r="B209" s="12"/>
      <c r="C209" s="100"/>
      <c r="D209" s="101" t="str">
        <f aca="false">IF($B209="","","Expense")</f>
        <v/>
      </c>
      <c r="E209" s="14"/>
      <c r="F209" s="102"/>
      <c r="G209" s="102"/>
      <c r="H209" s="103" t="str">
        <f aca="false">IF($B209="","",N($E209))</f>
        <v/>
      </c>
      <c r="I209" s="104" t="str">
        <f aca="false">IF($B209="","",$I$178+SUMIFS($G$180:$G$230,$M$180:$M$230,"&lt;="&amp;$M209)-SUMIFS($H$180:$H$230,$M$180:$M$230,"&lt;="&amp;$M209))</f>
        <v/>
      </c>
      <c r="J209" s="102"/>
      <c r="K209" s="96" t="str">
        <f aca="false">IF($B209="","","ACTUAL")</f>
        <v/>
      </c>
      <c r="L209" s="0" t="str">
        <f aca="false">IF($B209="","",IF($C209="",$E$6+27,$C209))</f>
        <v/>
      </c>
      <c r="M209" s="0" t="str">
        <f aca="false">IF($L209="","",COUNTIFS($L$180:$L$230,"&lt;"&amp;$L209)+COUNTIFS($L$180:$L209,$L209))</f>
        <v/>
      </c>
    </row>
    <row r="210" customFormat="false" ht="15" hidden="false" customHeight="true" outlineLevel="0" collapsed="false">
      <c r="B210" s="12"/>
      <c r="C210" s="100"/>
      <c r="D210" s="101" t="str">
        <f aca="false">IF($B210="","","Expense")</f>
        <v/>
      </c>
      <c r="E210" s="14"/>
      <c r="F210" s="102"/>
      <c r="G210" s="102"/>
      <c r="H210" s="103" t="str">
        <f aca="false">IF($B210="","",N($E210))</f>
        <v/>
      </c>
      <c r="I210" s="104" t="str">
        <f aca="false">IF($B210="","",$I$178+SUMIFS($G$180:$G$230,$M$180:$M$230,"&lt;="&amp;$M210)-SUMIFS($H$180:$H$230,$M$180:$M$230,"&lt;="&amp;$M210))</f>
        <v/>
      </c>
      <c r="J210" s="102"/>
      <c r="K210" s="96" t="str">
        <f aca="false">IF($B210="","","ACTUAL")</f>
        <v/>
      </c>
      <c r="L210" s="0" t="str">
        <f aca="false">IF($B210="","",IF($C210="",$E$6+27,$C210))</f>
        <v/>
      </c>
      <c r="M210" s="0" t="str">
        <f aca="false">IF($L210="","",COUNTIFS($L$180:$L$230,"&lt;"&amp;$L210)+COUNTIFS($L$180:$L210,$L210))</f>
        <v/>
      </c>
    </row>
    <row r="211" customFormat="false" ht="15" hidden="false" customHeight="true" outlineLevel="0" collapsed="false">
      <c r="B211" s="12"/>
      <c r="C211" s="100"/>
      <c r="D211" s="101" t="str">
        <f aca="false">IF($B211="","","Expense")</f>
        <v/>
      </c>
      <c r="E211" s="14"/>
      <c r="F211" s="102"/>
      <c r="G211" s="102"/>
      <c r="H211" s="103" t="str">
        <f aca="false">IF($B211="","",N($E211))</f>
        <v/>
      </c>
      <c r="I211" s="104" t="str">
        <f aca="false">IF($B211="","",$I$178+SUMIFS($G$180:$G$230,$M$180:$M$230,"&lt;="&amp;$M211)-SUMIFS($H$180:$H$230,$M$180:$M$230,"&lt;="&amp;$M211))</f>
        <v/>
      </c>
      <c r="J211" s="102"/>
      <c r="K211" s="96" t="str">
        <f aca="false">IF($B211="","","ACTUAL")</f>
        <v/>
      </c>
      <c r="L211" s="0" t="str">
        <f aca="false">IF($B211="","",IF($C211="",$E$6+27,$C211))</f>
        <v/>
      </c>
      <c r="M211" s="0" t="str">
        <f aca="false">IF($L211="","",COUNTIFS($L$180:$L$230,"&lt;"&amp;$L211)+COUNTIFS($L$180:$L211,$L211))</f>
        <v/>
      </c>
    </row>
    <row r="212" customFormat="false" ht="15" hidden="false" customHeight="true" outlineLevel="0" collapsed="false">
      <c r="B212" s="12"/>
      <c r="C212" s="100"/>
      <c r="D212" s="101" t="str">
        <f aca="false">IF($B212="","","Expense")</f>
        <v/>
      </c>
      <c r="E212" s="14"/>
      <c r="F212" s="102"/>
      <c r="G212" s="102"/>
      <c r="H212" s="103" t="str">
        <f aca="false">IF($B212="","",N($E212))</f>
        <v/>
      </c>
      <c r="I212" s="104" t="str">
        <f aca="false">IF($B212="","",$I$178+SUMIFS($G$180:$G$230,$M$180:$M$230,"&lt;="&amp;$M212)-SUMIFS($H$180:$H$230,$M$180:$M$230,"&lt;="&amp;$M212))</f>
        <v/>
      </c>
      <c r="J212" s="102"/>
      <c r="K212" s="96" t="str">
        <f aca="false">IF($B212="","","ACTUAL")</f>
        <v/>
      </c>
      <c r="L212" s="0" t="str">
        <f aca="false">IF($B212="","",IF($C212="",$E$6+27,$C212))</f>
        <v/>
      </c>
      <c r="M212" s="0" t="str">
        <f aca="false">IF($L212="","",COUNTIFS($L$180:$L$230,"&lt;"&amp;$L212)+COUNTIFS($L$180:$L212,$L212))</f>
        <v/>
      </c>
    </row>
    <row r="213" customFormat="false" ht="15" hidden="false" customHeight="true" outlineLevel="0" collapsed="false">
      <c r="B213" s="12"/>
      <c r="C213" s="100"/>
      <c r="D213" s="101" t="str">
        <f aca="false">IF($B213="","","Expense")</f>
        <v/>
      </c>
      <c r="E213" s="14"/>
      <c r="F213" s="102"/>
      <c r="G213" s="102"/>
      <c r="H213" s="103" t="str">
        <f aca="false">IF($B213="","",N($E213))</f>
        <v/>
      </c>
      <c r="I213" s="104" t="str">
        <f aca="false">IF($B213="","",$I$178+SUMIFS($G$180:$G$230,$M$180:$M$230,"&lt;="&amp;$M213)-SUMIFS($H$180:$H$230,$M$180:$M$230,"&lt;="&amp;$M213))</f>
        <v/>
      </c>
      <c r="J213" s="102"/>
      <c r="K213" s="96" t="str">
        <f aca="false">IF($B213="","","ACTUAL")</f>
        <v/>
      </c>
      <c r="L213" s="0" t="str">
        <f aca="false">IF($B213="","",IF($C213="",$E$6+27,$C213))</f>
        <v/>
      </c>
      <c r="M213" s="0" t="str">
        <f aca="false">IF($L213="","",COUNTIFS($L$180:$L$230,"&lt;"&amp;$L213)+COUNTIFS($L$180:$L213,$L213))</f>
        <v/>
      </c>
    </row>
    <row r="214" customFormat="false" ht="15" hidden="false" customHeight="true" outlineLevel="0" collapsed="false">
      <c r="B214" s="12"/>
      <c r="C214" s="100"/>
      <c r="D214" s="101" t="str">
        <f aca="false">IF($B214="","","Expense")</f>
        <v/>
      </c>
      <c r="E214" s="14"/>
      <c r="F214" s="102"/>
      <c r="G214" s="102"/>
      <c r="H214" s="103" t="str">
        <f aca="false">IF($B214="","",N($E214))</f>
        <v/>
      </c>
      <c r="I214" s="104" t="str">
        <f aca="false">IF($B214="","",$I$178+SUMIFS($G$180:$G$230,$M$180:$M$230,"&lt;="&amp;$M214)-SUMIFS($H$180:$H$230,$M$180:$M$230,"&lt;="&amp;$M214))</f>
        <v/>
      </c>
      <c r="J214" s="102"/>
      <c r="K214" s="96" t="str">
        <f aca="false">IF($B214="","","ACTUAL")</f>
        <v/>
      </c>
      <c r="L214" s="0" t="str">
        <f aca="false">IF($B214="","",IF($C214="",$E$6+27,$C214))</f>
        <v/>
      </c>
      <c r="M214" s="0" t="str">
        <f aca="false">IF($L214="","",COUNTIFS($L$180:$L$230,"&lt;"&amp;$L214)+COUNTIFS($L$180:$L214,$L214))</f>
        <v/>
      </c>
    </row>
    <row r="215" customFormat="false" ht="15" hidden="false" customHeight="true" outlineLevel="0" collapsed="false">
      <c r="B215" s="12"/>
      <c r="C215" s="100"/>
      <c r="D215" s="101" t="str">
        <f aca="false">IF($B215="","","Expense")</f>
        <v/>
      </c>
      <c r="E215" s="14"/>
      <c r="F215" s="102"/>
      <c r="G215" s="102"/>
      <c r="H215" s="103" t="str">
        <f aca="false">IF($B215="","",N($E215))</f>
        <v/>
      </c>
      <c r="I215" s="104" t="str">
        <f aca="false">IF($B215="","",$I$178+SUMIFS($G$180:$G$230,$M$180:$M$230,"&lt;="&amp;$M215)-SUMIFS($H$180:$H$230,$M$180:$M$230,"&lt;="&amp;$M215))</f>
        <v/>
      </c>
      <c r="J215" s="102"/>
      <c r="K215" s="96" t="str">
        <f aca="false">IF($B215="","","ACTUAL")</f>
        <v/>
      </c>
      <c r="L215" s="0" t="str">
        <f aca="false">IF($B215="","",IF($C215="",$E$6+27,$C215))</f>
        <v/>
      </c>
      <c r="M215" s="0" t="str">
        <f aca="false">IF($L215="","",COUNTIFS($L$180:$L$230,"&lt;"&amp;$L215)+COUNTIFS($L$180:$L215,$L215))</f>
        <v/>
      </c>
    </row>
    <row r="216" customFormat="false" ht="15" hidden="false" customHeight="true" outlineLevel="0" collapsed="false">
      <c r="B216" s="12"/>
      <c r="C216" s="100"/>
      <c r="D216" s="101" t="str">
        <f aca="false">IF($B216="","","Expense")</f>
        <v/>
      </c>
      <c r="E216" s="14"/>
      <c r="F216" s="102"/>
      <c r="G216" s="102"/>
      <c r="H216" s="103" t="str">
        <f aca="false">IF($B216="","",N($E216))</f>
        <v/>
      </c>
      <c r="I216" s="104" t="str">
        <f aca="false">IF($B216="","",$I$178+SUMIFS($G$180:$G$230,$M$180:$M$230,"&lt;="&amp;$M216)-SUMIFS($H$180:$H$230,$M$180:$M$230,"&lt;="&amp;$M216))</f>
        <v/>
      </c>
      <c r="J216" s="102"/>
      <c r="K216" s="96" t="str">
        <f aca="false">IF($B216="","","ACTUAL")</f>
        <v/>
      </c>
      <c r="L216" s="0" t="str">
        <f aca="false">IF($B216="","",IF($C216="",$E$6+27,$C216))</f>
        <v/>
      </c>
      <c r="M216" s="0" t="str">
        <f aca="false">IF($L216="","",COUNTIFS($L$180:$L$230,"&lt;"&amp;$L216)+COUNTIFS($L$180:$L216,$L216))</f>
        <v/>
      </c>
    </row>
    <row r="217" customFormat="false" ht="15" hidden="false" customHeight="true" outlineLevel="0" collapsed="false">
      <c r="B217" s="12"/>
      <c r="C217" s="100"/>
      <c r="D217" s="101" t="str">
        <f aca="false">IF($B217="","","Expense")</f>
        <v/>
      </c>
      <c r="E217" s="14"/>
      <c r="F217" s="102"/>
      <c r="G217" s="102"/>
      <c r="H217" s="103" t="str">
        <f aca="false">IF($B217="","",N($E217))</f>
        <v/>
      </c>
      <c r="I217" s="104" t="str">
        <f aca="false">IF($B217="","",$I$178+SUMIFS($G$180:$G$230,$M$180:$M$230,"&lt;="&amp;$M217)-SUMIFS($H$180:$H$230,$M$180:$M$230,"&lt;="&amp;$M217))</f>
        <v/>
      </c>
      <c r="J217" s="102"/>
      <c r="K217" s="96" t="str">
        <f aca="false">IF($B217="","","ACTUAL")</f>
        <v/>
      </c>
      <c r="L217" s="0" t="str">
        <f aca="false">IF($B217="","",IF($C217="",$E$6+27,$C217))</f>
        <v/>
      </c>
      <c r="M217" s="0" t="str">
        <f aca="false">IF($L217="","",COUNTIFS($L$180:$L$230,"&lt;"&amp;$L217)+COUNTIFS($L$180:$L217,$L217))</f>
        <v/>
      </c>
    </row>
    <row r="218" customFormat="false" ht="15" hidden="false" customHeight="true" outlineLevel="0" collapsed="false">
      <c r="B218" s="12"/>
      <c r="C218" s="100"/>
      <c r="D218" s="101" t="str">
        <f aca="false">IF($B218="","","Expense")</f>
        <v/>
      </c>
      <c r="E218" s="14"/>
      <c r="F218" s="102"/>
      <c r="G218" s="102"/>
      <c r="H218" s="103" t="str">
        <f aca="false">IF($B218="","",N($E218))</f>
        <v/>
      </c>
      <c r="I218" s="104" t="str">
        <f aca="false">IF($B218="","",$I$178+SUMIFS($G$180:$G$230,$M$180:$M$230,"&lt;="&amp;$M218)-SUMIFS($H$180:$H$230,$M$180:$M$230,"&lt;="&amp;$M218))</f>
        <v/>
      </c>
      <c r="J218" s="102"/>
      <c r="K218" s="96" t="str">
        <f aca="false">IF($B218="","","ACTUAL")</f>
        <v/>
      </c>
      <c r="L218" s="0" t="str">
        <f aca="false">IF($B218="","",IF($C218="",$E$6+27,$C218))</f>
        <v/>
      </c>
      <c r="M218" s="0" t="str">
        <f aca="false">IF($L218="","",COUNTIFS($L$180:$L$230,"&lt;"&amp;$L218)+COUNTIFS($L$180:$L218,$L218))</f>
        <v/>
      </c>
    </row>
    <row r="219" customFormat="false" ht="15" hidden="false" customHeight="true" outlineLevel="0" collapsed="false">
      <c r="B219" s="12"/>
      <c r="C219" s="100"/>
      <c r="D219" s="101" t="str">
        <f aca="false">IF($B219="","","Expense")</f>
        <v/>
      </c>
      <c r="E219" s="14"/>
      <c r="F219" s="102"/>
      <c r="G219" s="102"/>
      <c r="H219" s="103" t="str">
        <f aca="false">IF($B219="","",N($E219))</f>
        <v/>
      </c>
      <c r="I219" s="104" t="str">
        <f aca="false">IF($B219="","",$I$178+SUMIFS($G$180:$G$230,$M$180:$M$230,"&lt;="&amp;$M219)-SUMIFS($H$180:$H$230,$M$180:$M$230,"&lt;="&amp;$M219))</f>
        <v/>
      </c>
      <c r="J219" s="102"/>
      <c r="K219" s="96" t="str">
        <f aca="false">IF($B219="","","ACTUAL")</f>
        <v/>
      </c>
      <c r="L219" s="0" t="str">
        <f aca="false">IF($B219="","",IF($C219="",$E$6+27,$C219))</f>
        <v/>
      </c>
      <c r="M219" s="0" t="str">
        <f aca="false">IF($L219="","",COUNTIFS($L$180:$L$230,"&lt;"&amp;$L219)+COUNTIFS($L$180:$L219,$L219))</f>
        <v/>
      </c>
    </row>
    <row r="220" customFormat="false" ht="15" hidden="false" customHeight="true" outlineLevel="0" collapsed="false">
      <c r="B220" s="12"/>
      <c r="C220" s="100"/>
      <c r="D220" s="101" t="str">
        <f aca="false">IF($B220="","","Expense")</f>
        <v/>
      </c>
      <c r="E220" s="14"/>
      <c r="F220" s="102"/>
      <c r="G220" s="102"/>
      <c r="H220" s="103" t="str">
        <f aca="false">IF($B220="","",N($E220))</f>
        <v/>
      </c>
      <c r="I220" s="104" t="str">
        <f aca="false">IF($B220="","",$I$178+SUMIFS($G$180:$G$230,$M$180:$M$230,"&lt;="&amp;$M220)-SUMIFS($H$180:$H$230,$M$180:$M$230,"&lt;="&amp;$M220))</f>
        <v/>
      </c>
      <c r="J220" s="102"/>
      <c r="K220" s="96" t="str">
        <f aca="false">IF($B220="","","ACTUAL")</f>
        <v/>
      </c>
      <c r="L220" s="0" t="str">
        <f aca="false">IF($B220="","",IF($C220="",$E$6+27,$C220))</f>
        <v/>
      </c>
      <c r="M220" s="0" t="str">
        <f aca="false">IF($L220="","",COUNTIFS($L$180:$L$230,"&lt;"&amp;$L220)+COUNTIFS($L$180:$L220,$L220))</f>
        <v/>
      </c>
    </row>
    <row r="221" customFormat="false" ht="15" hidden="false" customHeight="true" outlineLevel="0" collapsed="false">
      <c r="B221" s="12"/>
      <c r="C221" s="100"/>
      <c r="D221" s="101" t="str">
        <f aca="false">IF($B221="","","Expense")</f>
        <v/>
      </c>
      <c r="E221" s="14"/>
      <c r="F221" s="102"/>
      <c r="G221" s="102"/>
      <c r="H221" s="103" t="str">
        <f aca="false">IF($B221="","",N($E221))</f>
        <v/>
      </c>
      <c r="I221" s="104" t="str">
        <f aca="false">IF($B221="","",$I$178+SUMIFS($G$180:$G$230,$M$180:$M$230,"&lt;="&amp;$M221)-SUMIFS($H$180:$H$230,$M$180:$M$230,"&lt;="&amp;$M221))</f>
        <v/>
      </c>
      <c r="J221" s="102"/>
      <c r="K221" s="96" t="str">
        <f aca="false">IF($B221="","","ACTUAL")</f>
        <v/>
      </c>
      <c r="L221" s="0" t="str">
        <f aca="false">IF($B221="","",IF($C221="",$E$6+27,$C221))</f>
        <v/>
      </c>
      <c r="M221" s="0" t="str">
        <f aca="false">IF($L221="","",COUNTIFS($L$180:$L$230,"&lt;"&amp;$L221)+COUNTIFS($L$180:$L221,$L221))</f>
        <v/>
      </c>
    </row>
    <row r="222" customFormat="false" ht="15" hidden="false" customHeight="true" outlineLevel="0" collapsed="false">
      <c r="B222" s="12"/>
      <c r="C222" s="100"/>
      <c r="D222" s="101" t="str">
        <f aca="false">IF($B222="","","Expense")</f>
        <v/>
      </c>
      <c r="E222" s="14"/>
      <c r="F222" s="102"/>
      <c r="G222" s="102"/>
      <c r="H222" s="103" t="str">
        <f aca="false">IF($B222="","",N($E222))</f>
        <v/>
      </c>
      <c r="I222" s="104" t="str">
        <f aca="false">IF($B222="","",$I$178+SUMIFS($G$180:$G$230,$M$180:$M$230,"&lt;="&amp;$M222)-SUMIFS($H$180:$H$230,$M$180:$M$230,"&lt;="&amp;$M222))</f>
        <v/>
      </c>
      <c r="J222" s="102"/>
      <c r="K222" s="96" t="str">
        <f aca="false">IF($B222="","","ACTUAL")</f>
        <v/>
      </c>
      <c r="L222" s="0" t="str">
        <f aca="false">IF($B222="","",IF($C222="",$E$6+27,$C222))</f>
        <v/>
      </c>
      <c r="M222" s="0" t="str">
        <f aca="false">IF($L222="","",COUNTIFS($L$180:$L$230,"&lt;"&amp;$L222)+COUNTIFS($L$180:$L222,$L222))</f>
        <v/>
      </c>
    </row>
    <row r="223" customFormat="false" ht="15" hidden="false" customHeight="true" outlineLevel="0" collapsed="false">
      <c r="B223" s="12"/>
      <c r="C223" s="100"/>
      <c r="D223" s="101" t="str">
        <f aca="false">IF($B223="","","Expense")</f>
        <v/>
      </c>
      <c r="E223" s="14"/>
      <c r="F223" s="102"/>
      <c r="G223" s="102"/>
      <c r="H223" s="103" t="str">
        <f aca="false">IF($B223="","",N($E223))</f>
        <v/>
      </c>
      <c r="I223" s="104" t="str">
        <f aca="false">IF($B223="","",$I$178+SUMIFS($G$180:$G$230,$M$180:$M$230,"&lt;="&amp;$M223)-SUMIFS($H$180:$H$230,$M$180:$M$230,"&lt;="&amp;$M223))</f>
        <v/>
      </c>
      <c r="J223" s="102"/>
      <c r="K223" s="96" t="str">
        <f aca="false">IF($B223="","","ACTUAL")</f>
        <v/>
      </c>
      <c r="L223" s="0" t="str">
        <f aca="false">IF($B223="","",IF($C223="",$E$6+27,$C223))</f>
        <v/>
      </c>
      <c r="M223" s="0" t="str">
        <f aca="false">IF($L223="","",COUNTIFS($L$180:$L$230,"&lt;"&amp;$L223)+COUNTIFS($L$180:$L223,$L223))</f>
        <v/>
      </c>
    </row>
    <row r="224" customFormat="false" ht="15" hidden="false" customHeight="true" outlineLevel="0" collapsed="false">
      <c r="B224" s="12"/>
      <c r="C224" s="100"/>
      <c r="D224" s="101" t="str">
        <f aca="false">IF($B224="","","Expense")</f>
        <v/>
      </c>
      <c r="E224" s="14"/>
      <c r="F224" s="102"/>
      <c r="G224" s="102"/>
      <c r="H224" s="103" t="str">
        <f aca="false">IF($B224="","",N($E224))</f>
        <v/>
      </c>
      <c r="I224" s="104" t="str">
        <f aca="false">IF($B224="","",$I$178+SUMIFS($G$180:$G$230,$M$180:$M$230,"&lt;="&amp;$M224)-SUMIFS($H$180:$H$230,$M$180:$M$230,"&lt;="&amp;$M224))</f>
        <v/>
      </c>
      <c r="J224" s="102"/>
      <c r="K224" s="96" t="str">
        <f aca="false">IF($B224="","","ACTUAL")</f>
        <v/>
      </c>
      <c r="L224" s="0" t="str">
        <f aca="false">IF($B224="","",IF($C224="",$E$6+27,$C224))</f>
        <v/>
      </c>
      <c r="M224" s="0" t="str">
        <f aca="false">IF($L224="","",COUNTIFS($L$180:$L$230,"&lt;"&amp;$L224)+COUNTIFS($L$180:$L224,$L224))</f>
        <v/>
      </c>
    </row>
    <row r="225" customFormat="false" ht="15" hidden="false" customHeight="true" outlineLevel="0" collapsed="false">
      <c r="B225" s="12"/>
      <c r="C225" s="100"/>
      <c r="D225" s="101" t="str">
        <f aca="false">IF($B225="","","Expense")</f>
        <v/>
      </c>
      <c r="E225" s="14"/>
      <c r="F225" s="102"/>
      <c r="G225" s="102"/>
      <c r="H225" s="103" t="str">
        <f aca="false">IF($B225="","",N($E225))</f>
        <v/>
      </c>
      <c r="I225" s="104" t="str">
        <f aca="false">IF($B225="","",$I$178+SUMIFS($G$180:$G$230,$M$180:$M$230,"&lt;="&amp;$M225)-SUMIFS($H$180:$H$230,$M$180:$M$230,"&lt;="&amp;$M225))</f>
        <v/>
      </c>
      <c r="J225" s="102"/>
      <c r="K225" s="96" t="str">
        <f aca="false">IF($B225="","","ACTUAL")</f>
        <v/>
      </c>
      <c r="L225" s="0" t="str">
        <f aca="false">IF($B225="","",IF($C225="",$E$6+27,$C225))</f>
        <v/>
      </c>
      <c r="M225" s="0" t="str">
        <f aca="false">IF($L225="","",COUNTIFS($L$180:$L$230,"&lt;"&amp;$L225)+COUNTIFS($L$180:$L225,$L225))</f>
        <v/>
      </c>
    </row>
    <row r="226" customFormat="false" ht="15" hidden="false" customHeight="true" outlineLevel="0" collapsed="false">
      <c r="B226" s="12"/>
      <c r="C226" s="100"/>
      <c r="D226" s="101" t="str">
        <f aca="false">IF($B226="","","Expense")</f>
        <v/>
      </c>
      <c r="E226" s="14"/>
      <c r="F226" s="102"/>
      <c r="G226" s="102"/>
      <c r="H226" s="103" t="str">
        <f aca="false">IF($B226="","",N($E226))</f>
        <v/>
      </c>
      <c r="I226" s="104" t="str">
        <f aca="false">IF($B226="","",$I$178+SUMIFS($G$180:$G$230,$M$180:$M$230,"&lt;="&amp;$M226)-SUMIFS($H$180:$H$230,$M$180:$M$230,"&lt;="&amp;$M226))</f>
        <v/>
      </c>
      <c r="J226" s="102"/>
      <c r="K226" s="96" t="str">
        <f aca="false">IF($B226="","","ACTUAL")</f>
        <v/>
      </c>
      <c r="L226" s="0" t="str">
        <f aca="false">IF($B226="","",IF($C226="",$E$6+27,$C226))</f>
        <v/>
      </c>
      <c r="M226" s="0" t="str">
        <f aca="false">IF($L226="","",COUNTIFS($L$180:$L$230,"&lt;"&amp;$L226)+COUNTIFS($L$180:$L226,$L226))</f>
        <v/>
      </c>
    </row>
    <row r="227" customFormat="false" ht="15" hidden="false" customHeight="true" outlineLevel="0" collapsed="false">
      <c r="B227" s="12"/>
      <c r="C227" s="100"/>
      <c r="D227" s="101" t="str">
        <f aca="false">IF($B227="","","Expense")</f>
        <v/>
      </c>
      <c r="E227" s="14"/>
      <c r="F227" s="102"/>
      <c r="G227" s="102"/>
      <c r="H227" s="103" t="str">
        <f aca="false">IF($B227="","",N($E227))</f>
        <v/>
      </c>
      <c r="I227" s="104" t="str">
        <f aca="false">IF($B227="","",$I$178+SUMIFS($G$180:$G$230,$M$180:$M$230,"&lt;="&amp;$M227)-SUMIFS($H$180:$H$230,$M$180:$M$230,"&lt;="&amp;$M227))</f>
        <v/>
      </c>
      <c r="J227" s="102"/>
      <c r="K227" s="96" t="str">
        <f aca="false">IF($B227="","","ACTUAL")</f>
        <v/>
      </c>
      <c r="L227" s="0" t="str">
        <f aca="false">IF($B227="","",IF($C227="",$E$6+27,$C227))</f>
        <v/>
      </c>
      <c r="M227" s="0" t="str">
        <f aca="false">IF($L227="","",COUNTIFS($L$180:$L$230,"&lt;"&amp;$L227)+COUNTIFS($L$180:$L227,$L227))</f>
        <v/>
      </c>
    </row>
    <row r="228" customFormat="false" ht="15" hidden="false" customHeight="true" outlineLevel="0" collapsed="false">
      <c r="B228" s="12"/>
      <c r="C228" s="100"/>
      <c r="D228" s="101" t="str">
        <f aca="false">IF($B228="","","Expense")</f>
        <v/>
      </c>
      <c r="E228" s="14"/>
      <c r="F228" s="102"/>
      <c r="G228" s="102"/>
      <c r="H228" s="103" t="str">
        <f aca="false">IF($B228="","",N($E228))</f>
        <v/>
      </c>
      <c r="I228" s="104" t="str">
        <f aca="false">IF($B228="","",$I$178+SUMIFS($G$180:$G$230,$M$180:$M$230,"&lt;="&amp;$M228)-SUMIFS($H$180:$H$230,$M$180:$M$230,"&lt;="&amp;$M228))</f>
        <v/>
      </c>
      <c r="J228" s="102"/>
      <c r="K228" s="96" t="str">
        <f aca="false">IF($B228="","","ACTUAL")</f>
        <v/>
      </c>
      <c r="L228" s="0" t="str">
        <f aca="false">IF($B228="","",IF($C228="",$E$6+27,$C228))</f>
        <v/>
      </c>
      <c r="M228" s="0" t="str">
        <f aca="false">IF($L228="","",COUNTIFS($L$180:$L$230,"&lt;"&amp;$L228)+COUNTIFS($L$180:$L228,$L228))</f>
        <v/>
      </c>
    </row>
    <row r="229" customFormat="false" ht="15" hidden="false" customHeight="true" outlineLevel="0" collapsed="false">
      <c r="B229" s="12"/>
      <c r="C229" s="100"/>
      <c r="D229" s="101" t="str">
        <f aca="false">IF($B229="","","Expense")</f>
        <v/>
      </c>
      <c r="E229" s="14"/>
      <c r="F229" s="102"/>
      <c r="G229" s="102"/>
      <c r="H229" s="103" t="str">
        <f aca="false">IF($B229="","",N($E229))</f>
        <v/>
      </c>
      <c r="I229" s="104" t="str">
        <f aca="false">IF($B229="","",$I$178+SUMIFS($G$180:$G$230,$M$180:$M$230,"&lt;="&amp;$M229)-SUMIFS($H$180:$H$230,$M$180:$M$230,"&lt;="&amp;$M229))</f>
        <v/>
      </c>
      <c r="J229" s="102"/>
      <c r="K229" s="96" t="str">
        <f aca="false">IF($B229="","","ACTUAL")</f>
        <v/>
      </c>
      <c r="L229" s="0" t="str">
        <f aca="false">IF($B229="","",IF($C229="",$E$6+27,$C229))</f>
        <v/>
      </c>
      <c r="M229" s="0" t="str">
        <f aca="false">IF($L229="","",COUNTIFS($L$180:$L$230,"&lt;"&amp;$L229)+COUNTIFS($L$180:$L229,$L229))</f>
        <v/>
      </c>
    </row>
    <row r="230" customFormat="false" ht="15" hidden="false" customHeight="true" outlineLevel="0" collapsed="false">
      <c r="B230" s="105" t="str">
        <f aca="false">"Everyday spending still expected this week"</f>
        <v>Everyday spending still expected this week</v>
      </c>
      <c r="C230" s="106" t="n">
        <f aca="false">$E$6+27</f>
        <v>46276</v>
      </c>
      <c r="D230" s="101" t="str">
        <f aca="false">IF($B230="","","Expense")</f>
        <v>Expense</v>
      </c>
      <c r="E230" s="107" t="n">
        <f aca="false">MAX(0,$E$8-SUM($E$191:$E$229))</f>
        <v>400</v>
      </c>
      <c r="F230" s="102"/>
      <c r="G230" s="102"/>
      <c r="H230" s="103" t="n">
        <f aca="false">IF($B230="","",N($E230))</f>
        <v>400</v>
      </c>
      <c r="I230" s="104" t="n">
        <f aca="false">IF($B230="","",$I$178+SUMIFS($G$180:$G$230,$M$180:$M$230,"&lt;="&amp;$M230)-SUMIFS($H$180:$H$230,$M$180:$M$230,"&lt;="&amp;$M230))</f>
        <v>120.81</v>
      </c>
      <c r="J230" s="102"/>
      <c r="K230" s="96" t="str">
        <f aca="false">"FORECAST"</f>
        <v>FORECAST</v>
      </c>
      <c r="L230" s="97" t="n">
        <f aca="false">IF($B230="","",IF($C230="",$E$6+27,$C230))</f>
        <v>46276</v>
      </c>
      <c r="M230" s="0" t="n">
        <f aca="false">IF($L230="","",COUNTIFS($L$180:$L$230,"&lt;"&amp;$L230)+COUNTIFS($L$180:$L230,$L230))</f>
        <v>8</v>
      </c>
    </row>
    <row r="231" customFormat="false" ht="15" hidden="false" customHeight="true" outlineLevel="0" collapsed="false">
      <c r="B231" s="108" t="s">
        <v>172</v>
      </c>
      <c r="C231" s="57"/>
      <c r="D231" s="57"/>
      <c r="E231" s="57"/>
      <c r="F231" s="57"/>
      <c r="G231" s="56" t="n">
        <f aca="false">SUM($G$180:$G$230)</f>
        <v>835</v>
      </c>
      <c r="H231" s="56" t="n">
        <f aca="false">SUM($H$180:$H$230)</f>
        <v>1118.68</v>
      </c>
      <c r="I231" s="109" t="n">
        <f aca="false">$I$178+$G$231-$H$231</f>
        <v>120.81</v>
      </c>
      <c r="J231" s="110" t="str">
        <f aca="false">IF($I$231&lt;0,"SHORTFALL",IF($I$231&lt;$E$7,"TIGHT","OK"))</f>
        <v>TIGHT</v>
      </c>
      <c r="K231" s="111"/>
      <c r="N231" s="111" t="str">
        <f aca="false">IF(COUNT($I$180:$I$230)=0,"","Lowest point this week: "&amp;TEXT(MIN($I$180:$I$230),"$#,##0.00;-$#,##0.00")&amp;" on "&amp;TEXT(INDEX($C$180:$C$230,MATCH(MIN($I$180:$I$230),$I$180:$I$230,0)),"ddd mmm d")&amp;"     (in "&amp;TEXT($G$231,"$#,##0.00")&amp;", out "&amp;TEXT($H$231,"$#,##0.00")&amp;")")</f>
        <v>Lowest point this week: -$314.19 on Tue Sep 8     (in $835.00, out $1,118.68)</v>
      </c>
    </row>
    <row r="233" customFormat="false" ht="21.75" hidden="false" customHeight="true" outlineLevel="0" collapsed="false">
      <c r="B233" s="82" t="str">
        <f aca="false">"WEEK 5     "&amp;TEXT($E$6+28,"ddd, mmm d")&amp;"   through   "&amp;TEXT($E$6+28+6,"ddd, mmm d, yyyy")</f>
        <v>WEEK 5     Sat, Sep 12   through   Fri, Sep 18, 2026</v>
      </c>
      <c r="C233" s="83"/>
      <c r="D233" s="83"/>
      <c r="E233" s="83"/>
      <c r="F233" s="83"/>
      <c r="G233" s="84" t="s">
        <v>139</v>
      </c>
      <c r="H233" s="83"/>
      <c r="I233" s="85" t="n">
        <f aca="false">$I$231</f>
        <v>120.81</v>
      </c>
      <c r="J233" s="83"/>
      <c r="K233" s="86"/>
      <c r="N233" s="86" t="str">
        <f aca="false">IF(COUNTIF(Schedule!$I$4:$I$483,5)&gt;10,"! "&amp;COUNTIF(Schedule!$I$4:$I$483,5)-10&amp;" more transaction(s) fall in this week than there are rows to show them.","")</f>
        <v/>
      </c>
    </row>
    <row r="234" customFormat="false" ht="25.5" hidden="false" customHeight="true" outlineLevel="0" collapsed="false">
      <c r="B234" s="87" t="s">
        <v>140</v>
      </c>
      <c r="C234" s="87" t="s">
        <v>141</v>
      </c>
      <c r="D234" s="87" t="s">
        <v>42</v>
      </c>
      <c r="E234" s="87" t="s">
        <v>142</v>
      </c>
      <c r="F234" s="87" t="s">
        <v>143</v>
      </c>
      <c r="G234" s="36" t="s">
        <v>144</v>
      </c>
      <c r="H234" s="37" t="s">
        <v>145</v>
      </c>
      <c r="I234" s="87" t="s">
        <v>146</v>
      </c>
      <c r="J234" s="87" t="s">
        <v>14</v>
      </c>
      <c r="K234" s="87" t="s">
        <v>147</v>
      </c>
    </row>
    <row r="235" customFormat="false" ht="15" hidden="false" customHeight="true" outlineLevel="0" collapsed="false">
      <c r="B235" s="7" t="str">
        <f aca="false">IFERROR(INDEX(Schedule!$C$4:$C$483,MATCH(5001,Schedule!$K$4:$K$483,0)),"")</f>
        <v>Apple: iCloud</v>
      </c>
      <c r="C235" s="88" t="n">
        <f aca="false">IF($B235="","",INDEX(Schedule!$G$4:$G$483,MATCH(5001,Schedule!$K$4:$K$483,0)))</f>
        <v>46278</v>
      </c>
      <c r="D235" s="89" t="str">
        <f aca="false">IF($B235="","",INDEX(Schedule!$D$4:$D$483,MATCH(5001,Schedule!$K$4:$K$483,0)))</f>
        <v>Expense</v>
      </c>
      <c r="E235" s="90" t="n">
        <f aca="false">IF($B235="","",INDEX(Schedule!$E$4:$E$483,MATCH(5001,Schedule!$K$4:$K$483,0)))</f>
        <v>2.99</v>
      </c>
      <c r="F235" s="91"/>
      <c r="G235" s="92" t="str">
        <f aca="false">IF($B235="","",IF($D235="Income",IF($F235&lt;&gt;"",$F235,IF(COUNTIFS('Paid Log'!$B$9:$B$308,$C235,'Paid Log'!$C$9:$C$308,$B235)&gt;0,SUMIFS('Paid Log'!$D$9:$D$308,'Paid Log'!$B$9:$B$308,$C235,'Paid Log'!$C$9:$C$308,$B235),$E235)),""))</f>
        <v/>
      </c>
      <c r="H235" s="93" t="n">
        <f aca="false">IF($B235="","",IF($D235="Income","",IF($F235&lt;&gt;"",$F235,IF(COUNTIFS('Paid Log'!$B$9:$B$308,$C235,'Paid Log'!$C$9:$C$308,$B235)&gt;0,SUMIFS('Paid Log'!$D$9:$D$308,'Paid Log'!$B$9:$B$308,$C235,'Paid Log'!$C$9:$C$308,$B235),$E235))))</f>
        <v>2.99</v>
      </c>
      <c r="I235" s="94" t="n">
        <f aca="false">IF($B235="","",$I$233+SUMIFS($G$235:$G$285,$M$235:$M$285,"&lt;="&amp;$M235)-SUMIFS($H$235:$H$285,$M$235:$M$285,"&lt;="&amp;$M235))</f>
        <v>117.82</v>
      </c>
      <c r="J235" s="95" t="str">
        <f aca="true">IF($B235="","",IF(OR($F235&lt;&gt;"",COUNTIFS('Paid Log'!$B$9:$B$308,$C235,'Paid Log'!$C$9:$C$308,$B235)&gt;0),IF($C235&gt;TODAY(),"ADJUSTED","PAID"),IF($C235&lt;TODAY(),"PAST DUE",IF($C235&lt;=TODAY()+7,"DUE","Upcoming"))))</f>
        <v>Upcoming</v>
      </c>
      <c r="K235" s="96" t="str">
        <f aca="false">IF($B235="","",IF(OR($F235&lt;&gt;"",COUNTIFS('Paid Log'!$B$9:$B$308,$C235,'Paid Log'!$C$9:$C$308,$B235)&gt;0),"ACTUAL","FORECAST"))</f>
        <v>FORECAST</v>
      </c>
      <c r="L235" s="97" t="n">
        <f aca="false">IF($B235="","",$C235)</f>
        <v>46278</v>
      </c>
      <c r="M235" s="0" t="n">
        <f aca="false">IF($L235="","",COUNTIFS($L$235:$L$285,"&lt;"&amp;$L235)+COUNTIFS($L$235:$L235,$L235))</f>
        <v>1</v>
      </c>
    </row>
    <row r="236" customFormat="false" ht="15" hidden="false" customHeight="true" outlineLevel="0" collapsed="false">
      <c r="B236" s="7" t="str">
        <f aca="false">IFERROR(INDEX(Schedule!$C$4:$C$483,MATCH(5002,Schedule!$K$4:$K$483,0)),"")</f>
        <v>Patrick Rombalski (rent)</v>
      </c>
      <c r="C236" s="88" t="n">
        <f aca="false">IF($B236="","",INDEX(Schedule!$G$4:$G$483,MATCH(5002,Schedule!$K$4:$K$483,0)))</f>
        <v>46280</v>
      </c>
      <c r="D236" s="89" t="str">
        <f aca="false">IF($B236="","",INDEX(Schedule!$D$4:$D$483,MATCH(5002,Schedule!$K$4:$K$483,0)))</f>
        <v>Expense</v>
      </c>
      <c r="E236" s="90" t="n">
        <f aca="false">IF($B236="","",INDEX(Schedule!$E$4:$E$483,MATCH(5002,Schedule!$K$4:$K$483,0)))</f>
        <v>350</v>
      </c>
      <c r="F236" s="91"/>
      <c r="G236" s="92" t="str">
        <f aca="false">IF($B236="","",IF($D236="Income",IF($F236&lt;&gt;"",$F236,IF(COUNTIFS('Paid Log'!$B$9:$B$308,$C236,'Paid Log'!$C$9:$C$308,$B236)&gt;0,SUMIFS('Paid Log'!$D$9:$D$308,'Paid Log'!$B$9:$B$308,$C236,'Paid Log'!$C$9:$C$308,$B236),$E236)),""))</f>
        <v/>
      </c>
      <c r="H236" s="93" t="n">
        <f aca="false">IF($B236="","",IF($D236="Income","",IF($F236&lt;&gt;"",$F236,IF(COUNTIFS('Paid Log'!$B$9:$B$308,$C236,'Paid Log'!$C$9:$C$308,$B236)&gt;0,SUMIFS('Paid Log'!$D$9:$D$308,'Paid Log'!$B$9:$B$308,$C236,'Paid Log'!$C$9:$C$308,$B236),$E236))))</f>
        <v>350</v>
      </c>
      <c r="I236" s="94" t="n">
        <f aca="false">IF($B236="","",$I$233+SUMIFS($G$235:$G$285,$M$235:$M$285,"&lt;="&amp;$M236)-SUMIFS($H$235:$H$285,$M$235:$M$285,"&lt;="&amp;$M236))</f>
        <v>-232.18</v>
      </c>
      <c r="J236" s="95" t="str">
        <f aca="true">IF($B236="","",IF(OR($F236&lt;&gt;"",COUNTIFS('Paid Log'!$B$9:$B$308,$C236,'Paid Log'!$C$9:$C$308,$B236)&gt;0),IF($C236&gt;TODAY(),"ADJUSTED","PAID"),IF($C236&lt;TODAY(),"PAST DUE",IF($C236&lt;=TODAY()+7,"DUE","Upcoming"))))</f>
        <v>Upcoming</v>
      </c>
      <c r="K236" s="96" t="str">
        <f aca="false">IF($B236="","",IF(OR($F236&lt;&gt;"",COUNTIFS('Paid Log'!$B$9:$B$308,$C236,'Paid Log'!$C$9:$C$308,$B236)&gt;0),"ACTUAL","FORECAST"))</f>
        <v>FORECAST</v>
      </c>
      <c r="L236" s="97" t="n">
        <f aca="false">IF($B236="","",$C236)</f>
        <v>46280</v>
      </c>
      <c r="M236" s="0" t="n">
        <f aca="false">IF($L236="","",COUNTIFS($L$235:$L$285,"&lt;"&amp;$L236)+COUNTIFS($L$235:$L236,$L236))</f>
        <v>2</v>
      </c>
    </row>
    <row r="237" customFormat="false" ht="15" hidden="false" customHeight="true" outlineLevel="0" collapsed="false">
      <c r="B237" s="7" t="str">
        <f aca="false">IFERROR(INDEX(Schedule!$C$4:$C$483,MATCH(5003,Schedule!$K$4:$K$483,0)),"")</f>
        <v>Bruno's Restaurant (paycheck)</v>
      </c>
      <c r="C237" s="88" t="n">
        <f aca="false">IF($B237="","",INDEX(Schedule!$G$4:$G$483,MATCH(5003,Schedule!$K$4:$K$483,0)))</f>
        <v>46281</v>
      </c>
      <c r="D237" s="89" t="str">
        <f aca="false">IF($B237="","",INDEX(Schedule!$D$4:$D$483,MATCH(5003,Schedule!$K$4:$K$483,0)))</f>
        <v>Income</v>
      </c>
      <c r="E237" s="90" t="n">
        <f aca="false">IF($B237="","",INDEX(Schedule!$E$4:$E$483,MATCH(5003,Schedule!$K$4:$K$483,0)))</f>
        <v>90</v>
      </c>
      <c r="F237" s="91"/>
      <c r="G237" s="92" t="n">
        <f aca="false">IF($B237="","",IF($D237="Income",IF($F237&lt;&gt;"",$F237,IF(COUNTIFS('Paid Log'!$B$9:$B$308,$C237,'Paid Log'!$C$9:$C$308,$B237)&gt;0,SUMIFS('Paid Log'!$D$9:$D$308,'Paid Log'!$B$9:$B$308,$C237,'Paid Log'!$C$9:$C$308,$B237),$E237)),""))</f>
        <v>90</v>
      </c>
      <c r="H237" s="93" t="str">
        <f aca="false">IF($B237="","",IF($D237="Income","",IF($F237&lt;&gt;"",$F237,IF(COUNTIFS('Paid Log'!$B$9:$B$308,$C237,'Paid Log'!$C$9:$C$308,$B237)&gt;0,SUMIFS('Paid Log'!$D$9:$D$308,'Paid Log'!$B$9:$B$308,$C237,'Paid Log'!$C$9:$C$308,$B237),$E237))))</f>
        <v/>
      </c>
      <c r="I237" s="94" t="n">
        <f aca="false">IF($B237="","",$I$233+SUMIFS($G$235:$G$285,$M$235:$M$285,"&lt;="&amp;$M237)-SUMIFS($H$235:$H$285,$M$235:$M$285,"&lt;="&amp;$M237))</f>
        <v>-142.18</v>
      </c>
      <c r="J237" s="95" t="str">
        <f aca="true">IF($B237="","",IF(OR($F237&lt;&gt;"",COUNTIFS('Paid Log'!$B$9:$B$308,$C237,'Paid Log'!$C$9:$C$308,$B237)&gt;0),IF($C237&gt;TODAY(),"ADJUSTED","PAID"),IF($C237&lt;TODAY(),"PAST DUE",IF($C237&lt;=TODAY()+7,"DUE","Upcoming"))))</f>
        <v>Upcoming</v>
      </c>
      <c r="K237" s="96" t="str">
        <f aca="false">IF($B237="","",IF(OR($F237&lt;&gt;"",COUNTIFS('Paid Log'!$B$9:$B$308,$C237,'Paid Log'!$C$9:$C$308,$B237)&gt;0),"ACTUAL","FORECAST"))</f>
        <v>FORECAST</v>
      </c>
      <c r="L237" s="97" t="n">
        <f aca="false">IF($B237="","",$C237)</f>
        <v>46281</v>
      </c>
      <c r="M237" s="0" t="n">
        <f aca="false">IF($L237="","",COUNTIFS($L$235:$L$285,"&lt;"&amp;$L237)+COUNTIFS($L$235:$L237,$L237))</f>
        <v>3</v>
      </c>
    </row>
    <row r="238" customFormat="false" ht="15" hidden="false" customHeight="true" outlineLevel="0" collapsed="false">
      <c r="B238" s="7" t="str">
        <f aca="false">IFERROR(INDEX(Schedule!$C$4:$C$483,MATCH(5004,Schedule!$K$4:$K$483,0)),"")</f>
        <v>Maine Revenue Services</v>
      </c>
      <c r="C238" s="88" t="n">
        <f aca="false">IF($B238="","",INDEX(Schedule!$G$4:$G$483,MATCH(5004,Schedule!$K$4:$K$483,0)))</f>
        <v>46281</v>
      </c>
      <c r="D238" s="89" t="str">
        <f aca="false">IF($B238="","",INDEX(Schedule!$D$4:$D$483,MATCH(5004,Schedule!$K$4:$K$483,0)))</f>
        <v>Expense</v>
      </c>
      <c r="E238" s="90" t="n">
        <f aca="false">IF($B238="","",INDEX(Schedule!$E$4:$E$483,MATCH(5004,Schedule!$K$4:$K$483,0)))</f>
        <v>45</v>
      </c>
      <c r="F238" s="91"/>
      <c r="G238" s="92" t="str">
        <f aca="false">IF($B238="","",IF($D238="Income",IF($F238&lt;&gt;"",$F238,IF(COUNTIFS('Paid Log'!$B$9:$B$308,$C238,'Paid Log'!$C$9:$C$308,$B238)&gt;0,SUMIFS('Paid Log'!$D$9:$D$308,'Paid Log'!$B$9:$B$308,$C238,'Paid Log'!$C$9:$C$308,$B238),$E238)),""))</f>
        <v/>
      </c>
      <c r="H238" s="93" t="n">
        <f aca="false">IF($B238="","",IF($D238="Income","",IF($F238&lt;&gt;"",$F238,IF(COUNTIFS('Paid Log'!$B$9:$B$308,$C238,'Paid Log'!$C$9:$C$308,$B238)&gt;0,SUMIFS('Paid Log'!$D$9:$D$308,'Paid Log'!$B$9:$B$308,$C238,'Paid Log'!$C$9:$C$308,$B238),$E238))))</f>
        <v>45</v>
      </c>
      <c r="I238" s="94" t="n">
        <f aca="false">IF($B238="","",$I$233+SUMIFS($G$235:$G$285,$M$235:$M$285,"&lt;="&amp;$M238)-SUMIFS($H$235:$H$285,$M$235:$M$285,"&lt;="&amp;$M238))</f>
        <v>-187.18</v>
      </c>
      <c r="J238" s="95" t="str">
        <f aca="true">IF($B238="","",IF(OR($F238&lt;&gt;"",COUNTIFS('Paid Log'!$B$9:$B$308,$C238,'Paid Log'!$C$9:$C$308,$B238)&gt;0),IF($C238&gt;TODAY(),"ADJUSTED","PAID"),IF($C238&lt;TODAY(),"PAST DUE",IF($C238&lt;=TODAY()+7,"DUE","Upcoming"))))</f>
        <v>Upcoming</v>
      </c>
      <c r="K238" s="96" t="str">
        <f aca="false">IF($B238="","",IF(OR($F238&lt;&gt;"",COUNTIFS('Paid Log'!$B$9:$B$308,$C238,'Paid Log'!$C$9:$C$308,$B238)&gt;0),"ACTUAL","FORECAST"))</f>
        <v>FORECAST</v>
      </c>
      <c r="L238" s="97" t="n">
        <f aca="false">IF($B238="","",$C238)</f>
        <v>46281</v>
      </c>
      <c r="M238" s="0" t="n">
        <f aca="false">IF($L238="","",COUNTIFS($L$235:$L$285,"&lt;"&amp;$L238)+COUNTIFS($L$235:$L238,$L238))</f>
        <v>4</v>
      </c>
    </row>
    <row r="239" customFormat="false" ht="15" hidden="false" customHeight="true" outlineLevel="0" collapsed="false">
      <c r="B239" s="7" t="str">
        <f aca="false">IFERROR(INDEX(Schedule!$C$4:$C$483,MATCH(5005,Schedule!$K$4:$K$483,0)),"")</f>
        <v>Compunnel Software (paycheck)</v>
      </c>
      <c r="C239" s="88" t="n">
        <f aca="false">IF($B239="","",INDEX(Schedule!$G$4:$G$483,MATCH(5005,Schedule!$K$4:$K$483,0)))</f>
        <v>46283</v>
      </c>
      <c r="D239" s="89" t="str">
        <f aca="false">IF($B239="","",INDEX(Schedule!$D$4:$D$483,MATCH(5005,Schedule!$K$4:$K$483,0)))</f>
        <v>Income</v>
      </c>
      <c r="E239" s="90" t="n">
        <f aca="false">IF($B239="","",INDEX(Schedule!$E$4:$E$483,MATCH(5005,Schedule!$K$4:$K$483,0)))</f>
        <v>745</v>
      </c>
      <c r="F239" s="91"/>
      <c r="G239" s="92" t="n">
        <f aca="false">IF($B239="","",IF($D239="Income",IF($F239&lt;&gt;"",$F239,IF(COUNTIFS('Paid Log'!$B$9:$B$308,$C239,'Paid Log'!$C$9:$C$308,$B239)&gt;0,SUMIFS('Paid Log'!$D$9:$D$308,'Paid Log'!$B$9:$B$308,$C239,'Paid Log'!$C$9:$C$308,$B239),$E239)),""))</f>
        <v>745</v>
      </c>
      <c r="H239" s="93" t="str">
        <f aca="false">IF($B239="","",IF($D239="Income","",IF($F239&lt;&gt;"",$F239,IF(COUNTIFS('Paid Log'!$B$9:$B$308,$C239,'Paid Log'!$C$9:$C$308,$B239)&gt;0,SUMIFS('Paid Log'!$D$9:$D$308,'Paid Log'!$B$9:$B$308,$C239,'Paid Log'!$C$9:$C$308,$B239),$E239))))</f>
        <v/>
      </c>
      <c r="I239" s="94" t="n">
        <f aca="false">IF($B239="","",$I$233+SUMIFS($G$235:$G$285,$M$235:$M$285,"&lt;="&amp;$M239)-SUMIFS($H$235:$H$285,$M$235:$M$285,"&lt;="&amp;$M239))</f>
        <v>557.82</v>
      </c>
      <c r="J239" s="95" t="str">
        <f aca="true">IF($B239="","",IF(OR($F239&lt;&gt;"",COUNTIFS('Paid Log'!$B$9:$B$308,$C239,'Paid Log'!$C$9:$C$308,$B239)&gt;0),IF($C239&gt;TODAY(),"ADJUSTED","PAID"),IF($C239&lt;TODAY(),"PAST DUE",IF($C239&lt;=TODAY()+7,"DUE","Upcoming"))))</f>
        <v>Upcoming</v>
      </c>
      <c r="K239" s="96" t="str">
        <f aca="false">IF($B239="","",IF(OR($F239&lt;&gt;"",COUNTIFS('Paid Log'!$B$9:$B$308,$C239,'Paid Log'!$C$9:$C$308,$B239)&gt;0),"ACTUAL","FORECAST"))</f>
        <v>FORECAST</v>
      </c>
      <c r="L239" s="97" t="n">
        <f aca="false">IF($B239="","",$C239)</f>
        <v>46283</v>
      </c>
      <c r="M239" s="0" t="n">
        <f aca="false">IF($L239="","",COUNTIFS($L$235:$L$285,"&lt;"&amp;$L239)+COUNTIFS($L$235:$L239,$L239))</f>
        <v>5</v>
      </c>
    </row>
    <row r="240" customFormat="false" ht="15" hidden="false" customHeight="true" outlineLevel="0" collapsed="false">
      <c r="B240" s="7" t="str">
        <f aca="false">IFERROR(INDEX(Schedule!$C$4:$C$483,MATCH(5006,Schedule!$K$4:$K$483,0)),"")</f>
        <v/>
      </c>
      <c r="C240" s="88" t="str">
        <f aca="false">IF($B240="","",INDEX(Schedule!$G$4:$G$483,MATCH(5006,Schedule!$K$4:$K$483,0)))</f>
        <v/>
      </c>
      <c r="D240" s="89" t="str">
        <f aca="false">IF($B240="","",INDEX(Schedule!$D$4:$D$483,MATCH(5006,Schedule!$K$4:$K$483,0)))</f>
        <v/>
      </c>
      <c r="E240" s="90" t="str">
        <f aca="false">IF($B240="","",INDEX(Schedule!$E$4:$E$483,MATCH(5006,Schedule!$K$4:$K$483,0)))</f>
        <v/>
      </c>
      <c r="F240" s="91"/>
      <c r="G240" s="92" t="str">
        <f aca="false">IF($B240="","",IF($D240="Income",IF($F240&lt;&gt;"",$F240,IF(COUNTIFS('Paid Log'!$B$9:$B$308,$C240,'Paid Log'!$C$9:$C$308,$B240)&gt;0,SUMIFS('Paid Log'!$D$9:$D$308,'Paid Log'!$B$9:$B$308,$C240,'Paid Log'!$C$9:$C$308,$B240),$E240)),""))</f>
        <v/>
      </c>
      <c r="H240" s="93" t="str">
        <f aca="false">IF($B240="","",IF($D240="Income","",IF($F240&lt;&gt;"",$F240,IF(COUNTIFS('Paid Log'!$B$9:$B$308,$C240,'Paid Log'!$C$9:$C$308,$B240)&gt;0,SUMIFS('Paid Log'!$D$9:$D$308,'Paid Log'!$B$9:$B$308,$C240,'Paid Log'!$C$9:$C$308,$B240),$E240))))</f>
        <v/>
      </c>
      <c r="I240" s="94" t="str">
        <f aca="false">IF($B240="","",$I$233+SUMIFS($G$235:$G$285,$M$235:$M$285,"&lt;="&amp;$M240)-SUMIFS($H$235:$H$285,$M$235:$M$285,"&lt;="&amp;$M240))</f>
        <v/>
      </c>
      <c r="J240" s="95" t="str">
        <f aca="true">IF($B240="","",IF(OR($F240&lt;&gt;"",COUNTIFS('Paid Log'!$B$9:$B$308,$C240,'Paid Log'!$C$9:$C$308,$B240)&gt;0),IF($C240&gt;TODAY(),"ADJUSTED","PAID"),IF($C240&lt;TODAY(),"PAST DUE",IF($C240&lt;=TODAY()+7,"DUE","Upcoming"))))</f>
        <v/>
      </c>
      <c r="K240" s="96" t="str">
        <f aca="false">IF($B240="","",IF(OR($F240&lt;&gt;"",COUNTIFS('Paid Log'!$B$9:$B$308,$C240,'Paid Log'!$C$9:$C$308,$B240)&gt;0),"ACTUAL","FORECAST"))</f>
        <v/>
      </c>
      <c r="L240" s="0" t="str">
        <f aca="false">IF($B240="","",$C240)</f>
        <v/>
      </c>
      <c r="M240" s="0" t="str">
        <f aca="false">IF($L240="","",COUNTIFS($L$235:$L$285,"&lt;"&amp;$L240)+COUNTIFS($L$235:$L240,$L240))</f>
        <v/>
      </c>
    </row>
    <row r="241" customFormat="false" ht="15" hidden="false" customHeight="true" outlineLevel="0" collapsed="false">
      <c r="B241" s="7" t="str">
        <f aca="false">IFERROR(INDEX(Schedule!$C$4:$C$483,MATCH(5007,Schedule!$K$4:$K$483,0)),"")</f>
        <v/>
      </c>
      <c r="C241" s="88" t="str">
        <f aca="false">IF($B241="","",INDEX(Schedule!$G$4:$G$483,MATCH(5007,Schedule!$K$4:$K$483,0)))</f>
        <v/>
      </c>
      <c r="D241" s="89" t="str">
        <f aca="false">IF($B241="","",INDEX(Schedule!$D$4:$D$483,MATCH(5007,Schedule!$K$4:$K$483,0)))</f>
        <v/>
      </c>
      <c r="E241" s="90" t="str">
        <f aca="false">IF($B241="","",INDEX(Schedule!$E$4:$E$483,MATCH(5007,Schedule!$K$4:$K$483,0)))</f>
        <v/>
      </c>
      <c r="F241" s="91"/>
      <c r="G241" s="92" t="str">
        <f aca="false">IF($B241="","",IF($D241="Income",IF($F241&lt;&gt;"",$F241,IF(COUNTIFS('Paid Log'!$B$9:$B$308,$C241,'Paid Log'!$C$9:$C$308,$B241)&gt;0,SUMIFS('Paid Log'!$D$9:$D$308,'Paid Log'!$B$9:$B$308,$C241,'Paid Log'!$C$9:$C$308,$B241),$E241)),""))</f>
        <v/>
      </c>
      <c r="H241" s="93" t="str">
        <f aca="false">IF($B241="","",IF($D241="Income","",IF($F241&lt;&gt;"",$F241,IF(COUNTIFS('Paid Log'!$B$9:$B$308,$C241,'Paid Log'!$C$9:$C$308,$B241)&gt;0,SUMIFS('Paid Log'!$D$9:$D$308,'Paid Log'!$B$9:$B$308,$C241,'Paid Log'!$C$9:$C$308,$B241),$E241))))</f>
        <v/>
      </c>
      <c r="I241" s="94" t="str">
        <f aca="false">IF($B241="","",$I$233+SUMIFS($G$235:$G$285,$M$235:$M$285,"&lt;="&amp;$M241)-SUMIFS($H$235:$H$285,$M$235:$M$285,"&lt;="&amp;$M241))</f>
        <v/>
      </c>
      <c r="J241" s="95" t="str">
        <f aca="true">IF($B241="","",IF(OR($F241&lt;&gt;"",COUNTIFS('Paid Log'!$B$9:$B$308,$C241,'Paid Log'!$C$9:$C$308,$B241)&gt;0),IF($C241&gt;TODAY(),"ADJUSTED","PAID"),IF($C241&lt;TODAY(),"PAST DUE",IF($C241&lt;=TODAY()+7,"DUE","Upcoming"))))</f>
        <v/>
      </c>
      <c r="K241" s="96" t="str">
        <f aca="false">IF($B241="","",IF(OR($F241&lt;&gt;"",COUNTIFS('Paid Log'!$B$9:$B$308,$C241,'Paid Log'!$C$9:$C$308,$B241)&gt;0),"ACTUAL","FORECAST"))</f>
        <v/>
      </c>
      <c r="L241" s="0" t="str">
        <f aca="false">IF($B241="","",$C241)</f>
        <v/>
      </c>
      <c r="M241" s="0" t="str">
        <f aca="false">IF($L241="","",COUNTIFS($L$235:$L$285,"&lt;"&amp;$L241)+COUNTIFS($L$235:$L241,$L241))</f>
        <v/>
      </c>
    </row>
    <row r="242" customFormat="false" ht="15" hidden="false" customHeight="true" outlineLevel="0" collapsed="false">
      <c r="B242" s="7" t="str">
        <f aca="false">IFERROR(INDEX(Schedule!$C$4:$C$483,MATCH(5008,Schedule!$K$4:$K$483,0)),"")</f>
        <v/>
      </c>
      <c r="C242" s="88" t="str">
        <f aca="false">IF($B242="","",INDEX(Schedule!$G$4:$G$483,MATCH(5008,Schedule!$K$4:$K$483,0)))</f>
        <v/>
      </c>
      <c r="D242" s="89" t="str">
        <f aca="false">IF($B242="","",INDEX(Schedule!$D$4:$D$483,MATCH(5008,Schedule!$K$4:$K$483,0)))</f>
        <v/>
      </c>
      <c r="E242" s="90" t="str">
        <f aca="false">IF($B242="","",INDEX(Schedule!$E$4:$E$483,MATCH(5008,Schedule!$K$4:$K$483,0)))</f>
        <v/>
      </c>
      <c r="F242" s="91"/>
      <c r="G242" s="92" t="str">
        <f aca="false">IF($B242="","",IF($D242="Income",IF($F242&lt;&gt;"",$F242,IF(COUNTIFS('Paid Log'!$B$9:$B$308,$C242,'Paid Log'!$C$9:$C$308,$B242)&gt;0,SUMIFS('Paid Log'!$D$9:$D$308,'Paid Log'!$B$9:$B$308,$C242,'Paid Log'!$C$9:$C$308,$B242),$E242)),""))</f>
        <v/>
      </c>
      <c r="H242" s="93" t="str">
        <f aca="false">IF($B242="","",IF($D242="Income","",IF($F242&lt;&gt;"",$F242,IF(COUNTIFS('Paid Log'!$B$9:$B$308,$C242,'Paid Log'!$C$9:$C$308,$B242)&gt;0,SUMIFS('Paid Log'!$D$9:$D$308,'Paid Log'!$B$9:$B$308,$C242,'Paid Log'!$C$9:$C$308,$B242),$E242))))</f>
        <v/>
      </c>
      <c r="I242" s="94" t="str">
        <f aca="false">IF($B242="","",$I$233+SUMIFS($G$235:$G$285,$M$235:$M$285,"&lt;="&amp;$M242)-SUMIFS($H$235:$H$285,$M$235:$M$285,"&lt;="&amp;$M242))</f>
        <v/>
      </c>
      <c r="J242" s="95" t="str">
        <f aca="true">IF($B242="","",IF(OR($F242&lt;&gt;"",COUNTIFS('Paid Log'!$B$9:$B$308,$C242,'Paid Log'!$C$9:$C$308,$B242)&gt;0),IF($C242&gt;TODAY(),"ADJUSTED","PAID"),IF($C242&lt;TODAY(),"PAST DUE",IF($C242&lt;=TODAY()+7,"DUE","Upcoming"))))</f>
        <v/>
      </c>
      <c r="K242" s="96" t="str">
        <f aca="false">IF($B242="","",IF(OR($F242&lt;&gt;"",COUNTIFS('Paid Log'!$B$9:$B$308,$C242,'Paid Log'!$C$9:$C$308,$B242)&gt;0),"ACTUAL","FORECAST"))</f>
        <v/>
      </c>
      <c r="L242" s="0" t="str">
        <f aca="false">IF($B242="","",$C242)</f>
        <v/>
      </c>
      <c r="M242" s="0" t="str">
        <f aca="false">IF($L242="","",COUNTIFS($L$235:$L$285,"&lt;"&amp;$L242)+COUNTIFS($L$235:$L242,$L242))</f>
        <v/>
      </c>
    </row>
    <row r="243" customFormat="false" ht="15" hidden="false" customHeight="true" outlineLevel="0" collapsed="false">
      <c r="B243" s="7" t="str">
        <f aca="false">IFERROR(INDEX(Schedule!$C$4:$C$483,MATCH(5009,Schedule!$K$4:$K$483,0)),"")</f>
        <v/>
      </c>
      <c r="C243" s="88" t="str">
        <f aca="false">IF($B243="","",INDEX(Schedule!$G$4:$G$483,MATCH(5009,Schedule!$K$4:$K$483,0)))</f>
        <v/>
      </c>
      <c r="D243" s="89" t="str">
        <f aca="false">IF($B243="","",INDEX(Schedule!$D$4:$D$483,MATCH(5009,Schedule!$K$4:$K$483,0)))</f>
        <v/>
      </c>
      <c r="E243" s="90" t="str">
        <f aca="false">IF($B243="","",INDEX(Schedule!$E$4:$E$483,MATCH(5009,Schedule!$K$4:$K$483,0)))</f>
        <v/>
      </c>
      <c r="F243" s="91"/>
      <c r="G243" s="92" t="str">
        <f aca="false">IF($B243="","",IF($D243="Income",IF($F243&lt;&gt;"",$F243,IF(COUNTIFS('Paid Log'!$B$9:$B$308,$C243,'Paid Log'!$C$9:$C$308,$B243)&gt;0,SUMIFS('Paid Log'!$D$9:$D$308,'Paid Log'!$B$9:$B$308,$C243,'Paid Log'!$C$9:$C$308,$B243),$E243)),""))</f>
        <v/>
      </c>
      <c r="H243" s="93" t="str">
        <f aca="false">IF($B243="","",IF($D243="Income","",IF($F243&lt;&gt;"",$F243,IF(COUNTIFS('Paid Log'!$B$9:$B$308,$C243,'Paid Log'!$C$9:$C$308,$B243)&gt;0,SUMIFS('Paid Log'!$D$9:$D$308,'Paid Log'!$B$9:$B$308,$C243,'Paid Log'!$C$9:$C$308,$B243),$E243))))</f>
        <v/>
      </c>
      <c r="I243" s="94" t="str">
        <f aca="false">IF($B243="","",$I$233+SUMIFS($G$235:$G$285,$M$235:$M$285,"&lt;="&amp;$M243)-SUMIFS($H$235:$H$285,$M$235:$M$285,"&lt;="&amp;$M243))</f>
        <v/>
      </c>
      <c r="J243" s="95" t="str">
        <f aca="true">IF($B243="","",IF(OR($F243&lt;&gt;"",COUNTIFS('Paid Log'!$B$9:$B$308,$C243,'Paid Log'!$C$9:$C$308,$B243)&gt;0),IF($C243&gt;TODAY(),"ADJUSTED","PAID"),IF($C243&lt;TODAY(),"PAST DUE",IF($C243&lt;=TODAY()+7,"DUE","Upcoming"))))</f>
        <v/>
      </c>
      <c r="K243" s="96" t="str">
        <f aca="false">IF($B243="","",IF(OR($F243&lt;&gt;"",COUNTIFS('Paid Log'!$B$9:$B$308,$C243,'Paid Log'!$C$9:$C$308,$B243)&gt;0),"ACTUAL","FORECAST"))</f>
        <v/>
      </c>
      <c r="L243" s="0" t="str">
        <f aca="false">IF($B243="","",$C243)</f>
        <v/>
      </c>
      <c r="M243" s="0" t="str">
        <f aca="false">IF($L243="","",COUNTIFS($L$235:$L$285,"&lt;"&amp;$L243)+COUNTIFS($L$235:$L243,$L243))</f>
        <v/>
      </c>
    </row>
    <row r="244" customFormat="false" ht="15" hidden="false" customHeight="true" outlineLevel="0" collapsed="false">
      <c r="B244" s="7" t="str">
        <f aca="false">IFERROR(INDEX(Schedule!$C$4:$C$483,MATCH(5010,Schedule!$K$4:$K$483,0)),"")</f>
        <v/>
      </c>
      <c r="C244" s="88" t="str">
        <f aca="false">IF($B244="","",INDEX(Schedule!$G$4:$G$483,MATCH(5010,Schedule!$K$4:$K$483,0)))</f>
        <v/>
      </c>
      <c r="D244" s="89" t="str">
        <f aca="false">IF($B244="","",INDEX(Schedule!$D$4:$D$483,MATCH(5010,Schedule!$K$4:$K$483,0)))</f>
        <v/>
      </c>
      <c r="E244" s="90" t="str">
        <f aca="false">IF($B244="","",INDEX(Schedule!$E$4:$E$483,MATCH(5010,Schedule!$K$4:$K$483,0)))</f>
        <v/>
      </c>
      <c r="F244" s="91"/>
      <c r="G244" s="92" t="str">
        <f aca="false">IF($B244="","",IF($D244="Income",IF($F244&lt;&gt;"",$F244,IF(COUNTIFS('Paid Log'!$B$9:$B$308,$C244,'Paid Log'!$C$9:$C$308,$B244)&gt;0,SUMIFS('Paid Log'!$D$9:$D$308,'Paid Log'!$B$9:$B$308,$C244,'Paid Log'!$C$9:$C$308,$B244),$E244)),""))</f>
        <v/>
      </c>
      <c r="H244" s="93" t="str">
        <f aca="false">IF($B244="","",IF($D244="Income","",IF($F244&lt;&gt;"",$F244,IF(COUNTIFS('Paid Log'!$B$9:$B$308,$C244,'Paid Log'!$C$9:$C$308,$B244)&gt;0,SUMIFS('Paid Log'!$D$9:$D$308,'Paid Log'!$B$9:$B$308,$C244,'Paid Log'!$C$9:$C$308,$B244),$E244))))</f>
        <v/>
      </c>
      <c r="I244" s="94" t="str">
        <f aca="false">IF($B244="","",$I$233+SUMIFS($G$235:$G$285,$M$235:$M$285,"&lt;="&amp;$M244)-SUMIFS($H$235:$H$285,$M$235:$M$285,"&lt;="&amp;$M244))</f>
        <v/>
      </c>
      <c r="J244" s="95" t="str">
        <f aca="true">IF($B244="","",IF(OR($F244&lt;&gt;"",COUNTIFS('Paid Log'!$B$9:$B$308,$C244,'Paid Log'!$C$9:$C$308,$B244)&gt;0),IF($C244&gt;TODAY(),"ADJUSTED","PAID"),IF($C244&lt;TODAY(),"PAST DUE",IF($C244&lt;=TODAY()+7,"DUE","Upcoming"))))</f>
        <v/>
      </c>
      <c r="K244" s="96" t="str">
        <f aca="false">IF($B244="","",IF(OR($F244&lt;&gt;"",COUNTIFS('Paid Log'!$B$9:$B$308,$C244,'Paid Log'!$C$9:$C$308,$B244)&gt;0),"ACTUAL","FORECAST"))</f>
        <v/>
      </c>
      <c r="L244" s="0" t="str">
        <f aca="false">IF($B244="","",$C244)</f>
        <v/>
      </c>
      <c r="M244" s="0" t="str">
        <f aca="false">IF($L244="","",COUNTIFS($L$235:$L$285,"&lt;"&amp;$L244)+COUNTIFS($L$235:$L244,$L244))</f>
        <v/>
      </c>
    </row>
    <row r="245" customFormat="false" ht="15" hidden="false" customHeight="true" outlineLevel="0" collapsed="false">
      <c r="B245" s="98" t="s">
        <v>148</v>
      </c>
      <c r="C245" s="99"/>
      <c r="D245" s="99"/>
      <c r="E245" s="99"/>
      <c r="F245" s="99"/>
      <c r="G245" s="99"/>
      <c r="H245" s="99"/>
      <c r="I245" s="99"/>
      <c r="J245" s="99"/>
    </row>
    <row r="246" customFormat="false" ht="15" hidden="false" customHeight="true" outlineLevel="0" collapsed="false">
      <c r="B246" s="12"/>
      <c r="C246" s="100"/>
      <c r="D246" s="101" t="str">
        <f aca="false">IF($B246="","","Expense")</f>
        <v/>
      </c>
      <c r="E246" s="14"/>
      <c r="F246" s="102"/>
      <c r="G246" s="102"/>
      <c r="H246" s="103" t="str">
        <f aca="false">IF($B246="","",N($E246))</f>
        <v/>
      </c>
      <c r="I246" s="104" t="str">
        <f aca="false">IF($B246="","",$I$233+SUMIFS($G$235:$G$285,$M$235:$M$285,"&lt;="&amp;$M246)-SUMIFS($H$235:$H$285,$M$235:$M$285,"&lt;="&amp;$M246))</f>
        <v/>
      </c>
      <c r="J246" s="102"/>
      <c r="K246" s="96" t="str">
        <f aca="false">IF($B246="","","ACTUAL")</f>
        <v/>
      </c>
      <c r="L246" s="0" t="str">
        <f aca="false">IF($B246="","",IF($C246="",$E$6+34,$C246))</f>
        <v/>
      </c>
      <c r="M246" s="0" t="str">
        <f aca="false">IF($L246="","",COUNTIFS($L$235:$L$285,"&lt;"&amp;$L246)+COUNTIFS($L$235:$L246,$L246))</f>
        <v/>
      </c>
    </row>
    <row r="247" customFormat="false" ht="15" hidden="false" customHeight="true" outlineLevel="0" collapsed="false">
      <c r="B247" s="12"/>
      <c r="C247" s="100"/>
      <c r="D247" s="101" t="str">
        <f aca="false">IF($B247="","","Expense")</f>
        <v/>
      </c>
      <c r="E247" s="14"/>
      <c r="F247" s="102"/>
      <c r="G247" s="102"/>
      <c r="H247" s="103" t="str">
        <f aca="false">IF($B247="","",N($E247))</f>
        <v/>
      </c>
      <c r="I247" s="104" t="str">
        <f aca="false">IF($B247="","",$I$233+SUMIFS($G$235:$G$285,$M$235:$M$285,"&lt;="&amp;$M247)-SUMIFS($H$235:$H$285,$M$235:$M$285,"&lt;="&amp;$M247))</f>
        <v/>
      </c>
      <c r="J247" s="102"/>
      <c r="K247" s="96" t="str">
        <f aca="false">IF($B247="","","ACTUAL")</f>
        <v/>
      </c>
      <c r="L247" s="0" t="str">
        <f aca="false">IF($B247="","",IF($C247="",$E$6+34,$C247))</f>
        <v/>
      </c>
      <c r="M247" s="0" t="str">
        <f aca="false">IF($L247="","",COUNTIFS($L$235:$L$285,"&lt;"&amp;$L247)+COUNTIFS($L$235:$L247,$L247))</f>
        <v/>
      </c>
    </row>
    <row r="248" customFormat="false" ht="15" hidden="false" customHeight="true" outlineLevel="0" collapsed="false">
      <c r="B248" s="12"/>
      <c r="C248" s="100"/>
      <c r="D248" s="101" t="str">
        <f aca="false">IF($B248="","","Expense")</f>
        <v/>
      </c>
      <c r="E248" s="14"/>
      <c r="F248" s="102"/>
      <c r="G248" s="102"/>
      <c r="H248" s="103" t="str">
        <f aca="false">IF($B248="","",N($E248))</f>
        <v/>
      </c>
      <c r="I248" s="104" t="str">
        <f aca="false">IF($B248="","",$I$233+SUMIFS($G$235:$G$285,$M$235:$M$285,"&lt;="&amp;$M248)-SUMIFS($H$235:$H$285,$M$235:$M$285,"&lt;="&amp;$M248))</f>
        <v/>
      </c>
      <c r="J248" s="102"/>
      <c r="K248" s="96" t="str">
        <f aca="false">IF($B248="","","ACTUAL")</f>
        <v/>
      </c>
      <c r="L248" s="0" t="str">
        <f aca="false">IF($B248="","",IF($C248="",$E$6+34,$C248))</f>
        <v/>
      </c>
      <c r="M248" s="0" t="str">
        <f aca="false">IF($L248="","",COUNTIFS($L$235:$L$285,"&lt;"&amp;$L248)+COUNTIFS($L$235:$L248,$L248))</f>
        <v/>
      </c>
    </row>
    <row r="249" customFormat="false" ht="15" hidden="false" customHeight="true" outlineLevel="0" collapsed="false">
      <c r="B249" s="12"/>
      <c r="C249" s="100"/>
      <c r="D249" s="101" t="str">
        <f aca="false">IF($B249="","","Expense")</f>
        <v/>
      </c>
      <c r="E249" s="14"/>
      <c r="F249" s="102"/>
      <c r="G249" s="102"/>
      <c r="H249" s="103" t="str">
        <f aca="false">IF($B249="","",N($E249))</f>
        <v/>
      </c>
      <c r="I249" s="104" t="str">
        <f aca="false">IF($B249="","",$I$233+SUMIFS($G$235:$G$285,$M$235:$M$285,"&lt;="&amp;$M249)-SUMIFS($H$235:$H$285,$M$235:$M$285,"&lt;="&amp;$M249))</f>
        <v/>
      </c>
      <c r="J249" s="102"/>
      <c r="K249" s="96" t="str">
        <f aca="false">IF($B249="","","ACTUAL")</f>
        <v/>
      </c>
      <c r="L249" s="0" t="str">
        <f aca="false">IF($B249="","",IF($C249="",$E$6+34,$C249))</f>
        <v/>
      </c>
      <c r="M249" s="0" t="str">
        <f aca="false">IF($L249="","",COUNTIFS($L$235:$L$285,"&lt;"&amp;$L249)+COUNTIFS($L$235:$L249,$L249))</f>
        <v/>
      </c>
    </row>
    <row r="250" customFormat="false" ht="15" hidden="false" customHeight="true" outlineLevel="0" collapsed="false">
      <c r="B250" s="12"/>
      <c r="C250" s="100"/>
      <c r="D250" s="101" t="str">
        <f aca="false">IF($B250="","","Expense")</f>
        <v/>
      </c>
      <c r="E250" s="14"/>
      <c r="F250" s="102"/>
      <c r="G250" s="102"/>
      <c r="H250" s="103" t="str">
        <f aca="false">IF($B250="","",N($E250))</f>
        <v/>
      </c>
      <c r="I250" s="104" t="str">
        <f aca="false">IF($B250="","",$I$233+SUMIFS($G$235:$G$285,$M$235:$M$285,"&lt;="&amp;$M250)-SUMIFS($H$235:$H$285,$M$235:$M$285,"&lt;="&amp;$M250))</f>
        <v/>
      </c>
      <c r="J250" s="102"/>
      <c r="K250" s="96" t="str">
        <f aca="false">IF($B250="","","ACTUAL")</f>
        <v/>
      </c>
      <c r="L250" s="0" t="str">
        <f aca="false">IF($B250="","",IF($C250="",$E$6+34,$C250))</f>
        <v/>
      </c>
      <c r="M250" s="0" t="str">
        <f aca="false">IF($L250="","",COUNTIFS($L$235:$L$285,"&lt;"&amp;$L250)+COUNTIFS($L$235:$L250,$L250))</f>
        <v/>
      </c>
    </row>
    <row r="251" customFormat="false" ht="15" hidden="false" customHeight="true" outlineLevel="0" collapsed="false">
      <c r="B251" s="12"/>
      <c r="C251" s="100"/>
      <c r="D251" s="101" t="str">
        <f aca="false">IF($B251="","","Expense")</f>
        <v/>
      </c>
      <c r="E251" s="14"/>
      <c r="F251" s="102"/>
      <c r="G251" s="102"/>
      <c r="H251" s="103" t="str">
        <f aca="false">IF($B251="","",N($E251))</f>
        <v/>
      </c>
      <c r="I251" s="104" t="str">
        <f aca="false">IF($B251="","",$I$233+SUMIFS($G$235:$G$285,$M$235:$M$285,"&lt;="&amp;$M251)-SUMIFS($H$235:$H$285,$M$235:$M$285,"&lt;="&amp;$M251))</f>
        <v/>
      </c>
      <c r="J251" s="102"/>
      <c r="K251" s="96" t="str">
        <f aca="false">IF($B251="","","ACTUAL")</f>
        <v/>
      </c>
      <c r="L251" s="0" t="str">
        <f aca="false">IF($B251="","",IF($C251="",$E$6+34,$C251))</f>
        <v/>
      </c>
      <c r="M251" s="0" t="str">
        <f aca="false">IF($L251="","",COUNTIFS($L$235:$L$285,"&lt;"&amp;$L251)+COUNTIFS($L$235:$L251,$L251))</f>
        <v/>
      </c>
    </row>
    <row r="252" customFormat="false" ht="15" hidden="false" customHeight="true" outlineLevel="0" collapsed="false">
      <c r="B252" s="12"/>
      <c r="C252" s="100"/>
      <c r="D252" s="101" t="str">
        <f aca="false">IF($B252="","","Expense")</f>
        <v/>
      </c>
      <c r="E252" s="14"/>
      <c r="F252" s="102"/>
      <c r="G252" s="102"/>
      <c r="H252" s="103" t="str">
        <f aca="false">IF($B252="","",N($E252))</f>
        <v/>
      </c>
      <c r="I252" s="104" t="str">
        <f aca="false">IF($B252="","",$I$233+SUMIFS($G$235:$G$285,$M$235:$M$285,"&lt;="&amp;$M252)-SUMIFS($H$235:$H$285,$M$235:$M$285,"&lt;="&amp;$M252))</f>
        <v/>
      </c>
      <c r="J252" s="102"/>
      <c r="K252" s="96" t="str">
        <f aca="false">IF($B252="","","ACTUAL")</f>
        <v/>
      </c>
      <c r="L252" s="0" t="str">
        <f aca="false">IF($B252="","",IF($C252="",$E$6+34,$C252))</f>
        <v/>
      </c>
      <c r="M252" s="0" t="str">
        <f aca="false">IF($L252="","",COUNTIFS($L$235:$L$285,"&lt;"&amp;$L252)+COUNTIFS($L$235:$L252,$L252))</f>
        <v/>
      </c>
    </row>
    <row r="253" customFormat="false" ht="15" hidden="false" customHeight="true" outlineLevel="0" collapsed="false">
      <c r="B253" s="12"/>
      <c r="C253" s="100"/>
      <c r="D253" s="101" t="str">
        <f aca="false">IF($B253="","","Expense")</f>
        <v/>
      </c>
      <c r="E253" s="14"/>
      <c r="F253" s="102"/>
      <c r="G253" s="102"/>
      <c r="H253" s="103" t="str">
        <f aca="false">IF($B253="","",N($E253))</f>
        <v/>
      </c>
      <c r="I253" s="104" t="str">
        <f aca="false">IF($B253="","",$I$233+SUMIFS($G$235:$G$285,$M$235:$M$285,"&lt;="&amp;$M253)-SUMIFS($H$235:$H$285,$M$235:$M$285,"&lt;="&amp;$M253))</f>
        <v/>
      </c>
      <c r="J253" s="102"/>
      <c r="K253" s="96" t="str">
        <f aca="false">IF($B253="","","ACTUAL")</f>
        <v/>
      </c>
      <c r="L253" s="0" t="str">
        <f aca="false">IF($B253="","",IF($C253="",$E$6+34,$C253))</f>
        <v/>
      </c>
      <c r="M253" s="0" t="str">
        <f aca="false">IF($L253="","",COUNTIFS($L$235:$L$285,"&lt;"&amp;$L253)+COUNTIFS($L$235:$L253,$L253))</f>
        <v/>
      </c>
    </row>
    <row r="254" customFormat="false" ht="15" hidden="false" customHeight="true" outlineLevel="0" collapsed="false">
      <c r="B254" s="12"/>
      <c r="C254" s="100"/>
      <c r="D254" s="101" t="str">
        <f aca="false">IF($B254="","","Expense")</f>
        <v/>
      </c>
      <c r="E254" s="14"/>
      <c r="F254" s="102"/>
      <c r="G254" s="102"/>
      <c r="H254" s="103" t="str">
        <f aca="false">IF($B254="","",N($E254))</f>
        <v/>
      </c>
      <c r="I254" s="104" t="str">
        <f aca="false">IF($B254="","",$I$233+SUMIFS($G$235:$G$285,$M$235:$M$285,"&lt;="&amp;$M254)-SUMIFS($H$235:$H$285,$M$235:$M$285,"&lt;="&amp;$M254))</f>
        <v/>
      </c>
      <c r="J254" s="102"/>
      <c r="K254" s="96" t="str">
        <f aca="false">IF($B254="","","ACTUAL")</f>
        <v/>
      </c>
      <c r="L254" s="0" t="str">
        <f aca="false">IF($B254="","",IF($C254="",$E$6+34,$C254))</f>
        <v/>
      </c>
      <c r="M254" s="0" t="str">
        <f aca="false">IF($L254="","",COUNTIFS($L$235:$L$285,"&lt;"&amp;$L254)+COUNTIFS($L$235:$L254,$L254))</f>
        <v/>
      </c>
    </row>
    <row r="255" customFormat="false" ht="15" hidden="false" customHeight="true" outlineLevel="0" collapsed="false">
      <c r="B255" s="12"/>
      <c r="C255" s="100"/>
      <c r="D255" s="101" t="str">
        <f aca="false">IF($B255="","","Expense")</f>
        <v/>
      </c>
      <c r="E255" s="14"/>
      <c r="F255" s="102"/>
      <c r="G255" s="102"/>
      <c r="H255" s="103" t="str">
        <f aca="false">IF($B255="","",N($E255))</f>
        <v/>
      </c>
      <c r="I255" s="104" t="str">
        <f aca="false">IF($B255="","",$I$233+SUMIFS($G$235:$G$285,$M$235:$M$285,"&lt;="&amp;$M255)-SUMIFS($H$235:$H$285,$M$235:$M$285,"&lt;="&amp;$M255))</f>
        <v/>
      </c>
      <c r="J255" s="102"/>
      <c r="K255" s="96" t="str">
        <f aca="false">IF($B255="","","ACTUAL")</f>
        <v/>
      </c>
      <c r="L255" s="0" t="str">
        <f aca="false">IF($B255="","",IF($C255="",$E$6+34,$C255))</f>
        <v/>
      </c>
      <c r="M255" s="0" t="str">
        <f aca="false">IF($L255="","",COUNTIFS($L$235:$L$285,"&lt;"&amp;$L255)+COUNTIFS($L$235:$L255,$L255))</f>
        <v/>
      </c>
    </row>
    <row r="256" customFormat="false" ht="15" hidden="false" customHeight="true" outlineLevel="0" collapsed="false">
      <c r="B256" s="12"/>
      <c r="C256" s="100"/>
      <c r="D256" s="101" t="str">
        <f aca="false">IF($B256="","","Expense")</f>
        <v/>
      </c>
      <c r="E256" s="14"/>
      <c r="F256" s="102"/>
      <c r="G256" s="102"/>
      <c r="H256" s="103" t="str">
        <f aca="false">IF($B256="","",N($E256))</f>
        <v/>
      </c>
      <c r="I256" s="104" t="str">
        <f aca="false">IF($B256="","",$I$233+SUMIFS($G$235:$G$285,$M$235:$M$285,"&lt;="&amp;$M256)-SUMIFS($H$235:$H$285,$M$235:$M$285,"&lt;="&amp;$M256))</f>
        <v/>
      </c>
      <c r="J256" s="102"/>
      <c r="K256" s="96" t="str">
        <f aca="false">IF($B256="","","ACTUAL")</f>
        <v/>
      </c>
      <c r="L256" s="0" t="str">
        <f aca="false">IF($B256="","",IF($C256="",$E$6+34,$C256))</f>
        <v/>
      </c>
      <c r="M256" s="0" t="str">
        <f aca="false">IF($L256="","",COUNTIFS($L$235:$L$285,"&lt;"&amp;$L256)+COUNTIFS($L$235:$L256,$L256))</f>
        <v/>
      </c>
    </row>
    <row r="257" customFormat="false" ht="15" hidden="false" customHeight="true" outlineLevel="0" collapsed="false">
      <c r="B257" s="12"/>
      <c r="C257" s="100"/>
      <c r="D257" s="101" t="str">
        <f aca="false">IF($B257="","","Expense")</f>
        <v/>
      </c>
      <c r="E257" s="14"/>
      <c r="F257" s="102"/>
      <c r="G257" s="102"/>
      <c r="H257" s="103" t="str">
        <f aca="false">IF($B257="","",N($E257))</f>
        <v/>
      </c>
      <c r="I257" s="104" t="str">
        <f aca="false">IF($B257="","",$I$233+SUMIFS($G$235:$G$285,$M$235:$M$285,"&lt;="&amp;$M257)-SUMIFS($H$235:$H$285,$M$235:$M$285,"&lt;="&amp;$M257))</f>
        <v/>
      </c>
      <c r="J257" s="102"/>
      <c r="K257" s="96" t="str">
        <f aca="false">IF($B257="","","ACTUAL")</f>
        <v/>
      </c>
      <c r="L257" s="0" t="str">
        <f aca="false">IF($B257="","",IF($C257="",$E$6+34,$C257))</f>
        <v/>
      </c>
      <c r="M257" s="0" t="str">
        <f aca="false">IF($L257="","",COUNTIFS($L$235:$L$285,"&lt;"&amp;$L257)+COUNTIFS($L$235:$L257,$L257))</f>
        <v/>
      </c>
    </row>
    <row r="258" customFormat="false" ht="15" hidden="false" customHeight="true" outlineLevel="0" collapsed="false">
      <c r="B258" s="12"/>
      <c r="C258" s="100"/>
      <c r="D258" s="101" t="str">
        <f aca="false">IF($B258="","","Expense")</f>
        <v/>
      </c>
      <c r="E258" s="14"/>
      <c r="F258" s="102"/>
      <c r="G258" s="102"/>
      <c r="H258" s="103" t="str">
        <f aca="false">IF($B258="","",N($E258))</f>
        <v/>
      </c>
      <c r="I258" s="104" t="str">
        <f aca="false">IF($B258="","",$I$233+SUMIFS($G$235:$G$285,$M$235:$M$285,"&lt;="&amp;$M258)-SUMIFS($H$235:$H$285,$M$235:$M$285,"&lt;="&amp;$M258))</f>
        <v/>
      </c>
      <c r="J258" s="102"/>
      <c r="K258" s="96" t="str">
        <f aca="false">IF($B258="","","ACTUAL")</f>
        <v/>
      </c>
      <c r="L258" s="0" t="str">
        <f aca="false">IF($B258="","",IF($C258="",$E$6+34,$C258))</f>
        <v/>
      </c>
      <c r="M258" s="0" t="str">
        <f aca="false">IF($L258="","",COUNTIFS($L$235:$L$285,"&lt;"&amp;$L258)+COUNTIFS($L$235:$L258,$L258))</f>
        <v/>
      </c>
    </row>
    <row r="259" customFormat="false" ht="15" hidden="false" customHeight="true" outlineLevel="0" collapsed="false">
      <c r="B259" s="12"/>
      <c r="C259" s="100"/>
      <c r="D259" s="101" t="str">
        <f aca="false">IF($B259="","","Expense")</f>
        <v/>
      </c>
      <c r="E259" s="14"/>
      <c r="F259" s="102"/>
      <c r="G259" s="102"/>
      <c r="H259" s="103" t="str">
        <f aca="false">IF($B259="","",N($E259))</f>
        <v/>
      </c>
      <c r="I259" s="104" t="str">
        <f aca="false">IF($B259="","",$I$233+SUMIFS($G$235:$G$285,$M$235:$M$285,"&lt;="&amp;$M259)-SUMIFS($H$235:$H$285,$M$235:$M$285,"&lt;="&amp;$M259))</f>
        <v/>
      </c>
      <c r="J259" s="102"/>
      <c r="K259" s="96" t="str">
        <f aca="false">IF($B259="","","ACTUAL")</f>
        <v/>
      </c>
      <c r="L259" s="0" t="str">
        <f aca="false">IF($B259="","",IF($C259="",$E$6+34,$C259))</f>
        <v/>
      </c>
      <c r="M259" s="0" t="str">
        <f aca="false">IF($L259="","",COUNTIFS($L$235:$L$285,"&lt;"&amp;$L259)+COUNTIFS($L$235:$L259,$L259))</f>
        <v/>
      </c>
    </row>
    <row r="260" customFormat="false" ht="15" hidden="false" customHeight="true" outlineLevel="0" collapsed="false">
      <c r="B260" s="12"/>
      <c r="C260" s="100"/>
      <c r="D260" s="101" t="str">
        <f aca="false">IF($B260="","","Expense")</f>
        <v/>
      </c>
      <c r="E260" s="14"/>
      <c r="F260" s="102"/>
      <c r="G260" s="102"/>
      <c r="H260" s="103" t="str">
        <f aca="false">IF($B260="","",N($E260))</f>
        <v/>
      </c>
      <c r="I260" s="104" t="str">
        <f aca="false">IF($B260="","",$I$233+SUMIFS($G$235:$G$285,$M$235:$M$285,"&lt;="&amp;$M260)-SUMIFS($H$235:$H$285,$M$235:$M$285,"&lt;="&amp;$M260))</f>
        <v/>
      </c>
      <c r="J260" s="102"/>
      <c r="K260" s="96" t="str">
        <f aca="false">IF($B260="","","ACTUAL")</f>
        <v/>
      </c>
      <c r="L260" s="0" t="str">
        <f aca="false">IF($B260="","",IF($C260="",$E$6+34,$C260))</f>
        <v/>
      </c>
      <c r="M260" s="0" t="str">
        <f aca="false">IF($L260="","",COUNTIFS($L$235:$L$285,"&lt;"&amp;$L260)+COUNTIFS($L$235:$L260,$L260))</f>
        <v/>
      </c>
    </row>
    <row r="261" customFormat="false" ht="15" hidden="false" customHeight="true" outlineLevel="0" collapsed="false">
      <c r="B261" s="12"/>
      <c r="C261" s="100"/>
      <c r="D261" s="101" t="str">
        <f aca="false">IF($B261="","","Expense")</f>
        <v/>
      </c>
      <c r="E261" s="14"/>
      <c r="F261" s="102"/>
      <c r="G261" s="102"/>
      <c r="H261" s="103" t="str">
        <f aca="false">IF($B261="","",N($E261))</f>
        <v/>
      </c>
      <c r="I261" s="104" t="str">
        <f aca="false">IF($B261="","",$I$233+SUMIFS($G$235:$G$285,$M$235:$M$285,"&lt;="&amp;$M261)-SUMIFS($H$235:$H$285,$M$235:$M$285,"&lt;="&amp;$M261))</f>
        <v/>
      </c>
      <c r="J261" s="102"/>
      <c r="K261" s="96" t="str">
        <f aca="false">IF($B261="","","ACTUAL")</f>
        <v/>
      </c>
      <c r="L261" s="0" t="str">
        <f aca="false">IF($B261="","",IF($C261="",$E$6+34,$C261))</f>
        <v/>
      </c>
      <c r="M261" s="0" t="str">
        <f aca="false">IF($L261="","",COUNTIFS($L$235:$L$285,"&lt;"&amp;$L261)+COUNTIFS($L$235:$L261,$L261))</f>
        <v/>
      </c>
    </row>
    <row r="262" customFormat="false" ht="15" hidden="false" customHeight="true" outlineLevel="0" collapsed="false">
      <c r="B262" s="12"/>
      <c r="C262" s="100"/>
      <c r="D262" s="101" t="str">
        <f aca="false">IF($B262="","","Expense")</f>
        <v/>
      </c>
      <c r="E262" s="14"/>
      <c r="F262" s="102"/>
      <c r="G262" s="102"/>
      <c r="H262" s="103" t="str">
        <f aca="false">IF($B262="","",N($E262))</f>
        <v/>
      </c>
      <c r="I262" s="104" t="str">
        <f aca="false">IF($B262="","",$I$233+SUMIFS($G$235:$G$285,$M$235:$M$285,"&lt;="&amp;$M262)-SUMIFS($H$235:$H$285,$M$235:$M$285,"&lt;="&amp;$M262))</f>
        <v/>
      </c>
      <c r="J262" s="102"/>
      <c r="K262" s="96" t="str">
        <f aca="false">IF($B262="","","ACTUAL")</f>
        <v/>
      </c>
      <c r="L262" s="0" t="str">
        <f aca="false">IF($B262="","",IF($C262="",$E$6+34,$C262))</f>
        <v/>
      </c>
      <c r="M262" s="0" t="str">
        <f aca="false">IF($L262="","",COUNTIFS($L$235:$L$285,"&lt;"&amp;$L262)+COUNTIFS($L$235:$L262,$L262))</f>
        <v/>
      </c>
    </row>
    <row r="263" customFormat="false" ht="15" hidden="false" customHeight="true" outlineLevel="0" collapsed="false">
      <c r="B263" s="12"/>
      <c r="C263" s="100"/>
      <c r="D263" s="101" t="str">
        <f aca="false">IF($B263="","","Expense")</f>
        <v/>
      </c>
      <c r="E263" s="14"/>
      <c r="F263" s="102"/>
      <c r="G263" s="102"/>
      <c r="H263" s="103" t="str">
        <f aca="false">IF($B263="","",N($E263))</f>
        <v/>
      </c>
      <c r="I263" s="104" t="str">
        <f aca="false">IF($B263="","",$I$233+SUMIFS($G$235:$G$285,$M$235:$M$285,"&lt;="&amp;$M263)-SUMIFS($H$235:$H$285,$M$235:$M$285,"&lt;="&amp;$M263))</f>
        <v/>
      </c>
      <c r="J263" s="102"/>
      <c r="K263" s="96" t="str">
        <f aca="false">IF($B263="","","ACTUAL")</f>
        <v/>
      </c>
      <c r="L263" s="0" t="str">
        <f aca="false">IF($B263="","",IF($C263="",$E$6+34,$C263))</f>
        <v/>
      </c>
      <c r="M263" s="0" t="str">
        <f aca="false">IF($L263="","",COUNTIFS($L$235:$L$285,"&lt;"&amp;$L263)+COUNTIFS($L$235:$L263,$L263))</f>
        <v/>
      </c>
    </row>
    <row r="264" customFormat="false" ht="15" hidden="false" customHeight="true" outlineLevel="0" collapsed="false">
      <c r="B264" s="12"/>
      <c r="C264" s="100"/>
      <c r="D264" s="101" t="str">
        <f aca="false">IF($B264="","","Expense")</f>
        <v/>
      </c>
      <c r="E264" s="14"/>
      <c r="F264" s="102"/>
      <c r="G264" s="102"/>
      <c r="H264" s="103" t="str">
        <f aca="false">IF($B264="","",N($E264))</f>
        <v/>
      </c>
      <c r="I264" s="104" t="str">
        <f aca="false">IF($B264="","",$I$233+SUMIFS($G$235:$G$285,$M$235:$M$285,"&lt;="&amp;$M264)-SUMIFS($H$235:$H$285,$M$235:$M$285,"&lt;="&amp;$M264))</f>
        <v/>
      </c>
      <c r="J264" s="102"/>
      <c r="K264" s="96" t="str">
        <f aca="false">IF($B264="","","ACTUAL")</f>
        <v/>
      </c>
      <c r="L264" s="0" t="str">
        <f aca="false">IF($B264="","",IF($C264="",$E$6+34,$C264))</f>
        <v/>
      </c>
      <c r="M264" s="0" t="str">
        <f aca="false">IF($L264="","",COUNTIFS($L$235:$L$285,"&lt;"&amp;$L264)+COUNTIFS($L$235:$L264,$L264))</f>
        <v/>
      </c>
    </row>
    <row r="265" customFormat="false" ht="15" hidden="false" customHeight="true" outlineLevel="0" collapsed="false">
      <c r="B265" s="12"/>
      <c r="C265" s="100"/>
      <c r="D265" s="101" t="str">
        <f aca="false">IF($B265="","","Expense")</f>
        <v/>
      </c>
      <c r="E265" s="14"/>
      <c r="F265" s="102"/>
      <c r="G265" s="102"/>
      <c r="H265" s="103" t="str">
        <f aca="false">IF($B265="","",N($E265))</f>
        <v/>
      </c>
      <c r="I265" s="104" t="str">
        <f aca="false">IF($B265="","",$I$233+SUMIFS($G$235:$G$285,$M$235:$M$285,"&lt;="&amp;$M265)-SUMIFS($H$235:$H$285,$M$235:$M$285,"&lt;="&amp;$M265))</f>
        <v/>
      </c>
      <c r="J265" s="102"/>
      <c r="K265" s="96" t="str">
        <f aca="false">IF($B265="","","ACTUAL")</f>
        <v/>
      </c>
      <c r="L265" s="0" t="str">
        <f aca="false">IF($B265="","",IF($C265="",$E$6+34,$C265))</f>
        <v/>
      </c>
      <c r="M265" s="0" t="str">
        <f aca="false">IF($L265="","",COUNTIFS($L$235:$L$285,"&lt;"&amp;$L265)+COUNTIFS($L$235:$L265,$L265))</f>
        <v/>
      </c>
    </row>
    <row r="266" customFormat="false" ht="15" hidden="false" customHeight="true" outlineLevel="0" collapsed="false">
      <c r="B266" s="12"/>
      <c r="C266" s="100"/>
      <c r="D266" s="101" t="str">
        <f aca="false">IF($B266="","","Expense")</f>
        <v/>
      </c>
      <c r="E266" s="14"/>
      <c r="F266" s="102"/>
      <c r="G266" s="102"/>
      <c r="H266" s="103" t="str">
        <f aca="false">IF($B266="","",N($E266))</f>
        <v/>
      </c>
      <c r="I266" s="104" t="str">
        <f aca="false">IF($B266="","",$I$233+SUMIFS($G$235:$G$285,$M$235:$M$285,"&lt;="&amp;$M266)-SUMIFS($H$235:$H$285,$M$235:$M$285,"&lt;="&amp;$M266))</f>
        <v/>
      </c>
      <c r="J266" s="102"/>
      <c r="K266" s="96" t="str">
        <f aca="false">IF($B266="","","ACTUAL")</f>
        <v/>
      </c>
      <c r="L266" s="0" t="str">
        <f aca="false">IF($B266="","",IF($C266="",$E$6+34,$C266))</f>
        <v/>
      </c>
      <c r="M266" s="0" t="str">
        <f aca="false">IF($L266="","",COUNTIFS($L$235:$L$285,"&lt;"&amp;$L266)+COUNTIFS($L$235:$L266,$L266))</f>
        <v/>
      </c>
    </row>
    <row r="267" customFormat="false" ht="15" hidden="false" customHeight="true" outlineLevel="0" collapsed="false">
      <c r="B267" s="12"/>
      <c r="C267" s="100"/>
      <c r="D267" s="101" t="str">
        <f aca="false">IF($B267="","","Expense")</f>
        <v/>
      </c>
      <c r="E267" s="14"/>
      <c r="F267" s="102"/>
      <c r="G267" s="102"/>
      <c r="H267" s="103" t="str">
        <f aca="false">IF($B267="","",N($E267))</f>
        <v/>
      </c>
      <c r="I267" s="104" t="str">
        <f aca="false">IF($B267="","",$I$233+SUMIFS($G$235:$G$285,$M$235:$M$285,"&lt;="&amp;$M267)-SUMIFS($H$235:$H$285,$M$235:$M$285,"&lt;="&amp;$M267))</f>
        <v/>
      </c>
      <c r="J267" s="102"/>
      <c r="K267" s="96" t="str">
        <f aca="false">IF($B267="","","ACTUAL")</f>
        <v/>
      </c>
      <c r="L267" s="0" t="str">
        <f aca="false">IF($B267="","",IF($C267="",$E$6+34,$C267))</f>
        <v/>
      </c>
      <c r="M267" s="0" t="str">
        <f aca="false">IF($L267="","",COUNTIFS($L$235:$L$285,"&lt;"&amp;$L267)+COUNTIFS($L$235:$L267,$L267))</f>
        <v/>
      </c>
    </row>
    <row r="268" customFormat="false" ht="15" hidden="false" customHeight="true" outlineLevel="0" collapsed="false">
      <c r="B268" s="12"/>
      <c r="C268" s="100"/>
      <c r="D268" s="101" t="str">
        <f aca="false">IF($B268="","","Expense")</f>
        <v/>
      </c>
      <c r="E268" s="14"/>
      <c r="F268" s="102"/>
      <c r="G268" s="102"/>
      <c r="H268" s="103" t="str">
        <f aca="false">IF($B268="","",N($E268))</f>
        <v/>
      </c>
      <c r="I268" s="104" t="str">
        <f aca="false">IF($B268="","",$I$233+SUMIFS($G$235:$G$285,$M$235:$M$285,"&lt;="&amp;$M268)-SUMIFS($H$235:$H$285,$M$235:$M$285,"&lt;="&amp;$M268))</f>
        <v/>
      </c>
      <c r="J268" s="102"/>
      <c r="K268" s="96" t="str">
        <f aca="false">IF($B268="","","ACTUAL")</f>
        <v/>
      </c>
      <c r="L268" s="0" t="str">
        <f aca="false">IF($B268="","",IF($C268="",$E$6+34,$C268))</f>
        <v/>
      </c>
      <c r="M268" s="0" t="str">
        <f aca="false">IF($L268="","",COUNTIFS($L$235:$L$285,"&lt;"&amp;$L268)+COUNTIFS($L$235:$L268,$L268))</f>
        <v/>
      </c>
    </row>
    <row r="269" customFormat="false" ht="15" hidden="false" customHeight="true" outlineLevel="0" collapsed="false">
      <c r="B269" s="12"/>
      <c r="C269" s="100"/>
      <c r="D269" s="101" t="str">
        <f aca="false">IF($B269="","","Expense")</f>
        <v/>
      </c>
      <c r="E269" s="14"/>
      <c r="F269" s="102"/>
      <c r="G269" s="102"/>
      <c r="H269" s="103" t="str">
        <f aca="false">IF($B269="","",N($E269))</f>
        <v/>
      </c>
      <c r="I269" s="104" t="str">
        <f aca="false">IF($B269="","",$I$233+SUMIFS($G$235:$G$285,$M$235:$M$285,"&lt;="&amp;$M269)-SUMIFS($H$235:$H$285,$M$235:$M$285,"&lt;="&amp;$M269))</f>
        <v/>
      </c>
      <c r="J269" s="102"/>
      <c r="K269" s="96" t="str">
        <f aca="false">IF($B269="","","ACTUAL")</f>
        <v/>
      </c>
      <c r="L269" s="0" t="str">
        <f aca="false">IF($B269="","",IF($C269="",$E$6+34,$C269))</f>
        <v/>
      </c>
      <c r="M269" s="0" t="str">
        <f aca="false">IF($L269="","",COUNTIFS($L$235:$L$285,"&lt;"&amp;$L269)+COUNTIFS($L$235:$L269,$L269))</f>
        <v/>
      </c>
    </row>
    <row r="270" customFormat="false" ht="15" hidden="false" customHeight="true" outlineLevel="0" collapsed="false">
      <c r="B270" s="12"/>
      <c r="C270" s="100"/>
      <c r="D270" s="101" t="str">
        <f aca="false">IF($B270="","","Expense")</f>
        <v/>
      </c>
      <c r="E270" s="14"/>
      <c r="F270" s="102"/>
      <c r="G270" s="102"/>
      <c r="H270" s="103" t="str">
        <f aca="false">IF($B270="","",N($E270))</f>
        <v/>
      </c>
      <c r="I270" s="104" t="str">
        <f aca="false">IF($B270="","",$I$233+SUMIFS($G$235:$G$285,$M$235:$M$285,"&lt;="&amp;$M270)-SUMIFS($H$235:$H$285,$M$235:$M$285,"&lt;="&amp;$M270))</f>
        <v/>
      </c>
      <c r="J270" s="102"/>
      <c r="K270" s="96" t="str">
        <f aca="false">IF($B270="","","ACTUAL")</f>
        <v/>
      </c>
      <c r="L270" s="0" t="str">
        <f aca="false">IF($B270="","",IF($C270="",$E$6+34,$C270))</f>
        <v/>
      </c>
      <c r="M270" s="0" t="str">
        <f aca="false">IF($L270="","",COUNTIFS($L$235:$L$285,"&lt;"&amp;$L270)+COUNTIFS($L$235:$L270,$L270))</f>
        <v/>
      </c>
    </row>
    <row r="271" customFormat="false" ht="15" hidden="false" customHeight="true" outlineLevel="0" collapsed="false">
      <c r="B271" s="12"/>
      <c r="C271" s="100"/>
      <c r="D271" s="101" t="str">
        <f aca="false">IF($B271="","","Expense")</f>
        <v/>
      </c>
      <c r="E271" s="14"/>
      <c r="F271" s="102"/>
      <c r="G271" s="102"/>
      <c r="H271" s="103" t="str">
        <f aca="false">IF($B271="","",N($E271))</f>
        <v/>
      </c>
      <c r="I271" s="104" t="str">
        <f aca="false">IF($B271="","",$I$233+SUMIFS($G$235:$G$285,$M$235:$M$285,"&lt;="&amp;$M271)-SUMIFS($H$235:$H$285,$M$235:$M$285,"&lt;="&amp;$M271))</f>
        <v/>
      </c>
      <c r="J271" s="102"/>
      <c r="K271" s="96" t="str">
        <f aca="false">IF($B271="","","ACTUAL")</f>
        <v/>
      </c>
      <c r="L271" s="0" t="str">
        <f aca="false">IF($B271="","",IF($C271="",$E$6+34,$C271))</f>
        <v/>
      </c>
      <c r="M271" s="0" t="str">
        <f aca="false">IF($L271="","",COUNTIFS($L$235:$L$285,"&lt;"&amp;$L271)+COUNTIFS($L$235:$L271,$L271))</f>
        <v/>
      </c>
    </row>
    <row r="272" customFormat="false" ht="15" hidden="false" customHeight="true" outlineLevel="0" collapsed="false">
      <c r="B272" s="12"/>
      <c r="C272" s="100"/>
      <c r="D272" s="101" t="str">
        <f aca="false">IF($B272="","","Expense")</f>
        <v/>
      </c>
      <c r="E272" s="14"/>
      <c r="F272" s="102"/>
      <c r="G272" s="102"/>
      <c r="H272" s="103" t="str">
        <f aca="false">IF($B272="","",N($E272))</f>
        <v/>
      </c>
      <c r="I272" s="104" t="str">
        <f aca="false">IF($B272="","",$I$233+SUMIFS($G$235:$G$285,$M$235:$M$285,"&lt;="&amp;$M272)-SUMIFS($H$235:$H$285,$M$235:$M$285,"&lt;="&amp;$M272))</f>
        <v/>
      </c>
      <c r="J272" s="102"/>
      <c r="K272" s="96" t="str">
        <f aca="false">IF($B272="","","ACTUAL")</f>
        <v/>
      </c>
      <c r="L272" s="0" t="str">
        <f aca="false">IF($B272="","",IF($C272="",$E$6+34,$C272))</f>
        <v/>
      </c>
      <c r="M272" s="0" t="str">
        <f aca="false">IF($L272="","",COUNTIFS($L$235:$L$285,"&lt;"&amp;$L272)+COUNTIFS($L$235:$L272,$L272))</f>
        <v/>
      </c>
    </row>
    <row r="273" customFormat="false" ht="15" hidden="false" customHeight="true" outlineLevel="0" collapsed="false">
      <c r="B273" s="12"/>
      <c r="C273" s="100"/>
      <c r="D273" s="101" t="str">
        <f aca="false">IF($B273="","","Expense")</f>
        <v/>
      </c>
      <c r="E273" s="14"/>
      <c r="F273" s="102"/>
      <c r="G273" s="102"/>
      <c r="H273" s="103" t="str">
        <f aca="false">IF($B273="","",N($E273))</f>
        <v/>
      </c>
      <c r="I273" s="104" t="str">
        <f aca="false">IF($B273="","",$I$233+SUMIFS($G$235:$G$285,$M$235:$M$285,"&lt;="&amp;$M273)-SUMIFS($H$235:$H$285,$M$235:$M$285,"&lt;="&amp;$M273))</f>
        <v/>
      </c>
      <c r="J273" s="102"/>
      <c r="K273" s="96" t="str">
        <f aca="false">IF($B273="","","ACTUAL")</f>
        <v/>
      </c>
      <c r="L273" s="0" t="str">
        <f aca="false">IF($B273="","",IF($C273="",$E$6+34,$C273))</f>
        <v/>
      </c>
      <c r="M273" s="0" t="str">
        <f aca="false">IF($L273="","",COUNTIFS($L$235:$L$285,"&lt;"&amp;$L273)+COUNTIFS($L$235:$L273,$L273))</f>
        <v/>
      </c>
    </row>
    <row r="274" customFormat="false" ht="15" hidden="false" customHeight="true" outlineLevel="0" collapsed="false">
      <c r="B274" s="12"/>
      <c r="C274" s="100"/>
      <c r="D274" s="101" t="str">
        <f aca="false">IF($B274="","","Expense")</f>
        <v/>
      </c>
      <c r="E274" s="14"/>
      <c r="F274" s="102"/>
      <c r="G274" s="102"/>
      <c r="H274" s="103" t="str">
        <f aca="false">IF($B274="","",N($E274))</f>
        <v/>
      </c>
      <c r="I274" s="104" t="str">
        <f aca="false">IF($B274="","",$I$233+SUMIFS($G$235:$G$285,$M$235:$M$285,"&lt;="&amp;$M274)-SUMIFS($H$235:$H$285,$M$235:$M$285,"&lt;="&amp;$M274))</f>
        <v/>
      </c>
      <c r="J274" s="102"/>
      <c r="K274" s="96" t="str">
        <f aca="false">IF($B274="","","ACTUAL")</f>
        <v/>
      </c>
      <c r="L274" s="0" t="str">
        <f aca="false">IF($B274="","",IF($C274="",$E$6+34,$C274))</f>
        <v/>
      </c>
      <c r="M274" s="0" t="str">
        <f aca="false">IF($L274="","",COUNTIFS($L$235:$L$285,"&lt;"&amp;$L274)+COUNTIFS($L$235:$L274,$L274))</f>
        <v/>
      </c>
    </row>
    <row r="275" customFormat="false" ht="15" hidden="false" customHeight="true" outlineLevel="0" collapsed="false">
      <c r="B275" s="12"/>
      <c r="C275" s="100"/>
      <c r="D275" s="101" t="str">
        <f aca="false">IF($B275="","","Expense")</f>
        <v/>
      </c>
      <c r="E275" s="14"/>
      <c r="F275" s="102"/>
      <c r="G275" s="102"/>
      <c r="H275" s="103" t="str">
        <f aca="false">IF($B275="","",N($E275))</f>
        <v/>
      </c>
      <c r="I275" s="104" t="str">
        <f aca="false">IF($B275="","",$I$233+SUMIFS($G$235:$G$285,$M$235:$M$285,"&lt;="&amp;$M275)-SUMIFS($H$235:$H$285,$M$235:$M$285,"&lt;="&amp;$M275))</f>
        <v/>
      </c>
      <c r="J275" s="102"/>
      <c r="K275" s="96" t="str">
        <f aca="false">IF($B275="","","ACTUAL")</f>
        <v/>
      </c>
      <c r="L275" s="0" t="str">
        <f aca="false">IF($B275="","",IF($C275="",$E$6+34,$C275))</f>
        <v/>
      </c>
      <c r="M275" s="0" t="str">
        <f aca="false">IF($L275="","",COUNTIFS($L$235:$L$285,"&lt;"&amp;$L275)+COUNTIFS($L$235:$L275,$L275))</f>
        <v/>
      </c>
    </row>
    <row r="276" customFormat="false" ht="15" hidden="false" customHeight="true" outlineLevel="0" collapsed="false">
      <c r="B276" s="12"/>
      <c r="C276" s="100"/>
      <c r="D276" s="101" t="str">
        <f aca="false">IF($B276="","","Expense")</f>
        <v/>
      </c>
      <c r="E276" s="14"/>
      <c r="F276" s="102"/>
      <c r="G276" s="102"/>
      <c r="H276" s="103" t="str">
        <f aca="false">IF($B276="","",N($E276))</f>
        <v/>
      </c>
      <c r="I276" s="104" t="str">
        <f aca="false">IF($B276="","",$I$233+SUMIFS($G$235:$G$285,$M$235:$M$285,"&lt;="&amp;$M276)-SUMIFS($H$235:$H$285,$M$235:$M$285,"&lt;="&amp;$M276))</f>
        <v/>
      </c>
      <c r="J276" s="102"/>
      <c r="K276" s="96" t="str">
        <f aca="false">IF($B276="","","ACTUAL")</f>
        <v/>
      </c>
      <c r="L276" s="0" t="str">
        <f aca="false">IF($B276="","",IF($C276="",$E$6+34,$C276))</f>
        <v/>
      </c>
      <c r="M276" s="0" t="str">
        <f aca="false">IF($L276="","",COUNTIFS($L$235:$L$285,"&lt;"&amp;$L276)+COUNTIFS($L$235:$L276,$L276))</f>
        <v/>
      </c>
    </row>
    <row r="277" customFormat="false" ht="15" hidden="false" customHeight="true" outlineLevel="0" collapsed="false">
      <c r="B277" s="12"/>
      <c r="C277" s="100"/>
      <c r="D277" s="101" t="str">
        <f aca="false">IF($B277="","","Expense")</f>
        <v/>
      </c>
      <c r="E277" s="14"/>
      <c r="F277" s="102"/>
      <c r="G277" s="102"/>
      <c r="H277" s="103" t="str">
        <f aca="false">IF($B277="","",N($E277))</f>
        <v/>
      </c>
      <c r="I277" s="104" t="str">
        <f aca="false">IF($B277="","",$I$233+SUMIFS($G$235:$G$285,$M$235:$M$285,"&lt;="&amp;$M277)-SUMIFS($H$235:$H$285,$M$235:$M$285,"&lt;="&amp;$M277))</f>
        <v/>
      </c>
      <c r="J277" s="102"/>
      <c r="K277" s="96" t="str">
        <f aca="false">IF($B277="","","ACTUAL")</f>
        <v/>
      </c>
      <c r="L277" s="0" t="str">
        <f aca="false">IF($B277="","",IF($C277="",$E$6+34,$C277))</f>
        <v/>
      </c>
      <c r="M277" s="0" t="str">
        <f aca="false">IF($L277="","",COUNTIFS($L$235:$L$285,"&lt;"&amp;$L277)+COUNTIFS($L$235:$L277,$L277))</f>
        <v/>
      </c>
    </row>
    <row r="278" customFormat="false" ht="15" hidden="false" customHeight="true" outlineLevel="0" collapsed="false">
      <c r="B278" s="12"/>
      <c r="C278" s="100"/>
      <c r="D278" s="101" t="str">
        <f aca="false">IF($B278="","","Expense")</f>
        <v/>
      </c>
      <c r="E278" s="14"/>
      <c r="F278" s="102"/>
      <c r="G278" s="102"/>
      <c r="H278" s="103" t="str">
        <f aca="false">IF($B278="","",N($E278))</f>
        <v/>
      </c>
      <c r="I278" s="104" t="str">
        <f aca="false">IF($B278="","",$I$233+SUMIFS($G$235:$G$285,$M$235:$M$285,"&lt;="&amp;$M278)-SUMIFS($H$235:$H$285,$M$235:$M$285,"&lt;="&amp;$M278))</f>
        <v/>
      </c>
      <c r="J278" s="102"/>
      <c r="K278" s="96" t="str">
        <f aca="false">IF($B278="","","ACTUAL")</f>
        <v/>
      </c>
      <c r="L278" s="0" t="str">
        <f aca="false">IF($B278="","",IF($C278="",$E$6+34,$C278))</f>
        <v/>
      </c>
      <c r="M278" s="0" t="str">
        <f aca="false">IF($L278="","",COUNTIFS($L$235:$L$285,"&lt;"&amp;$L278)+COUNTIFS($L$235:$L278,$L278))</f>
        <v/>
      </c>
    </row>
    <row r="279" customFormat="false" ht="15" hidden="false" customHeight="true" outlineLevel="0" collapsed="false">
      <c r="B279" s="12"/>
      <c r="C279" s="100"/>
      <c r="D279" s="101" t="str">
        <f aca="false">IF($B279="","","Expense")</f>
        <v/>
      </c>
      <c r="E279" s="14"/>
      <c r="F279" s="102"/>
      <c r="G279" s="102"/>
      <c r="H279" s="103" t="str">
        <f aca="false">IF($B279="","",N($E279))</f>
        <v/>
      </c>
      <c r="I279" s="104" t="str">
        <f aca="false">IF($B279="","",$I$233+SUMIFS($G$235:$G$285,$M$235:$M$285,"&lt;="&amp;$M279)-SUMIFS($H$235:$H$285,$M$235:$M$285,"&lt;="&amp;$M279))</f>
        <v/>
      </c>
      <c r="J279" s="102"/>
      <c r="K279" s="96" t="str">
        <f aca="false">IF($B279="","","ACTUAL")</f>
        <v/>
      </c>
      <c r="L279" s="0" t="str">
        <f aca="false">IF($B279="","",IF($C279="",$E$6+34,$C279))</f>
        <v/>
      </c>
      <c r="M279" s="0" t="str">
        <f aca="false">IF($L279="","",COUNTIFS($L$235:$L$285,"&lt;"&amp;$L279)+COUNTIFS($L$235:$L279,$L279))</f>
        <v/>
      </c>
    </row>
    <row r="280" customFormat="false" ht="15" hidden="false" customHeight="true" outlineLevel="0" collapsed="false">
      <c r="B280" s="12"/>
      <c r="C280" s="100"/>
      <c r="D280" s="101" t="str">
        <f aca="false">IF($B280="","","Expense")</f>
        <v/>
      </c>
      <c r="E280" s="14"/>
      <c r="F280" s="102"/>
      <c r="G280" s="102"/>
      <c r="H280" s="103" t="str">
        <f aca="false">IF($B280="","",N($E280))</f>
        <v/>
      </c>
      <c r="I280" s="104" t="str">
        <f aca="false">IF($B280="","",$I$233+SUMIFS($G$235:$G$285,$M$235:$M$285,"&lt;="&amp;$M280)-SUMIFS($H$235:$H$285,$M$235:$M$285,"&lt;="&amp;$M280))</f>
        <v/>
      </c>
      <c r="J280" s="102"/>
      <c r="K280" s="96" t="str">
        <f aca="false">IF($B280="","","ACTUAL")</f>
        <v/>
      </c>
      <c r="L280" s="0" t="str">
        <f aca="false">IF($B280="","",IF($C280="",$E$6+34,$C280))</f>
        <v/>
      </c>
      <c r="M280" s="0" t="str">
        <f aca="false">IF($L280="","",COUNTIFS($L$235:$L$285,"&lt;"&amp;$L280)+COUNTIFS($L$235:$L280,$L280))</f>
        <v/>
      </c>
    </row>
    <row r="281" customFormat="false" ht="15" hidden="false" customHeight="true" outlineLevel="0" collapsed="false">
      <c r="B281" s="12"/>
      <c r="C281" s="100"/>
      <c r="D281" s="101" t="str">
        <f aca="false">IF($B281="","","Expense")</f>
        <v/>
      </c>
      <c r="E281" s="14"/>
      <c r="F281" s="102"/>
      <c r="G281" s="102"/>
      <c r="H281" s="103" t="str">
        <f aca="false">IF($B281="","",N($E281))</f>
        <v/>
      </c>
      <c r="I281" s="104" t="str">
        <f aca="false">IF($B281="","",$I$233+SUMIFS($G$235:$G$285,$M$235:$M$285,"&lt;="&amp;$M281)-SUMIFS($H$235:$H$285,$M$235:$M$285,"&lt;="&amp;$M281))</f>
        <v/>
      </c>
      <c r="J281" s="102"/>
      <c r="K281" s="96" t="str">
        <f aca="false">IF($B281="","","ACTUAL")</f>
        <v/>
      </c>
      <c r="L281" s="0" t="str">
        <f aca="false">IF($B281="","",IF($C281="",$E$6+34,$C281))</f>
        <v/>
      </c>
      <c r="M281" s="0" t="str">
        <f aca="false">IF($L281="","",COUNTIFS($L$235:$L$285,"&lt;"&amp;$L281)+COUNTIFS($L$235:$L281,$L281))</f>
        <v/>
      </c>
    </row>
    <row r="282" customFormat="false" ht="15" hidden="false" customHeight="true" outlineLevel="0" collapsed="false">
      <c r="B282" s="12"/>
      <c r="C282" s="100"/>
      <c r="D282" s="101" t="str">
        <f aca="false">IF($B282="","","Expense")</f>
        <v/>
      </c>
      <c r="E282" s="14"/>
      <c r="F282" s="102"/>
      <c r="G282" s="102"/>
      <c r="H282" s="103" t="str">
        <f aca="false">IF($B282="","",N($E282))</f>
        <v/>
      </c>
      <c r="I282" s="104" t="str">
        <f aca="false">IF($B282="","",$I$233+SUMIFS($G$235:$G$285,$M$235:$M$285,"&lt;="&amp;$M282)-SUMIFS($H$235:$H$285,$M$235:$M$285,"&lt;="&amp;$M282))</f>
        <v/>
      </c>
      <c r="J282" s="102"/>
      <c r="K282" s="96" t="str">
        <f aca="false">IF($B282="","","ACTUAL")</f>
        <v/>
      </c>
      <c r="L282" s="0" t="str">
        <f aca="false">IF($B282="","",IF($C282="",$E$6+34,$C282))</f>
        <v/>
      </c>
      <c r="M282" s="0" t="str">
        <f aca="false">IF($L282="","",COUNTIFS($L$235:$L$285,"&lt;"&amp;$L282)+COUNTIFS($L$235:$L282,$L282))</f>
        <v/>
      </c>
    </row>
    <row r="283" customFormat="false" ht="15" hidden="false" customHeight="true" outlineLevel="0" collapsed="false">
      <c r="B283" s="12"/>
      <c r="C283" s="100"/>
      <c r="D283" s="101" t="str">
        <f aca="false">IF($B283="","","Expense")</f>
        <v/>
      </c>
      <c r="E283" s="14"/>
      <c r="F283" s="102"/>
      <c r="G283" s="102"/>
      <c r="H283" s="103" t="str">
        <f aca="false">IF($B283="","",N($E283))</f>
        <v/>
      </c>
      <c r="I283" s="104" t="str">
        <f aca="false">IF($B283="","",$I$233+SUMIFS($G$235:$G$285,$M$235:$M$285,"&lt;="&amp;$M283)-SUMIFS($H$235:$H$285,$M$235:$M$285,"&lt;="&amp;$M283))</f>
        <v/>
      </c>
      <c r="J283" s="102"/>
      <c r="K283" s="96" t="str">
        <f aca="false">IF($B283="","","ACTUAL")</f>
        <v/>
      </c>
      <c r="L283" s="0" t="str">
        <f aca="false">IF($B283="","",IF($C283="",$E$6+34,$C283))</f>
        <v/>
      </c>
      <c r="M283" s="0" t="str">
        <f aca="false">IF($L283="","",COUNTIFS($L$235:$L$285,"&lt;"&amp;$L283)+COUNTIFS($L$235:$L283,$L283))</f>
        <v/>
      </c>
    </row>
    <row r="284" customFormat="false" ht="15" hidden="false" customHeight="true" outlineLevel="0" collapsed="false">
      <c r="B284" s="12"/>
      <c r="C284" s="100"/>
      <c r="D284" s="101" t="str">
        <f aca="false">IF($B284="","","Expense")</f>
        <v/>
      </c>
      <c r="E284" s="14"/>
      <c r="F284" s="102"/>
      <c r="G284" s="102"/>
      <c r="H284" s="103" t="str">
        <f aca="false">IF($B284="","",N($E284))</f>
        <v/>
      </c>
      <c r="I284" s="104" t="str">
        <f aca="false">IF($B284="","",$I$233+SUMIFS($G$235:$G$285,$M$235:$M$285,"&lt;="&amp;$M284)-SUMIFS($H$235:$H$285,$M$235:$M$285,"&lt;="&amp;$M284))</f>
        <v/>
      </c>
      <c r="J284" s="102"/>
      <c r="K284" s="96" t="str">
        <f aca="false">IF($B284="","","ACTUAL")</f>
        <v/>
      </c>
      <c r="L284" s="0" t="str">
        <f aca="false">IF($B284="","",IF($C284="",$E$6+34,$C284))</f>
        <v/>
      </c>
      <c r="M284" s="0" t="str">
        <f aca="false">IF($L284="","",COUNTIFS($L$235:$L$285,"&lt;"&amp;$L284)+COUNTIFS($L$235:$L284,$L284))</f>
        <v/>
      </c>
    </row>
    <row r="285" customFormat="false" ht="15" hidden="false" customHeight="true" outlineLevel="0" collapsed="false">
      <c r="B285" s="105" t="str">
        <f aca="false">"Everyday spending still expected this week"</f>
        <v>Everyday spending still expected this week</v>
      </c>
      <c r="C285" s="106" t="n">
        <f aca="false">$E$6+34</f>
        <v>46283</v>
      </c>
      <c r="D285" s="101" t="str">
        <f aca="false">IF($B285="","","Expense")</f>
        <v>Expense</v>
      </c>
      <c r="E285" s="107" t="n">
        <f aca="false">MAX(0,$E$8-SUM($E$246:$E$284))</f>
        <v>400</v>
      </c>
      <c r="F285" s="102"/>
      <c r="G285" s="102"/>
      <c r="H285" s="103" t="n">
        <f aca="false">IF($B285="","",N($E285))</f>
        <v>400</v>
      </c>
      <c r="I285" s="104" t="n">
        <f aca="false">IF($B285="","",$I$233+SUMIFS($G$235:$G$285,$M$235:$M$285,"&lt;="&amp;$M285)-SUMIFS($H$235:$H$285,$M$235:$M$285,"&lt;="&amp;$M285))</f>
        <v>157.82</v>
      </c>
      <c r="J285" s="102"/>
      <c r="K285" s="96" t="str">
        <f aca="false">"FORECAST"</f>
        <v>FORECAST</v>
      </c>
      <c r="L285" s="97" t="n">
        <f aca="false">IF($B285="","",IF($C285="",$E$6+34,$C285))</f>
        <v>46283</v>
      </c>
      <c r="M285" s="0" t="n">
        <f aca="false">IF($L285="","",COUNTIFS($L$235:$L$285,"&lt;"&amp;$L285)+COUNTIFS($L$235:$L285,$L285))</f>
        <v>6</v>
      </c>
    </row>
    <row r="286" customFormat="false" ht="15" hidden="false" customHeight="true" outlineLevel="0" collapsed="false">
      <c r="B286" s="108" t="s">
        <v>173</v>
      </c>
      <c r="C286" s="57"/>
      <c r="D286" s="57"/>
      <c r="E286" s="57"/>
      <c r="F286" s="57"/>
      <c r="G286" s="56" t="n">
        <f aca="false">SUM($G$235:$G$285)</f>
        <v>835</v>
      </c>
      <c r="H286" s="56" t="n">
        <f aca="false">SUM($H$235:$H$285)</f>
        <v>797.99</v>
      </c>
      <c r="I286" s="109" t="n">
        <f aca="false">$I$233+$G$286-$H$286</f>
        <v>157.82</v>
      </c>
      <c r="J286" s="110" t="str">
        <f aca="false">IF($I$286&lt;0,"SHORTFALL",IF($I$286&lt;$E$7,"TIGHT","OK"))</f>
        <v>TIGHT</v>
      </c>
      <c r="K286" s="111"/>
      <c r="N286" s="111" t="str">
        <f aca="false">IF(COUNT($I$235:$I$285)=0,"","Lowest point this week: "&amp;TEXT(MIN($I$235:$I$285),"$#,##0.00;-$#,##0.00")&amp;" on "&amp;TEXT(INDEX($C$235:$C$285,MATCH(MIN($I$235:$I$285),$I$235:$I$285,0)),"ddd mmm d")&amp;"     (in "&amp;TEXT($G$286,"$#,##0.00")&amp;", out "&amp;TEXT($H$286,"$#,##0.00")&amp;")")</f>
        <v>Lowest point this week: -$232.18 on Tue Sep 15     (in $835.00, out $797.99)</v>
      </c>
    </row>
    <row r="288" customFormat="false" ht="21.75" hidden="false" customHeight="true" outlineLevel="0" collapsed="false">
      <c r="B288" s="82" t="str">
        <f aca="false">"WEEK 6     "&amp;TEXT($E$6+35,"ddd, mmm d")&amp;"   through   "&amp;TEXT($E$6+35+6,"ddd, mmm d, yyyy")</f>
        <v>WEEK 6     Sat, Sep 19   through   Fri, Sep 25, 2026</v>
      </c>
      <c r="C288" s="83"/>
      <c r="D288" s="83"/>
      <c r="E288" s="83"/>
      <c r="F288" s="83"/>
      <c r="G288" s="84" t="s">
        <v>139</v>
      </c>
      <c r="H288" s="83"/>
      <c r="I288" s="85" t="n">
        <f aca="false">$I$286</f>
        <v>157.82</v>
      </c>
      <c r="J288" s="83"/>
      <c r="K288" s="86"/>
      <c r="N288" s="86" t="str">
        <f aca="false">IF(COUNTIF(Schedule!$I$4:$I$483,6)&gt;10,"! "&amp;COUNTIF(Schedule!$I$4:$I$483,6)-10&amp;" more transaction(s) fall in this week than there are rows to show them.","")</f>
        <v/>
      </c>
    </row>
    <row r="289" customFormat="false" ht="25.5" hidden="false" customHeight="true" outlineLevel="0" collapsed="false">
      <c r="B289" s="87" t="s">
        <v>140</v>
      </c>
      <c r="C289" s="87" t="s">
        <v>141</v>
      </c>
      <c r="D289" s="87" t="s">
        <v>42</v>
      </c>
      <c r="E289" s="87" t="s">
        <v>142</v>
      </c>
      <c r="F289" s="87" t="s">
        <v>143</v>
      </c>
      <c r="G289" s="36" t="s">
        <v>144</v>
      </c>
      <c r="H289" s="37" t="s">
        <v>145</v>
      </c>
      <c r="I289" s="87" t="s">
        <v>146</v>
      </c>
      <c r="J289" s="87" t="s">
        <v>14</v>
      </c>
      <c r="K289" s="87" t="s">
        <v>147</v>
      </c>
    </row>
    <row r="290" customFormat="false" ht="15" hidden="false" customHeight="true" outlineLevel="0" collapsed="false">
      <c r="B290" s="7" t="str">
        <f aca="false">IFERROR(INDEX(Schedule!$C$4:$C$483,MATCH(6001,Schedule!$K$4:$K$483,0)),"")</f>
        <v>Spectrum</v>
      </c>
      <c r="C290" s="88" t="n">
        <f aca="false">IF($B290="","",INDEX(Schedule!$G$4:$G$483,MATCH(6001,Schedule!$K$4:$K$483,0)))</f>
        <v>46286</v>
      </c>
      <c r="D290" s="89" t="str">
        <f aca="false">IF($B290="","",INDEX(Schedule!$D$4:$D$483,MATCH(6001,Schedule!$K$4:$K$483,0)))</f>
        <v>Expense</v>
      </c>
      <c r="E290" s="90" t="n">
        <f aca="false">IF($B290="","",INDEX(Schedule!$E$4:$E$483,MATCH(6001,Schedule!$K$4:$K$483,0)))</f>
        <v>171.1</v>
      </c>
      <c r="F290" s="91"/>
      <c r="G290" s="92" t="str">
        <f aca="false">IF($B290="","",IF($D290="Income",IF($F290&lt;&gt;"",$F290,IF(COUNTIFS('Paid Log'!$B$9:$B$308,$C290,'Paid Log'!$C$9:$C$308,$B290)&gt;0,SUMIFS('Paid Log'!$D$9:$D$308,'Paid Log'!$B$9:$B$308,$C290,'Paid Log'!$C$9:$C$308,$B290),$E290)),""))</f>
        <v/>
      </c>
      <c r="H290" s="93" t="n">
        <f aca="false">IF($B290="","",IF($D290="Income","",IF($F290&lt;&gt;"",$F290,IF(COUNTIFS('Paid Log'!$B$9:$B$308,$C290,'Paid Log'!$C$9:$C$308,$B290)&gt;0,SUMIFS('Paid Log'!$D$9:$D$308,'Paid Log'!$B$9:$B$308,$C290,'Paid Log'!$C$9:$C$308,$B290),$E290))))</f>
        <v>171.1</v>
      </c>
      <c r="I290" s="94" t="n">
        <f aca="false">IF($B290="","",$I$288+SUMIFS($G$290:$G$340,$M$290:$M$340,"&lt;="&amp;$M290)-SUMIFS($H$290:$H$340,$M$290:$M$340,"&lt;="&amp;$M290))</f>
        <v>-13.2799999999998</v>
      </c>
      <c r="J290" s="95" t="str">
        <f aca="true">IF($B290="","",IF(OR($F290&lt;&gt;"",COUNTIFS('Paid Log'!$B$9:$B$308,$C290,'Paid Log'!$C$9:$C$308,$B290)&gt;0),IF($C290&gt;TODAY(),"ADJUSTED","PAID"),IF($C290&lt;TODAY(),"PAST DUE",IF($C290&lt;=TODAY()+7,"DUE","Upcoming"))))</f>
        <v>Upcoming</v>
      </c>
      <c r="K290" s="96" t="str">
        <f aca="false">IF($B290="","",IF(OR($F290&lt;&gt;"",COUNTIFS('Paid Log'!$B$9:$B$308,$C290,'Paid Log'!$C$9:$C$308,$B290)&gt;0),"ACTUAL","FORECAST"))</f>
        <v>FORECAST</v>
      </c>
      <c r="L290" s="97" t="n">
        <f aca="false">IF($B290="","",$C290)</f>
        <v>46286</v>
      </c>
      <c r="M290" s="0" t="n">
        <f aca="false">IF($L290="","",COUNTIFS($L$290:$L$340,"&lt;"&amp;$L290)+COUNTIFS($L$290:$L290,$L290))</f>
        <v>1</v>
      </c>
    </row>
    <row r="291" customFormat="false" ht="15" hidden="false" customHeight="true" outlineLevel="0" collapsed="false">
      <c r="B291" s="7" t="str">
        <f aca="false">IFERROR(INDEX(Schedule!$C$4:$C$483,MATCH(6002,Schedule!$K$4:$K$483,0)),"")</f>
        <v>Microsoft</v>
      </c>
      <c r="C291" s="88" t="n">
        <f aca="false">IF($B291="","",INDEX(Schedule!$G$4:$G$483,MATCH(6002,Schedule!$K$4:$K$483,0)))</f>
        <v>46287</v>
      </c>
      <c r="D291" s="89" t="str">
        <f aca="false">IF($B291="","",INDEX(Schedule!$D$4:$D$483,MATCH(6002,Schedule!$K$4:$K$483,0)))</f>
        <v>Expense</v>
      </c>
      <c r="E291" s="90" t="n">
        <f aca="false">IF($B291="","",INDEX(Schedule!$E$4:$E$483,MATCH(6002,Schedule!$K$4:$K$483,0)))</f>
        <v>13.7</v>
      </c>
      <c r="F291" s="91"/>
      <c r="G291" s="92" t="str">
        <f aca="false">IF($B291="","",IF($D291="Income",IF($F291&lt;&gt;"",$F291,IF(COUNTIFS('Paid Log'!$B$9:$B$308,$C291,'Paid Log'!$C$9:$C$308,$B291)&gt;0,SUMIFS('Paid Log'!$D$9:$D$308,'Paid Log'!$B$9:$B$308,$C291,'Paid Log'!$C$9:$C$308,$B291),$E291)),""))</f>
        <v/>
      </c>
      <c r="H291" s="93" t="n">
        <f aca="false">IF($B291="","",IF($D291="Income","",IF($F291&lt;&gt;"",$F291,IF(COUNTIFS('Paid Log'!$B$9:$B$308,$C291,'Paid Log'!$C$9:$C$308,$B291)&gt;0,SUMIFS('Paid Log'!$D$9:$D$308,'Paid Log'!$B$9:$B$308,$C291,'Paid Log'!$C$9:$C$308,$B291),$E291))))</f>
        <v>13.7</v>
      </c>
      <c r="I291" s="94" t="n">
        <f aca="false">IF($B291="","",$I$288+SUMIFS($G$290:$G$340,$M$290:$M$340,"&lt;="&amp;$M291)-SUMIFS($H$290:$H$340,$M$290:$M$340,"&lt;="&amp;$M291))</f>
        <v>-26.9799999999998</v>
      </c>
      <c r="J291" s="95" t="str">
        <f aca="true">IF($B291="","",IF(OR($F291&lt;&gt;"",COUNTIFS('Paid Log'!$B$9:$B$308,$C291,'Paid Log'!$C$9:$C$308,$B291)&gt;0),IF($C291&gt;TODAY(),"ADJUSTED","PAID"),IF($C291&lt;TODAY(),"PAST DUE",IF($C291&lt;=TODAY()+7,"DUE","Upcoming"))))</f>
        <v>Upcoming</v>
      </c>
      <c r="K291" s="96" t="str">
        <f aca="false">IF($B291="","",IF(OR($F291&lt;&gt;"",COUNTIFS('Paid Log'!$B$9:$B$308,$C291,'Paid Log'!$C$9:$C$308,$B291)&gt;0),"ACTUAL","FORECAST"))</f>
        <v>FORECAST</v>
      </c>
      <c r="L291" s="97" t="n">
        <f aca="false">IF($B291="","",$C291)</f>
        <v>46287</v>
      </c>
      <c r="M291" s="0" t="n">
        <f aca="false">IF($L291="","",COUNTIFS($L$290:$L$340,"&lt;"&amp;$L291)+COUNTIFS($L$290:$L291,$L291))</f>
        <v>2</v>
      </c>
    </row>
    <row r="292" customFormat="false" ht="15" hidden="false" customHeight="true" outlineLevel="0" collapsed="false">
      <c r="B292" s="7" t="str">
        <f aca="false">IFERROR(INDEX(Schedule!$C$4:$C$483,MATCH(6003,Schedule!$K$4:$K$483,0)),"")</f>
        <v>Bruno's Restaurant (paycheck)</v>
      </c>
      <c r="C292" s="88" t="n">
        <f aca="false">IF($B292="","",INDEX(Schedule!$G$4:$G$483,MATCH(6003,Schedule!$K$4:$K$483,0)))</f>
        <v>46288</v>
      </c>
      <c r="D292" s="89" t="str">
        <f aca="false">IF($B292="","",INDEX(Schedule!$D$4:$D$483,MATCH(6003,Schedule!$K$4:$K$483,0)))</f>
        <v>Income</v>
      </c>
      <c r="E292" s="90" t="n">
        <f aca="false">IF($B292="","",INDEX(Schedule!$E$4:$E$483,MATCH(6003,Schedule!$K$4:$K$483,0)))</f>
        <v>90</v>
      </c>
      <c r="F292" s="91"/>
      <c r="G292" s="92" t="n">
        <f aca="false">IF($B292="","",IF($D292="Income",IF($F292&lt;&gt;"",$F292,IF(COUNTIFS('Paid Log'!$B$9:$B$308,$C292,'Paid Log'!$C$9:$C$308,$B292)&gt;0,SUMIFS('Paid Log'!$D$9:$D$308,'Paid Log'!$B$9:$B$308,$C292,'Paid Log'!$C$9:$C$308,$B292),$E292)),""))</f>
        <v>90</v>
      </c>
      <c r="H292" s="93" t="str">
        <f aca="false">IF($B292="","",IF($D292="Income","",IF($F292&lt;&gt;"",$F292,IF(COUNTIFS('Paid Log'!$B$9:$B$308,$C292,'Paid Log'!$C$9:$C$308,$B292)&gt;0,SUMIFS('Paid Log'!$D$9:$D$308,'Paid Log'!$B$9:$B$308,$C292,'Paid Log'!$C$9:$C$308,$B292),$E292))))</f>
        <v/>
      </c>
      <c r="I292" s="94" t="n">
        <f aca="false">IF($B292="","",$I$288+SUMIFS($G$290:$G$340,$M$290:$M$340,"&lt;="&amp;$M292)-SUMIFS($H$290:$H$340,$M$290:$M$340,"&lt;="&amp;$M292))</f>
        <v>63.0200000000002</v>
      </c>
      <c r="J292" s="95" t="str">
        <f aca="true">IF($B292="","",IF(OR($F292&lt;&gt;"",COUNTIFS('Paid Log'!$B$9:$B$308,$C292,'Paid Log'!$C$9:$C$308,$B292)&gt;0),IF($C292&gt;TODAY(),"ADJUSTED","PAID"),IF($C292&lt;TODAY(),"PAST DUE",IF($C292&lt;=TODAY()+7,"DUE","Upcoming"))))</f>
        <v>Upcoming</v>
      </c>
      <c r="K292" s="96" t="str">
        <f aca="false">IF($B292="","",IF(OR($F292&lt;&gt;"",COUNTIFS('Paid Log'!$B$9:$B$308,$C292,'Paid Log'!$C$9:$C$308,$B292)&gt;0),"ACTUAL","FORECAST"))</f>
        <v>FORECAST</v>
      </c>
      <c r="L292" s="97" t="n">
        <f aca="false">IF($B292="","",$C292)</f>
        <v>46288</v>
      </c>
      <c r="M292" s="0" t="n">
        <f aca="false">IF($L292="","",COUNTIFS($L$290:$L$340,"&lt;"&amp;$L292)+COUNTIFS($L$290:$L292,$L292))</f>
        <v>3</v>
      </c>
    </row>
    <row r="293" customFormat="false" ht="15" hidden="false" customHeight="true" outlineLevel="0" collapsed="false">
      <c r="B293" s="7" t="str">
        <f aca="false">IFERROR(INDEX(Schedule!$C$4:$C$483,MATCH(6004,Schedule!$K$4:$K$483,0)),"")</f>
        <v>Compunnel Software (paycheck)</v>
      </c>
      <c r="C293" s="88" t="n">
        <f aca="false">IF($B293="","",INDEX(Schedule!$G$4:$G$483,MATCH(6004,Schedule!$K$4:$K$483,0)))</f>
        <v>46290</v>
      </c>
      <c r="D293" s="89" t="str">
        <f aca="false">IF($B293="","",INDEX(Schedule!$D$4:$D$483,MATCH(6004,Schedule!$K$4:$K$483,0)))</f>
        <v>Income</v>
      </c>
      <c r="E293" s="90" t="n">
        <f aca="false">IF($B293="","",INDEX(Schedule!$E$4:$E$483,MATCH(6004,Schedule!$K$4:$K$483,0)))</f>
        <v>745</v>
      </c>
      <c r="F293" s="91"/>
      <c r="G293" s="92" t="n">
        <f aca="false">IF($B293="","",IF($D293="Income",IF($F293&lt;&gt;"",$F293,IF(COUNTIFS('Paid Log'!$B$9:$B$308,$C293,'Paid Log'!$C$9:$C$308,$B293)&gt;0,SUMIFS('Paid Log'!$D$9:$D$308,'Paid Log'!$B$9:$B$308,$C293,'Paid Log'!$C$9:$C$308,$B293),$E293)),""))</f>
        <v>745</v>
      </c>
      <c r="H293" s="93" t="str">
        <f aca="false">IF($B293="","",IF($D293="Income","",IF($F293&lt;&gt;"",$F293,IF(COUNTIFS('Paid Log'!$B$9:$B$308,$C293,'Paid Log'!$C$9:$C$308,$B293)&gt;0,SUMIFS('Paid Log'!$D$9:$D$308,'Paid Log'!$B$9:$B$308,$C293,'Paid Log'!$C$9:$C$308,$B293),$E293))))</f>
        <v/>
      </c>
      <c r="I293" s="94" t="n">
        <f aca="false">IF($B293="","",$I$288+SUMIFS($G$290:$G$340,$M$290:$M$340,"&lt;="&amp;$M293)-SUMIFS($H$290:$H$340,$M$290:$M$340,"&lt;="&amp;$M293))</f>
        <v>808.02</v>
      </c>
      <c r="J293" s="95" t="str">
        <f aca="true">IF($B293="","",IF(OR($F293&lt;&gt;"",COUNTIFS('Paid Log'!$B$9:$B$308,$C293,'Paid Log'!$C$9:$C$308,$B293)&gt;0),IF($C293&gt;TODAY(),"ADJUSTED","PAID"),IF($C293&lt;TODAY(),"PAST DUE",IF($C293&lt;=TODAY()+7,"DUE","Upcoming"))))</f>
        <v>Upcoming</v>
      </c>
      <c r="K293" s="96" t="str">
        <f aca="false">IF($B293="","",IF(OR($F293&lt;&gt;"",COUNTIFS('Paid Log'!$B$9:$B$308,$C293,'Paid Log'!$C$9:$C$308,$B293)&gt;0),"ACTUAL","FORECAST"))</f>
        <v>FORECAST</v>
      </c>
      <c r="L293" s="97" t="n">
        <f aca="false">IF($B293="","",$C293)</f>
        <v>46290</v>
      </c>
      <c r="M293" s="0" t="n">
        <f aca="false">IF($L293="","",COUNTIFS($L$290:$L$340,"&lt;"&amp;$L293)+COUNTIFS($L$290:$L293,$L293))</f>
        <v>4</v>
      </c>
    </row>
    <row r="294" customFormat="false" ht="15" hidden="false" customHeight="true" outlineLevel="0" collapsed="false">
      <c r="B294" s="7" t="str">
        <f aca="false">IFERROR(INDEX(Schedule!$C$4:$C$483,MATCH(6005,Schedule!$K$4:$K$483,0)),"")</f>
        <v/>
      </c>
      <c r="C294" s="88" t="str">
        <f aca="false">IF($B294="","",INDEX(Schedule!$G$4:$G$483,MATCH(6005,Schedule!$K$4:$K$483,0)))</f>
        <v/>
      </c>
      <c r="D294" s="89" t="str">
        <f aca="false">IF($B294="","",INDEX(Schedule!$D$4:$D$483,MATCH(6005,Schedule!$K$4:$K$483,0)))</f>
        <v/>
      </c>
      <c r="E294" s="90" t="str">
        <f aca="false">IF($B294="","",INDEX(Schedule!$E$4:$E$483,MATCH(6005,Schedule!$K$4:$K$483,0)))</f>
        <v/>
      </c>
      <c r="F294" s="91"/>
      <c r="G294" s="92" t="str">
        <f aca="false">IF($B294="","",IF($D294="Income",IF($F294&lt;&gt;"",$F294,IF(COUNTIFS('Paid Log'!$B$9:$B$308,$C294,'Paid Log'!$C$9:$C$308,$B294)&gt;0,SUMIFS('Paid Log'!$D$9:$D$308,'Paid Log'!$B$9:$B$308,$C294,'Paid Log'!$C$9:$C$308,$B294),$E294)),""))</f>
        <v/>
      </c>
      <c r="H294" s="93" t="str">
        <f aca="false">IF($B294="","",IF($D294="Income","",IF($F294&lt;&gt;"",$F294,IF(COUNTIFS('Paid Log'!$B$9:$B$308,$C294,'Paid Log'!$C$9:$C$308,$B294)&gt;0,SUMIFS('Paid Log'!$D$9:$D$308,'Paid Log'!$B$9:$B$308,$C294,'Paid Log'!$C$9:$C$308,$B294),$E294))))</f>
        <v/>
      </c>
      <c r="I294" s="94" t="str">
        <f aca="false">IF($B294="","",$I$288+SUMIFS($G$290:$G$340,$M$290:$M$340,"&lt;="&amp;$M294)-SUMIFS($H$290:$H$340,$M$290:$M$340,"&lt;="&amp;$M294))</f>
        <v/>
      </c>
      <c r="J294" s="95" t="str">
        <f aca="true">IF($B294="","",IF(OR($F294&lt;&gt;"",COUNTIFS('Paid Log'!$B$9:$B$308,$C294,'Paid Log'!$C$9:$C$308,$B294)&gt;0),IF($C294&gt;TODAY(),"ADJUSTED","PAID"),IF($C294&lt;TODAY(),"PAST DUE",IF($C294&lt;=TODAY()+7,"DUE","Upcoming"))))</f>
        <v/>
      </c>
      <c r="K294" s="96" t="str">
        <f aca="false">IF($B294="","",IF(OR($F294&lt;&gt;"",COUNTIFS('Paid Log'!$B$9:$B$308,$C294,'Paid Log'!$C$9:$C$308,$B294)&gt;0),"ACTUAL","FORECAST"))</f>
        <v/>
      </c>
      <c r="L294" s="97" t="str">
        <f aca="false">IF($B294="","",$C294)</f>
        <v/>
      </c>
      <c r="M294" s="0" t="str">
        <f aca="false">IF($L294="","",COUNTIFS($L$290:$L$340,"&lt;"&amp;$L294)+COUNTIFS($L$290:$L294,$L294))</f>
        <v/>
      </c>
    </row>
    <row r="295" customFormat="false" ht="15" hidden="false" customHeight="true" outlineLevel="0" collapsed="false">
      <c r="B295" s="7" t="str">
        <f aca="false">IFERROR(INDEX(Schedule!$C$4:$C$483,MATCH(6006,Schedule!$K$4:$K$483,0)),"")</f>
        <v/>
      </c>
      <c r="C295" s="88" t="str">
        <f aca="false">IF($B295="","",INDEX(Schedule!$G$4:$G$483,MATCH(6006,Schedule!$K$4:$K$483,0)))</f>
        <v/>
      </c>
      <c r="D295" s="89" t="str">
        <f aca="false">IF($B295="","",INDEX(Schedule!$D$4:$D$483,MATCH(6006,Schedule!$K$4:$K$483,0)))</f>
        <v/>
      </c>
      <c r="E295" s="90" t="str">
        <f aca="false">IF($B295="","",INDEX(Schedule!$E$4:$E$483,MATCH(6006,Schedule!$K$4:$K$483,0)))</f>
        <v/>
      </c>
      <c r="F295" s="91"/>
      <c r="G295" s="92" t="str">
        <f aca="false">IF($B295="","",IF($D295="Income",IF($F295&lt;&gt;"",$F295,IF(COUNTIFS('Paid Log'!$B$9:$B$308,$C295,'Paid Log'!$C$9:$C$308,$B295)&gt;0,SUMIFS('Paid Log'!$D$9:$D$308,'Paid Log'!$B$9:$B$308,$C295,'Paid Log'!$C$9:$C$308,$B295),$E295)),""))</f>
        <v/>
      </c>
      <c r="H295" s="93" t="str">
        <f aca="false">IF($B295="","",IF($D295="Income","",IF($F295&lt;&gt;"",$F295,IF(COUNTIFS('Paid Log'!$B$9:$B$308,$C295,'Paid Log'!$C$9:$C$308,$B295)&gt;0,SUMIFS('Paid Log'!$D$9:$D$308,'Paid Log'!$B$9:$B$308,$C295,'Paid Log'!$C$9:$C$308,$B295),$E295))))</f>
        <v/>
      </c>
      <c r="I295" s="94" t="str">
        <f aca="false">IF($B295="","",$I$288+SUMIFS($G$290:$G$340,$M$290:$M$340,"&lt;="&amp;$M295)-SUMIFS($H$290:$H$340,$M$290:$M$340,"&lt;="&amp;$M295))</f>
        <v/>
      </c>
      <c r="J295" s="95" t="str">
        <f aca="true">IF($B295="","",IF(OR($F295&lt;&gt;"",COUNTIFS('Paid Log'!$B$9:$B$308,$C295,'Paid Log'!$C$9:$C$308,$B295)&gt;0),IF($C295&gt;TODAY(),"ADJUSTED","PAID"),IF($C295&lt;TODAY(),"PAST DUE",IF($C295&lt;=TODAY()+7,"DUE","Upcoming"))))</f>
        <v/>
      </c>
      <c r="K295" s="96" t="str">
        <f aca="false">IF($B295="","",IF(OR($F295&lt;&gt;"",COUNTIFS('Paid Log'!$B$9:$B$308,$C295,'Paid Log'!$C$9:$C$308,$B295)&gt;0),"ACTUAL","FORECAST"))</f>
        <v/>
      </c>
      <c r="L295" s="0" t="str">
        <f aca="false">IF($B295="","",$C295)</f>
        <v/>
      </c>
      <c r="M295" s="0" t="str">
        <f aca="false">IF($L295="","",COUNTIFS($L$290:$L$340,"&lt;"&amp;$L295)+COUNTIFS($L$290:$L295,$L295))</f>
        <v/>
      </c>
    </row>
    <row r="296" customFormat="false" ht="15" hidden="false" customHeight="true" outlineLevel="0" collapsed="false">
      <c r="B296" s="7" t="str">
        <f aca="false">IFERROR(INDEX(Schedule!$C$4:$C$483,MATCH(6007,Schedule!$K$4:$K$483,0)),"")</f>
        <v/>
      </c>
      <c r="C296" s="88" t="str">
        <f aca="false">IF($B296="","",INDEX(Schedule!$G$4:$G$483,MATCH(6007,Schedule!$K$4:$K$483,0)))</f>
        <v/>
      </c>
      <c r="D296" s="89" t="str">
        <f aca="false">IF($B296="","",INDEX(Schedule!$D$4:$D$483,MATCH(6007,Schedule!$K$4:$K$483,0)))</f>
        <v/>
      </c>
      <c r="E296" s="90" t="str">
        <f aca="false">IF($B296="","",INDEX(Schedule!$E$4:$E$483,MATCH(6007,Schedule!$K$4:$K$483,0)))</f>
        <v/>
      </c>
      <c r="F296" s="91"/>
      <c r="G296" s="92" t="str">
        <f aca="false">IF($B296="","",IF($D296="Income",IF($F296&lt;&gt;"",$F296,IF(COUNTIFS('Paid Log'!$B$9:$B$308,$C296,'Paid Log'!$C$9:$C$308,$B296)&gt;0,SUMIFS('Paid Log'!$D$9:$D$308,'Paid Log'!$B$9:$B$308,$C296,'Paid Log'!$C$9:$C$308,$B296),$E296)),""))</f>
        <v/>
      </c>
      <c r="H296" s="93" t="str">
        <f aca="false">IF($B296="","",IF($D296="Income","",IF($F296&lt;&gt;"",$F296,IF(COUNTIFS('Paid Log'!$B$9:$B$308,$C296,'Paid Log'!$C$9:$C$308,$B296)&gt;0,SUMIFS('Paid Log'!$D$9:$D$308,'Paid Log'!$B$9:$B$308,$C296,'Paid Log'!$C$9:$C$308,$B296),$E296))))</f>
        <v/>
      </c>
      <c r="I296" s="94" t="str">
        <f aca="false">IF($B296="","",$I$288+SUMIFS($G$290:$G$340,$M$290:$M$340,"&lt;="&amp;$M296)-SUMIFS($H$290:$H$340,$M$290:$M$340,"&lt;="&amp;$M296))</f>
        <v/>
      </c>
      <c r="J296" s="95" t="str">
        <f aca="true">IF($B296="","",IF(OR($F296&lt;&gt;"",COUNTIFS('Paid Log'!$B$9:$B$308,$C296,'Paid Log'!$C$9:$C$308,$B296)&gt;0),IF($C296&gt;TODAY(),"ADJUSTED","PAID"),IF($C296&lt;TODAY(),"PAST DUE",IF($C296&lt;=TODAY()+7,"DUE","Upcoming"))))</f>
        <v/>
      </c>
      <c r="K296" s="96" t="str">
        <f aca="false">IF($B296="","",IF(OR($F296&lt;&gt;"",COUNTIFS('Paid Log'!$B$9:$B$308,$C296,'Paid Log'!$C$9:$C$308,$B296)&gt;0),"ACTUAL","FORECAST"))</f>
        <v/>
      </c>
      <c r="L296" s="0" t="str">
        <f aca="false">IF($B296="","",$C296)</f>
        <v/>
      </c>
      <c r="M296" s="0" t="str">
        <f aca="false">IF($L296="","",COUNTIFS($L$290:$L$340,"&lt;"&amp;$L296)+COUNTIFS($L$290:$L296,$L296))</f>
        <v/>
      </c>
    </row>
    <row r="297" customFormat="false" ht="15" hidden="false" customHeight="true" outlineLevel="0" collapsed="false">
      <c r="B297" s="7" t="str">
        <f aca="false">IFERROR(INDEX(Schedule!$C$4:$C$483,MATCH(6008,Schedule!$K$4:$K$483,0)),"")</f>
        <v/>
      </c>
      <c r="C297" s="88" t="str">
        <f aca="false">IF($B297="","",INDEX(Schedule!$G$4:$G$483,MATCH(6008,Schedule!$K$4:$K$483,0)))</f>
        <v/>
      </c>
      <c r="D297" s="89" t="str">
        <f aca="false">IF($B297="","",INDEX(Schedule!$D$4:$D$483,MATCH(6008,Schedule!$K$4:$K$483,0)))</f>
        <v/>
      </c>
      <c r="E297" s="90" t="str">
        <f aca="false">IF($B297="","",INDEX(Schedule!$E$4:$E$483,MATCH(6008,Schedule!$K$4:$K$483,0)))</f>
        <v/>
      </c>
      <c r="F297" s="91"/>
      <c r="G297" s="92" t="str">
        <f aca="false">IF($B297="","",IF($D297="Income",IF($F297&lt;&gt;"",$F297,IF(COUNTIFS('Paid Log'!$B$9:$B$308,$C297,'Paid Log'!$C$9:$C$308,$B297)&gt;0,SUMIFS('Paid Log'!$D$9:$D$308,'Paid Log'!$B$9:$B$308,$C297,'Paid Log'!$C$9:$C$308,$B297),$E297)),""))</f>
        <v/>
      </c>
      <c r="H297" s="93" t="str">
        <f aca="false">IF($B297="","",IF($D297="Income","",IF($F297&lt;&gt;"",$F297,IF(COUNTIFS('Paid Log'!$B$9:$B$308,$C297,'Paid Log'!$C$9:$C$308,$B297)&gt;0,SUMIFS('Paid Log'!$D$9:$D$308,'Paid Log'!$B$9:$B$308,$C297,'Paid Log'!$C$9:$C$308,$B297),$E297))))</f>
        <v/>
      </c>
      <c r="I297" s="94" t="str">
        <f aca="false">IF($B297="","",$I$288+SUMIFS($G$290:$G$340,$M$290:$M$340,"&lt;="&amp;$M297)-SUMIFS($H$290:$H$340,$M$290:$M$340,"&lt;="&amp;$M297))</f>
        <v/>
      </c>
      <c r="J297" s="95" t="str">
        <f aca="true">IF($B297="","",IF(OR($F297&lt;&gt;"",COUNTIFS('Paid Log'!$B$9:$B$308,$C297,'Paid Log'!$C$9:$C$308,$B297)&gt;0),IF($C297&gt;TODAY(),"ADJUSTED","PAID"),IF($C297&lt;TODAY(),"PAST DUE",IF($C297&lt;=TODAY()+7,"DUE","Upcoming"))))</f>
        <v/>
      </c>
      <c r="K297" s="96" t="str">
        <f aca="false">IF($B297="","",IF(OR($F297&lt;&gt;"",COUNTIFS('Paid Log'!$B$9:$B$308,$C297,'Paid Log'!$C$9:$C$308,$B297)&gt;0),"ACTUAL","FORECAST"))</f>
        <v/>
      </c>
      <c r="L297" s="0" t="str">
        <f aca="false">IF($B297="","",$C297)</f>
        <v/>
      </c>
      <c r="M297" s="0" t="str">
        <f aca="false">IF($L297="","",COUNTIFS($L$290:$L$340,"&lt;"&amp;$L297)+COUNTIFS($L$290:$L297,$L297))</f>
        <v/>
      </c>
    </row>
    <row r="298" customFormat="false" ht="15" hidden="false" customHeight="true" outlineLevel="0" collapsed="false">
      <c r="B298" s="7" t="str">
        <f aca="false">IFERROR(INDEX(Schedule!$C$4:$C$483,MATCH(6009,Schedule!$K$4:$K$483,0)),"")</f>
        <v/>
      </c>
      <c r="C298" s="88" t="str">
        <f aca="false">IF($B298="","",INDEX(Schedule!$G$4:$G$483,MATCH(6009,Schedule!$K$4:$K$483,0)))</f>
        <v/>
      </c>
      <c r="D298" s="89" t="str">
        <f aca="false">IF($B298="","",INDEX(Schedule!$D$4:$D$483,MATCH(6009,Schedule!$K$4:$K$483,0)))</f>
        <v/>
      </c>
      <c r="E298" s="90" t="str">
        <f aca="false">IF($B298="","",INDEX(Schedule!$E$4:$E$483,MATCH(6009,Schedule!$K$4:$K$483,0)))</f>
        <v/>
      </c>
      <c r="F298" s="91"/>
      <c r="G298" s="92" t="str">
        <f aca="false">IF($B298="","",IF($D298="Income",IF($F298&lt;&gt;"",$F298,IF(COUNTIFS('Paid Log'!$B$9:$B$308,$C298,'Paid Log'!$C$9:$C$308,$B298)&gt;0,SUMIFS('Paid Log'!$D$9:$D$308,'Paid Log'!$B$9:$B$308,$C298,'Paid Log'!$C$9:$C$308,$B298),$E298)),""))</f>
        <v/>
      </c>
      <c r="H298" s="93" t="str">
        <f aca="false">IF($B298="","",IF($D298="Income","",IF($F298&lt;&gt;"",$F298,IF(COUNTIFS('Paid Log'!$B$9:$B$308,$C298,'Paid Log'!$C$9:$C$308,$B298)&gt;0,SUMIFS('Paid Log'!$D$9:$D$308,'Paid Log'!$B$9:$B$308,$C298,'Paid Log'!$C$9:$C$308,$B298),$E298))))</f>
        <v/>
      </c>
      <c r="I298" s="94" t="str">
        <f aca="false">IF($B298="","",$I$288+SUMIFS($G$290:$G$340,$M$290:$M$340,"&lt;="&amp;$M298)-SUMIFS($H$290:$H$340,$M$290:$M$340,"&lt;="&amp;$M298))</f>
        <v/>
      </c>
      <c r="J298" s="95" t="str">
        <f aca="true">IF($B298="","",IF(OR($F298&lt;&gt;"",COUNTIFS('Paid Log'!$B$9:$B$308,$C298,'Paid Log'!$C$9:$C$308,$B298)&gt;0),IF($C298&gt;TODAY(),"ADJUSTED","PAID"),IF($C298&lt;TODAY(),"PAST DUE",IF($C298&lt;=TODAY()+7,"DUE","Upcoming"))))</f>
        <v/>
      </c>
      <c r="K298" s="96" t="str">
        <f aca="false">IF($B298="","",IF(OR($F298&lt;&gt;"",COUNTIFS('Paid Log'!$B$9:$B$308,$C298,'Paid Log'!$C$9:$C$308,$B298)&gt;0),"ACTUAL","FORECAST"))</f>
        <v/>
      </c>
      <c r="L298" s="0" t="str">
        <f aca="false">IF($B298="","",$C298)</f>
        <v/>
      </c>
      <c r="M298" s="0" t="str">
        <f aca="false">IF($L298="","",COUNTIFS($L$290:$L$340,"&lt;"&amp;$L298)+COUNTIFS($L$290:$L298,$L298))</f>
        <v/>
      </c>
    </row>
    <row r="299" customFormat="false" ht="15" hidden="false" customHeight="true" outlineLevel="0" collapsed="false">
      <c r="B299" s="7" t="str">
        <f aca="false">IFERROR(INDEX(Schedule!$C$4:$C$483,MATCH(6010,Schedule!$K$4:$K$483,0)),"")</f>
        <v/>
      </c>
      <c r="C299" s="88" t="str">
        <f aca="false">IF($B299="","",INDEX(Schedule!$G$4:$G$483,MATCH(6010,Schedule!$K$4:$K$483,0)))</f>
        <v/>
      </c>
      <c r="D299" s="89" t="str">
        <f aca="false">IF($B299="","",INDEX(Schedule!$D$4:$D$483,MATCH(6010,Schedule!$K$4:$K$483,0)))</f>
        <v/>
      </c>
      <c r="E299" s="90" t="str">
        <f aca="false">IF($B299="","",INDEX(Schedule!$E$4:$E$483,MATCH(6010,Schedule!$K$4:$K$483,0)))</f>
        <v/>
      </c>
      <c r="F299" s="91"/>
      <c r="G299" s="92" t="str">
        <f aca="false">IF($B299="","",IF($D299="Income",IF($F299&lt;&gt;"",$F299,IF(COUNTIFS('Paid Log'!$B$9:$B$308,$C299,'Paid Log'!$C$9:$C$308,$B299)&gt;0,SUMIFS('Paid Log'!$D$9:$D$308,'Paid Log'!$B$9:$B$308,$C299,'Paid Log'!$C$9:$C$308,$B299),$E299)),""))</f>
        <v/>
      </c>
      <c r="H299" s="93" t="str">
        <f aca="false">IF($B299="","",IF($D299="Income","",IF($F299&lt;&gt;"",$F299,IF(COUNTIFS('Paid Log'!$B$9:$B$308,$C299,'Paid Log'!$C$9:$C$308,$B299)&gt;0,SUMIFS('Paid Log'!$D$9:$D$308,'Paid Log'!$B$9:$B$308,$C299,'Paid Log'!$C$9:$C$308,$B299),$E299))))</f>
        <v/>
      </c>
      <c r="I299" s="94" t="str">
        <f aca="false">IF($B299="","",$I$288+SUMIFS($G$290:$G$340,$M$290:$M$340,"&lt;="&amp;$M299)-SUMIFS($H$290:$H$340,$M$290:$M$340,"&lt;="&amp;$M299))</f>
        <v/>
      </c>
      <c r="J299" s="95" t="str">
        <f aca="true">IF($B299="","",IF(OR($F299&lt;&gt;"",COUNTIFS('Paid Log'!$B$9:$B$308,$C299,'Paid Log'!$C$9:$C$308,$B299)&gt;0),IF($C299&gt;TODAY(),"ADJUSTED","PAID"),IF($C299&lt;TODAY(),"PAST DUE",IF($C299&lt;=TODAY()+7,"DUE","Upcoming"))))</f>
        <v/>
      </c>
      <c r="K299" s="96" t="str">
        <f aca="false">IF($B299="","",IF(OR($F299&lt;&gt;"",COUNTIFS('Paid Log'!$B$9:$B$308,$C299,'Paid Log'!$C$9:$C$308,$B299)&gt;0),"ACTUAL","FORECAST"))</f>
        <v/>
      </c>
      <c r="L299" s="0" t="str">
        <f aca="false">IF($B299="","",$C299)</f>
        <v/>
      </c>
      <c r="M299" s="0" t="str">
        <f aca="false">IF($L299="","",COUNTIFS($L$290:$L$340,"&lt;"&amp;$L299)+COUNTIFS($L$290:$L299,$L299))</f>
        <v/>
      </c>
    </row>
    <row r="300" customFormat="false" ht="15" hidden="false" customHeight="true" outlineLevel="0" collapsed="false">
      <c r="B300" s="98" t="s">
        <v>148</v>
      </c>
      <c r="C300" s="99"/>
      <c r="D300" s="99"/>
      <c r="E300" s="99"/>
      <c r="F300" s="99"/>
      <c r="G300" s="99"/>
      <c r="H300" s="99"/>
      <c r="I300" s="99"/>
      <c r="J300" s="99"/>
    </row>
    <row r="301" customFormat="false" ht="15" hidden="false" customHeight="true" outlineLevel="0" collapsed="false">
      <c r="B301" s="12"/>
      <c r="C301" s="100"/>
      <c r="D301" s="101" t="str">
        <f aca="false">IF($B301="","","Expense")</f>
        <v/>
      </c>
      <c r="E301" s="14"/>
      <c r="F301" s="102"/>
      <c r="G301" s="102"/>
      <c r="H301" s="103" t="str">
        <f aca="false">IF($B301="","",N($E301))</f>
        <v/>
      </c>
      <c r="I301" s="104" t="str">
        <f aca="false">IF($B301="","",$I$288+SUMIFS($G$290:$G$340,$M$290:$M$340,"&lt;="&amp;$M301)-SUMIFS($H$290:$H$340,$M$290:$M$340,"&lt;="&amp;$M301))</f>
        <v/>
      </c>
      <c r="J301" s="102"/>
      <c r="K301" s="96" t="str">
        <f aca="false">IF($B301="","","ACTUAL")</f>
        <v/>
      </c>
      <c r="L301" s="0" t="str">
        <f aca="false">IF($B301="","",IF($C301="",$E$6+41,$C301))</f>
        <v/>
      </c>
      <c r="M301" s="0" t="str">
        <f aca="false">IF($L301="","",COUNTIFS($L$290:$L$340,"&lt;"&amp;$L301)+COUNTIFS($L$290:$L301,$L301))</f>
        <v/>
      </c>
    </row>
    <row r="302" customFormat="false" ht="15" hidden="false" customHeight="true" outlineLevel="0" collapsed="false">
      <c r="B302" s="12"/>
      <c r="C302" s="100"/>
      <c r="D302" s="101" t="str">
        <f aca="false">IF($B302="","","Expense")</f>
        <v/>
      </c>
      <c r="E302" s="14"/>
      <c r="F302" s="102"/>
      <c r="G302" s="102"/>
      <c r="H302" s="103" t="str">
        <f aca="false">IF($B302="","",N($E302))</f>
        <v/>
      </c>
      <c r="I302" s="104" t="str">
        <f aca="false">IF($B302="","",$I$288+SUMIFS($G$290:$G$340,$M$290:$M$340,"&lt;="&amp;$M302)-SUMIFS($H$290:$H$340,$M$290:$M$340,"&lt;="&amp;$M302))</f>
        <v/>
      </c>
      <c r="J302" s="102"/>
      <c r="K302" s="96" t="str">
        <f aca="false">IF($B302="","","ACTUAL")</f>
        <v/>
      </c>
      <c r="L302" s="0" t="str">
        <f aca="false">IF($B302="","",IF($C302="",$E$6+41,$C302))</f>
        <v/>
      </c>
      <c r="M302" s="0" t="str">
        <f aca="false">IF($L302="","",COUNTIFS($L$290:$L$340,"&lt;"&amp;$L302)+COUNTIFS($L$290:$L302,$L302))</f>
        <v/>
      </c>
    </row>
    <row r="303" customFormat="false" ht="15" hidden="false" customHeight="true" outlineLevel="0" collapsed="false">
      <c r="B303" s="12"/>
      <c r="C303" s="100"/>
      <c r="D303" s="101" t="str">
        <f aca="false">IF($B303="","","Expense")</f>
        <v/>
      </c>
      <c r="E303" s="14"/>
      <c r="F303" s="102"/>
      <c r="G303" s="102"/>
      <c r="H303" s="103" t="str">
        <f aca="false">IF($B303="","",N($E303))</f>
        <v/>
      </c>
      <c r="I303" s="104" t="str">
        <f aca="false">IF($B303="","",$I$288+SUMIFS($G$290:$G$340,$M$290:$M$340,"&lt;="&amp;$M303)-SUMIFS($H$290:$H$340,$M$290:$M$340,"&lt;="&amp;$M303))</f>
        <v/>
      </c>
      <c r="J303" s="102"/>
      <c r="K303" s="96" t="str">
        <f aca="false">IF($B303="","","ACTUAL")</f>
        <v/>
      </c>
      <c r="L303" s="0" t="str">
        <f aca="false">IF($B303="","",IF($C303="",$E$6+41,$C303))</f>
        <v/>
      </c>
      <c r="M303" s="0" t="str">
        <f aca="false">IF($L303="","",COUNTIFS($L$290:$L$340,"&lt;"&amp;$L303)+COUNTIFS($L$290:$L303,$L303))</f>
        <v/>
      </c>
    </row>
    <row r="304" customFormat="false" ht="15" hidden="false" customHeight="true" outlineLevel="0" collapsed="false">
      <c r="B304" s="12"/>
      <c r="C304" s="100"/>
      <c r="D304" s="101" t="str">
        <f aca="false">IF($B304="","","Expense")</f>
        <v/>
      </c>
      <c r="E304" s="14"/>
      <c r="F304" s="102"/>
      <c r="G304" s="102"/>
      <c r="H304" s="103" t="str">
        <f aca="false">IF($B304="","",N($E304))</f>
        <v/>
      </c>
      <c r="I304" s="104" t="str">
        <f aca="false">IF($B304="","",$I$288+SUMIFS($G$290:$G$340,$M$290:$M$340,"&lt;="&amp;$M304)-SUMIFS($H$290:$H$340,$M$290:$M$340,"&lt;="&amp;$M304))</f>
        <v/>
      </c>
      <c r="J304" s="102"/>
      <c r="K304" s="96" t="str">
        <f aca="false">IF($B304="","","ACTUAL")</f>
        <v/>
      </c>
      <c r="L304" s="0" t="str">
        <f aca="false">IF($B304="","",IF($C304="",$E$6+41,$C304))</f>
        <v/>
      </c>
      <c r="M304" s="0" t="str">
        <f aca="false">IF($L304="","",COUNTIFS($L$290:$L$340,"&lt;"&amp;$L304)+COUNTIFS($L$290:$L304,$L304))</f>
        <v/>
      </c>
    </row>
    <row r="305" customFormat="false" ht="15" hidden="false" customHeight="true" outlineLevel="0" collapsed="false">
      <c r="B305" s="12"/>
      <c r="C305" s="100"/>
      <c r="D305" s="101" t="str">
        <f aca="false">IF($B305="","","Expense")</f>
        <v/>
      </c>
      <c r="E305" s="14"/>
      <c r="F305" s="102"/>
      <c r="G305" s="102"/>
      <c r="H305" s="103" t="str">
        <f aca="false">IF($B305="","",N($E305))</f>
        <v/>
      </c>
      <c r="I305" s="104" t="str">
        <f aca="false">IF($B305="","",$I$288+SUMIFS($G$290:$G$340,$M$290:$M$340,"&lt;="&amp;$M305)-SUMIFS($H$290:$H$340,$M$290:$M$340,"&lt;="&amp;$M305))</f>
        <v/>
      </c>
      <c r="J305" s="102"/>
      <c r="K305" s="96" t="str">
        <f aca="false">IF($B305="","","ACTUAL")</f>
        <v/>
      </c>
      <c r="L305" s="0" t="str">
        <f aca="false">IF($B305="","",IF($C305="",$E$6+41,$C305))</f>
        <v/>
      </c>
      <c r="M305" s="0" t="str">
        <f aca="false">IF($L305="","",COUNTIFS($L$290:$L$340,"&lt;"&amp;$L305)+COUNTIFS($L$290:$L305,$L305))</f>
        <v/>
      </c>
    </row>
    <row r="306" customFormat="false" ht="15" hidden="false" customHeight="true" outlineLevel="0" collapsed="false">
      <c r="B306" s="12"/>
      <c r="C306" s="100"/>
      <c r="D306" s="101" t="str">
        <f aca="false">IF($B306="","","Expense")</f>
        <v/>
      </c>
      <c r="E306" s="14"/>
      <c r="F306" s="102"/>
      <c r="G306" s="102"/>
      <c r="H306" s="103" t="str">
        <f aca="false">IF($B306="","",N($E306))</f>
        <v/>
      </c>
      <c r="I306" s="104" t="str">
        <f aca="false">IF($B306="","",$I$288+SUMIFS($G$290:$G$340,$M$290:$M$340,"&lt;="&amp;$M306)-SUMIFS($H$290:$H$340,$M$290:$M$340,"&lt;="&amp;$M306))</f>
        <v/>
      </c>
      <c r="J306" s="102"/>
      <c r="K306" s="96" t="str">
        <f aca="false">IF($B306="","","ACTUAL")</f>
        <v/>
      </c>
      <c r="L306" s="0" t="str">
        <f aca="false">IF($B306="","",IF($C306="",$E$6+41,$C306))</f>
        <v/>
      </c>
      <c r="M306" s="0" t="str">
        <f aca="false">IF($L306="","",COUNTIFS($L$290:$L$340,"&lt;"&amp;$L306)+COUNTIFS($L$290:$L306,$L306))</f>
        <v/>
      </c>
    </row>
    <row r="307" customFormat="false" ht="15" hidden="false" customHeight="true" outlineLevel="0" collapsed="false">
      <c r="B307" s="12"/>
      <c r="C307" s="100"/>
      <c r="D307" s="101" t="str">
        <f aca="false">IF($B307="","","Expense")</f>
        <v/>
      </c>
      <c r="E307" s="14"/>
      <c r="F307" s="102"/>
      <c r="G307" s="102"/>
      <c r="H307" s="103" t="str">
        <f aca="false">IF($B307="","",N($E307))</f>
        <v/>
      </c>
      <c r="I307" s="104" t="str">
        <f aca="false">IF($B307="","",$I$288+SUMIFS($G$290:$G$340,$M$290:$M$340,"&lt;="&amp;$M307)-SUMIFS($H$290:$H$340,$M$290:$M$340,"&lt;="&amp;$M307))</f>
        <v/>
      </c>
      <c r="J307" s="102"/>
      <c r="K307" s="96" t="str">
        <f aca="false">IF($B307="","","ACTUAL")</f>
        <v/>
      </c>
      <c r="L307" s="0" t="str">
        <f aca="false">IF($B307="","",IF($C307="",$E$6+41,$C307))</f>
        <v/>
      </c>
      <c r="M307" s="0" t="str">
        <f aca="false">IF($L307="","",COUNTIFS($L$290:$L$340,"&lt;"&amp;$L307)+COUNTIFS($L$290:$L307,$L307))</f>
        <v/>
      </c>
    </row>
    <row r="308" customFormat="false" ht="15" hidden="false" customHeight="true" outlineLevel="0" collapsed="false">
      <c r="B308" s="12"/>
      <c r="C308" s="100"/>
      <c r="D308" s="101" t="str">
        <f aca="false">IF($B308="","","Expense")</f>
        <v/>
      </c>
      <c r="E308" s="14"/>
      <c r="F308" s="102"/>
      <c r="G308" s="102"/>
      <c r="H308" s="103" t="str">
        <f aca="false">IF($B308="","",N($E308))</f>
        <v/>
      </c>
      <c r="I308" s="104" t="str">
        <f aca="false">IF($B308="","",$I$288+SUMIFS($G$290:$G$340,$M$290:$M$340,"&lt;="&amp;$M308)-SUMIFS($H$290:$H$340,$M$290:$M$340,"&lt;="&amp;$M308))</f>
        <v/>
      </c>
      <c r="J308" s="102"/>
      <c r="K308" s="96" t="str">
        <f aca="false">IF($B308="","","ACTUAL")</f>
        <v/>
      </c>
      <c r="L308" s="0" t="str">
        <f aca="false">IF($B308="","",IF($C308="",$E$6+41,$C308))</f>
        <v/>
      </c>
      <c r="M308" s="0" t="str">
        <f aca="false">IF($L308="","",COUNTIFS($L$290:$L$340,"&lt;"&amp;$L308)+COUNTIFS($L$290:$L308,$L308))</f>
        <v/>
      </c>
    </row>
    <row r="309" customFormat="false" ht="15" hidden="false" customHeight="true" outlineLevel="0" collapsed="false">
      <c r="B309" s="12"/>
      <c r="C309" s="100"/>
      <c r="D309" s="101" t="str">
        <f aca="false">IF($B309="","","Expense")</f>
        <v/>
      </c>
      <c r="E309" s="14"/>
      <c r="F309" s="102"/>
      <c r="G309" s="102"/>
      <c r="H309" s="103" t="str">
        <f aca="false">IF($B309="","",N($E309))</f>
        <v/>
      </c>
      <c r="I309" s="104" t="str">
        <f aca="false">IF($B309="","",$I$288+SUMIFS($G$290:$G$340,$M$290:$M$340,"&lt;="&amp;$M309)-SUMIFS($H$290:$H$340,$M$290:$M$340,"&lt;="&amp;$M309))</f>
        <v/>
      </c>
      <c r="J309" s="102"/>
      <c r="K309" s="96" t="str">
        <f aca="false">IF($B309="","","ACTUAL")</f>
        <v/>
      </c>
      <c r="L309" s="0" t="str">
        <f aca="false">IF($B309="","",IF($C309="",$E$6+41,$C309))</f>
        <v/>
      </c>
      <c r="M309" s="0" t="str">
        <f aca="false">IF($L309="","",COUNTIFS($L$290:$L$340,"&lt;"&amp;$L309)+COUNTIFS($L$290:$L309,$L309))</f>
        <v/>
      </c>
    </row>
    <row r="310" customFormat="false" ht="15" hidden="false" customHeight="true" outlineLevel="0" collapsed="false">
      <c r="B310" s="12"/>
      <c r="C310" s="100"/>
      <c r="D310" s="101" t="str">
        <f aca="false">IF($B310="","","Expense")</f>
        <v/>
      </c>
      <c r="E310" s="14"/>
      <c r="F310" s="102"/>
      <c r="G310" s="102"/>
      <c r="H310" s="103" t="str">
        <f aca="false">IF($B310="","",N($E310))</f>
        <v/>
      </c>
      <c r="I310" s="104" t="str">
        <f aca="false">IF($B310="","",$I$288+SUMIFS($G$290:$G$340,$M$290:$M$340,"&lt;="&amp;$M310)-SUMIFS($H$290:$H$340,$M$290:$M$340,"&lt;="&amp;$M310))</f>
        <v/>
      </c>
      <c r="J310" s="102"/>
      <c r="K310" s="96" t="str">
        <f aca="false">IF($B310="","","ACTUAL")</f>
        <v/>
      </c>
      <c r="L310" s="0" t="str">
        <f aca="false">IF($B310="","",IF($C310="",$E$6+41,$C310))</f>
        <v/>
      </c>
      <c r="M310" s="0" t="str">
        <f aca="false">IF($L310="","",COUNTIFS($L$290:$L$340,"&lt;"&amp;$L310)+COUNTIFS($L$290:$L310,$L310))</f>
        <v/>
      </c>
    </row>
    <row r="311" customFormat="false" ht="15" hidden="false" customHeight="true" outlineLevel="0" collapsed="false">
      <c r="B311" s="12"/>
      <c r="C311" s="100"/>
      <c r="D311" s="101" t="str">
        <f aca="false">IF($B311="","","Expense")</f>
        <v/>
      </c>
      <c r="E311" s="14"/>
      <c r="F311" s="102"/>
      <c r="G311" s="102"/>
      <c r="H311" s="103" t="str">
        <f aca="false">IF($B311="","",N($E311))</f>
        <v/>
      </c>
      <c r="I311" s="104" t="str">
        <f aca="false">IF($B311="","",$I$288+SUMIFS($G$290:$G$340,$M$290:$M$340,"&lt;="&amp;$M311)-SUMIFS($H$290:$H$340,$M$290:$M$340,"&lt;="&amp;$M311))</f>
        <v/>
      </c>
      <c r="J311" s="102"/>
      <c r="K311" s="96" t="str">
        <f aca="false">IF($B311="","","ACTUAL")</f>
        <v/>
      </c>
      <c r="L311" s="0" t="str">
        <f aca="false">IF($B311="","",IF($C311="",$E$6+41,$C311))</f>
        <v/>
      </c>
      <c r="M311" s="0" t="str">
        <f aca="false">IF($L311="","",COUNTIFS($L$290:$L$340,"&lt;"&amp;$L311)+COUNTIFS($L$290:$L311,$L311))</f>
        <v/>
      </c>
    </row>
    <row r="312" customFormat="false" ht="15" hidden="false" customHeight="true" outlineLevel="0" collapsed="false">
      <c r="B312" s="12"/>
      <c r="C312" s="100"/>
      <c r="D312" s="101" t="str">
        <f aca="false">IF($B312="","","Expense")</f>
        <v/>
      </c>
      <c r="E312" s="14"/>
      <c r="F312" s="102"/>
      <c r="G312" s="102"/>
      <c r="H312" s="103" t="str">
        <f aca="false">IF($B312="","",N($E312))</f>
        <v/>
      </c>
      <c r="I312" s="104" t="str">
        <f aca="false">IF($B312="","",$I$288+SUMIFS($G$290:$G$340,$M$290:$M$340,"&lt;="&amp;$M312)-SUMIFS($H$290:$H$340,$M$290:$M$340,"&lt;="&amp;$M312))</f>
        <v/>
      </c>
      <c r="J312" s="102"/>
      <c r="K312" s="96" t="str">
        <f aca="false">IF($B312="","","ACTUAL")</f>
        <v/>
      </c>
      <c r="L312" s="0" t="str">
        <f aca="false">IF($B312="","",IF($C312="",$E$6+41,$C312))</f>
        <v/>
      </c>
      <c r="M312" s="0" t="str">
        <f aca="false">IF($L312="","",COUNTIFS($L$290:$L$340,"&lt;"&amp;$L312)+COUNTIFS($L$290:$L312,$L312))</f>
        <v/>
      </c>
    </row>
    <row r="313" customFormat="false" ht="15" hidden="false" customHeight="true" outlineLevel="0" collapsed="false">
      <c r="B313" s="12"/>
      <c r="C313" s="100"/>
      <c r="D313" s="101" t="str">
        <f aca="false">IF($B313="","","Expense")</f>
        <v/>
      </c>
      <c r="E313" s="14"/>
      <c r="F313" s="102"/>
      <c r="G313" s="102"/>
      <c r="H313" s="103" t="str">
        <f aca="false">IF($B313="","",N($E313))</f>
        <v/>
      </c>
      <c r="I313" s="104" t="str">
        <f aca="false">IF($B313="","",$I$288+SUMIFS($G$290:$G$340,$M$290:$M$340,"&lt;="&amp;$M313)-SUMIFS($H$290:$H$340,$M$290:$M$340,"&lt;="&amp;$M313))</f>
        <v/>
      </c>
      <c r="J313" s="102"/>
      <c r="K313" s="96" t="str">
        <f aca="false">IF($B313="","","ACTUAL")</f>
        <v/>
      </c>
      <c r="L313" s="0" t="str">
        <f aca="false">IF($B313="","",IF($C313="",$E$6+41,$C313))</f>
        <v/>
      </c>
      <c r="M313" s="0" t="str">
        <f aca="false">IF($L313="","",COUNTIFS($L$290:$L$340,"&lt;"&amp;$L313)+COUNTIFS($L$290:$L313,$L313))</f>
        <v/>
      </c>
    </row>
    <row r="314" customFormat="false" ht="15" hidden="false" customHeight="true" outlineLevel="0" collapsed="false">
      <c r="B314" s="12"/>
      <c r="C314" s="100"/>
      <c r="D314" s="101" t="str">
        <f aca="false">IF($B314="","","Expense")</f>
        <v/>
      </c>
      <c r="E314" s="14"/>
      <c r="F314" s="102"/>
      <c r="G314" s="102"/>
      <c r="H314" s="103" t="str">
        <f aca="false">IF($B314="","",N($E314))</f>
        <v/>
      </c>
      <c r="I314" s="104" t="str">
        <f aca="false">IF($B314="","",$I$288+SUMIFS($G$290:$G$340,$M$290:$M$340,"&lt;="&amp;$M314)-SUMIFS($H$290:$H$340,$M$290:$M$340,"&lt;="&amp;$M314))</f>
        <v/>
      </c>
      <c r="J314" s="102"/>
      <c r="K314" s="96" t="str">
        <f aca="false">IF($B314="","","ACTUAL")</f>
        <v/>
      </c>
      <c r="L314" s="0" t="str">
        <f aca="false">IF($B314="","",IF($C314="",$E$6+41,$C314))</f>
        <v/>
      </c>
      <c r="M314" s="0" t="str">
        <f aca="false">IF($L314="","",COUNTIFS($L$290:$L$340,"&lt;"&amp;$L314)+COUNTIFS($L$290:$L314,$L314))</f>
        <v/>
      </c>
    </row>
    <row r="315" customFormat="false" ht="15" hidden="false" customHeight="true" outlineLevel="0" collapsed="false">
      <c r="B315" s="12"/>
      <c r="C315" s="100"/>
      <c r="D315" s="101" t="str">
        <f aca="false">IF($B315="","","Expense")</f>
        <v/>
      </c>
      <c r="E315" s="14"/>
      <c r="F315" s="102"/>
      <c r="G315" s="102"/>
      <c r="H315" s="103" t="str">
        <f aca="false">IF($B315="","",N($E315))</f>
        <v/>
      </c>
      <c r="I315" s="104" t="str">
        <f aca="false">IF($B315="","",$I$288+SUMIFS($G$290:$G$340,$M$290:$M$340,"&lt;="&amp;$M315)-SUMIFS($H$290:$H$340,$M$290:$M$340,"&lt;="&amp;$M315))</f>
        <v/>
      </c>
      <c r="J315" s="102"/>
      <c r="K315" s="96" t="str">
        <f aca="false">IF($B315="","","ACTUAL")</f>
        <v/>
      </c>
      <c r="L315" s="0" t="str">
        <f aca="false">IF($B315="","",IF($C315="",$E$6+41,$C315))</f>
        <v/>
      </c>
      <c r="M315" s="0" t="str">
        <f aca="false">IF($L315="","",COUNTIFS($L$290:$L$340,"&lt;"&amp;$L315)+COUNTIFS($L$290:$L315,$L315))</f>
        <v/>
      </c>
    </row>
    <row r="316" customFormat="false" ht="15" hidden="false" customHeight="true" outlineLevel="0" collapsed="false">
      <c r="B316" s="12"/>
      <c r="C316" s="100"/>
      <c r="D316" s="101" t="str">
        <f aca="false">IF($B316="","","Expense")</f>
        <v/>
      </c>
      <c r="E316" s="14"/>
      <c r="F316" s="102"/>
      <c r="G316" s="102"/>
      <c r="H316" s="103" t="str">
        <f aca="false">IF($B316="","",N($E316))</f>
        <v/>
      </c>
      <c r="I316" s="104" t="str">
        <f aca="false">IF($B316="","",$I$288+SUMIFS($G$290:$G$340,$M$290:$M$340,"&lt;="&amp;$M316)-SUMIFS($H$290:$H$340,$M$290:$M$340,"&lt;="&amp;$M316))</f>
        <v/>
      </c>
      <c r="J316" s="102"/>
      <c r="K316" s="96" t="str">
        <f aca="false">IF($B316="","","ACTUAL")</f>
        <v/>
      </c>
      <c r="L316" s="0" t="str">
        <f aca="false">IF($B316="","",IF($C316="",$E$6+41,$C316))</f>
        <v/>
      </c>
      <c r="M316" s="0" t="str">
        <f aca="false">IF($L316="","",COUNTIFS($L$290:$L$340,"&lt;"&amp;$L316)+COUNTIFS($L$290:$L316,$L316))</f>
        <v/>
      </c>
    </row>
    <row r="317" customFormat="false" ht="15" hidden="false" customHeight="true" outlineLevel="0" collapsed="false">
      <c r="B317" s="12"/>
      <c r="C317" s="100"/>
      <c r="D317" s="101" t="str">
        <f aca="false">IF($B317="","","Expense")</f>
        <v/>
      </c>
      <c r="E317" s="14"/>
      <c r="F317" s="102"/>
      <c r="G317" s="102"/>
      <c r="H317" s="103" t="str">
        <f aca="false">IF($B317="","",N($E317))</f>
        <v/>
      </c>
      <c r="I317" s="104" t="str">
        <f aca="false">IF($B317="","",$I$288+SUMIFS($G$290:$G$340,$M$290:$M$340,"&lt;="&amp;$M317)-SUMIFS($H$290:$H$340,$M$290:$M$340,"&lt;="&amp;$M317))</f>
        <v/>
      </c>
      <c r="J317" s="102"/>
      <c r="K317" s="96" t="str">
        <f aca="false">IF($B317="","","ACTUAL")</f>
        <v/>
      </c>
      <c r="L317" s="0" t="str">
        <f aca="false">IF($B317="","",IF($C317="",$E$6+41,$C317))</f>
        <v/>
      </c>
      <c r="M317" s="0" t="str">
        <f aca="false">IF($L317="","",COUNTIFS($L$290:$L$340,"&lt;"&amp;$L317)+COUNTIFS($L$290:$L317,$L317))</f>
        <v/>
      </c>
    </row>
    <row r="318" customFormat="false" ht="15" hidden="false" customHeight="true" outlineLevel="0" collapsed="false">
      <c r="B318" s="12"/>
      <c r="C318" s="100"/>
      <c r="D318" s="101" t="str">
        <f aca="false">IF($B318="","","Expense")</f>
        <v/>
      </c>
      <c r="E318" s="14"/>
      <c r="F318" s="102"/>
      <c r="G318" s="102"/>
      <c r="H318" s="103" t="str">
        <f aca="false">IF($B318="","",N($E318))</f>
        <v/>
      </c>
      <c r="I318" s="104" t="str">
        <f aca="false">IF($B318="","",$I$288+SUMIFS($G$290:$G$340,$M$290:$M$340,"&lt;="&amp;$M318)-SUMIFS($H$290:$H$340,$M$290:$M$340,"&lt;="&amp;$M318))</f>
        <v/>
      </c>
      <c r="J318" s="102"/>
      <c r="K318" s="96" t="str">
        <f aca="false">IF($B318="","","ACTUAL")</f>
        <v/>
      </c>
      <c r="L318" s="0" t="str">
        <f aca="false">IF($B318="","",IF($C318="",$E$6+41,$C318))</f>
        <v/>
      </c>
      <c r="M318" s="0" t="str">
        <f aca="false">IF($L318="","",COUNTIFS($L$290:$L$340,"&lt;"&amp;$L318)+COUNTIFS($L$290:$L318,$L318))</f>
        <v/>
      </c>
    </row>
    <row r="319" customFormat="false" ht="15" hidden="false" customHeight="true" outlineLevel="0" collapsed="false">
      <c r="B319" s="12"/>
      <c r="C319" s="100"/>
      <c r="D319" s="101" t="str">
        <f aca="false">IF($B319="","","Expense")</f>
        <v/>
      </c>
      <c r="E319" s="14"/>
      <c r="F319" s="102"/>
      <c r="G319" s="102"/>
      <c r="H319" s="103" t="str">
        <f aca="false">IF($B319="","",N($E319))</f>
        <v/>
      </c>
      <c r="I319" s="104" t="str">
        <f aca="false">IF($B319="","",$I$288+SUMIFS($G$290:$G$340,$M$290:$M$340,"&lt;="&amp;$M319)-SUMIFS($H$290:$H$340,$M$290:$M$340,"&lt;="&amp;$M319))</f>
        <v/>
      </c>
      <c r="J319" s="102"/>
      <c r="K319" s="96" t="str">
        <f aca="false">IF($B319="","","ACTUAL")</f>
        <v/>
      </c>
      <c r="L319" s="0" t="str">
        <f aca="false">IF($B319="","",IF($C319="",$E$6+41,$C319))</f>
        <v/>
      </c>
      <c r="M319" s="0" t="str">
        <f aca="false">IF($L319="","",COUNTIFS($L$290:$L$340,"&lt;"&amp;$L319)+COUNTIFS($L$290:$L319,$L319))</f>
        <v/>
      </c>
    </row>
    <row r="320" customFormat="false" ht="15" hidden="false" customHeight="true" outlineLevel="0" collapsed="false">
      <c r="B320" s="12"/>
      <c r="C320" s="100"/>
      <c r="D320" s="101" t="str">
        <f aca="false">IF($B320="","","Expense")</f>
        <v/>
      </c>
      <c r="E320" s="14"/>
      <c r="F320" s="102"/>
      <c r="G320" s="102"/>
      <c r="H320" s="103" t="str">
        <f aca="false">IF($B320="","",N($E320))</f>
        <v/>
      </c>
      <c r="I320" s="104" t="str">
        <f aca="false">IF($B320="","",$I$288+SUMIFS($G$290:$G$340,$M$290:$M$340,"&lt;="&amp;$M320)-SUMIFS($H$290:$H$340,$M$290:$M$340,"&lt;="&amp;$M320))</f>
        <v/>
      </c>
      <c r="J320" s="102"/>
      <c r="K320" s="96" t="str">
        <f aca="false">IF($B320="","","ACTUAL")</f>
        <v/>
      </c>
      <c r="L320" s="0" t="str">
        <f aca="false">IF($B320="","",IF($C320="",$E$6+41,$C320))</f>
        <v/>
      </c>
      <c r="M320" s="0" t="str">
        <f aca="false">IF($L320="","",COUNTIFS($L$290:$L$340,"&lt;"&amp;$L320)+COUNTIFS($L$290:$L320,$L320))</f>
        <v/>
      </c>
    </row>
    <row r="321" customFormat="false" ht="15" hidden="false" customHeight="true" outlineLevel="0" collapsed="false">
      <c r="B321" s="12"/>
      <c r="C321" s="100"/>
      <c r="D321" s="101" t="str">
        <f aca="false">IF($B321="","","Expense")</f>
        <v/>
      </c>
      <c r="E321" s="14"/>
      <c r="F321" s="102"/>
      <c r="G321" s="102"/>
      <c r="H321" s="103" t="str">
        <f aca="false">IF($B321="","",N($E321))</f>
        <v/>
      </c>
      <c r="I321" s="104" t="str">
        <f aca="false">IF($B321="","",$I$288+SUMIFS($G$290:$G$340,$M$290:$M$340,"&lt;="&amp;$M321)-SUMIFS($H$290:$H$340,$M$290:$M$340,"&lt;="&amp;$M321))</f>
        <v/>
      </c>
      <c r="J321" s="102"/>
      <c r="K321" s="96" t="str">
        <f aca="false">IF($B321="","","ACTUAL")</f>
        <v/>
      </c>
      <c r="L321" s="0" t="str">
        <f aca="false">IF($B321="","",IF($C321="",$E$6+41,$C321))</f>
        <v/>
      </c>
      <c r="M321" s="0" t="str">
        <f aca="false">IF($L321="","",COUNTIFS($L$290:$L$340,"&lt;"&amp;$L321)+COUNTIFS($L$290:$L321,$L321))</f>
        <v/>
      </c>
    </row>
    <row r="322" customFormat="false" ht="15" hidden="false" customHeight="true" outlineLevel="0" collapsed="false">
      <c r="B322" s="12"/>
      <c r="C322" s="100"/>
      <c r="D322" s="101" t="str">
        <f aca="false">IF($B322="","","Expense")</f>
        <v/>
      </c>
      <c r="E322" s="14"/>
      <c r="F322" s="102"/>
      <c r="G322" s="102"/>
      <c r="H322" s="103" t="str">
        <f aca="false">IF($B322="","",N($E322))</f>
        <v/>
      </c>
      <c r="I322" s="104" t="str">
        <f aca="false">IF($B322="","",$I$288+SUMIFS($G$290:$G$340,$M$290:$M$340,"&lt;="&amp;$M322)-SUMIFS($H$290:$H$340,$M$290:$M$340,"&lt;="&amp;$M322))</f>
        <v/>
      </c>
      <c r="J322" s="102"/>
      <c r="K322" s="96" t="str">
        <f aca="false">IF($B322="","","ACTUAL")</f>
        <v/>
      </c>
      <c r="L322" s="0" t="str">
        <f aca="false">IF($B322="","",IF($C322="",$E$6+41,$C322))</f>
        <v/>
      </c>
      <c r="M322" s="0" t="str">
        <f aca="false">IF($L322="","",COUNTIFS($L$290:$L$340,"&lt;"&amp;$L322)+COUNTIFS($L$290:$L322,$L322))</f>
        <v/>
      </c>
    </row>
    <row r="323" customFormat="false" ht="15" hidden="false" customHeight="true" outlineLevel="0" collapsed="false">
      <c r="B323" s="12"/>
      <c r="C323" s="100"/>
      <c r="D323" s="101" t="str">
        <f aca="false">IF($B323="","","Expense")</f>
        <v/>
      </c>
      <c r="E323" s="14"/>
      <c r="F323" s="102"/>
      <c r="G323" s="102"/>
      <c r="H323" s="103" t="str">
        <f aca="false">IF($B323="","",N($E323))</f>
        <v/>
      </c>
      <c r="I323" s="104" t="str">
        <f aca="false">IF($B323="","",$I$288+SUMIFS($G$290:$G$340,$M$290:$M$340,"&lt;="&amp;$M323)-SUMIFS($H$290:$H$340,$M$290:$M$340,"&lt;="&amp;$M323))</f>
        <v/>
      </c>
      <c r="J323" s="102"/>
      <c r="K323" s="96" t="str">
        <f aca="false">IF($B323="","","ACTUAL")</f>
        <v/>
      </c>
      <c r="L323" s="0" t="str">
        <f aca="false">IF($B323="","",IF($C323="",$E$6+41,$C323))</f>
        <v/>
      </c>
      <c r="M323" s="0" t="str">
        <f aca="false">IF($L323="","",COUNTIFS($L$290:$L$340,"&lt;"&amp;$L323)+COUNTIFS($L$290:$L323,$L323))</f>
        <v/>
      </c>
    </row>
    <row r="324" customFormat="false" ht="15" hidden="false" customHeight="true" outlineLevel="0" collapsed="false">
      <c r="B324" s="12"/>
      <c r="C324" s="100"/>
      <c r="D324" s="101" t="str">
        <f aca="false">IF($B324="","","Expense")</f>
        <v/>
      </c>
      <c r="E324" s="14"/>
      <c r="F324" s="102"/>
      <c r="G324" s="102"/>
      <c r="H324" s="103" t="str">
        <f aca="false">IF($B324="","",N($E324))</f>
        <v/>
      </c>
      <c r="I324" s="104" t="str">
        <f aca="false">IF($B324="","",$I$288+SUMIFS($G$290:$G$340,$M$290:$M$340,"&lt;="&amp;$M324)-SUMIFS($H$290:$H$340,$M$290:$M$340,"&lt;="&amp;$M324))</f>
        <v/>
      </c>
      <c r="J324" s="102"/>
      <c r="K324" s="96" t="str">
        <f aca="false">IF($B324="","","ACTUAL")</f>
        <v/>
      </c>
      <c r="L324" s="0" t="str">
        <f aca="false">IF($B324="","",IF($C324="",$E$6+41,$C324))</f>
        <v/>
      </c>
      <c r="M324" s="0" t="str">
        <f aca="false">IF($L324="","",COUNTIFS($L$290:$L$340,"&lt;"&amp;$L324)+COUNTIFS($L$290:$L324,$L324))</f>
        <v/>
      </c>
    </row>
    <row r="325" customFormat="false" ht="15" hidden="false" customHeight="true" outlineLevel="0" collapsed="false">
      <c r="B325" s="12"/>
      <c r="C325" s="100"/>
      <c r="D325" s="101" t="str">
        <f aca="false">IF($B325="","","Expense")</f>
        <v/>
      </c>
      <c r="E325" s="14"/>
      <c r="F325" s="102"/>
      <c r="G325" s="102"/>
      <c r="H325" s="103" t="str">
        <f aca="false">IF($B325="","",N($E325))</f>
        <v/>
      </c>
      <c r="I325" s="104" t="str">
        <f aca="false">IF($B325="","",$I$288+SUMIFS($G$290:$G$340,$M$290:$M$340,"&lt;="&amp;$M325)-SUMIFS($H$290:$H$340,$M$290:$M$340,"&lt;="&amp;$M325))</f>
        <v/>
      </c>
      <c r="J325" s="102"/>
      <c r="K325" s="96" t="str">
        <f aca="false">IF($B325="","","ACTUAL")</f>
        <v/>
      </c>
      <c r="L325" s="0" t="str">
        <f aca="false">IF($B325="","",IF($C325="",$E$6+41,$C325))</f>
        <v/>
      </c>
      <c r="M325" s="0" t="str">
        <f aca="false">IF($L325="","",COUNTIFS($L$290:$L$340,"&lt;"&amp;$L325)+COUNTIFS($L$290:$L325,$L325))</f>
        <v/>
      </c>
    </row>
    <row r="326" customFormat="false" ht="15" hidden="false" customHeight="true" outlineLevel="0" collapsed="false">
      <c r="B326" s="12"/>
      <c r="C326" s="100"/>
      <c r="D326" s="101" t="str">
        <f aca="false">IF($B326="","","Expense")</f>
        <v/>
      </c>
      <c r="E326" s="14"/>
      <c r="F326" s="102"/>
      <c r="G326" s="102"/>
      <c r="H326" s="103" t="str">
        <f aca="false">IF($B326="","",N($E326))</f>
        <v/>
      </c>
      <c r="I326" s="104" t="str">
        <f aca="false">IF($B326="","",$I$288+SUMIFS($G$290:$G$340,$M$290:$M$340,"&lt;="&amp;$M326)-SUMIFS($H$290:$H$340,$M$290:$M$340,"&lt;="&amp;$M326))</f>
        <v/>
      </c>
      <c r="J326" s="102"/>
      <c r="K326" s="96" t="str">
        <f aca="false">IF($B326="","","ACTUAL")</f>
        <v/>
      </c>
      <c r="L326" s="0" t="str">
        <f aca="false">IF($B326="","",IF($C326="",$E$6+41,$C326))</f>
        <v/>
      </c>
      <c r="M326" s="0" t="str">
        <f aca="false">IF($L326="","",COUNTIFS($L$290:$L$340,"&lt;"&amp;$L326)+COUNTIFS($L$290:$L326,$L326))</f>
        <v/>
      </c>
    </row>
    <row r="327" customFormat="false" ht="15" hidden="false" customHeight="true" outlineLevel="0" collapsed="false">
      <c r="B327" s="12"/>
      <c r="C327" s="100"/>
      <c r="D327" s="101" t="str">
        <f aca="false">IF($B327="","","Expense")</f>
        <v/>
      </c>
      <c r="E327" s="14"/>
      <c r="F327" s="102"/>
      <c r="G327" s="102"/>
      <c r="H327" s="103" t="str">
        <f aca="false">IF($B327="","",N($E327))</f>
        <v/>
      </c>
      <c r="I327" s="104" t="str">
        <f aca="false">IF($B327="","",$I$288+SUMIFS($G$290:$G$340,$M$290:$M$340,"&lt;="&amp;$M327)-SUMIFS($H$290:$H$340,$M$290:$M$340,"&lt;="&amp;$M327))</f>
        <v/>
      </c>
      <c r="J327" s="102"/>
      <c r="K327" s="96" t="str">
        <f aca="false">IF($B327="","","ACTUAL")</f>
        <v/>
      </c>
      <c r="L327" s="0" t="str">
        <f aca="false">IF($B327="","",IF($C327="",$E$6+41,$C327))</f>
        <v/>
      </c>
      <c r="M327" s="0" t="str">
        <f aca="false">IF($L327="","",COUNTIFS($L$290:$L$340,"&lt;"&amp;$L327)+COUNTIFS($L$290:$L327,$L327))</f>
        <v/>
      </c>
    </row>
    <row r="328" customFormat="false" ht="15" hidden="false" customHeight="true" outlineLevel="0" collapsed="false">
      <c r="B328" s="12"/>
      <c r="C328" s="100"/>
      <c r="D328" s="101" t="str">
        <f aca="false">IF($B328="","","Expense")</f>
        <v/>
      </c>
      <c r="E328" s="14"/>
      <c r="F328" s="102"/>
      <c r="G328" s="102"/>
      <c r="H328" s="103" t="str">
        <f aca="false">IF($B328="","",N($E328))</f>
        <v/>
      </c>
      <c r="I328" s="104" t="str">
        <f aca="false">IF($B328="","",$I$288+SUMIFS($G$290:$G$340,$M$290:$M$340,"&lt;="&amp;$M328)-SUMIFS($H$290:$H$340,$M$290:$M$340,"&lt;="&amp;$M328))</f>
        <v/>
      </c>
      <c r="J328" s="102"/>
      <c r="K328" s="96" t="str">
        <f aca="false">IF($B328="","","ACTUAL")</f>
        <v/>
      </c>
      <c r="L328" s="0" t="str">
        <f aca="false">IF($B328="","",IF($C328="",$E$6+41,$C328))</f>
        <v/>
      </c>
      <c r="M328" s="0" t="str">
        <f aca="false">IF($L328="","",COUNTIFS($L$290:$L$340,"&lt;"&amp;$L328)+COUNTIFS($L$290:$L328,$L328))</f>
        <v/>
      </c>
    </row>
    <row r="329" customFormat="false" ht="15" hidden="false" customHeight="true" outlineLevel="0" collapsed="false">
      <c r="B329" s="12"/>
      <c r="C329" s="100"/>
      <c r="D329" s="101" t="str">
        <f aca="false">IF($B329="","","Expense")</f>
        <v/>
      </c>
      <c r="E329" s="14"/>
      <c r="F329" s="102"/>
      <c r="G329" s="102"/>
      <c r="H329" s="103" t="str">
        <f aca="false">IF($B329="","",N($E329))</f>
        <v/>
      </c>
      <c r="I329" s="104" t="str">
        <f aca="false">IF($B329="","",$I$288+SUMIFS($G$290:$G$340,$M$290:$M$340,"&lt;="&amp;$M329)-SUMIFS($H$290:$H$340,$M$290:$M$340,"&lt;="&amp;$M329))</f>
        <v/>
      </c>
      <c r="J329" s="102"/>
      <c r="K329" s="96" t="str">
        <f aca="false">IF($B329="","","ACTUAL")</f>
        <v/>
      </c>
      <c r="L329" s="0" t="str">
        <f aca="false">IF($B329="","",IF($C329="",$E$6+41,$C329))</f>
        <v/>
      </c>
      <c r="M329" s="0" t="str">
        <f aca="false">IF($L329="","",COUNTIFS($L$290:$L$340,"&lt;"&amp;$L329)+COUNTIFS($L$290:$L329,$L329))</f>
        <v/>
      </c>
    </row>
    <row r="330" customFormat="false" ht="15" hidden="false" customHeight="true" outlineLevel="0" collapsed="false">
      <c r="B330" s="12"/>
      <c r="C330" s="100"/>
      <c r="D330" s="101" t="str">
        <f aca="false">IF($B330="","","Expense")</f>
        <v/>
      </c>
      <c r="E330" s="14"/>
      <c r="F330" s="102"/>
      <c r="G330" s="102"/>
      <c r="H330" s="103" t="str">
        <f aca="false">IF($B330="","",N($E330))</f>
        <v/>
      </c>
      <c r="I330" s="104" t="str">
        <f aca="false">IF($B330="","",$I$288+SUMIFS($G$290:$G$340,$M$290:$M$340,"&lt;="&amp;$M330)-SUMIFS($H$290:$H$340,$M$290:$M$340,"&lt;="&amp;$M330))</f>
        <v/>
      </c>
      <c r="J330" s="102"/>
      <c r="K330" s="96" t="str">
        <f aca="false">IF($B330="","","ACTUAL")</f>
        <v/>
      </c>
      <c r="L330" s="0" t="str">
        <f aca="false">IF($B330="","",IF($C330="",$E$6+41,$C330))</f>
        <v/>
      </c>
      <c r="M330" s="0" t="str">
        <f aca="false">IF($L330="","",COUNTIFS($L$290:$L$340,"&lt;"&amp;$L330)+COUNTIFS($L$290:$L330,$L330))</f>
        <v/>
      </c>
    </row>
    <row r="331" customFormat="false" ht="15" hidden="false" customHeight="true" outlineLevel="0" collapsed="false">
      <c r="B331" s="12"/>
      <c r="C331" s="100"/>
      <c r="D331" s="101" t="str">
        <f aca="false">IF($B331="","","Expense")</f>
        <v/>
      </c>
      <c r="E331" s="14"/>
      <c r="F331" s="102"/>
      <c r="G331" s="102"/>
      <c r="H331" s="103" t="str">
        <f aca="false">IF($B331="","",N($E331))</f>
        <v/>
      </c>
      <c r="I331" s="104" t="str">
        <f aca="false">IF($B331="","",$I$288+SUMIFS($G$290:$G$340,$M$290:$M$340,"&lt;="&amp;$M331)-SUMIFS($H$290:$H$340,$M$290:$M$340,"&lt;="&amp;$M331))</f>
        <v/>
      </c>
      <c r="J331" s="102"/>
      <c r="K331" s="96" t="str">
        <f aca="false">IF($B331="","","ACTUAL")</f>
        <v/>
      </c>
      <c r="L331" s="0" t="str">
        <f aca="false">IF($B331="","",IF($C331="",$E$6+41,$C331))</f>
        <v/>
      </c>
      <c r="M331" s="0" t="str">
        <f aca="false">IF($L331="","",COUNTIFS($L$290:$L$340,"&lt;"&amp;$L331)+COUNTIFS($L$290:$L331,$L331))</f>
        <v/>
      </c>
    </row>
    <row r="332" customFormat="false" ht="15" hidden="false" customHeight="true" outlineLevel="0" collapsed="false">
      <c r="B332" s="12"/>
      <c r="C332" s="100"/>
      <c r="D332" s="101" t="str">
        <f aca="false">IF($B332="","","Expense")</f>
        <v/>
      </c>
      <c r="E332" s="14"/>
      <c r="F332" s="102"/>
      <c r="G332" s="102"/>
      <c r="H332" s="103" t="str">
        <f aca="false">IF($B332="","",N($E332))</f>
        <v/>
      </c>
      <c r="I332" s="104" t="str">
        <f aca="false">IF($B332="","",$I$288+SUMIFS($G$290:$G$340,$M$290:$M$340,"&lt;="&amp;$M332)-SUMIFS($H$290:$H$340,$M$290:$M$340,"&lt;="&amp;$M332))</f>
        <v/>
      </c>
      <c r="J332" s="102"/>
      <c r="K332" s="96" t="str">
        <f aca="false">IF($B332="","","ACTUAL")</f>
        <v/>
      </c>
      <c r="L332" s="0" t="str">
        <f aca="false">IF($B332="","",IF($C332="",$E$6+41,$C332))</f>
        <v/>
      </c>
      <c r="M332" s="0" t="str">
        <f aca="false">IF($L332="","",COUNTIFS($L$290:$L$340,"&lt;"&amp;$L332)+COUNTIFS($L$290:$L332,$L332))</f>
        <v/>
      </c>
    </row>
    <row r="333" customFormat="false" ht="15" hidden="false" customHeight="true" outlineLevel="0" collapsed="false">
      <c r="B333" s="12"/>
      <c r="C333" s="100"/>
      <c r="D333" s="101" t="str">
        <f aca="false">IF($B333="","","Expense")</f>
        <v/>
      </c>
      <c r="E333" s="14"/>
      <c r="F333" s="102"/>
      <c r="G333" s="102"/>
      <c r="H333" s="103" t="str">
        <f aca="false">IF($B333="","",N($E333))</f>
        <v/>
      </c>
      <c r="I333" s="104" t="str">
        <f aca="false">IF($B333="","",$I$288+SUMIFS($G$290:$G$340,$M$290:$M$340,"&lt;="&amp;$M333)-SUMIFS($H$290:$H$340,$M$290:$M$340,"&lt;="&amp;$M333))</f>
        <v/>
      </c>
      <c r="J333" s="102"/>
      <c r="K333" s="96" t="str">
        <f aca="false">IF($B333="","","ACTUAL")</f>
        <v/>
      </c>
      <c r="L333" s="0" t="str">
        <f aca="false">IF($B333="","",IF($C333="",$E$6+41,$C333))</f>
        <v/>
      </c>
      <c r="M333" s="0" t="str">
        <f aca="false">IF($L333="","",COUNTIFS($L$290:$L$340,"&lt;"&amp;$L333)+COUNTIFS($L$290:$L333,$L333))</f>
        <v/>
      </c>
    </row>
    <row r="334" customFormat="false" ht="15" hidden="false" customHeight="true" outlineLevel="0" collapsed="false">
      <c r="B334" s="12"/>
      <c r="C334" s="100"/>
      <c r="D334" s="101" t="str">
        <f aca="false">IF($B334="","","Expense")</f>
        <v/>
      </c>
      <c r="E334" s="14"/>
      <c r="F334" s="102"/>
      <c r="G334" s="102"/>
      <c r="H334" s="103" t="str">
        <f aca="false">IF($B334="","",N($E334))</f>
        <v/>
      </c>
      <c r="I334" s="104" t="str">
        <f aca="false">IF($B334="","",$I$288+SUMIFS($G$290:$G$340,$M$290:$M$340,"&lt;="&amp;$M334)-SUMIFS($H$290:$H$340,$M$290:$M$340,"&lt;="&amp;$M334))</f>
        <v/>
      </c>
      <c r="J334" s="102"/>
      <c r="K334" s="96" t="str">
        <f aca="false">IF($B334="","","ACTUAL")</f>
        <v/>
      </c>
      <c r="L334" s="0" t="str">
        <f aca="false">IF($B334="","",IF($C334="",$E$6+41,$C334))</f>
        <v/>
      </c>
      <c r="M334" s="0" t="str">
        <f aca="false">IF($L334="","",COUNTIFS($L$290:$L$340,"&lt;"&amp;$L334)+COUNTIFS($L$290:$L334,$L334))</f>
        <v/>
      </c>
    </row>
    <row r="335" customFormat="false" ht="15" hidden="false" customHeight="true" outlineLevel="0" collapsed="false">
      <c r="B335" s="12"/>
      <c r="C335" s="100"/>
      <c r="D335" s="101" t="str">
        <f aca="false">IF($B335="","","Expense")</f>
        <v/>
      </c>
      <c r="E335" s="14"/>
      <c r="F335" s="102"/>
      <c r="G335" s="102"/>
      <c r="H335" s="103" t="str">
        <f aca="false">IF($B335="","",N($E335))</f>
        <v/>
      </c>
      <c r="I335" s="104" t="str">
        <f aca="false">IF($B335="","",$I$288+SUMIFS($G$290:$G$340,$M$290:$M$340,"&lt;="&amp;$M335)-SUMIFS($H$290:$H$340,$M$290:$M$340,"&lt;="&amp;$M335))</f>
        <v/>
      </c>
      <c r="J335" s="102"/>
      <c r="K335" s="96" t="str">
        <f aca="false">IF($B335="","","ACTUAL")</f>
        <v/>
      </c>
      <c r="L335" s="0" t="str">
        <f aca="false">IF($B335="","",IF($C335="",$E$6+41,$C335))</f>
        <v/>
      </c>
      <c r="M335" s="0" t="str">
        <f aca="false">IF($L335="","",COUNTIFS($L$290:$L$340,"&lt;"&amp;$L335)+COUNTIFS($L$290:$L335,$L335))</f>
        <v/>
      </c>
    </row>
    <row r="336" customFormat="false" ht="15" hidden="false" customHeight="true" outlineLevel="0" collapsed="false">
      <c r="B336" s="12"/>
      <c r="C336" s="100"/>
      <c r="D336" s="101" t="str">
        <f aca="false">IF($B336="","","Expense")</f>
        <v/>
      </c>
      <c r="E336" s="14"/>
      <c r="F336" s="102"/>
      <c r="G336" s="102"/>
      <c r="H336" s="103" t="str">
        <f aca="false">IF($B336="","",N($E336))</f>
        <v/>
      </c>
      <c r="I336" s="104" t="str">
        <f aca="false">IF($B336="","",$I$288+SUMIFS($G$290:$G$340,$M$290:$M$340,"&lt;="&amp;$M336)-SUMIFS($H$290:$H$340,$M$290:$M$340,"&lt;="&amp;$M336))</f>
        <v/>
      </c>
      <c r="J336" s="102"/>
      <c r="K336" s="96" t="str">
        <f aca="false">IF($B336="","","ACTUAL")</f>
        <v/>
      </c>
      <c r="L336" s="0" t="str">
        <f aca="false">IF($B336="","",IF($C336="",$E$6+41,$C336))</f>
        <v/>
      </c>
      <c r="M336" s="0" t="str">
        <f aca="false">IF($L336="","",COUNTIFS($L$290:$L$340,"&lt;"&amp;$L336)+COUNTIFS($L$290:$L336,$L336))</f>
        <v/>
      </c>
    </row>
    <row r="337" customFormat="false" ht="15" hidden="false" customHeight="true" outlineLevel="0" collapsed="false">
      <c r="B337" s="12"/>
      <c r="C337" s="100"/>
      <c r="D337" s="101" t="str">
        <f aca="false">IF($B337="","","Expense")</f>
        <v/>
      </c>
      <c r="E337" s="14"/>
      <c r="F337" s="102"/>
      <c r="G337" s="102"/>
      <c r="H337" s="103" t="str">
        <f aca="false">IF($B337="","",N($E337))</f>
        <v/>
      </c>
      <c r="I337" s="104" t="str">
        <f aca="false">IF($B337="","",$I$288+SUMIFS($G$290:$G$340,$M$290:$M$340,"&lt;="&amp;$M337)-SUMIFS($H$290:$H$340,$M$290:$M$340,"&lt;="&amp;$M337))</f>
        <v/>
      </c>
      <c r="J337" s="102"/>
      <c r="K337" s="96" t="str">
        <f aca="false">IF($B337="","","ACTUAL")</f>
        <v/>
      </c>
      <c r="L337" s="0" t="str">
        <f aca="false">IF($B337="","",IF($C337="",$E$6+41,$C337))</f>
        <v/>
      </c>
      <c r="M337" s="0" t="str">
        <f aca="false">IF($L337="","",COUNTIFS($L$290:$L$340,"&lt;"&amp;$L337)+COUNTIFS($L$290:$L337,$L337))</f>
        <v/>
      </c>
    </row>
    <row r="338" customFormat="false" ht="15" hidden="false" customHeight="true" outlineLevel="0" collapsed="false">
      <c r="B338" s="12"/>
      <c r="C338" s="100"/>
      <c r="D338" s="101" t="str">
        <f aca="false">IF($B338="","","Expense")</f>
        <v/>
      </c>
      <c r="E338" s="14"/>
      <c r="F338" s="102"/>
      <c r="G338" s="102"/>
      <c r="H338" s="103" t="str">
        <f aca="false">IF($B338="","",N($E338))</f>
        <v/>
      </c>
      <c r="I338" s="104" t="str">
        <f aca="false">IF($B338="","",$I$288+SUMIFS($G$290:$G$340,$M$290:$M$340,"&lt;="&amp;$M338)-SUMIFS($H$290:$H$340,$M$290:$M$340,"&lt;="&amp;$M338))</f>
        <v/>
      </c>
      <c r="J338" s="102"/>
      <c r="K338" s="96" t="str">
        <f aca="false">IF($B338="","","ACTUAL")</f>
        <v/>
      </c>
      <c r="L338" s="0" t="str">
        <f aca="false">IF($B338="","",IF($C338="",$E$6+41,$C338))</f>
        <v/>
      </c>
      <c r="M338" s="0" t="str">
        <f aca="false">IF($L338="","",COUNTIFS($L$290:$L$340,"&lt;"&amp;$L338)+COUNTIFS($L$290:$L338,$L338))</f>
        <v/>
      </c>
    </row>
    <row r="339" customFormat="false" ht="15" hidden="false" customHeight="true" outlineLevel="0" collapsed="false">
      <c r="B339" s="12"/>
      <c r="C339" s="100"/>
      <c r="D339" s="101" t="str">
        <f aca="false">IF($B339="","","Expense")</f>
        <v/>
      </c>
      <c r="E339" s="14"/>
      <c r="F339" s="102"/>
      <c r="G339" s="102"/>
      <c r="H339" s="103" t="str">
        <f aca="false">IF($B339="","",N($E339))</f>
        <v/>
      </c>
      <c r="I339" s="104" t="str">
        <f aca="false">IF($B339="","",$I$288+SUMIFS($G$290:$G$340,$M$290:$M$340,"&lt;="&amp;$M339)-SUMIFS($H$290:$H$340,$M$290:$M$340,"&lt;="&amp;$M339))</f>
        <v/>
      </c>
      <c r="J339" s="102"/>
      <c r="K339" s="96" t="str">
        <f aca="false">IF($B339="","","ACTUAL")</f>
        <v/>
      </c>
      <c r="L339" s="0" t="str">
        <f aca="false">IF($B339="","",IF($C339="",$E$6+41,$C339))</f>
        <v/>
      </c>
      <c r="M339" s="0" t="str">
        <f aca="false">IF($L339="","",COUNTIFS($L$290:$L$340,"&lt;"&amp;$L339)+COUNTIFS($L$290:$L339,$L339))</f>
        <v/>
      </c>
    </row>
    <row r="340" customFormat="false" ht="15" hidden="false" customHeight="true" outlineLevel="0" collapsed="false">
      <c r="B340" s="105" t="str">
        <f aca="false">"Everyday spending still expected this week"</f>
        <v>Everyday spending still expected this week</v>
      </c>
      <c r="C340" s="106" t="n">
        <f aca="false">$E$6+41</f>
        <v>46290</v>
      </c>
      <c r="D340" s="101" t="str">
        <f aca="false">IF($B340="","","Expense")</f>
        <v>Expense</v>
      </c>
      <c r="E340" s="107" t="n">
        <f aca="false">MAX(0,$E$8-SUM($E$301:$E$339))</f>
        <v>400</v>
      </c>
      <c r="F340" s="102"/>
      <c r="G340" s="102"/>
      <c r="H340" s="103" t="n">
        <f aca="false">IF($B340="","",N($E340))</f>
        <v>400</v>
      </c>
      <c r="I340" s="104" t="n">
        <f aca="false">IF($B340="","",$I$288+SUMIFS($G$290:$G$340,$M$290:$M$340,"&lt;="&amp;$M340)-SUMIFS($H$290:$H$340,$M$290:$M$340,"&lt;="&amp;$M340))</f>
        <v>408.02</v>
      </c>
      <c r="J340" s="102"/>
      <c r="K340" s="96" t="str">
        <f aca="false">"FORECAST"</f>
        <v>FORECAST</v>
      </c>
      <c r="L340" s="97" t="n">
        <f aca="false">IF($B340="","",IF($C340="",$E$6+41,$C340))</f>
        <v>46290</v>
      </c>
      <c r="M340" s="0" t="n">
        <f aca="false">IF($L340="","",COUNTIFS($L$290:$L$340,"&lt;"&amp;$L340)+COUNTIFS($L$290:$L340,$L340))</f>
        <v>5</v>
      </c>
    </row>
    <row r="341" customFormat="false" ht="15" hidden="false" customHeight="true" outlineLevel="0" collapsed="false">
      <c r="B341" s="108" t="s">
        <v>174</v>
      </c>
      <c r="C341" s="57"/>
      <c r="D341" s="57"/>
      <c r="E341" s="57"/>
      <c r="F341" s="57"/>
      <c r="G341" s="56" t="n">
        <f aca="false">SUM($G$290:$G$340)</f>
        <v>835</v>
      </c>
      <c r="H341" s="56" t="n">
        <f aca="false">SUM($H$290:$H$340)</f>
        <v>584.8</v>
      </c>
      <c r="I341" s="109" t="n">
        <f aca="false">$I$288+$G$341-$H$341</f>
        <v>408.02</v>
      </c>
      <c r="J341" s="110" t="str">
        <f aca="false">IF($I$341&lt;0,"SHORTFALL",IF($I$341&lt;$E$7,"TIGHT","OK"))</f>
        <v>OK</v>
      </c>
      <c r="K341" s="111"/>
      <c r="N341" s="111" t="str">
        <f aca="false">IF(COUNT($I$290:$I$340)=0,"","Lowest point this week: "&amp;TEXT(MIN($I$290:$I$340),"$#,##0.00;-$#,##0.00")&amp;" on "&amp;TEXT(INDEX($C$290:$C$340,MATCH(MIN($I$290:$I$340),$I$290:$I$340,0)),"ddd mmm d")&amp;"     (in "&amp;TEXT($G$341,"$#,##0.00")&amp;", out "&amp;TEXT($H$341,"$#,##0.00")&amp;")")</f>
        <v>Lowest point this week: -$26.98 on Tue Sep 22     (in $835.00, out $584.80)</v>
      </c>
    </row>
    <row r="343" customFormat="false" ht="21.75" hidden="false" customHeight="true" outlineLevel="0" collapsed="false">
      <c r="B343" s="82" t="str">
        <f aca="false">"WEEK 7     "&amp;TEXT($E$6+42,"ddd, mmm d")&amp;"   through   "&amp;TEXT($E$6+42+6,"ddd, mmm d, yyyy")</f>
        <v>WEEK 7     Sat, Sep 26   through   Fri, Oct 2, 2026</v>
      </c>
      <c r="C343" s="83"/>
      <c r="D343" s="83"/>
      <c r="E343" s="83"/>
      <c r="F343" s="83"/>
      <c r="G343" s="84" t="s">
        <v>139</v>
      </c>
      <c r="H343" s="83"/>
      <c r="I343" s="85" t="n">
        <f aca="false">$I$341</f>
        <v>408.02</v>
      </c>
      <c r="J343" s="83"/>
      <c r="K343" s="86"/>
      <c r="N343" s="86" t="str">
        <f aca="false">IF(COUNTIF(Schedule!$I$4:$I$483,7)&gt;10,"! "&amp;COUNTIF(Schedule!$I$4:$I$483,7)-10&amp;" more transaction(s) fall in this week than there are rows to show them.","")</f>
        <v/>
      </c>
    </row>
    <row r="344" customFormat="false" ht="25.5" hidden="false" customHeight="true" outlineLevel="0" collapsed="false">
      <c r="B344" s="87" t="s">
        <v>140</v>
      </c>
      <c r="C344" s="87" t="s">
        <v>141</v>
      </c>
      <c r="D344" s="87" t="s">
        <v>42</v>
      </c>
      <c r="E344" s="87" t="s">
        <v>142</v>
      </c>
      <c r="F344" s="87" t="s">
        <v>143</v>
      </c>
      <c r="G344" s="36" t="s">
        <v>144</v>
      </c>
      <c r="H344" s="37" t="s">
        <v>145</v>
      </c>
      <c r="I344" s="87" t="s">
        <v>146</v>
      </c>
      <c r="J344" s="87" t="s">
        <v>14</v>
      </c>
      <c r="K344" s="87" t="s">
        <v>147</v>
      </c>
    </row>
    <row r="345" customFormat="false" ht="15" hidden="false" customHeight="true" outlineLevel="0" collapsed="false">
      <c r="B345" s="7" t="str">
        <f aca="false">IFERROR(INDEX(Schedule!$C$4:$C$483,MATCH(7001,Schedule!$K$4:$K$483,0)),"")</f>
        <v>Bruno's Restaurant (paycheck)</v>
      </c>
      <c r="C345" s="88" t="n">
        <f aca="false">IF($B345="","",INDEX(Schedule!$G$4:$G$483,MATCH(7001,Schedule!$K$4:$K$483,0)))</f>
        <v>46295</v>
      </c>
      <c r="D345" s="89" t="str">
        <f aca="false">IF($B345="","",INDEX(Schedule!$D$4:$D$483,MATCH(7001,Schedule!$K$4:$K$483,0)))</f>
        <v>Income</v>
      </c>
      <c r="E345" s="90" t="n">
        <f aca="false">IF($B345="","",INDEX(Schedule!$E$4:$E$483,MATCH(7001,Schedule!$K$4:$K$483,0)))</f>
        <v>90</v>
      </c>
      <c r="F345" s="91"/>
      <c r="G345" s="92" t="n">
        <f aca="false">IF($B345="","",IF($D345="Income",IF($F345&lt;&gt;"",$F345,IF(COUNTIFS('Paid Log'!$B$9:$B$308,$C345,'Paid Log'!$C$9:$C$308,$B345)&gt;0,SUMIFS('Paid Log'!$D$9:$D$308,'Paid Log'!$B$9:$B$308,$C345,'Paid Log'!$C$9:$C$308,$B345),$E345)),""))</f>
        <v>90</v>
      </c>
      <c r="H345" s="93" t="str">
        <f aca="false">IF($B345="","",IF($D345="Income","",IF($F345&lt;&gt;"",$F345,IF(COUNTIFS('Paid Log'!$B$9:$B$308,$C345,'Paid Log'!$C$9:$C$308,$B345)&gt;0,SUMIFS('Paid Log'!$D$9:$D$308,'Paid Log'!$B$9:$B$308,$C345,'Paid Log'!$C$9:$C$308,$B345),$E345))))</f>
        <v/>
      </c>
      <c r="I345" s="94" t="n">
        <f aca="false">IF($B345="","",$I$343+SUMIFS($G$345:$G$395,$M$345:$M$395,"&lt;="&amp;$M345)-SUMIFS($H$345:$H$395,$M$345:$M$395,"&lt;="&amp;$M345))</f>
        <v>498.02</v>
      </c>
      <c r="J345" s="95" t="str">
        <f aca="true">IF($B345="","",IF(OR($F345&lt;&gt;"",COUNTIFS('Paid Log'!$B$9:$B$308,$C345,'Paid Log'!$C$9:$C$308,$B345)&gt;0),IF($C345&gt;TODAY(),"ADJUSTED","PAID"),IF($C345&lt;TODAY(),"PAST DUE",IF($C345&lt;=TODAY()+7,"DUE","Upcoming"))))</f>
        <v>Upcoming</v>
      </c>
      <c r="K345" s="96" t="str">
        <f aca="false">IF($B345="","",IF(OR($F345&lt;&gt;"",COUNTIFS('Paid Log'!$B$9:$B$308,$C345,'Paid Log'!$C$9:$C$308,$B345)&gt;0),"ACTUAL","FORECAST"))</f>
        <v>FORECAST</v>
      </c>
      <c r="L345" s="97" t="n">
        <f aca="false">IF($B345="","",$C345)</f>
        <v>46295</v>
      </c>
      <c r="M345" s="0" t="n">
        <f aca="false">IF($L345="","",COUNTIFS($L$345:$L$395,"&lt;"&amp;$L345)+COUNTIFS($L$345:$L345,$L345))</f>
        <v>1</v>
      </c>
    </row>
    <row r="346" customFormat="false" ht="15" hidden="false" customHeight="true" outlineLevel="0" collapsed="false">
      <c r="B346" s="7" t="str">
        <f aca="false">IFERROR(INDEX(Schedule!$C$4:$C$483,MATCH(7002,Schedule!$K$4:$K$483,0)),"")</f>
        <v>Patrick Rombalski (rent)</v>
      </c>
      <c r="C346" s="88" t="n">
        <f aca="false">IF($B346="","",INDEX(Schedule!$G$4:$G$483,MATCH(7002,Schedule!$K$4:$K$483,0)))</f>
        <v>46295</v>
      </c>
      <c r="D346" s="89" t="str">
        <f aca="false">IF($B346="","",INDEX(Schedule!$D$4:$D$483,MATCH(7002,Schedule!$K$4:$K$483,0)))</f>
        <v>Expense</v>
      </c>
      <c r="E346" s="90" t="n">
        <f aca="false">IF($B346="","",INDEX(Schedule!$E$4:$E$483,MATCH(7002,Schedule!$K$4:$K$483,0)))</f>
        <v>350</v>
      </c>
      <c r="F346" s="91"/>
      <c r="G346" s="92" t="str">
        <f aca="false">IF($B346="","",IF($D346="Income",IF($F346&lt;&gt;"",$F346,IF(COUNTIFS('Paid Log'!$B$9:$B$308,$C346,'Paid Log'!$C$9:$C$308,$B346)&gt;0,SUMIFS('Paid Log'!$D$9:$D$308,'Paid Log'!$B$9:$B$308,$C346,'Paid Log'!$C$9:$C$308,$B346),$E346)),""))</f>
        <v/>
      </c>
      <c r="H346" s="93" t="n">
        <f aca="false">IF($B346="","",IF($D346="Income","",IF($F346&lt;&gt;"",$F346,IF(COUNTIFS('Paid Log'!$B$9:$B$308,$C346,'Paid Log'!$C$9:$C$308,$B346)&gt;0,SUMIFS('Paid Log'!$D$9:$D$308,'Paid Log'!$B$9:$B$308,$C346,'Paid Log'!$C$9:$C$308,$B346),$E346))))</f>
        <v>350</v>
      </c>
      <c r="I346" s="94" t="n">
        <f aca="false">IF($B346="","",$I$343+SUMIFS($G$345:$G$395,$M$345:$M$395,"&lt;="&amp;$M346)-SUMIFS($H$345:$H$395,$M$345:$M$395,"&lt;="&amp;$M346))</f>
        <v>148.02</v>
      </c>
      <c r="J346" s="95" t="str">
        <f aca="true">IF($B346="","",IF(OR($F346&lt;&gt;"",COUNTIFS('Paid Log'!$B$9:$B$308,$C346,'Paid Log'!$C$9:$C$308,$B346)&gt;0),IF($C346&gt;TODAY(),"ADJUSTED","PAID"),IF($C346&lt;TODAY(),"PAST DUE",IF($C346&lt;=TODAY()+7,"DUE","Upcoming"))))</f>
        <v>Upcoming</v>
      </c>
      <c r="K346" s="96" t="str">
        <f aca="false">IF($B346="","",IF(OR($F346&lt;&gt;"",COUNTIFS('Paid Log'!$B$9:$B$308,$C346,'Paid Log'!$C$9:$C$308,$B346)&gt;0),"ACTUAL","FORECAST"))</f>
        <v>FORECAST</v>
      </c>
      <c r="L346" s="97" t="n">
        <f aca="false">IF($B346="","",$C346)</f>
        <v>46295</v>
      </c>
      <c r="M346" s="0" t="n">
        <f aca="false">IF($L346="","",COUNTIFS($L$345:$L$395,"&lt;"&amp;$L346)+COUNTIFS($L$345:$L346,$L346))</f>
        <v>2</v>
      </c>
    </row>
    <row r="347" customFormat="false" ht="15" hidden="false" customHeight="true" outlineLevel="0" collapsed="false">
      <c r="B347" s="7" t="str">
        <f aca="false">IFERROR(INDEX(Schedule!$C$4:$C$483,MATCH(7003,Schedule!$K$4:$K$483,0)),"")</f>
        <v>Maine Revenue Services (2)</v>
      </c>
      <c r="C347" s="88" t="n">
        <f aca="false">IF($B347="","",INDEX(Schedule!$G$4:$G$483,MATCH(7003,Schedule!$K$4:$K$483,0)))</f>
        <v>46295</v>
      </c>
      <c r="D347" s="89" t="str">
        <f aca="false">IF($B347="","",INDEX(Schedule!$D$4:$D$483,MATCH(7003,Schedule!$K$4:$K$483,0)))</f>
        <v>Expense</v>
      </c>
      <c r="E347" s="90" t="n">
        <f aca="false">IF($B347="","",INDEX(Schedule!$E$4:$E$483,MATCH(7003,Schedule!$K$4:$K$483,0)))</f>
        <v>150</v>
      </c>
      <c r="F347" s="91"/>
      <c r="G347" s="92" t="str">
        <f aca="false">IF($B347="","",IF($D347="Income",IF($F347&lt;&gt;"",$F347,IF(COUNTIFS('Paid Log'!$B$9:$B$308,$C347,'Paid Log'!$C$9:$C$308,$B347)&gt;0,SUMIFS('Paid Log'!$D$9:$D$308,'Paid Log'!$B$9:$B$308,$C347,'Paid Log'!$C$9:$C$308,$B347),$E347)),""))</f>
        <v/>
      </c>
      <c r="H347" s="93" t="n">
        <f aca="false">IF($B347="","",IF($D347="Income","",IF($F347&lt;&gt;"",$F347,IF(COUNTIFS('Paid Log'!$B$9:$B$308,$C347,'Paid Log'!$C$9:$C$308,$B347)&gt;0,SUMIFS('Paid Log'!$D$9:$D$308,'Paid Log'!$B$9:$B$308,$C347,'Paid Log'!$C$9:$C$308,$B347),$E347))))</f>
        <v>150</v>
      </c>
      <c r="I347" s="94" t="n">
        <f aca="false">IF($B347="","",$I$343+SUMIFS($G$345:$G$395,$M$345:$M$395,"&lt;="&amp;$M347)-SUMIFS($H$345:$H$395,$M$345:$M$395,"&lt;="&amp;$M347))</f>
        <v>-1.97999999999979</v>
      </c>
      <c r="J347" s="95" t="str">
        <f aca="true">IF($B347="","",IF(OR($F347&lt;&gt;"",COUNTIFS('Paid Log'!$B$9:$B$308,$C347,'Paid Log'!$C$9:$C$308,$B347)&gt;0),IF($C347&gt;TODAY(),"ADJUSTED","PAID"),IF($C347&lt;TODAY(),"PAST DUE",IF($C347&lt;=TODAY()+7,"DUE","Upcoming"))))</f>
        <v>Upcoming</v>
      </c>
      <c r="K347" s="96" t="str">
        <f aca="false">IF($B347="","",IF(OR($F347&lt;&gt;"",COUNTIFS('Paid Log'!$B$9:$B$308,$C347,'Paid Log'!$C$9:$C$308,$B347)&gt;0),"ACTUAL","FORECAST"))</f>
        <v>FORECAST</v>
      </c>
      <c r="L347" s="97" t="n">
        <f aca="false">IF($B347="","",$C347)</f>
        <v>46295</v>
      </c>
      <c r="M347" s="0" t="n">
        <f aca="false">IF($L347="","",COUNTIFS($L$345:$L$395,"&lt;"&amp;$L347)+COUNTIFS($L$345:$L347,$L347))</f>
        <v>3</v>
      </c>
    </row>
    <row r="348" customFormat="false" ht="15" hidden="false" customHeight="true" outlineLevel="0" collapsed="false">
      <c r="B348" s="7" t="str">
        <f aca="false">IFERROR(INDEX(Schedule!$C$4:$C$483,MATCH(7004,Schedule!$K$4:$K$483,0)),"")</f>
        <v>Progressive Insurance</v>
      </c>
      <c r="C348" s="88" t="n">
        <f aca="false">IF($B348="","",INDEX(Schedule!$G$4:$G$483,MATCH(7004,Schedule!$K$4:$K$483,0)))</f>
        <v>46295</v>
      </c>
      <c r="D348" s="89" t="str">
        <f aca="false">IF($B348="","",INDEX(Schedule!$D$4:$D$483,MATCH(7004,Schedule!$K$4:$K$483,0)))</f>
        <v>Expense</v>
      </c>
      <c r="E348" s="90" t="n">
        <f aca="false">IF($B348="","",INDEX(Schedule!$E$4:$E$483,MATCH(7004,Schedule!$K$4:$K$483,0)))</f>
        <v>143.37</v>
      </c>
      <c r="F348" s="91"/>
      <c r="G348" s="92" t="str">
        <f aca="false">IF($B348="","",IF($D348="Income",IF($F348&lt;&gt;"",$F348,IF(COUNTIFS('Paid Log'!$B$9:$B$308,$C348,'Paid Log'!$C$9:$C$308,$B348)&gt;0,SUMIFS('Paid Log'!$D$9:$D$308,'Paid Log'!$B$9:$B$308,$C348,'Paid Log'!$C$9:$C$308,$B348),$E348)),""))</f>
        <v/>
      </c>
      <c r="H348" s="93" t="n">
        <f aca="false">IF($B348="","",IF($D348="Income","",IF($F348&lt;&gt;"",$F348,IF(COUNTIFS('Paid Log'!$B$9:$B$308,$C348,'Paid Log'!$C$9:$C$308,$B348)&gt;0,SUMIFS('Paid Log'!$D$9:$D$308,'Paid Log'!$B$9:$B$308,$C348,'Paid Log'!$C$9:$C$308,$B348),$E348))))</f>
        <v>143.37</v>
      </c>
      <c r="I348" s="94" t="n">
        <f aca="false">IF($B348="","",$I$343+SUMIFS($G$345:$G$395,$M$345:$M$395,"&lt;="&amp;$M348)-SUMIFS($H$345:$H$395,$M$345:$M$395,"&lt;="&amp;$M348))</f>
        <v>-145.35</v>
      </c>
      <c r="J348" s="95" t="str">
        <f aca="true">IF($B348="","",IF(OR($F348&lt;&gt;"",COUNTIFS('Paid Log'!$B$9:$B$308,$C348,'Paid Log'!$C$9:$C$308,$B348)&gt;0),IF($C348&gt;TODAY(),"ADJUSTED","PAID"),IF($C348&lt;TODAY(),"PAST DUE",IF($C348&lt;=TODAY()+7,"DUE","Upcoming"))))</f>
        <v>Upcoming</v>
      </c>
      <c r="K348" s="96" t="str">
        <f aca="false">IF($B348="","",IF(OR($F348&lt;&gt;"",COUNTIFS('Paid Log'!$B$9:$B$308,$C348,'Paid Log'!$C$9:$C$308,$B348)&gt;0),"ACTUAL","FORECAST"))</f>
        <v>FORECAST</v>
      </c>
      <c r="L348" s="97" t="n">
        <f aca="false">IF($B348="","",$C348)</f>
        <v>46295</v>
      </c>
      <c r="M348" s="0" t="n">
        <f aca="false">IF($L348="","",COUNTIFS($L$345:$L$395,"&lt;"&amp;$L348)+COUNTIFS($L$345:$L348,$L348))</f>
        <v>4</v>
      </c>
    </row>
    <row r="349" customFormat="false" ht="15" hidden="false" customHeight="true" outlineLevel="0" collapsed="false">
      <c r="B349" s="7" t="str">
        <f aca="false">IFERROR(INDEX(Schedule!$C$4:$C$483,MATCH(7005,Schedule!$K$4:$K$483,0)),"")</f>
        <v>Compunnel Software (paycheck)</v>
      </c>
      <c r="C349" s="88" t="n">
        <f aca="false">IF($B349="","",INDEX(Schedule!$G$4:$G$483,MATCH(7005,Schedule!$K$4:$K$483,0)))</f>
        <v>46297</v>
      </c>
      <c r="D349" s="89" t="str">
        <f aca="false">IF($B349="","",INDEX(Schedule!$D$4:$D$483,MATCH(7005,Schedule!$K$4:$K$483,0)))</f>
        <v>Income</v>
      </c>
      <c r="E349" s="90" t="n">
        <f aca="false">IF($B349="","",INDEX(Schedule!$E$4:$E$483,MATCH(7005,Schedule!$K$4:$K$483,0)))</f>
        <v>745</v>
      </c>
      <c r="F349" s="91"/>
      <c r="G349" s="92" t="n">
        <f aca="false">IF($B349="","",IF($D349="Income",IF($F349&lt;&gt;"",$F349,IF(COUNTIFS('Paid Log'!$B$9:$B$308,$C349,'Paid Log'!$C$9:$C$308,$B349)&gt;0,SUMIFS('Paid Log'!$D$9:$D$308,'Paid Log'!$B$9:$B$308,$C349,'Paid Log'!$C$9:$C$308,$B349),$E349)),""))</f>
        <v>745</v>
      </c>
      <c r="H349" s="93" t="str">
        <f aca="false">IF($B349="","",IF($D349="Income","",IF($F349&lt;&gt;"",$F349,IF(COUNTIFS('Paid Log'!$B$9:$B$308,$C349,'Paid Log'!$C$9:$C$308,$B349)&gt;0,SUMIFS('Paid Log'!$D$9:$D$308,'Paid Log'!$B$9:$B$308,$C349,'Paid Log'!$C$9:$C$308,$B349),$E349))))</f>
        <v/>
      </c>
      <c r="I349" s="94" t="n">
        <f aca="false">IF($B349="","",$I$343+SUMIFS($G$345:$G$395,$M$345:$M$395,"&lt;="&amp;$M349)-SUMIFS($H$345:$H$395,$M$345:$M$395,"&lt;="&amp;$M349))</f>
        <v>599.65</v>
      </c>
      <c r="J349" s="95" t="str">
        <f aca="true">IF($B349="","",IF(OR($F349&lt;&gt;"",COUNTIFS('Paid Log'!$B$9:$B$308,$C349,'Paid Log'!$C$9:$C$308,$B349)&gt;0),IF($C349&gt;TODAY(),"ADJUSTED","PAID"),IF($C349&lt;TODAY(),"PAST DUE",IF($C349&lt;=TODAY()+7,"DUE","Upcoming"))))</f>
        <v>Upcoming</v>
      </c>
      <c r="K349" s="96" t="str">
        <f aca="false">IF($B349="","",IF(OR($F349&lt;&gt;"",COUNTIFS('Paid Log'!$B$9:$B$308,$C349,'Paid Log'!$C$9:$C$308,$B349)&gt;0),"ACTUAL","FORECAST"))</f>
        <v>FORECAST</v>
      </c>
      <c r="L349" s="97" t="n">
        <f aca="false">IF($B349="","",$C349)</f>
        <v>46297</v>
      </c>
      <c r="M349" s="0" t="n">
        <f aca="false">IF($L349="","",COUNTIFS($L$345:$L$395,"&lt;"&amp;$L349)+COUNTIFS($L$345:$L349,$L349))</f>
        <v>5</v>
      </c>
    </row>
    <row r="350" customFormat="false" ht="15" hidden="false" customHeight="true" outlineLevel="0" collapsed="false">
      <c r="B350" s="7" t="str">
        <f aca="false">IFERROR(INDEX(Schedule!$C$4:$C$483,MATCH(7006,Schedule!$K$4:$K$483,0)),"")</f>
        <v/>
      </c>
      <c r="C350" s="88" t="str">
        <f aca="false">IF($B350="","",INDEX(Schedule!$G$4:$G$483,MATCH(7006,Schedule!$K$4:$K$483,0)))</f>
        <v/>
      </c>
      <c r="D350" s="89" t="str">
        <f aca="false">IF($B350="","",INDEX(Schedule!$D$4:$D$483,MATCH(7006,Schedule!$K$4:$K$483,0)))</f>
        <v/>
      </c>
      <c r="E350" s="90" t="str">
        <f aca="false">IF($B350="","",INDEX(Schedule!$E$4:$E$483,MATCH(7006,Schedule!$K$4:$K$483,0)))</f>
        <v/>
      </c>
      <c r="F350" s="91"/>
      <c r="G350" s="92" t="str">
        <f aca="false">IF($B350="","",IF($D350="Income",IF($F350&lt;&gt;"",$F350,IF(COUNTIFS('Paid Log'!$B$9:$B$308,$C350,'Paid Log'!$C$9:$C$308,$B350)&gt;0,SUMIFS('Paid Log'!$D$9:$D$308,'Paid Log'!$B$9:$B$308,$C350,'Paid Log'!$C$9:$C$308,$B350),$E350)),""))</f>
        <v/>
      </c>
      <c r="H350" s="93" t="str">
        <f aca="false">IF($B350="","",IF($D350="Income","",IF($F350&lt;&gt;"",$F350,IF(COUNTIFS('Paid Log'!$B$9:$B$308,$C350,'Paid Log'!$C$9:$C$308,$B350)&gt;0,SUMIFS('Paid Log'!$D$9:$D$308,'Paid Log'!$B$9:$B$308,$C350,'Paid Log'!$C$9:$C$308,$B350),$E350))))</f>
        <v/>
      </c>
      <c r="I350" s="94" t="str">
        <f aca="false">IF($B350="","",$I$343+SUMIFS($G$345:$G$395,$M$345:$M$395,"&lt;="&amp;$M350)-SUMIFS($H$345:$H$395,$M$345:$M$395,"&lt;="&amp;$M350))</f>
        <v/>
      </c>
      <c r="J350" s="95" t="str">
        <f aca="true">IF($B350="","",IF(OR($F350&lt;&gt;"",COUNTIFS('Paid Log'!$B$9:$B$308,$C350,'Paid Log'!$C$9:$C$308,$B350)&gt;0),IF($C350&gt;TODAY(),"ADJUSTED","PAID"),IF($C350&lt;TODAY(),"PAST DUE",IF($C350&lt;=TODAY()+7,"DUE","Upcoming"))))</f>
        <v/>
      </c>
      <c r="K350" s="96" t="str">
        <f aca="false">IF($B350="","",IF(OR($F350&lt;&gt;"",COUNTIFS('Paid Log'!$B$9:$B$308,$C350,'Paid Log'!$C$9:$C$308,$B350)&gt;0),"ACTUAL","FORECAST"))</f>
        <v/>
      </c>
      <c r="L350" s="0" t="str">
        <f aca="false">IF($B350="","",$C350)</f>
        <v/>
      </c>
      <c r="M350" s="0" t="str">
        <f aca="false">IF($L350="","",COUNTIFS($L$345:$L$395,"&lt;"&amp;$L350)+COUNTIFS($L$345:$L350,$L350))</f>
        <v/>
      </c>
    </row>
    <row r="351" customFormat="false" ht="15" hidden="false" customHeight="true" outlineLevel="0" collapsed="false">
      <c r="B351" s="7" t="str">
        <f aca="false">IFERROR(INDEX(Schedule!$C$4:$C$483,MATCH(7007,Schedule!$K$4:$K$483,0)),"")</f>
        <v/>
      </c>
      <c r="C351" s="88" t="str">
        <f aca="false">IF($B351="","",INDEX(Schedule!$G$4:$G$483,MATCH(7007,Schedule!$K$4:$K$483,0)))</f>
        <v/>
      </c>
      <c r="D351" s="89" t="str">
        <f aca="false">IF($B351="","",INDEX(Schedule!$D$4:$D$483,MATCH(7007,Schedule!$K$4:$K$483,0)))</f>
        <v/>
      </c>
      <c r="E351" s="90" t="str">
        <f aca="false">IF($B351="","",INDEX(Schedule!$E$4:$E$483,MATCH(7007,Schedule!$K$4:$K$483,0)))</f>
        <v/>
      </c>
      <c r="F351" s="91"/>
      <c r="G351" s="92" t="str">
        <f aca="false">IF($B351="","",IF($D351="Income",IF($F351&lt;&gt;"",$F351,IF(COUNTIFS('Paid Log'!$B$9:$B$308,$C351,'Paid Log'!$C$9:$C$308,$B351)&gt;0,SUMIFS('Paid Log'!$D$9:$D$308,'Paid Log'!$B$9:$B$308,$C351,'Paid Log'!$C$9:$C$308,$B351),$E351)),""))</f>
        <v/>
      </c>
      <c r="H351" s="93" t="str">
        <f aca="false">IF($B351="","",IF($D351="Income","",IF($F351&lt;&gt;"",$F351,IF(COUNTIFS('Paid Log'!$B$9:$B$308,$C351,'Paid Log'!$C$9:$C$308,$B351)&gt;0,SUMIFS('Paid Log'!$D$9:$D$308,'Paid Log'!$B$9:$B$308,$C351,'Paid Log'!$C$9:$C$308,$B351),$E351))))</f>
        <v/>
      </c>
      <c r="I351" s="94" t="str">
        <f aca="false">IF($B351="","",$I$343+SUMIFS($G$345:$G$395,$M$345:$M$395,"&lt;="&amp;$M351)-SUMIFS($H$345:$H$395,$M$345:$M$395,"&lt;="&amp;$M351))</f>
        <v/>
      </c>
      <c r="J351" s="95" t="str">
        <f aca="true">IF($B351="","",IF(OR($F351&lt;&gt;"",COUNTIFS('Paid Log'!$B$9:$B$308,$C351,'Paid Log'!$C$9:$C$308,$B351)&gt;0),IF($C351&gt;TODAY(),"ADJUSTED","PAID"),IF($C351&lt;TODAY(),"PAST DUE",IF($C351&lt;=TODAY()+7,"DUE","Upcoming"))))</f>
        <v/>
      </c>
      <c r="K351" s="96" t="str">
        <f aca="false">IF($B351="","",IF(OR($F351&lt;&gt;"",COUNTIFS('Paid Log'!$B$9:$B$308,$C351,'Paid Log'!$C$9:$C$308,$B351)&gt;0),"ACTUAL","FORECAST"))</f>
        <v/>
      </c>
      <c r="L351" s="0" t="str">
        <f aca="false">IF($B351="","",$C351)</f>
        <v/>
      </c>
      <c r="M351" s="0" t="str">
        <f aca="false">IF($L351="","",COUNTIFS($L$345:$L$395,"&lt;"&amp;$L351)+COUNTIFS($L$345:$L351,$L351))</f>
        <v/>
      </c>
    </row>
    <row r="352" customFormat="false" ht="15" hidden="false" customHeight="true" outlineLevel="0" collapsed="false">
      <c r="B352" s="7" t="str">
        <f aca="false">IFERROR(INDEX(Schedule!$C$4:$C$483,MATCH(7008,Schedule!$K$4:$K$483,0)),"")</f>
        <v/>
      </c>
      <c r="C352" s="88" t="str">
        <f aca="false">IF($B352="","",INDEX(Schedule!$G$4:$G$483,MATCH(7008,Schedule!$K$4:$K$483,0)))</f>
        <v/>
      </c>
      <c r="D352" s="89" t="str">
        <f aca="false">IF($B352="","",INDEX(Schedule!$D$4:$D$483,MATCH(7008,Schedule!$K$4:$K$483,0)))</f>
        <v/>
      </c>
      <c r="E352" s="90" t="str">
        <f aca="false">IF($B352="","",INDEX(Schedule!$E$4:$E$483,MATCH(7008,Schedule!$K$4:$K$483,0)))</f>
        <v/>
      </c>
      <c r="F352" s="91"/>
      <c r="G352" s="92" t="str">
        <f aca="false">IF($B352="","",IF($D352="Income",IF($F352&lt;&gt;"",$F352,IF(COUNTIFS('Paid Log'!$B$9:$B$308,$C352,'Paid Log'!$C$9:$C$308,$B352)&gt;0,SUMIFS('Paid Log'!$D$9:$D$308,'Paid Log'!$B$9:$B$308,$C352,'Paid Log'!$C$9:$C$308,$B352),$E352)),""))</f>
        <v/>
      </c>
      <c r="H352" s="93" t="str">
        <f aca="false">IF($B352="","",IF($D352="Income","",IF($F352&lt;&gt;"",$F352,IF(COUNTIFS('Paid Log'!$B$9:$B$308,$C352,'Paid Log'!$C$9:$C$308,$B352)&gt;0,SUMIFS('Paid Log'!$D$9:$D$308,'Paid Log'!$B$9:$B$308,$C352,'Paid Log'!$C$9:$C$308,$B352),$E352))))</f>
        <v/>
      </c>
      <c r="I352" s="94" t="str">
        <f aca="false">IF($B352="","",$I$343+SUMIFS($G$345:$G$395,$M$345:$M$395,"&lt;="&amp;$M352)-SUMIFS($H$345:$H$395,$M$345:$M$395,"&lt;="&amp;$M352))</f>
        <v/>
      </c>
      <c r="J352" s="95" t="str">
        <f aca="true">IF($B352="","",IF(OR($F352&lt;&gt;"",COUNTIFS('Paid Log'!$B$9:$B$308,$C352,'Paid Log'!$C$9:$C$308,$B352)&gt;0),IF($C352&gt;TODAY(),"ADJUSTED","PAID"),IF($C352&lt;TODAY(),"PAST DUE",IF($C352&lt;=TODAY()+7,"DUE","Upcoming"))))</f>
        <v/>
      </c>
      <c r="K352" s="96" t="str">
        <f aca="false">IF($B352="","",IF(OR($F352&lt;&gt;"",COUNTIFS('Paid Log'!$B$9:$B$308,$C352,'Paid Log'!$C$9:$C$308,$B352)&gt;0),"ACTUAL","FORECAST"))</f>
        <v/>
      </c>
      <c r="L352" s="0" t="str">
        <f aca="false">IF($B352="","",$C352)</f>
        <v/>
      </c>
      <c r="M352" s="0" t="str">
        <f aca="false">IF($L352="","",COUNTIFS($L$345:$L$395,"&lt;"&amp;$L352)+COUNTIFS($L$345:$L352,$L352))</f>
        <v/>
      </c>
    </row>
    <row r="353" customFormat="false" ht="15" hidden="false" customHeight="true" outlineLevel="0" collapsed="false">
      <c r="B353" s="7" t="str">
        <f aca="false">IFERROR(INDEX(Schedule!$C$4:$C$483,MATCH(7009,Schedule!$K$4:$K$483,0)),"")</f>
        <v/>
      </c>
      <c r="C353" s="88" t="str">
        <f aca="false">IF($B353="","",INDEX(Schedule!$G$4:$G$483,MATCH(7009,Schedule!$K$4:$K$483,0)))</f>
        <v/>
      </c>
      <c r="D353" s="89" t="str">
        <f aca="false">IF($B353="","",INDEX(Schedule!$D$4:$D$483,MATCH(7009,Schedule!$K$4:$K$483,0)))</f>
        <v/>
      </c>
      <c r="E353" s="90" t="str">
        <f aca="false">IF($B353="","",INDEX(Schedule!$E$4:$E$483,MATCH(7009,Schedule!$K$4:$K$483,0)))</f>
        <v/>
      </c>
      <c r="F353" s="91"/>
      <c r="G353" s="92" t="str">
        <f aca="false">IF($B353="","",IF($D353="Income",IF($F353&lt;&gt;"",$F353,IF(COUNTIFS('Paid Log'!$B$9:$B$308,$C353,'Paid Log'!$C$9:$C$308,$B353)&gt;0,SUMIFS('Paid Log'!$D$9:$D$308,'Paid Log'!$B$9:$B$308,$C353,'Paid Log'!$C$9:$C$308,$B353),$E353)),""))</f>
        <v/>
      </c>
      <c r="H353" s="93" t="str">
        <f aca="false">IF($B353="","",IF($D353="Income","",IF($F353&lt;&gt;"",$F353,IF(COUNTIFS('Paid Log'!$B$9:$B$308,$C353,'Paid Log'!$C$9:$C$308,$B353)&gt;0,SUMIFS('Paid Log'!$D$9:$D$308,'Paid Log'!$B$9:$B$308,$C353,'Paid Log'!$C$9:$C$308,$B353),$E353))))</f>
        <v/>
      </c>
      <c r="I353" s="94" t="str">
        <f aca="false">IF($B353="","",$I$343+SUMIFS($G$345:$G$395,$M$345:$M$395,"&lt;="&amp;$M353)-SUMIFS($H$345:$H$395,$M$345:$M$395,"&lt;="&amp;$M353))</f>
        <v/>
      </c>
      <c r="J353" s="95" t="str">
        <f aca="true">IF($B353="","",IF(OR($F353&lt;&gt;"",COUNTIFS('Paid Log'!$B$9:$B$308,$C353,'Paid Log'!$C$9:$C$308,$B353)&gt;0),IF($C353&gt;TODAY(),"ADJUSTED","PAID"),IF($C353&lt;TODAY(),"PAST DUE",IF($C353&lt;=TODAY()+7,"DUE","Upcoming"))))</f>
        <v/>
      </c>
      <c r="K353" s="96" t="str">
        <f aca="false">IF($B353="","",IF(OR($F353&lt;&gt;"",COUNTIFS('Paid Log'!$B$9:$B$308,$C353,'Paid Log'!$C$9:$C$308,$B353)&gt;0),"ACTUAL","FORECAST"))</f>
        <v/>
      </c>
      <c r="L353" s="0" t="str">
        <f aca="false">IF($B353="","",$C353)</f>
        <v/>
      </c>
      <c r="M353" s="0" t="str">
        <f aca="false">IF($L353="","",COUNTIFS($L$345:$L$395,"&lt;"&amp;$L353)+COUNTIFS($L$345:$L353,$L353))</f>
        <v/>
      </c>
    </row>
    <row r="354" customFormat="false" ht="15" hidden="false" customHeight="true" outlineLevel="0" collapsed="false">
      <c r="B354" s="7" t="str">
        <f aca="false">IFERROR(INDEX(Schedule!$C$4:$C$483,MATCH(7010,Schedule!$K$4:$K$483,0)),"")</f>
        <v/>
      </c>
      <c r="C354" s="88" t="str">
        <f aca="false">IF($B354="","",INDEX(Schedule!$G$4:$G$483,MATCH(7010,Schedule!$K$4:$K$483,0)))</f>
        <v/>
      </c>
      <c r="D354" s="89" t="str">
        <f aca="false">IF($B354="","",INDEX(Schedule!$D$4:$D$483,MATCH(7010,Schedule!$K$4:$K$483,0)))</f>
        <v/>
      </c>
      <c r="E354" s="90" t="str">
        <f aca="false">IF($B354="","",INDEX(Schedule!$E$4:$E$483,MATCH(7010,Schedule!$K$4:$K$483,0)))</f>
        <v/>
      </c>
      <c r="F354" s="91"/>
      <c r="G354" s="92" t="str">
        <f aca="false">IF($B354="","",IF($D354="Income",IF($F354&lt;&gt;"",$F354,IF(COUNTIFS('Paid Log'!$B$9:$B$308,$C354,'Paid Log'!$C$9:$C$308,$B354)&gt;0,SUMIFS('Paid Log'!$D$9:$D$308,'Paid Log'!$B$9:$B$308,$C354,'Paid Log'!$C$9:$C$308,$B354),$E354)),""))</f>
        <v/>
      </c>
      <c r="H354" s="93" t="str">
        <f aca="false">IF($B354="","",IF($D354="Income","",IF($F354&lt;&gt;"",$F354,IF(COUNTIFS('Paid Log'!$B$9:$B$308,$C354,'Paid Log'!$C$9:$C$308,$B354)&gt;0,SUMIFS('Paid Log'!$D$9:$D$308,'Paid Log'!$B$9:$B$308,$C354,'Paid Log'!$C$9:$C$308,$B354),$E354))))</f>
        <v/>
      </c>
      <c r="I354" s="94" t="str">
        <f aca="false">IF($B354="","",$I$343+SUMIFS($G$345:$G$395,$M$345:$M$395,"&lt;="&amp;$M354)-SUMIFS($H$345:$H$395,$M$345:$M$395,"&lt;="&amp;$M354))</f>
        <v/>
      </c>
      <c r="J354" s="95" t="str">
        <f aca="true">IF($B354="","",IF(OR($F354&lt;&gt;"",COUNTIFS('Paid Log'!$B$9:$B$308,$C354,'Paid Log'!$C$9:$C$308,$B354)&gt;0),IF($C354&gt;TODAY(),"ADJUSTED","PAID"),IF($C354&lt;TODAY(),"PAST DUE",IF($C354&lt;=TODAY()+7,"DUE","Upcoming"))))</f>
        <v/>
      </c>
      <c r="K354" s="96" t="str">
        <f aca="false">IF($B354="","",IF(OR($F354&lt;&gt;"",COUNTIFS('Paid Log'!$B$9:$B$308,$C354,'Paid Log'!$C$9:$C$308,$B354)&gt;0),"ACTUAL","FORECAST"))</f>
        <v/>
      </c>
      <c r="L354" s="0" t="str">
        <f aca="false">IF($B354="","",$C354)</f>
        <v/>
      </c>
      <c r="M354" s="0" t="str">
        <f aca="false">IF($L354="","",COUNTIFS($L$345:$L$395,"&lt;"&amp;$L354)+COUNTIFS($L$345:$L354,$L354))</f>
        <v/>
      </c>
    </row>
    <row r="355" customFormat="false" ht="15" hidden="false" customHeight="true" outlineLevel="0" collapsed="false">
      <c r="B355" s="98" t="s">
        <v>148</v>
      </c>
      <c r="C355" s="99"/>
      <c r="D355" s="99"/>
      <c r="E355" s="99"/>
      <c r="F355" s="99"/>
      <c r="G355" s="99"/>
      <c r="H355" s="99"/>
      <c r="I355" s="99"/>
      <c r="J355" s="99"/>
    </row>
    <row r="356" customFormat="false" ht="15" hidden="false" customHeight="true" outlineLevel="0" collapsed="false">
      <c r="B356" s="12"/>
      <c r="C356" s="100"/>
      <c r="D356" s="101" t="str">
        <f aca="false">IF($B356="","","Expense")</f>
        <v/>
      </c>
      <c r="E356" s="14"/>
      <c r="F356" s="102"/>
      <c r="G356" s="102"/>
      <c r="H356" s="103" t="str">
        <f aca="false">IF($B356="","",N($E356))</f>
        <v/>
      </c>
      <c r="I356" s="104" t="str">
        <f aca="false">IF($B356="","",$I$343+SUMIFS($G$345:$G$395,$M$345:$M$395,"&lt;="&amp;$M356)-SUMIFS($H$345:$H$395,$M$345:$M$395,"&lt;="&amp;$M356))</f>
        <v/>
      </c>
      <c r="J356" s="102"/>
      <c r="K356" s="96" t="str">
        <f aca="false">IF($B356="","","ACTUAL")</f>
        <v/>
      </c>
      <c r="L356" s="0" t="str">
        <f aca="false">IF($B356="","",IF($C356="",$E$6+48,$C356))</f>
        <v/>
      </c>
      <c r="M356" s="0" t="str">
        <f aca="false">IF($L356="","",COUNTIFS($L$345:$L$395,"&lt;"&amp;$L356)+COUNTIFS($L$345:$L356,$L356))</f>
        <v/>
      </c>
    </row>
    <row r="357" customFormat="false" ht="15" hidden="false" customHeight="true" outlineLevel="0" collapsed="false">
      <c r="B357" s="12"/>
      <c r="C357" s="100"/>
      <c r="D357" s="101" t="str">
        <f aca="false">IF($B357="","","Expense")</f>
        <v/>
      </c>
      <c r="E357" s="14"/>
      <c r="F357" s="102"/>
      <c r="G357" s="102"/>
      <c r="H357" s="103" t="str">
        <f aca="false">IF($B357="","",N($E357))</f>
        <v/>
      </c>
      <c r="I357" s="104" t="str">
        <f aca="false">IF($B357="","",$I$343+SUMIFS($G$345:$G$395,$M$345:$M$395,"&lt;="&amp;$M357)-SUMIFS($H$345:$H$395,$M$345:$M$395,"&lt;="&amp;$M357))</f>
        <v/>
      </c>
      <c r="J357" s="102"/>
      <c r="K357" s="96" t="str">
        <f aca="false">IF($B357="","","ACTUAL")</f>
        <v/>
      </c>
      <c r="L357" s="0" t="str">
        <f aca="false">IF($B357="","",IF($C357="",$E$6+48,$C357))</f>
        <v/>
      </c>
      <c r="M357" s="0" t="str">
        <f aca="false">IF($L357="","",COUNTIFS($L$345:$L$395,"&lt;"&amp;$L357)+COUNTIFS($L$345:$L357,$L357))</f>
        <v/>
      </c>
    </row>
    <row r="358" customFormat="false" ht="15" hidden="false" customHeight="true" outlineLevel="0" collapsed="false">
      <c r="B358" s="12"/>
      <c r="C358" s="100"/>
      <c r="D358" s="101" t="str">
        <f aca="false">IF($B358="","","Expense")</f>
        <v/>
      </c>
      <c r="E358" s="14"/>
      <c r="F358" s="102"/>
      <c r="G358" s="102"/>
      <c r="H358" s="103" t="str">
        <f aca="false">IF($B358="","",N($E358))</f>
        <v/>
      </c>
      <c r="I358" s="104" t="str">
        <f aca="false">IF($B358="","",$I$343+SUMIFS($G$345:$G$395,$M$345:$M$395,"&lt;="&amp;$M358)-SUMIFS($H$345:$H$395,$M$345:$M$395,"&lt;="&amp;$M358))</f>
        <v/>
      </c>
      <c r="J358" s="102"/>
      <c r="K358" s="96" t="str">
        <f aca="false">IF($B358="","","ACTUAL")</f>
        <v/>
      </c>
      <c r="L358" s="0" t="str">
        <f aca="false">IF($B358="","",IF($C358="",$E$6+48,$C358))</f>
        <v/>
      </c>
      <c r="M358" s="0" t="str">
        <f aca="false">IF($L358="","",COUNTIFS($L$345:$L$395,"&lt;"&amp;$L358)+COUNTIFS($L$345:$L358,$L358))</f>
        <v/>
      </c>
    </row>
    <row r="359" customFormat="false" ht="15" hidden="false" customHeight="true" outlineLevel="0" collapsed="false">
      <c r="B359" s="12"/>
      <c r="C359" s="100"/>
      <c r="D359" s="101" t="str">
        <f aca="false">IF($B359="","","Expense")</f>
        <v/>
      </c>
      <c r="E359" s="14"/>
      <c r="F359" s="102"/>
      <c r="G359" s="102"/>
      <c r="H359" s="103" t="str">
        <f aca="false">IF($B359="","",N($E359))</f>
        <v/>
      </c>
      <c r="I359" s="104" t="str">
        <f aca="false">IF($B359="","",$I$343+SUMIFS($G$345:$G$395,$M$345:$M$395,"&lt;="&amp;$M359)-SUMIFS($H$345:$H$395,$M$345:$M$395,"&lt;="&amp;$M359))</f>
        <v/>
      </c>
      <c r="J359" s="102"/>
      <c r="K359" s="96" t="str">
        <f aca="false">IF($B359="","","ACTUAL")</f>
        <v/>
      </c>
      <c r="L359" s="0" t="str">
        <f aca="false">IF($B359="","",IF($C359="",$E$6+48,$C359))</f>
        <v/>
      </c>
      <c r="M359" s="0" t="str">
        <f aca="false">IF($L359="","",COUNTIFS($L$345:$L$395,"&lt;"&amp;$L359)+COUNTIFS($L$345:$L359,$L359))</f>
        <v/>
      </c>
    </row>
    <row r="360" customFormat="false" ht="15" hidden="false" customHeight="true" outlineLevel="0" collapsed="false">
      <c r="B360" s="12"/>
      <c r="C360" s="100"/>
      <c r="D360" s="101" t="str">
        <f aca="false">IF($B360="","","Expense")</f>
        <v/>
      </c>
      <c r="E360" s="14"/>
      <c r="F360" s="102"/>
      <c r="G360" s="102"/>
      <c r="H360" s="103" t="str">
        <f aca="false">IF($B360="","",N($E360))</f>
        <v/>
      </c>
      <c r="I360" s="104" t="str">
        <f aca="false">IF($B360="","",$I$343+SUMIFS($G$345:$G$395,$M$345:$M$395,"&lt;="&amp;$M360)-SUMIFS($H$345:$H$395,$M$345:$M$395,"&lt;="&amp;$M360))</f>
        <v/>
      </c>
      <c r="J360" s="102"/>
      <c r="K360" s="96" t="str">
        <f aca="false">IF($B360="","","ACTUAL")</f>
        <v/>
      </c>
      <c r="L360" s="0" t="str">
        <f aca="false">IF($B360="","",IF($C360="",$E$6+48,$C360))</f>
        <v/>
      </c>
      <c r="M360" s="0" t="str">
        <f aca="false">IF($L360="","",COUNTIFS($L$345:$L$395,"&lt;"&amp;$L360)+COUNTIFS($L$345:$L360,$L360))</f>
        <v/>
      </c>
    </row>
    <row r="361" customFormat="false" ht="15" hidden="false" customHeight="true" outlineLevel="0" collapsed="false">
      <c r="B361" s="12"/>
      <c r="C361" s="100"/>
      <c r="D361" s="101" t="str">
        <f aca="false">IF($B361="","","Expense")</f>
        <v/>
      </c>
      <c r="E361" s="14"/>
      <c r="F361" s="102"/>
      <c r="G361" s="102"/>
      <c r="H361" s="103" t="str">
        <f aca="false">IF($B361="","",N($E361))</f>
        <v/>
      </c>
      <c r="I361" s="104" t="str">
        <f aca="false">IF($B361="","",$I$343+SUMIFS($G$345:$G$395,$M$345:$M$395,"&lt;="&amp;$M361)-SUMIFS($H$345:$H$395,$M$345:$M$395,"&lt;="&amp;$M361))</f>
        <v/>
      </c>
      <c r="J361" s="102"/>
      <c r="K361" s="96" t="str">
        <f aca="false">IF($B361="","","ACTUAL")</f>
        <v/>
      </c>
      <c r="L361" s="0" t="str">
        <f aca="false">IF($B361="","",IF($C361="",$E$6+48,$C361))</f>
        <v/>
      </c>
      <c r="M361" s="0" t="str">
        <f aca="false">IF($L361="","",COUNTIFS($L$345:$L$395,"&lt;"&amp;$L361)+COUNTIFS($L$345:$L361,$L361))</f>
        <v/>
      </c>
    </row>
    <row r="362" customFormat="false" ht="15" hidden="false" customHeight="true" outlineLevel="0" collapsed="false">
      <c r="B362" s="12"/>
      <c r="C362" s="100"/>
      <c r="D362" s="101" t="str">
        <f aca="false">IF($B362="","","Expense")</f>
        <v/>
      </c>
      <c r="E362" s="14"/>
      <c r="F362" s="102"/>
      <c r="G362" s="102"/>
      <c r="H362" s="103" t="str">
        <f aca="false">IF($B362="","",N($E362))</f>
        <v/>
      </c>
      <c r="I362" s="104" t="str">
        <f aca="false">IF($B362="","",$I$343+SUMIFS($G$345:$G$395,$M$345:$M$395,"&lt;="&amp;$M362)-SUMIFS($H$345:$H$395,$M$345:$M$395,"&lt;="&amp;$M362))</f>
        <v/>
      </c>
      <c r="J362" s="102"/>
      <c r="K362" s="96" t="str">
        <f aca="false">IF($B362="","","ACTUAL")</f>
        <v/>
      </c>
      <c r="L362" s="0" t="str">
        <f aca="false">IF($B362="","",IF($C362="",$E$6+48,$C362))</f>
        <v/>
      </c>
      <c r="M362" s="0" t="str">
        <f aca="false">IF($L362="","",COUNTIFS($L$345:$L$395,"&lt;"&amp;$L362)+COUNTIFS($L$345:$L362,$L362))</f>
        <v/>
      </c>
    </row>
    <row r="363" customFormat="false" ht="15" hidden="false" customHeight="true" outlineLevel="0" collapsed="false">
      <c r="B363" s="12"/>
      <c r="C363" s="100"/>
      <c r="D363" s="101" t="str">
        <f aca="false">IF($B363="","","Expense")</f>
        <v/>
      </c>
      <c r="E363" s="14"/>
      <c r="F363" s="102"/>
      <c r="G363" s="102"/>
      <c r="H363" s="103" t="str">
        <f aca="false">IF($B363="","",N($E363))</f>
        <v/>
      </c>
      <c r="I363" s="104" t="str">
        <f aca="false">IF($B363="","",$I$343+SUMIFS($G$345:$G$395,$M$345:$M$395,"&lt;="&amp;$M363)-SUMIFS($H$345:$H$395,$M$345:$M$395,"&lt;="&amp;$M363))</f>
        <v/>
      </c>
      <c r="J363" s="102"/>
      <c r="K363" s="96" t="str">
        <f aca="false">IF($B363="","","ACTUAL")</f>
        <v/>
      </c>
      <c r="L363" s="0" t="str">
        <f aca="false">IF($B363="","",IF($C363="",$E$6+48,$C363))</f>
        <v/>
      </c>
      <c r="M363" s="0" t="str">
        <f aca="false">IF($L363="","",COUNTIFS($L$345:$L$395,"&lt;"&amp;$L363)+COUNTIFS($L$345:$L363,$L363))</f>
        <v/>
      </c>
    </row>
    <row r="364" customFormat="false" ht="15" hidden="false" customHeight="true" outlineLevel="0" collapsed="false">
      <c r="B364" s="12"/>
      <c r="C364" s="100"/>
      <c r="D364" s="101" t="str">
        <f aca="false">IF($B364="","","Expense")</f>
        <v/>
      </c>
      <c r="E364" s="14"/>
      <c r="F364" s="102"/>
      <c r="G364" s="102"/>
      <c r="H364" s="103" t="str">
        <f aca="false">IF($B364="","",N($E364))</f>
        <v/>
      </c>
      <c r="I364" s="104" t="str">
        <f aca="false">IF($B364="","",$I$343+SUMIFS($G$345:$G$395,$M$345:$M$395,"&lt;="&amp;$M364)-SUMIFS($H$345:$H$395,$M$345:$M$395,"&lt;="&amp;$M364))</f>
        <v/>
      </c>
      <c r="J364" s="102"/>
      <c r="K364" s="96" t="str">
        <f aca="false">IF($B364="","","ACTUAL")</f>
        <v/>
      </c>
      <c r="L364" s="0" t="str">
        <f aca="false">IF($B364="","",IF($C364="",$E$6+48,$C364))</f>
        <v/>
      </c>
      <c r="M364" s="0" t="str">
        <f aca="false">IF($L364="","",COUNTIFS($L$345:$L$395,"&lt;"&amp;$L364)+COUNTIFS($L$345:$L364,$L364))</f>
        <v/>
      </c>
    </row>
    <row r="365" customFormat="false" ht="15" hidden="false" customHeight="true" outlineLevel="0" collapsed="false">
      <c r="B365" s="12"/>
      <c r="C365" s="100"/>
      <c r="D365" s="101" t="str">
        <f aca="false">IF($B365="","","Expense")</f>
        <v/>
      </c>
      <c r="E365" s="14"/>
      <c r="F365" s="102"/>
      <c r="G365" s="102"/>
      <c r="H365" s="103" t="str">
        <f aca="false">IF($B365="","",N($E365))</f>
        <v/>
      </c>
      <c r="I365" s="104" t="str">
        <f aca="false">IF($B365="","",$I$343+SUMIFS($G$345:$G$395,$M$345:$M$395,"&lt;="&amp;$M365)-SUMIFS($H$345:$H$395,$M$345:$M$395,"&lt;="&amp;$M365))</f>
        <v/>
      </c>
      <c r="J365" s="102"/>
      <c r="K365" s="96" t="str">
        <f aca="false">IF($B365="","","ACTUAL")</f>
        <v/>
      </c>
      <c r="L365" s="0" t="str">
        <f aca="false">IF($B365="","",IF($C365="",$E$6+48,$C365))</f>
        <v/>
      </c>
      <c r="M365" s="0" t="str">
        <f aca="false">IF($L365="","",COUNTIFS($L$345:$L$395,"&lt;"&amp;$L365)+COUNTIFS($L$345:$L365,$L365))</f>
        <v/>
      </c>
    </row>
    <row r="366" customFormat="false" ht="15" hidden="false" customHeight="true" outlineLevel="0" collapsed="false">
      <c r="B366" s="12"/>
      <c r="C366" s="100"/>
      <c r="D366" s="101" t="str">
        <f aca="false">IF($B366="","","Expense")</f>
        <v/>
      </c>
      <c r="E366" s="14"/>
      <c r="F366" s="102"/>
      <c r="G366" s="102"/>
      <c r="H366" s="103" t="str">
        <f aca="false">IF($B366="","",N($E366))</f>
        <v/>
      </c>
      <c r="I366" s="104" t="str">
        <f aca="false">IF($B366="","",$I$343+SUMIFS($G$345:$G$395,$M$345:$M$395,"&lt;="&amp;$M366)-SUMIFS($H$345:$H$395,$M$345:$M$395,"&lt;="&amp;$M366))</f>
        <v/>
      </c>
      <c r="J366" s="102"/>
      <c r="K366" s="96" t="str">
        <f aca="false">IF($B366="","","ACTUAL")</f>
        <v/>
      </c>
      <c r="L366" s="0" t="str">
        <f aca="false">IF($B366="","",IF($C366="",$E$6+48,$C366))</f>
        <v/>
      </c>
      <c r="M366" s="0" t="str">
        <f aca="false">IF($L366="","",COUNTIFS($L$345:$L$395,"&lt;"&amp;$L366)+COUNTIFS($L$345:$L366,$L366))</f>
        <v/>
      </c>
    </row>
    <row r="367" customFormat="false" ht="15" hidden="false" customHeight="true" outlineLevel="0" collapsed="false">
      <c r="B367" s="12"/>
      <c r="C367" s="100"/>
      <c r="D367" s="101" t="str">
        <f aca="false">IF($B367="","","Expense")</f>
        <v/>
      </c>
      <c r="E367" s="14"/>
      <c r="F367" s="102"/>
      <c r="G367" s="102"/>
      <c r="H367" s="103" t="str">
        <f aca="false">IF($B367="","",N($E367))</f>
        <v/>
      </c>
      <c r="I367" s="104" t="str">
        <f aca="false">IF($B367="","",$I$343+SUMIFS($G$345:$G$395,$M$345:$M$395,"&lt;="&amp;$M367)-SUMIFS($H$345:$H$395,$M$345:$M$395,"&lt;="&amp;$M367))</f>
        <v/>
      </c>
      <c r="J367" s="102"/>
      <c r="K367" s="96" t="str">
        <f aca="false">IF($B367="","","ACTUAL")</f>
        <v/>
      </c>
      <c r="L367" s="0" t="str">
        <f aca="false">IF($B367="","",IF($C367="",$E$6+48,$C367))</f>
        <v/>
      </c>
      <c r="M367" s="0" t="str">
        <f aca="false">IF($L367="","",COUNTIFS($L$345:$L$395,"&lt;"&amp;$L367)+COUNTIFS($L$345:$L367,$L367))</f>
        <v/>
      </c>
    </row>
    <row r="368" customFormat="false" ht="15" hidden="false" customHeight="true" outlineLevel="0" collapsed="false">
      <c r="B368" s="12"/>
      <c r="C368" s="100"/>
      <c r="D368" s="101" t="str">
        <f aca="false">IF($B368="","","Expense")</f>
        <v/>
      </c>
      <c r="E368" s="14"/>
      <c r="F368" s="102"/>
      <c r="G368" s="102"/>
      <c r="H368" s="103" t="str">
        <f aca="false">IF($B368="","",N($E368))</f>
        <v/>
      </c>
      <c r="I368" s="104" t="str">
        <f aca="false">IF($B368="","",$I$343+SUMIFS($G$345:$G$395,$M$345:$M$395,"&lt;="&amp;$M368)-SUMIFS($H$345:$H$395,$M$345:$M$395,"&lt;="&amp;$M368))</f>
        <v/>
      </c>
      <c r="J368" s="102"/>
      <c r="K368" s="96" t="str">
        <f aca="false">IF($B368="","","ACTUAL")</f>
        <v/>
      </c>
      <c r="L368" s="0" t="str">
        <f aca="false">IF($B368="","",IF($C368="",$E$6+48,$C368))</f>
        <v/>
      </c>
      <c r="M368" s="0" t="str">
        <f aca="false">IF($L368="","",COUNTIFS($L$345:$L$395,"&lt;"&amp;$L368)+COUNTIFS($L$345:$L368,$L368))</f>
        <v/>
      </c>
    </row>
    <row r="369" customFormat="false" ht="15" hidden="false" customHeight="true" outlineLevel="0" collapsed="false">
      <c r="B369" s="12"/>
      <c r="C369" s="100"/>
      <c r="D369" s="101" t="str">
        <f aca="false">IF($B369="","","Expense")</f>
        <v/>
      </c>
      <c r="E369" s="14"/>
      <c r="F369" s="102"/>
      <c r="G369" s="102"/>
      <c r="H369" s="103" t="str">
        <f aca="false">IF($B369="","",N($E369))</f>
        <v/>
      </c>
      <c r="I369" s="104" t="str">
        <f aca="false">IF($B369="","",$I$343+SUMIFS($G$345:$G$395,$M$345:$M$395,"&lt;="&amp;$M369)-SUMIFS($H$345:$H$395,$M$345:$M$395,"&lt;="&amp;$M369))</f>
        <v/>
      </c>
      <c r="J369" s="102"/>
      <c r="K369" s="96" t="str">
        <f aca="false">IF($B369="","","ACTUAL")</f>
        <v/>
      </c>
      <c r="L369" s="0" t="str">
        <f aca="false">IF($B369="","",IF($C369="",$E$6+48,$C369))</f>
        <v/>
      </c>
      <c r="M369" s="0" t="str">
        <f aca="false">IF($L369="","",COUNTIFS($L$345:$L$395,"&lt;"&amp;$L369)+COUNTIFS($L$345:$L369,$L369))</f>
        <v/>
      </c>
    </row>
    <row r="370" customFormat="false" ht="15" hidden="false" customHeight="true" outlineLevel="0" collapsed="false">
      <c r="B370" s="12"/>
      <c r="C370" s="100"/>
      <c r="D370" s="101" t="str">
        <f aca="false">IF($B370="","","Expense")</f>
        <v/>
      </c>
      <c r="E370" s="14"/>
      <c r="F370" s="102"/>
      <c r="G370" s="102"/>
      <c r="H370" s="103" t="str">
        <f aca="false">IF($B370="","",N($E370))</f>
        <v/>
      </c>
      <c r="I370" s="104" t="str">
        <f aca="false">IF($B370="","",$I$343+SUMIFS($G$345:$G$395,$M$345:$M$395,"&lt;="&amp;$M370)-SUMIFS($H$345:$H$395,$M$345:$M$395,"&lt;="&amp;$M370))</f>
        <v/>
      </c>
      <c r="J370" s="102"/>
      <c r="K370" s="96" t="str">
        <f aca="false">IF($B370="","","ACTUAL")</f>
        <v/>
      </c>
      <c r="L370" s="0" t="str">
        <f aca="false">IF($B370="","",IF($C370="",$E$6+48,$C370))</f>
        <v/>
      </c>
      <c r="M370" s="0" t="str">
        <f aca="false">IF($L370="","",COUNTIFS($L$345:$L$395,"&lt;"&amp;$L370)+COUNTIFS($L$345:$L370,$L370))</f>
        <v/>
      </c>
    </row>
    <row r="371" customFormat="false" ht="15" hidden="false" customHeight="true" outlineLevel="0" collapsed="false">
      <c r="B371" s="12"/>
      <c r="C371" s="100"/>
      <c r="D371" s="101" t="str">
        <f aca="false">IF($B371="","","Expense")</f>
        <v/>
      </c>
      <c r="E371" s="14"/>
      <c r="F371" s="102"/>
      <c r="G371" s="102"/>
      <c r="H371" s="103" t="str">
        <f aca="false">IF($B371="","",N($E371))</f>
        <v/>
      </c>
      <c r="I371" s="104" t="str">
        <f aca="false">IF($B371="","",$I$343+SUMIFS($G$345:$G$395,$M$345:$M$395,"&lt;="&amp;$M371)-SUMIFS($H$345:$H$395,$M$345:$M$395,"&lt;="&amp;$M371))</f>
        <v/>
      </c>
      <c r="J371" s="102"/>
      <c r="K371" s="96" t="str">
        <f aca="false">IF($B371="","","ACTUAL")</f>
        <v/>
      </c>
      <c r="L371" s="0" t="str">
        <f aca="false">IF($B371="","",IF($C371="",$E$6+48,$C371))</f>
        <v/>
      </c>
      <c r="M371" s="0" t="str">
        <f aca="false">IF($L371="","",COUNTIFS($L$345:$L$395,"&lt;"&amp;$L371)+COUNTIFS($L$345:$L371,$L371))</f>
        <v/>
      </c>
    </row>
    <row r="372" customFormat="false" ht="15" hidden="false" customHeight="true" outlineLevel="0" collapsed="false">
      <c r="B372" s="12"/>
      <c r="C372" s="100"/>
      <c r="D372" s="101" t="str">
        <f aca="false">IF($B372="","","Expense")</f>
        <v/>
      </c>
      <c r="E372" s="14"/>
      <c r="F372" s="102"/>
      <c r="G372" s="102"/>
      <c r="H372" s="103" t="str">
        <f aca="false">IF($B372="","",N($E372))</f>
        <v/>
      </c>
      <c r="I372" s="104" t="str">
        <f aca="false">IF($B372="","",$I$343+SUMIFS($G$345:$G$395,$M$345:$M$395,"&lt;="&amp;$M372)-SUMIFS($H$345:$H$395,$M$345:$M$395,"&lt;="&amp;$M372))</f>
        <v/>
      </c>
      <c r="J372" s="102"/>
      <c r="K372" s="96" t="str">
        <f aca="false">IF($B372="","","ACTUAL")</f>
        <v/>
      </c>
      <c r="L372" s="0" t="str">
        <f aca="false">IF($B372="","",IF($C372="",$E$6+48,$C372))</f>
        <v/>
      </c>
      <c r="M372" s="0" t="str">
        <f aca="false">IF($L372="","",COUNTIFS($L$345:$L$395,"&lt;"&amp;$L372)+COUNTIFS($L$345:$L372,$L372))</f>
        <v/>
      </c>
    </row>
    <row r="373" customFormat="false" ht="15" hidden="false" customHeight="true" outlineLevel="0" collapsed="false">
      <c r="B373" s="12"/>
      <c r="C373" s="100"/>
      <c r="D373" s="101" t="str">
        <f aca="false">IF($B373="","","Expense")</f>
        <v/>
      </c>
      <c r="E373" s="14"/>
      <c r="F373" s="102"/>
      <c r="G373" s="102"/>
      <c r="H373" s="103" t="str">
        <f aca="false">IF($B373="","",N($E373))</f>
        <v/>
      </c>
      <c r="I373" s="104" t="str">
        <f aca="false">IF($B373="","",$I$343+SUMIFS($G$345:$G$395,$M$345:$M$395,"&lt;="&amp;$M373)-SUMIFS($H$345:$H$395,$M$345:$M$395,"&lt;="&amp;$M373))</f>
        <v/>
      </c>
      <c r="J373" s="102"/>
      <c r="K373" s="96" t="str">
        <f aca="false">IF($B373="","","ACTUAL")</f>
        <v/>
      </c>
      <c r="L373" s="0" t="str">
        <f aca="false">IF($B373="","",IF($C373="",$E$6+48,$C373))</f>
        <v/>
      </c>
      <c r="M373" s="0" t="str">
        <f aca="false">IF($L373="","",COUNTIFS($L$345:$L$395,"&lt;"&amp;$L373)+COUNTIFS($L$345:$L373,$L373))</f>
        <v/>
      </c>
    </row>
    <row r="374" customFormat="false" ht="15" hidden="false" customHeight="true" outlineLevel="0" collapsed="false">
      <c r="B374" s="12"/>
      <c r="C374" s="100"/>
      <c r="D374" s="101" t="str">
        <f aca="false">IF($B374="","","Expense")</f>
        <v/>
      </c>
      <c r="E374" s="14"/>
      <c r="F374" s="102"/>
      <c r="G374" s="102"/>
      <c r="H374" s="103" t="str">
        <f aca="false">IF($B374="","",N($E374))</f>
        <v/>
      </c>
      <c r="I374" s="104" t="str">
        <f aca="false">IF($B374="","",$I$343+SUMIFS($G$345:$G$395,$M$345:$M$395,"&lt;="&amp;$M374)-SUMIFS($H$345:$H$395,$M$345:$M$395,"&lt;="&amp;$M374))</f>
        <v/>
      </c>
      <c r="J374" s="102"/>
      <c r="K374" s="96" t="str">
        <f aca="false">IF($B374="","","ACTUAL")</f>
        <v/>
      </c>
      <c r="L374" s="0" t="str">
        <f aca="false">IF($B374="","",IF($C374="",$E$6+48,$C374))</f>
        <v/>
      </c>
      <c r="M374" s="0" t="str">
        <f aca="false">IF($L374="","",COUNTIFS($L$345:$L$395,"&lt;"&amp;$L374)+COUNTIFS($L$345:$L374,$L374))</f>
        <v/>
      </c>
    </row>
    <row r="375" customFormat="false" ht="15" hidden="false" customHeight="true" outlineLevel="0" collapsed="false">
      <c r="B375" s="12"/>
      <c r="C375" s="100"/>
      <c r="D375" s="101" t="str">
        <f aca="false">IF($B375="","","Expense")</f>
        <v/>
      </c>
      <c r="E375" s="14"/>
      <c r="F375" s="102"/>
      <c r="G375" s="102"/>
      <c r="H375" s="103" t="str">
        <f aca="false">IF($B375="","",N($E375))</f>
        <v/>
      </c>
      <c r="I375" s="104" t="str">
        <f aca="false">IF($B375="","",$I$343+SUMIFS($G$345:$G$395,$M$345:$M$395,"&lt;="&amp;$M375)-SUMIFS($H$345:$H$395,$M$345:$M$395,"&lt;="&amp;$M375))</f>
        <v/>
      </c>
      <c r="J375" s="102"/>
      <c r="K375" s="96" t="str">
        <f aca="false">IF($B375="","","ACTUAL")</f>
        <v/>
      </c>
      <c r="L375" s="0" t="str">
        <f aca="false">IF($B375="","",IF($C375="",$E$6+48,$C375))</f>
        <v/>
      </c>
      <c r="M375" s="0" t="str">
        <f aca="false">IF($L375="","",COUNTIFS($L$345:$L$395,"&lt;"&amp;$L375)+COUNTIFS($L$345:$L375,$L375))</f>
        <v/>
      </c>
    </row>
    <row r="376" customFormat="false" ht="15" hidden="false" customHeight="true" outlineLevel="0" collapsed="false">
      <c r="B376" s="12"/>
      <c r="C376" s="100"/>
      <c r="D376" s="101" t="str">
        <f aca="false">IF($B376="","","Expense")</f>
        <v/>
      </c>
      <c r="E376" s="14"/>
      <c r="F376" s="102"/>
      <c r="G376" s="102"/>
      <c r="H376" s="103" t="str">
        <f aca="false">IF($B376="","",N($E376))</f>
        <v/>
      </c>
      <c r="I376" s="104" t="str">
        <f aca="false">IF($B376="","",$I$343+SUMIFS($G$345:$G$395,$M$345:$M$395,"&lt;="&amp;$M376)-SUMIFS($H$345:$H$395,$M$345:$M$395,"&lt;="&amp;$M376))</f>
        <v/>
      </c>
      <c r="J376" s="102"/>
      <c r="K376" s="96" t="str">
        <f aca="false">IF($B376="","","ACTUAL")</f>
        <v/>
      </c>
      <c r="L376" s="0" t="str">
        <f aca="false">IF($B376="","",IF($C376="",$E$6+48,$C376))</f>
        <v/>
      </c>
      <c r="M376" s="0" t="str">
        <f aca="false">IF($L376="","",COUNTIFS($L$345:$L$395,"&lt;"&amp;$L376)+COUNTIFS($L$345:$L376,$L376))</f>
        <v/>
      </c>
    </row>
    <row r="377" customFormat="false" ht="15" hidden="false" customHeight="true" outlineLevel="0" collapsed="false">
      <c r="B377" s="12"/>
      <c r="C377" s="100"/>
      <c r="D377" s="101" t="str">
        <f aca="false">IF($B377="","","Expense")</f>
        <v/>
      </c>
      <c r="E377" s="14"/>
      <c r="F377" s="102"/>
      <c r="G377" s="102"/>
      <c r="H377" s="103" t="str">
        <f aca="false">IF($B377="","",N($E377))</f>
        <v/>
      </c>
      <c r="I377" s="104" t="str">
        <f aca="false">IF($B377="","",$I$343+SUMIFS($G$345:$G$395,$M$345:$M$395,"&lt;="&amp;$M377)-SUMIFS($H$345:$H$395,$M$345:$M$395,"&lt;="&amp;$M377))</f>
        <v/>
      </c>
      <c r="J377" s="102"/>
      <c r="K377" s="96" t="str">
        <f aca="false">IF($B377="","","ACTUAL")</f>
        <v/>
      </c>
      <c r="L377" s="0" t="str">
        <f aca="false">IF($B377="","",IF($C377="",$E$6+48,$C377))</f>
        <v/>
      </c>
      <c r="M377" s="0" t="str">
        <f aca="false">IF($L377="","",COUNTIFS($L$345:$L$395,"&lt;"&amp;$L377)+COUNTIFS($L$345:$L377,$L377))</f>
        <v/>
      </c>
    </row>
    <row r="378" customFormat="false" ht="15" hidden="false" customHeight="true" outlineLevel="0" collapsed="false">
      <c r="B378" s="12"/>
      <c r="C378" s="100"/>
      <c r="D378" s="101" t="str">
        <f aca="false">IF($B378="","","Expense")</f>
        <v/>
      </c>
      <c r="E378" s="14"/>
      <c r="F378" s="102"/>
      <c r="G378" s="102"/>
      <c r="H378" s="103" t="str">
        <f aca="false">IF($B378="","",N($E378))</f>
        <v/>
      </c>
      <c r="I378" s="104" t="str">
        <f aca="false">IF($B378="","",$I$343+SUMIFS($G$345:$G$395,$M$345:$M$395,"&lt;="&amp;$M378)-SUMIFS($H$345:$H$395,$M$345:$M$395,"&lt;="&amp;$M378))</f>
        <v/>
      </c>
      <c r="J378" s="102"/>
      <c r="K378" s="96" t="str">
        <f aca="false">IF($B378="","","ACTUAL")</f>
        <v/>
      </c>
      <c r="L378" s="0" t="str">
        <f aca="false">IF($B378="","",IF($C378="",$E$6+48,$C378))</f>
        <v/>
      </c>
      <c r="M378" s="0" t="str">
        <f aca="false">IF($L378="","",COUNTIFS($L$345:$L$395,"&lt;"&amp;$L378)+COUNTIFS($L$345:$L378,$L378))</f>
        <v/>
      </c>
    </row>
    <row r="379" customFormat="false" ht="15" hidden="false" customHeight="true" outlineLevel="0" collapsed="false">
      <c r="B379" s="12"/>
      <c r="C379" s="100"/>
      <c r="D379" s="101" t="str">
        <f aca="false">IF($B379="","","Expense")</f>
        <v/>
      </c>
      <c r="E379" s="14"/>
      <c r="F379" s="102"/>
      <c r="G379" s="102"/>
      <c r="H379" s="103" t="str">
        <f aca="false">IF($B379="","",N($E379))</f>
        <v/>
      </c>
      <c r="I379" s="104" t="str">
        <f aca="false">IF($B379="","",$I$343+SUMIFS($G$345:$G$395,$M$345:$M$395,"&lt;="&amp;$M379)-SUMIFS($H$345:$H$395,$M$345:$M$395,"&lt;="&amp;$M379))</f>
        <v/>
      </c>
      <c r="J379" s="102"/>
      <c r="K379" s="96" t="str">
        <f aca="false">IF($B379="","","ACTUAL")</f>
        <v/>
      </c>
      <c r="L379" s="0" t="str">
        <f aca="false">IF($B379="","",IF($C379="",$E$6+48,$C379))</f>
        <v/>
      </c>
      <c r="M379" s="0" t="str">
        <f aca="false">IF($L379="","",COUNTIFS($L$345:$L$395,"&lt;"&amp;$L379)+COUNTIFS($L$345:$L379,$L379))</f>
        <v/>
      </c>
    </row>
    <row r="380" customFormat="false" ht="15" hidden="false" customHeight="true" outlineLevel="0" collapsed="false">
      <c r="B380" s="12"/>
      <c r="C380" s="100"/>
      <c r="D380" s="101" t="str">
        <f aca="false">IF($B380="","","Expense")</f>
        <v/>
      </c>
      <c r="E380" s="14"/>
      <c r="F380" s="102"/>
      <c r="G380" s="102"/>
      <c r="H380" s="103" t="str">
        <f aca="false">IF($B380="","",N($E380))</f>
        <v/>
      </c>
      <c r="I380" s="104" t="str">
        <f aca="false">IF($B380="","",$I$343+SUMIFS($G$345:$G$395,$M$345:$M$395,"&lt;="&amp;$M380)-SUMIFS($H$345:$H$395,$M$345:$M$395,"&lt;="&amp;$M380))</f>
        <v/>
      </c>
      <c r="J380" s="102"/>
      <c r="K380" s="96" t="str">
        <f aca="false">IF($B380="","","ACTUAL")</f>
        <v/>
      </c>
      <c r="L380" s="0" t="str">
        <f aca="false">IF($B380="","",IF($C380="",$E$6+48,$C380))</f>
        <v/>
      </c>
      <c r="M380" s="0" t="str">
        <f aca="false">IF($L380="","",COUNTIFS($L$345:$L$395,"&lt;"&amp;$L380)+COUNTIFS($L$345:$L380,$L380))</f>
        <v/>
      </c>
    </row>
    <row r="381" customFormat="false" ht="15" hidden="false" customHeight="true" outlineLevel="0" collapsed="false">
      <c r="B381" s="12"/>
      <c r="C381" s="100"/>
      <c r="D381" s="101" t="str">
        <f aca="false">IF($B381="","","Expense")</f>
        <v/>
      </c>
      <c r="E381" s="14"/>
      <c r="F381" s="102"/>
      <c r="G381" s="102"/>
      <c r="H381" s="103" t="str">
        <f aca="false">IF($B381="","",N($E381))</f>
        <v/>
      </c>
      <c r="I381" s="104" t="str">
        <f aca="false">IF($B381="","",$I$343+SUMIFS($G$345:$G$395,$M$345:$M$395,"&lt;="&amp;$M381)-SUMIFS($H$345:$H$395,$M$345:$M$395,"&lt;="&amp;$M381))</f>
        <v/>
      </c>
      <c r="J381" s="102"/>
      <c r="K381" s="96" t="str">
        <f aca="false">IF($B381="","","ACTUAL")</f>
        <v/>
      </c>
      <c r="L381" s="0" t="str">
        <f aca="false">IF($B381="","",IF($C381="",$E$6+48,$C381))</f>
        <v/>
      </c>
      <c r="M381" s="0" t="str">
        <f aca="false">IF($L381="","",COUNTIFS($L$345:$L$395,"&lt;"&amp;$L381)+COUNTIFS($L$345:$L381,$L381))</f>
        <v/>
      </c>
    </row>
    <row r="382" customFormat="false" ht="15" hidden="false" customHeight="true" outlineLevel="0" collapsed="false">
      <c r="B382" s="12"/>
      <c r="C382" s="100"/>
      <c r="D382" s="101" t="str">
        <f aca="false">IF($B382="","","Expense")</f>
        <v/>
      </c>
      <c r="E382" s="14"/>
      <c r="F382" s="102"/>
      <c r="G382" s="102"/>
      <c r="H382" s="103" t="str">
        <f aca="false">IF($B382="","",N($E382))</f>
        <v/>
      </c>
      <c r="I382" s="104" t="str">
        <f aca="false">IF($B382="","",$I$343+SUMIFS($G$345:$G$395,$M$345:$M$395,"&lt;="&amp;$M382)-SUMIFS($H$345:$H$395,$M$345:$M$395,"&lt;="&amp;$M382))</f>
        <v/>
      </c>
      <c r="J382" s="102"/>
      <c r="K382" s="96" t="str">
        <f aca="false">IF($B382="","","ACTUAL")</f>
        <v/>
      </c>
      <c r="L382" s="0" t="str">
        <f aca="false">IF($B382="","",IF($C382="",$E$6+48,$C382))</f>
        <v/>
      </c>
      <c r="M382" s="0" t="str">
        <f aca="false">IF($L382="","",COUNTIFS($L$345:$L$395,"&lt;"&amp;$L382)+COUNTIFS($L$345:$L382,$L382))</f>
        <v/>
      </c>
    </row>
    <row r="383" customFormat="false" ht="15" hidden="false" customHeight="true" outlineLevel="0" collapsed="false">
      <c r="B383" s="12"/>
      <c r="C383" s="100"/>
      <c r="D383" s="101" t="str">
        <f aca="false">IF($B383="","","Expense")</f>
        <v/>
      </c>
      <c r="E383" s="14"/>
      <c r="F383" s="102"/>
      <c r="G383" s="102"/>
      <c r="H383" s="103" t="str">
        <f aca="false">IF($B383="","",N($E383))</f>
        <v/>
      </c>
      <c r="I383" s="104" t="str">
        <f aca="false">IF($B383="","",$I$343+SUMIFS($G$345:$G$395,$M$345:$M$395,"&lt;="&amp;$M383)-SUMIFS($H$345:$H$395,$M$345:$M$395,"&lt;="&amp;$M383))</f>
        <v/>
      </c>
      <c r="J383" s="102"/>
      <c r="K383" s="96" t="str">
        <f aca="false">IF($B383="","","ACTUAL")</f>
        <v/>
      </c>
      <c r="L383" s="0" t="str">
        <f aca="false">IF($B383="","",IF($C383="",$E$6+48,$C383))</f>
        <v/>
      </c>
      <c r="M383" s="0" t="str">
        <f aca="false">IF($L383="","",COUNTIFS($L$345:$L$395,"&lt;"&amp;$L383)+COUNTIFS($L$345:$L383,$L383))</f>
        <v/>
      </c>
    </row>
    <row r="384" customFormat="false" ht="15" hidden="false" customHeight="true" outlineLevel="0" collapsed="false">
      <c r="B384" s="12"/>
      <c r="C384" s="100"/>
      <c r="D384" s="101" t="str">
        <f aca="false">IF($B384="","","Expense")</f>
        <v/>
      </c>
      <c r="E384" s="14"/>
      <c r="F384" s="102"/>
      <c r="G384" s="102"/>
      <c r="H384" s="103" t="str">
        <f aca="false">IF($B384="","",N($E384))</f>
        <v/>
      </c>
      <c r="I384" s="104" t="str">
        <f aca="false">IF($B384="","",$I$343+SUMIFS($G$345:$G$395,$M$345:$M$395,"&lt;="&amp;$M384)-SUMIFS($H$345:$H$395,$M$345:$M$395,"&lt;="&amp;$M384))</f>
        <v/>
      </c>
      <c r="J384" s="102"/>
      <c r="K384" s="96" t="str">
        <f aca="false">IF($B384="","","ACTUAL")</f>
        <v/>
      </c>
      <c r="L384" s="0" t="str">
        <f aca="false">IF($B384="","",IF($C384="",$E$6+48,$C384))</f>
        <v/>
      </c>
      <c r="M384" s="0" t="str">
        <f aca="false">IF($L384="","",COUNTIFS($L$345:$L$395,"&lt;"&amp;$L384)+COUNTIFS($L$345:$L384,$L384))</f>
        <v/>
      </c>
    </row>
    <row r="385" customFormat="false" ht="15" hidden="false" customHeight="true" outlineLevel="0" collapsed="false">
      <c r="B385" s="12"/>
      <c r="C385" s="100"/>
      <c r="D385" s="101" t="str">
        <f aca="false">IF($B385="","","Expense")</f>
        <v/>
      </c>
      <c r="E385" s="14"/>
      <c r="F385" s="102"/>
      <c r="G385" s="102"/>
      <c r="H385" s="103" t="str">
        <f aca="false">IF($B385="","",N($E385))</f>
        <v/>
      </c>
      <c r="I385" s="104" t="str">
        <f aca="false">IF($B385="","",$I$343+SUMIFS($G$345:$G$395,$M$345:$M$395,"&lt;="&amp;$M385)-SUMIFS($H$345:$H$395,$M$345:$M$395,"&lt;="&amp;$M385))</f>
        <v/>
      </c>
      <c r="J385" s="102"/>
      <c r="K385" s="96" t="str">
        <f aca="false">IF($B385="","","ACTUAL")</f>
        <v/>
      </c>
      <c r="L385" s="0" t="str">
        <f aca="false">IF($B385="","",IF($C385="",$E$6+48,$C385))</f>
        <v/>
      </c>
      <c r="M385" s="0" t="str">
        <f aca="false">IF($L385="","",COUNTIFS($L$345:$L$395,"&lt;"&amp;$L385)+COUNTIFS($L$345:$L385,$L385))</f>
        <v/>
      </c>
    </row>
    <row r="386" customFormat="false" ht="15" hidden="false" customHeight="true" outlineLevel="0" collapsed="false">
      <c r="B386" s="12"/>
      <c r="C386" s="100"/>
      <c r="D386" s="101" t="str">
        <f aca="false">IF($B386="","","Expense")</f>
        <v/>
      </c>
      <c r="E386" s="14"/>
      <c r="F386" s="102"/>
      <c r="G386" s="102"/>
      <c r="H386" s="103" t="str">
        <f aca="false">IF($B386="","",N($E386))</f>
        <v/>
      </c>
      <c r="I386" s="104" t="str">
        <f aca="false">IF($B386="","",$I$343+SUMIFS($G$345:$G$395,$M$345:$M$395,"&lt;="&amp;$M386)-SUMIFS($H$345:$H$395,$M$345:$M$395,"&lt;="&amp;$M386))</f>
        <v/>
      </c>
      <c r="J386" s="102"/>
      <c r="K386" s="96" t="str">
        <f aca="false">IF($B386="","","ACTUAL")</f>
        <v/>
      </c>
      <c r="L386" s="0" t="str">
        <f aca="false">IF($B386="","",IF($C386="",$E$6+48,$C386))</f>
        <v/>
      </c>
      <c r="M386" s="0" t="str">
        <f aca="false">IF($L386="","",COUNTIFS($L$345:$L$395,"&lt;"&amp;$L386)+COUNTIFS($L$345:$L386,$L386))</f>
        <v/>
      </c>
    </row>
    <row r="387" customFormat="false" ht="15" hidden="false" customHeight="true" outlineLevel="0" collapsed="false">
      <c r="B387" s="12"/>
      <c r="C387" s="100"/>
      <c r="D387" s="101" t="str">
        <f aca="false">IF($B387="","","Expense")</f>
        <v/>
      </c>
      <c r="E387" s="14"/>
      <c r="F387" s="102"/>
      <c r="G387" s="102"/>
      <c r="H387" s="103" t="str">
        <f aca="false">IF($B387="","",N($E387))</f>
        <v/>
      </c>
      <c r="I387" s="104" t="str">
        <f aca="false">IF($B387="","",$I$343+SUMIFS($G$345:$G$395,$M$345:$M$395,"&lt;="&amp;$M387)-SUMIFS($H$345:$H$395,$M$345:$M$395,"&lt;="&amp;$M387))</f>
        <v/>
      </c>
      <c r="J387" s="102"/>
      <c r="K387" s="96" t="str">
        <f aca="false">IF($B387="","","ACTUAL")</f>
        <v/>
      </c>
      <c r="L387" s="0" t="str">
        <f aca="false">IF($B387="","",IF($C387="",$E$6+48,$C387))</f>
        <v/>
      </c>
      <c r="M387" s="0" t="str">
        <f aca="false">IF($L387="","",COUNTIFS($L$345:$L$395,"&lt;"&amp;$L387)+COUNTIFS($L$345:$L387,$L387))</f>
        <v/>
      </c>
    </row>
    <row r="388" customFormat="false" ht="15" hidden="false" customHeight="true" outlineLevel="0" collapsed="false">
      <c r="B388" s="12"/>
      <c r="C388" s="100"/>
      <c r="D388" s="101" t="str">
        <f aca="false">IF($B388="","","Expense")</f>
        <v/>
      </c>
      <c r="E388" s="14"/>
      <c r="F388" s="102"/>
      <c r="G388" s="102"/>
      <c r="H388" s="103" t="str">
        <f aca="false">IF($B388="","",N($E388))</f>
        <v/>
      </c>
      <c r="I388" s="104" t="str">
        <f aca="false">IF($B388="","",$I$343+SUMIFS($G$345:$G$395,$M$345:$M$395,"&lt;="&amp;$M388)-SUMIFS($H$345:$H$395,$M$345:$M$395,"&lt;="&amp;$M388))</f>
        <v/>
      </c>
      <c r="J388" s="102"/>
      <c r="K388" s="96" t="str">
        <f aca="false">IF($B388="","","ACTUAL")</f>
        <v/>
      </c>
      <c r="L388" s="0" t="str">
        <f aca="false">IF($B388="","",IF($C388="",$E$6+48,$C388))</f>
        <v/>
      </c>
      <c r="M388" s="0" t="str">
        <f aca="false">IF($L388="","",COUNTIFS($L$345:$L$395,"&lt;"&amp;$L388)+COUNTIFS($L$345:$L388,$L388))</f>
        <v/>
      </c>
    </row>
    <row r="389" customFormat="false" ht="15" hidden="false" customHeight="true" outlineLevel="0" collapsed="false">
      <c r="B389" s="12"/>
      <c r="C389" s="100"/>
      <c r="D389" s="101" t="str">
        <f aca="false">IF($B389="","","Expense")</f>
        <v/>
      </c>
      <c r="E389" s="14"/>
      <c r="F389" s="102"/>
      <c r="G389" s="102"/>
      <c r="H389" s="103" t="str">
        <f aca="false">IF($B389="","",N($E389))</f>
        <v/>
      </c>
      <c r="I389" s="104" t="str">
        <f aca="false">IF($B389="","",$I$343+SUMIFS($G$345:$G$395,$M$345:$M$395,"&lt;="&amp;$M389)-SUMIFS($H$345:$H$395,$M$345:$M$395,"&lt;="&amp;$M389))</f>
        <v/>
      </c>
      <c r="J389" s="102"/>
      <c r="K389" s="96" t="str">
        <f aca="false">IF($B389="","","ACTUAL")</f>
        <v/>
      </c>
      <c r="L389" s="0" t="str">
        <f aca="false">IF($B389="","",IF($C389="",$E$6+48,$C389))</f>
        <v/>
      </c>
      <c r="M389" s="0" t="str">
        <f aca="false">IF($L389="","",COUNTIFS($L$345:$L$395,"&lt;"&amp;$L389)+COUNTIFS($L$345:$L389,$L389))</f>
        <v/>
      </c>
    </row>
    <row r="390" customFormat="false" ht="15" hidden="false" customHeight="true" outlineLevel="0" collapsed="false">
      <c r="B390" s="12"/>
      <c r="C390" s="100"/>
      <c r="D390" s="101" t="str">
        <f aca="false">IF($B390="","","Expense")</f>
        <v/>
      </c>
      <c r="E390" s="14"/>
      <c r="F390" s="102"/>
      <c r="G390" s="102"/>
      <c r="H390" s="103" t="str">
        <f aca="false">IF($B390="","",N($E390))</f>
        <v/>
      </c>
      <c r="I390" s="104" t="str">
        <f aca="false">IF($B390="","",$I$343+SUMIFS($G$345:$G$395,$M$345:$M$395,"&lt;="&amp;$M390)-SUMIFS($H$345:$H$395,$M$345:$M$395,"&lt;="&amp;$M390))</f>
        <v/>
      </c>
      <c r="J390" s="102"/>
      <c r="K390" s="96" t="str">
        <f aca="false">IF($B390="","","ACTUAL")</f>
        <v/>
      </c>
      <c r="L390" s="0" t="str">
        <f aca="false">IF($B390="","",IF($C390="",$E$6+48,$C390))</f>
        <v/>
      </c>
      <c r="M390" s="0" t="str">
        <f aca="false">IF($L390="","",COUNTIFS($L$345:$L$395,"&lt;"&amp;$L390)+COUNTIFS($L$345:$L390,$L390))</f>
        <v/>
      </c>
    </row>
    <row r="391" customFormat="false" ht="15" hidden="false" customHeight="true" outlineLevel="0" collapsed="false">
      <c r="B391" s="12"/>
      <c r="C391" s="100"/>
      <c r="D391" s="101" t="str">
        <f aca="false">IF($B391="","","Expense")</f>
        <v/>
      </c>
      <c r="E391" s="14"/>
      <c r="F391" s="102"/>
      <c r="G391" s="102"/>
      <c r="H391" s="103" t="str">
        <f aca="false">IF($B391="","",N($E391))</f>
        <v/>
      </c>
      <c r="I391" s="104" t="str">
        <f aca="false">IF($B391="","",$I$343+SUMIFS($G$345:$G$395,$M$345:$M$395,"&lt;="&amp;$M391)-SUMIFS($H$345:$H$395,$M$345:$M$395,"&lt;="&amp;$M391))</f>
        <v/>
      </c>
      <c r="J391" s="102"/>
      <c r="K391" s="96" t="str">
        <f aca="false">IF($B391="","","ACTUAL")</f>
        <v/>
      </c>
      <c r="L391" s="0" t="str">
        <f aca="false">IF($B391="","",IF($C391="",$E$6+48,$C391))</f>
        <v/>
      </c>
      <c r="M391" s="0" t="str">
        <f aca="false">IF($L391="","",COUNTIFS($L$345:$L$395,"&lt;"&amp;$L391)+COUNTIFS($L$345:$L391,$L391))</f>
        <v/>
      </c>
    </row>
    <row r="392" customFormat="false" ht="15" hidden="false" customHeight="true" outlineLevel="0" collapsed="false">
      <c r="B392" s="12"/>
      <c r="C392" s="100"/>
      <c r="D392" s="101" t="str">
        <f aca="false">IF($B392="","","Expense")</f>
        <v/>
      </c>
      <c r="E392" s="14"/>
      <c r="F392" s="102"/>
      <c r="G392" s="102"/>
      <c r="H392" s="103" t="str">
        <f aca="false">IF($B392="","",N($E392))</f>
        <v/>
      </c>
      <c r="I392" s="104" t="str">
        <f aca="false">IF($B392="","",$I$343+SUMIFS($G$345:$G$395,$M$345:$M$395,"&lt;="&amp;$M392)-SUMIFS($H$345:$H$395,$M$345:$M$395,"&lt;="&amp;$M392))</f>
        <v/>
      </c>
      <c r="J392" s="102"/>
      <c r="K392" s="96" t="str">
        <f aca="false">IF($B392="","","ACTUAL")</f>
        <v/>
      </c>
      <c r="L392" s="0" t="str">
        <f aca="false">IF($B392="","",IF($C392="",$E$6+48,$C392))</f>
        <v/>
      </c>
      <c r="M392" s="0" t="str">
        <f aca="false">IF($L392="","",COUNTIFS($L$345:$L$395,"&lt;"&amp;$L392)+COUNTIFS($L$345:$L392,$L392))</f>
        <v/>
      </c>
    </row>
    <row r="393" customFormat="false" ht="15" hidden="false" customHeight="true" outlineLevel="0" collapsed="false">
      <c r="B393" s="12"/>
      <c r="C393" s="100"/>
      <c r="D393" s="101" t="str">
        <f aca="false">IF($B393="","","Expense")</f>
        <v/>
      </c>
      <c r="E393" s="14"/>
      <c r="F393" s="102"/>
      <c r="G393" s="102"/>
      <c r="H393" s="103" t="str">
        <f aca="false">IF($B393="","",N($E393))</f>
        <v/>
      </c>
      <c r="I393" s="104" t="str">
        <f aca="false">IF($B393="","",$I$343+SUMIFS($G$345:$G$395,$M$345:$M$395,"&lt;="&amp;$M393)-SUMIFS($H$345:$H$395,$M$345:$M$395,"&lt;="&amp;$M393))</f>
        <v/>
      </c>
      <c r="J393" s="102"/>
      <c r="K393" s="96" t="str">
        <f aca="false">IF($B393="","","ACTUAL")</f>
        <v/>
      </c>
      <c r="L393" s="0" t="str">
        <f aca="false">IF($B393="","",IF($C393="",$E$6+48,$C393))</f>
        <v/>
      </c>
      <c r="M393" s="0" t="str">
        <f aca="false">IF($L393="","",COUNTIFS($L$345:$L$395,"&lt;"&amp;$L393)+COUNTIFS($L$345:$L393,$L393))</f>
        <v/>
      </c>
    </row>
    <row r="394" customFormat="false" ht="15" hidden="false" customHeight="true" outlineLevel="0" collapsed="false">
      <c r="B394" s="12"/>
      <c r="C394" s="100"/>
      <c r="D394" s="101" t="str">
        <f aca="false">IF($B394="","","Expense")</f>
        <v/>
      </c>
      <c r="E394" s="14"/>
      <c r="F394" s="102"/>
      <c r="G394" s="102"/>
      <c r="H394" s="103" t="str">
        <f aca="false">IF($B394="","",N($E394))</f>
        <v/>
      </c>
      <c r="I394" s="104" t="str">
        <f aca="false">IF($B394="","",$I$343+SUMIFS($G$345:$G$395,$M$345:$M$395,"&lt;="&amp;$M394)-SUMIFS($H$345:$H$395,$M$345:$M$395,"&lt;="&amp;$M394))</f>
        <v/>
      </c>
      <c r="J394" s="102"/>
      <c r="K394" s="96" t="str">
        <f aca="false">IF($B394="","","ACTUAL")</f>
        <v/>
      </c>
      <c r="L394" s="0" t="str">
        <f aca="false">IF($B394="","",IF($C394="",$E$6+48,$C394))</f>
        <v/>
      </c>
      <c r="M394" s="0" t="str">
        <f aca="false">IF($L394="","",COUNTIFS($L$345:$L$395,"&lt;"&amp;$L394)+COUNTIFS($L$345:$L394,$L394))</f>
        <v/>
      </c>
    </row>
    <row r="395" customFormat="false" ht="15" hidden="false" customHeight="true" outlineLevel="0" collapsed="false">
      <c r="B395" s="105" t="str">
        <f aca="false">"Everyday spending still expected this week"</f>
        <v>Everyday spending still expected this week</v>
      </c>
      <c r="C395" s="106" t="n">
        <f aca="false">$E$6+48</f>
        <v>46297</v>
      </c>
      <c r="D395" s="101" t="str">
        <f aca="false">IF($B395="","","Expense")</f>
        <v>Expense</v>
      </c>
      <c r="E395" s="107" t="n">
        <f aca="false">MAX(0,$E$8-SUM($E$356:$E$394))</f>
        <v>400</v>
      </c>
      <c r="F395" s="102"/>
      <c r="G395" s="102"/>
      <c r="H395" s="103" t="n">
        <f aca="false">IF($B395="","",N($E395))</f>
        <v>400</v>
      </c>
      <c r="I395" s="104" t="n">
        <f aca="false">IF($B395="","",$I$343+SUMIFS($G$345:$G$395,$M$345:$M$395,"&lt;="&amp;$M395)-SUMIFS($H$345:$H$395,$M$345:$M$395,"&lt;="&amp;$M395))</f>
        <v>199.65</v>
      </c>
      <c r="J395" s="102"/>
      <c r="K395" s="96" t="str">
        <f aca="false">"FORECAST"</f>
        <v>FORECAST</v>
      </c>
      <c r="L395" s="97" t="n">
        <f aca="false">IF($B395="","",IF($C395="",$E$6+48,$C395))</f>
        <v>46297</v>
      </c>
      <c r="M395" s="0" t="n">
        <f aca="false">IF($L395="","",COUNTIFS($L$345:$L$395,"&lt;"&amp;$L395)+COUNTIFS($L$345:$L395,$L395))</f>
        <v>6</v>
      </c>
    </row>
    <row r="396" customFormat="false" ht="15" hidden="false" customHeight="true" outlineLevel="0" collapsed="false">
      <c r="B396" s="108" t="s">
        <v>175</v>
      </c>
      <c r="C396" s="57"/>
      <c r="D396" s="57"/>
      <c r="E396" s="57"/>
      <c r="F396" s="57"/>
      <c r="G396" s="56" t="n">
        <f aca="false">SUM($G$345:$G$395)</f>
        <v>835</v>
      </c>
      <c r="H396" s="56" t="n">
        <f aca="false">SUM($H$345:$H$395)</f>
        <v>1043.37</v>
      </c>
      <c r="I396" s="109" t="n">
        <f aca="false">$I$343+$G$396-$H$396</f>
        <v>199.65</v>
      </c>
      <c r="J396" s="110" t="str">
        <f aca="false">IF($I$396&lt;0,"SHORTFALL",IF($I$396&lt;$E$7,"TIGHT","OK"))</f>
        <v>TIGHT</v>
      </c>
      <c r="K396" s="111"/>
      <c r="N396" s="111" t="str">
        <f aca="false">IF(COUNT($I$345:$I$395)=0,"","Lowest point this week: "&amp;TEXT(MIN($I$345:$I$395),"$#,##0.00;-$#,##0.00")&amp;" on "&amp;TEXT(INDEX($C$345:$C$395,MATCH(MIN($I$345:$I$395),$I$345:$I$395,0)),"ddd mmm d")&amp;"     (in "&amp;TEXT($G$396,"$#,##0.00")&amp;", out "&amp;TEXT($H$396,"$#,##0.00")&amp;")")</f>
        <v>Lowest point this week: -$145.35 on Wed Sep 30     (in $835.00, out $1,043.37)</v>
      </c>
    </row>
    <row r="398" customFormat="false" ht="21.75" hidden="false" customHeight="true" outlineLevel="0" collapsed="false">
      <c r="B398" s="82" t="str">
        <f aca="false">"WEEK 8     "&amp;TEXT($E$6+49,"ddd, mmm d")&amp;"   through   "&amp;TEXT($E$6+49+6,"ddd, mmm d, yyyy")</f>
        <v>WEEK 8     Sat, Oct 3   through   Fri, Oct 9, 2026</v>
      </c>
      <c r="C398" s="83"/>
      <c r="D398" s="83"/>
      <c r="E398" s="83"/>
      <c r="F398" s="83"/>
      <c r="G398" s="84" t="s">
        <v>139</v>
      </c>
      <c r="H398" s="83"/>
      <c r="I398" s="85" t="n">
        <f aca="false">$I$396</f>
        <v>199.65</v>
      </c>
      <c r="J398" s="83"/>
      <c r="K398" s="86"/>
      <c r="N398" s="86" t="str">
        <f aca="false">IF(COUNTIF(Schedule!$I$4:$I$483,8)&gt;10,"! "&amp;COUNTIF(Schedule!$I$4:$I$483,8)-10&amp;" more transaction(s) fall in this week than there are rows to show them.","")</f>
        <v/>
      </c>
    </row>
    <row r="399" customFormat="false" ht="25.5" hidden="false" customHeight="true" outlineLevel="0" collapsed="false">
      <c r="B399" s="87" t="s">
        <v>140</v>
      </c>
      <c r="C399" s="87" t="s">
        <v>141</v>
      </c>
      <c r="D399" s="87" t="s">
        <v>42</v>
      </c>
      <c r="E399" s="87" t="s">
        <v>142</v>
      </c>
      <c r="F399" s="87" t="s">
        <v>143</v>
      </c>
      <c r="G399" s="36" t="s">
        <v>144</v>
      </c>
      <c r="H399" s="37" t="s">
        <v>145</v>
      </c>
      <c r="I399" s="87" t="s">
        <v>146</v>
      </c>
      <c r="J399" s="87" t="s">
        <v>14</v>
      </c>
      <c r="K399" s="87" t="s">
        <v>147</v>
      </c>
    </row>
    <row r="400" customFormat="false" ht="15" hidden="false" customHeight="true" outlineLevel="0" collapsed="false">
      <c r="B400" s="7" t="str">
        <f aca="false">IFERROR(INDEX(Schedule!$C$4:$C$483,MATCH(8001,Schedule!$K$4:$K$483,0)),"")</f>
        <v>Apple: Claude</v>
      </c>
      <c r="C400" s="88" t="n">
        <f aca="false">IF($B400="","",INDEX(Schedule!$G$4:$G$483,MATCH(8001,Schedule!$K$4:$K$483,0)))</f>
        <v>46299</v>
      </c>
      <c r="D400" s="89" t="str">
        <f aca="false">IF($B400="","",INDEX(Schedule!$D$4:$D$483,MATCH(8001,Schedule!$K$4:$K$483,0)))</f>
        <v>Expense</v>
      </c>
      <c r="E400" s="90" t="n">
        <f aca="false">IF($B400="","",INDEX(Schedule!$E$4:$E$483,MATCH(8001,Schedule!$K$4:$K$483,0)))</f>
        <v>21.1</v>
      </c>
      <c r="F400" s="91"/>
      <c r="G400" s="92" t="str">
        <f aca="false">IF($B400="","",IF($D400="Income",IF($F400&lt;&gt;"",$F400,IF(COUNTIFS('Paid Log'!$B$9:$B$308,$C400,'Paid Log'!$C$9:$C$308,$B400)&gt;0,SUMIFS('Paid Log'!$D$9:$D$308,'Paid Log'!$B$9:$B$308,$C400,'Paid Log'!$C$9:$C$308,$B400),$E400)),""))</f>
        <v/>
      </c>
      <c r="H400" s="93" t="n">
        <f aca="false">IF($B400="","",IF($D400="Income","",IF($F400&lt;&gt;"",$F400,IF(COUNTIFS('Paid Log'!$B$9:$B$308,$C400,'Paid Log'!$C$9:$C$308,$B400)&gt;0,SUMIFS('Paid Log'!$D$9:$D$308,'Paid Log'!$B$9:$B$308,$C400,'Paid Log'!$C$9:$C$308,$B400),$E400))))</f>
        <v>21.1</v>
      </c>
      <c r="I400" s="94" t="n">
        <f aca="false">IF($B400="","",$I$398+SUMIFS($G$400:$G$450,$M$400:$M$450,"&lt;="&amp;$M400)-SUMIFS($H$400:$H$450,$M$400:$M$450,"&lt;="&amp;$M400))</f>
        <v>178.55</v>
      </c>
      <c r="J400" s="95" t="str">
        <f aca="true">IF($B400="","",IF(OR($F400&lt;&gt;"",COUNTIFS('Paid Log'!$B$9:$B$308,$C400,'Paid Log'!$C$9:$C$308,$B400)&gt;0),IF($C400&gt;TODAY(),"ADJUSTED","PAID"),IF($C400&lt;TODAY(),"PAST DUE",IF($C400&lt;=TODAY()+7,"DUE","Upcoming"))))</f>
        <v>Upcoming</v>
      </c>
      <c r="K400" s="96" t="str">
        <f aca="false">IF($B400="","",IF(OR($F400&lt;&gt;"",COUNTIFS('Paid Log'!$B$9:$B$308,$C400,'Paid Log'!$C$9:$C$308,$B400)&gt;0),"ACTUAL","FORECAST"))</f>
        <v>FORECAST</v>
      </c>
      <c r="L400" s="97" t="n">
        <f aca="false">IF($B400="","",$C400)</f>
        <v>46299</v>
      </c>
      <c r="M400" s="0" t="n">
        <f aca="false">IF($L400="","",COUNTIFS($L$400:$L$450,"&lt;"&amp;$L400)+COUNTIFS($L$400:$L400,$L400))</f>
        <v>1</v>
      </c>
    </row>
    <row r="401" customFormat="false" ht="15" hidden="false" customHeight="true" outlineLevel="0" collapsed="false">
      <c r="B401" s="7" t="str">
        <f aca="false">IFERROR(INDEX(Schedule!$C$4:$C$483,MATCH(8002,Schedule!$K$4:$K$483,0)),"")</f>
        <v>OpenAI</v>
      </c>
      <c r="C401" s="88" t="n">
        <f aca="false">IF($B401="","",INDEX(Schedule!$G$4:$G$483,MATCH(8002,Schedule!$K$4:$K$483,0)))</f>
        <v>46300</v>
      </c>
      <c r="D401" s="89" t="str">
        <f aca="false">IF($B401="","",INDEX(Schedule!$D$4:$D$483,MATCH(8002,Schedule!$K$4:$K$483,0)))</f>
        <v>Expense</v>
      </c>
      <c r="E401" s="90" t="n">
        <f aca="false">IF($B401="","",INDEX(Schedule!$E$4:$E$483,MATCH(8002,Schedule!$K$4:$K$483,0)))</f>
        <v>20</v>
      </c>
      <c r="F401" s="91"/>
      <c r="G401" s="92" t="str">
        <f aca="false">IF($B401="","",IF($D401="Income",IF($F401&lt;&gt;"",$F401,IF(COUNTIFS('Paid Log'!$B$9:$B$308,$C401,'Paid Log'!$C$9:$C$308,$B401)&gt;0,SUMIFS('Paid Log'!$D$9:$D$308,'Paid Log'!$B$9:$B$308,$C401,'Paid Log'!$C$9:$C$308,$B401),$E401)),""))</f>
        <v/>
      </c>
      <c r="H401" s="93" t="n">
        <f aca="false">IF($B401="","",IF($D401="Income","",IF($F401&lt;&gt;"",$F401,IF(COUNTIFS('Paid Log'!$B$9:$B$308,$C401,'Paid Log'!$C$9:$C$308,$B401)&gt;0,SUMIFS('Paid Log'!$D$9:$D$308,'Paid Log'!$B$9:$B$308,$C401,'Paid Log'!$C$9:$C$308,$B401),$E401))))</f>
        <v>20</v>
      </c>
      <c r="I401" s="94" t="n">
        <f aca="false">IF($B401="","",$I$398+SUMIFS($G$400:$G$450,$M$400:$M$450,"&lt;="&amp;$M401)-SUMIFS($H$400:$H$450,$M$400:$M$450,"&lt;="&amp;$M401))</f>
        <v>158.55</v>
      </c>
      <c r="J401" s="95" t="str">
        <f aca="true">IF($B401="","",IF(OR($F401&lt;&gt;"",COUNTIFS('Paid Log'!$B$9:$B$308,$C401,'Paid Log'!$C$9:$C$308,$B401)&gt;0),IF($C401&gt;TODAY(),"ADJUSTED","PAID"),IF($C401&lt;TODAY(),"PAST DUE",IF($C401&lt;=TODAY()+7,"DUE","Upcoming"))))</f>
        <v>Upcoming</v>
      </c>
      <c r="K401" s="96" t="str">
        <f aca="false">IF($B401="","",IF(OR($F401&lt;&gt;"",COUNTIFS('Paid Log'!$B$9:$B$308,$C401,'Paid Log'!$C$9:$C$308,$B401)&gt;0),"ACTUAL","FORECAST"))</f>
        <v>FORECAST</v>
      </c>
      <c r="L401" s="97" t="n">
        <f aca="false">IF($B401="","",$C401)</f>
        <v>46300</v>
      </c>
      <c r="M401" s="0" t="n">
        <f aca="false">IF($L401="","",COUNTIFS($L$400:$L$450,"&lt;"&amp;$L401)+COUNTIFS($L$400:$L401,$L401))</f>
        <v>2</v>
      </c>
    </row>
    <row r="402" customFormat="false" ht="15" hidden="false" customHeight="true" outlineLevel="0" collapsed="false">
      <c r="B402" s="7" t="str">
        <f aca="false">IFERROR(INDEX(Schedule!$C$4:$C$483,MATCH(8003,Schedule!$K$4:$K$483,0)),"")</f>
        <v>Obsidian</v>
      </c>
      <c r="C402" s="88" t="n">
        <f aca="false">IF($B402="","",INDEX(Schedule!$G$4:$G$483,MATCH(8003,Schedule!$K$4:$K$483,0)))</f>
        <v>46300</v>
      </c>
      <c r="D402" s="89" t="str">
        <f aca="false">IF($B402="","",INDEX(Schedule!$D$4:$D$483,MATCH(8003,Schedule!$K$4:$K$483,0)))</f>
        <v>Expense</v>
      </c>
      <c r="E402" s="90" t="n">
        <f aca="false">IF($B402="","",INDEX(Schedule!$E$4:$E$483,MATCH(8003,Schedule!$K$4:$K$483,0)))</f>
        <v>10</v>
      </c>
      <c r="F402" s="91"/>
      <c r="G402" s="92" t="str">
        <f aca="false">IF($B402="","",IF($D402="Income",IF($F402&lt;&gt;"",$F402,IF(COUNTIFS('Paid Log'!$B$9:$B$308,$C402,'Paid Log'!$C$9:$C$308,$B402)&gt;0,SUMIFS('Paid Log'!$D$9:$D$308,'Paid Log'!$B$9:$B$308,$C402,'Paid Log'!$C$9:$C$308,$B402),$E402)),""))</f>
        <v/>
      </c>
      <c r="H402" s="93" t="n">
        <f aca="false">IF($B402="","",IF($D402="Income","",IF($F402&lt;&gt;"",$F402,IF(COUNTIFS('Paid Log'!$B$9:$B$308,$C402,'Paid Log'!$C$9:$C$308,$B402)&gt;0,SUMIFS('Paid Log'!$D$9:$D$308,'Paid Log'!$B$9:$B$308,$C402,'Paid Log'!$C$9:$C$308,$B402),$E402))))</f>
        <v>10</v>
      </c>
      <c r="I402" s="94" t="n">
        <f aca="false">IF($B402="","",$I$398+SUMIFS($G$400:$G$450,$M$400:$M$450,"&lt;="&amp;$M402)-SUMIFS($H$400:$H$450,$M$400:$M$450,"&lt;="&amp;$M402))</f>
        <v>148.55</v>
      </c>
      <c r="J402" s="95" t="str">
        <f aca="true">IF($B402="","",IF(OR($F402&lt;&gt;"",COUNTIFS('Paid Log'!$B$9:$B$308,$C402,'Paid Log'!$C$9:$C$308,$B402)&gt;0),IF($C402&gt;TODAY(),"ADJUSTED","PAID"),IF($C402&lt;TODAY(),"PAST DUE",IF($C402&lt;=TODAY()+7,"DUE","Upcoming"))))</f>
        <v>Upcoming</v>
      </c>
      <c r="K402" s="96" t="str">
        <f aca="false">IF($B402="","",IF(OR($F402&lt;&gt;"",COUNTIFS('Paid Log'!$B$9:$B$308,$C402,'Paid Log'!$C$9:$C$308,$B402)&gt;0),"ACTUAL","FORECAST"))</f>
        <v>FORECAST</v>
      </c>
      <c r="L402" s="97" t="n">
        <f aca="false">IF($B402="","",$C402)</f>
        <v>46300</v>
      </c>
      <c r="M402" s="0" t="n">
        <f aca="false">IF($L402="","",COUNTIFS($L$400:$L$450,"&lt;"&amp;$L402)+COUNTIFS($L$400:$L402,$L402))</f>
        <v>3</v>
      </c>
    </row>
    <row r="403" customFormat="false" ht="15" hidden="false" customHeight="true" outlineLevel="0" collapsed="false">
      <c r="B403" s="7" t="str">
        <f aca="false">IFERROR(INDEX(Schedule!$C$4:$C$483,MATCH(8004,Schedule!$K$4:$K$483,0)),"")</f>
        <v>Bruno's Restaurant (paycheck)</v>
      </c>
      <c r="C403" s="88" t="n">
        <f aca="false">IF($B403="","",INDEX(Schedule!$G$4:$G$483,MATCH(8004,Schedule!$K$4:$K$483,0)))</f>
        <v>46302</v>
      </c>
      <c r="D403" s="89" t="str">
        <f aca="false">IF($B403="","",INDEX(Schedule!$D$4:$D$483,MATCH(8004,Schedule!$K$4:$K$483,0)))</f>
        <v>Income</v>
      </c>
      <c r="E403" s="90" t="n">
        <f aca="false">IF($B403="","",INDEX(Schedule!$E$4:$E$483,MATCH(8004,Schedule!$K$4:$K$483,0)))</f>
        <v>90</v>
      </c>
      <c r="F403" s="91"/>
      <c r="G403" s="92" t="n">
        <f aca="false">IF($B403="","",IF($D403="Income",IF($F403&lt;&gt;"",$F403,IF(COUNTIFS('Paid Log'!$B$9:$B$308,$C403,'Paid Log'!$C$9:$C$308,$B403)&gt;0,SUMIFS('Paid Log'!$D$9:$D$308,'Paid Log'!$B$9:$B$308,$C403,'Paid Log'!$C$9:$C$308,$B403),$E403)),""))</f>
        <v>90</v>
      </c>
      <c r="H403" s="93" t="str">
        <f aca="false">IF($B403="","",IF($D403="Income","",IF($F403&lt;&gt;"",$F403,IF(COUNTIFS('Paid Log'!$B$9:$B$308,$C403,'Paid Log'!$C$9:$C$308,$B403)&gt;0,SUMIFS('Paid Log'!$D$9:$D$308,'Paid Log'!$B$9:$B$308,$C403,'Paid Log'!$C$9:$C$308,$B403),$E403))))</f>
        <v/>
      </c>
      <c r="I403" s="94" t="n">
        <f aca="false">IF($B403="","",$I$398+SUMIFS($G$400:$G$450,$M$400:$M$450,"&lt;="&amp;$M403)-SUMIFS($H$400:$H$450,$M$400:$M$450,"&lt;="&amp;$M403))</f>
        <v>238.55</v>
      </c>
      <c r="J403" s="95" t="str">
        <f aca="true">IF($B403="","",IF(OR($F403&lt;&gt;"",COUNTIFS('Paid Log'!$B$9:$B$308,$C403,'Paid Log'!$C$9:$C$308,$B403)&gt;0),IF($C403&gt;TODAY(),"ADJUSTED","PAID"),IF($C403&lt;TODAY(),"PAST DUE",IF($C403&lt;=TODAY()+7,"DUE","Upcoming"))))</f>
        <v>Upcoming</v>
      </c>
      <c r="K403" s="96" t="str">
        <f aca="false">IF($B403="","",IF(OR($F403&lt;&gt;"",COUNTIFS('Paid Log'!$B$9:$B$308,$C403,'Paid Log'!$C$9:$C$308,$B403)&gt;0),"ACTUAL","FORECAST"))</f>
        <v>FORECAST</v>
      </c>
      <c r="L403" s="97" t="n">
        <f aca="false">IF($B403="","",$C403)</f>
        <v>46302</v>
      </c>
      <c r="M403" s="0" t="n">
        <f aca="false">IF($L403="","",COUNTIFS($L$400:$L$450,"&lt;"&amp;$L403)+COUNTIFS($L$400:$L403,$L403))</f>
        <v>4</v>
      </c>
    </row>
    <row r="404" customFormat="false" ht="15" hidden="false" customHeight="true" outlineLevel="0" collapsed="false">
      <c r="B404" s="7" t="str">
        <f aca="false">IFERROR(INDEX(Schedule!$C$4:$C$483,MATCH(8005,Schedule!$K$4:$K$483,0)),"")</f>
        <v>Google One</v>
      </c>
      <c r="C404" s="88" t="n">
        <f aca="false">IF($B404="","",INDEX(Schedule!$G$4:$G$483,MATCH(8005,Schedule!$K$4:$K$483,0)))</f>
        <v>46302</v>
      </c>
      <c r="D404" s="89" t="str">
        <f aca="false">IF($B404="","",INDEX(Schedule!$D$4:$D$483,MATCH(8005,Schedule!$K$4:$K$483,0)))</f>
        <v>Expense</v>
      </c>
      <c r="E404" s="90" t="n">
        <f aca="false">IF($B404="","",INDEX(Schedule!$E$4:$E$483,MATCH(8005,Schedule!$K$4:$K$483,0)))</f>
        <v>4.99</v>
      </c>
      <c r="F404" s="91"/>
      <c r="G404" s="92" t="str">
        <f aca="false">IF($B404="","",IF($D404="Income",IF($F404&lt;&gt;"",$F404,IF(COUNTIFS('Paid Log'!$B$9:$B$308,$C404,'Paid Log'!$C$9:$C$308,$B404)&gt;0,SUMIFS('Paid Log'!$D$9:$D$308,'Paid Log'!$B$9:$B$308,$C404,'Paid Log'!$C$9:$C$308,$B404),$E404)),""))</f>
        <v/>
      </c>
      <c r="H404" s="93" t="n">
        <f aca="false">IF($B404="","",IF($D404="Income","",IF($F404&lt;&gt;"",$F404,IF(COUNTIFS('Paid Log'!$B$9:$B$308,$C404,'Paid Log'!$C$9:$C$308,$B404)&gt;0,SUMIFS('Paid Log'!$D$9:$D$308,'Paid Log'!$B$9:$B$308,$C404,'Paid Log'!$C$9:$C$308,$B404),$E404))))</f>
        <v>4.99</v>
      </c>
      <c r="I404" s="94" t="n">
        <f aca="false">IF($B404="","",$I$398+SUMIFS($G$400:$G$450,$M$400:$M$450,"&lt;="&amp;$M404)-SUMIFS($H$400:$H$450,$M$400:$M$450,"&lt;="&amp;$M404))</f>
        <v>233.56</v>
      </c>
      <c r="J404" s="95" t="str">
        <f aca="true">IF($B404="","",IF(OR($F404&lt;&gt;"",COUNTIFS('Paid Log'!$B$9:$B$308,$C404,'Paid Log'!$C$9:$C$308,$B404)&gt;0),IF($C404&gt;TODAY(),"ADJUSTED","PAID"),IF($C404&lt;TODAY(),"PAST DUE",IF($C404&lt;=TODAY()+7,"DUE","Upcoming"))))</f>
        <v>Upcoming</v>
      </c>
      <c r="K404" s="96" t="str">
        <f aca="false">IF($B404="","",IF(OR($F404&lt;&gt;"",COUNTIFS('Paid Log'!$B$9:$B$308,$C404,'Paid Log'!$C$9:$C$308,$B404)&gt;0),"ACTUAL","FORECAST"))</f>
        <v>FORECAST</v>
      </c>
      <c r="L404" s="97" t="n">
        <f aca="false">IF($B404="","",$C404)</f>
        <v>46302</v>
      </c>
      <c r="M404" s="0" t="n">
        <f aca="false">IF($L404="","",COUNTIFS($L$400:$L$450,"&lt;"&amp;$L404)+COUNTIFS($L$400:$L404,$L404))</f>
        <v>5</v>
      </c>
    </row>
    <row r="405" customFormat="false" ht="15" hidden="false" customHeight="true" outlineLevel="0" collapsed="false">
      <c r="B405" s="7" t="str">
        <f aca="false">IFERROR(INDEX(Schedule!$C$4:$C$483,MATCH(8006,Schedule!$K$4:$K$483,0)),"")</f>
        <v>Upstart (loan)</v>
      </c>
      <c r="C405" s="88" t="n">
        <f aca="false">IF($B405="","",INDEX(Schedule!$G$4:$G$483,MATCH(8006,Schedule!$K$4:$K$483,0)))</f>
        <v>46302</v>
      </c>
      <c r="D405" s="89" t="str">
        <f aca="false">IF($B405="","",INDEX(Schedule!$D$4:$D$483,MATCH(8006,Schedule!$K$4:$K$483,0)))</f>
        <v>Expense</v>
      </c>
      <c r="E405" s="90" t="n">
        <f aca="false">IF($B405="","",INDEX(Schedule!$E$4:$E$483,MATCH(8006,Schedule!$K$4:$K$483,0)))</f>
        <v>500</v>
      </c>
      <c r="F405" s="91"/>
      <c r="G405" s="92" t="str">
        <f aca="false">IF($B405="","",IF($D405="Income",IF($F405&lt;&gt;"",$F405,IF(COUNTIFS('Paid Log'!$B$9:$B$308,$C405,'Paid Log'!$C$9:$C$308,$B405)&gt;0,SUMIFS('Paid Log'!$D$9:$D$308,'Paid Log'!$B$9:$B$308,$C405,'Paid Log'!$C$9:$C$308,$B405),$E405)),""))</f>
        <v/>
      </c>
      <c r="H405" s="93" t="n">
        <f aca="false">IF($B405="","",IF($D405="Income","",IF($F405&lt;&gt;"",$F405,IF(COUNTIFS('Paid Log'!$B$9:$B$308,$C405,'Paid Log'!$C$9:$C$308,$B405)&gt;0,SUMIFS('Paid Log'!$D$9:$D$308,'Paid Log'!$B$9:$B$308,$C405,'Paid Log'!$C$9:$C$308,$B405),$E405))))</f>
        <v>500</v>
      </c>
      <c r="I405" s="94" t="n">
        <f aca="false">IF($B405="","",$I$398+SUMIFS($G$400:$G$450,$M$400:$M$450,"&lt;="&amp;$M405)-SUMIFS($H$400:$H$450,$M$400:$M$450,"&lt;="&amp;$M405))</f>
        <v>-266.44</v>
      </c>
      <c r="J405" s="95" t="str">
        <f aca="true">IF($B405="","",IF(OR($F405&lt;&gt;"",COUNTIFS('Paid Log'!$B$9:$B$308,$C405,'Paid Log'!$C$9:$C$308,$B405)&gt;0),IF($C405&gt;TODAY(),"ADJUSTED","PAID"),IF($C405&lt;TODAY(),"PAST DUE",IF($C405&lt;=TODAY()+7,"DUE","Upcoming"))))</f>
        <v>Upcoming</v>
      </c>
      <c r="K405" s="96" t="str">
        <f aca="false">IF($B405="","",IF(OR($F405&lt;&gt;"",COUNTIFS('Paid Log'!$B$9:$B$308,$C405,'Paid Log'!$C$9:$C$308,$B405)&gt;0),"ACTUAL","FORECAST"))</f>
        <v>FORECAST</v>
      </c>
      <c r="L405" s="97" t="n">
        <f aca="false">IF($B405="","",$C405)</f>
        <v>46302</v>
      </c>
      <c r="M405" s="0" t="n">
        <f aca="false">IF($L405="","",COUNTIFS($L$400:$L$450,"&lt;"&amp;$L405)+COUNTIFS($L$400:$L405,$L405))</f>
        <v>6</v>
      </c>
    </row>
    <row r="406" customFormat="false" ht="15" hidden="false" customHeight="true" outlineLevel="0" collapsed="false">
      <c r="B406" s="7" t="str">
        <f aca="false">IFERROR(INDEX(Schedule!$C$4:$C$483,MATCH(8007,Schedule!$K$4:$K$483,0)),"")</f>
        <v>Central Maine Power Co.</v>
      </c>
      <c r="C406" s="88" t="n">
        <f aca="false">IF($B406="","",INDEX(Schedule!$G$4:$G$483,MATCH(8007,Schedule!$K$4:$K$483,0)))</f>
        <v>46303</v>
      </c>
      <c r="D406" s="89" t="str">
        <f aca="false">IF($B406="","",INDEX(Schedule!$D$4:$D$483,MATCH(8007,Schedule!$K$4:$K$483,0)))</f>
        <v>Expense</v>
      </c>
      <c r="E406" s="90" t="n">
        <f aca="false">IF($B406="","",INDEX(Schedule!$E$4:$E$483,MATCH(8007,Schedule!$K$4:$K$483,0)))</f>
        <v>163.5</v>
      </c>
      <c r="F406" s="91"/>
      <c r="G406" s="92" t="str">
        <f aca="false">IF($B406="","",IF($D406="Income",IF($F406&lt;&gt;"",$F406,IF(COUNTIFS('Paid Log'!$B$9:$B$308,$C406,'Paid Log'!$C$9:$C$308,$B406)&gt;0,SUMIFS('Paid Log'!$D$9:$D$308,'Paid Log'!$B$9:$B$308,$C406,'Paid Log'!$C$9:$C$308,$B406),$E406)),""))</f>
        <v/>
      </c>
      <c r="H406" s="93" t="n">
        <f aca="false">IF($B406="","",IF($D406="Income","",IF($F406&lt;&gt;"",$F406,IF(COUNTIFS('Paid Log'!$B$9:$B$308,$C406,'Paid Log'!$C$9:$C$308,$B406)&gt;0,SUMIFS('Paid Log'!$D$9:$D$308,'Paid Log'!$B$9:$B$308,$C406,'Paid Log'!$C$9:$C$308,$B406),$E406))))</f>
        <v>163.5</v>
      </c>
      <c r="I406" s="94" t="n">
        <f aca="false">IF($B406="","",$I$398+SUMIFS($G$400:$G$450,$M$400:$M$450,"&lt;="&amp;$M406)-SUMIFS($H$400:$H$450,$M$400:$M$450,"&lt;="&amp;$M406))</f>
        <v>-429.94</v>
      </c>
      <c r="J406" s="95" t="str">
        <f aca="true">IF($B406="","",IF(OR($F406&lt;&gt;"",COUNTIFS('Paid Log'!$B$9:$B$308,$C406,'Paid Log'!$C$9:$C$308,$B406)&gt;0),IF($C406&gt;TODAY(),"ADJUSTED","PAID"),IF($C406&lt;TODAY(),"PAST DUE",IF($C406&lt;=TODAY()+7,"DUE","Upcoming"))))</f>
        <v>Upcoming</v>
      </c>
      <c r="K406" s="96" t="str">
        <f aca="false">IF($B406="","",IF(OR($F406&lt;&gt;"",COUNTIFS('Paid Log'!$B$9:$B$308,$C406,'Paid Log'!$C$9:$C$308,$B406)&gt;0),"ACTUAL","FORECAST"))</f>
        <v>FORECAST</v>
      </c>
      <c r="L406" s="97" t="n">
        <f aca="false">IF($B406="","",$C406)</f>
        <v>46303</v>
      </c>
      <c r="M406" s="0" t="n">
        <f aca="false">IF($L406="","",COUNTIFS($L$400:$L$450,"&lt;"&amp;$L406)+COUNTIFS($L$400:$L406,$L406))</f>
        <v>7</v>
      </c>
    </row>
    <row r="407" customFormat="false" ht="15" hidden="false" customHeight="true" outlineLevel="0" collapsed="false">
      <c r="B407" s="7" t="str">
        <f aca="false">IFERROR(INDEX(Schedule!$C$4:$C$483,MATCH(8008,Schedule!$K$4:$K$483,0)),"")</f>
        <v>Compunnel Software (paycheck)</v>
      </c>
      <c r="C407" s="88" t="n">
        <f aca="false">IF($B407="","",INDEX(Schedule!$G$4:$G$483,MATCH(8008,Schedule!$K$4:$K$483,0)))</f>
        <v>46304</v>
      </c>
      <c r="D407" s="89" t="str">
        <f aca="false">IF($B407="","",INDEX(Schedule!$D$4:$D$483,MATCH(8008,Schedule!$K$4:$K$483,0)))</f>
        <v>Income</v>
      </c>
      <c r="E407" s="90" t="n">
        <f aca="false">IF($B407="","",INDEX(Schedule!$E$4:$E$483,MATCH(8008,Schedule!$K$4:$K$483,0)))</f>
        <v>745</v>
      </c>
      <c r="F407" s="91"/>
      <c r="G407" s="92" t="n">
        <f aca="false">IF($B407="","",IF($D407="Income",IF($F407&lt;&gt;"",$F407,IF(COUNTIFS('Paid Log'!$B$9:$B$308,$C407,'Paid Log'!$C$9:$C$308,$B407)&gt;0,SUMIFS('Paid Log'!$D$9:$D$308,'Paid Log'!$B$9:$B$308,$C407,'Paid Log'!$C$9:$C$308,$B407),$E407)),""))</f>
        <v>745</v>
      </c>
      <c r="H407" s="93" t="str">
        <f aca="false">IF($B407="","",IF($D407="Income","",IF($F407&lt;&gt;"",$F407,IF(COUNTIFS('Paid Log'!$B$9:$B$308,$C407,'Paid Log'!$C$9:$C$308,$B407)&gt;0,SUMIFS('Paid Log'!$D$9:$D$308,'Paid Log'!$B$9:$B$308,$C407,'Paid Log'!$C$9:$C$308,$B407),$E407))))</f>
        <v/>
      </c>
      <c r="I407" s="94" t="n">
        <f aca="false">IF($B407="","",$I$398+SUMIFS($G$400:$G$450,$M$400:$M$450,"&lt;="&amp;$M407)-SUMIFS($H$400:$H$450,$M$400:$M$450,"&lt;="&amp;$M407))</f>
        <v>315.06</v>
      </c>
      <c r="J407" s="95" t="str">
        <f aca="true">IF($B407="","",IF(OR($F407&lt;&gt;"",COUNTIFS('Paid Log'!$B$9:$B$308,$C407,'Paid Log'!$C$9:$C$308,$B407)&gt;0),IF($C407&gt;TODAY(),"ADJUSTED","PAID"),IF($C407&lt;TODAY(),"PAST DUE",IF($C407&lt;=TODAY()+7,"DUE","Upcoming"))))</f>
        <v>Upcoming</v>
      </c>
      <c r="K407" s="96" t="str">
        <f aca="false">IF($B407="","",IF(OR($F407&lt;&gt;"",COUNTIFS('Paid Log'!$B$9:$B$308,$C407,'Paid Log'!$C$9:$C$308,$B407)&gt;0),"ACTUAL","FORECAST"))</f>
        <v>FORECAST</v>
      </c>
      <c r="L407" s="97" t="n">
        <f aca="false">IF($B407="","",$C407)</f>
        <v>46304</v>
      </c>
      <c r="M407" s="0" t="n">
        <f aca="false">IF($L407="","",COUNTIFS($L$400:$L$450,"&lt;"&amp;$L407)+COUNTIFS($L$400:$L407,$L407))</f>
        <v>8</v>
      </c>
    </row>
    <row r="408" customFormat="false" ht="15" hidden="false" customHeight="true" outlineLevel="0" collapsed="false">
      <c r="B408" s="7" t="str">
        <f aca="false">IFERROR(INDEX(Schedule!$C$4:$C$483,MATCH(8009,Schedule!$K$4:$K$483,0)),"")</f>
        <v/>
      </c>
      <c r="C408" s="88" t="str">
        <f aca="false">IF($B408="","",INDEX(Schedule!$G$4:$G$483,MATCH(8009,Schedule!$K$4:$K$483,0)))</f>
        <v/>
      </c>
      <c r="D408" s="89" t="str">
        <f aca="false">IF($B408="","",INDEX(Schedule!$D$4:$D$483,MATCH(8009,Schedule!$K$4:$K$483,0)))</f>
        <v/>
      </c>
      <c r="E408" s="90" t="str">
        <f aca="false">IF($B408="","",INDEX(Schedule!$E$4:$E$483,MATCH(8009,Schedule!$K$4:$K$483,0)))</f>
        <v/>
      </c>
      <c r="F408" s="91"/>
      <c r="G408" s="92" t="str">
        <f aca="false">IF($B408="","",IF($D408="Income",IF($F408&lt;&gt;"",$F408,IF(COUNTIFS('Paid Log'!$B$9:$B$308,$C408,'Paid Log'!$C$9:$C$308,$B408)&gt;0,SUMIFS('Paid Log'!$D$9:$D$308,'Paid Log'!$B$9:$B$308,$C408,'Paid Log'!$C$9:$C$308,$B408),$E408)),""))</f>
        <v/>
      </c>
      <c r="H408" s="93" t="str">
        <f aca="false">IF($B408="","",IF($D408="Income","",IF($F408&lt;&gt;"",$F408,IF(COUNTIFS('Paid Log'!$B$9:$B$308,$C408,'Paid Log'!$C$9:$C$308,$B408)&gt;0,SUMIFS('Paid Log'!$D$9:$D$308,'Paid Log'!$B$9:$B$308,$C408,'Paid Log'!$C$9:$C$308,$B408),$E408))))</f>
        <v/>
      </c>
      <c r="I408" s="94" t="str">
        <f aca="false">IF($B408="","",$I$398+SUMIFS($G$400:$G$450,$M$400:$M$450,"&lt;="&amp;$M408)-SUMIFS($H$400:$H$450,$M$400:$M$450,"&lt;="&amp;$M408))</f>
        <v/>
      </c>
      <c r="J408" s="95" t="str">
        <f aca="true">IF($B408="","",IF(OR($F408&lt;&gt;"",COUNTIFS('Paid Log'!$B$9:$B$308,$C408,'Paid Log'!$C$9:$C$308,$B408)&gt;0),IF($C408&gt;TODAY(),"ADJUSTED","PAID"),IF($C408&lt;TODAY(),"PAST DUE",IF($C408&lt;=TODAY()+7,"DUE","Upcoming"))))</f>
        <v/>
      </c>
      <c r="K408" s="96" t="str">
        <f aca="false">IF($B408="","",IF(OR($F408&lt;&gt;"",COUNTIFS('Paid Log'!$B$9:$B$308,$C408,'Paid Log'!$C$9:$C$308,$B408)&gt;0),"ACTUAL","FORECAST"))</f>
        <v/>
      </c>
      <c r="L408" s="0" t="str">
        <f aca="false">IF($B408="","",$C408)</f>
        <v/>
      </c>
      <c r="M408" s="0" t="str">
        <f aca="false">IF($L408="","",COUNTIFS($L$400:$L$450,"&lt;"&amp;$L408)+COUNTIFS($L$400:$L408,$L408))</f>
        <v/>
      </c>
    </row>
    <row r="409" customFormat="false" ht="15" hidden="false" customHeight="true" outlineLevel="0" collapsed="false">
      <c r="B409" s="7" t="str">
        <f aca="false">IFERROR(INDEX(Schedule!$C$4:$C$483,MATCH(8010,Schedule!$K$4:$K$483,0)),"")</f>
        <v/>
      </c>
      <c r="C409" s="88" t="str">
        <f aca="false">IF($B409="","",INDEX(Schedule!$G$4:$G$483,MATCH(8010,Schedule!$K$4:$K$483,0)))</f>
        <v/>
      </c>
      <c r="D409" s="89" t="str">
        <f aca="false">IF($B409="","",INDEX(Schedule!$D$4:$D$483,MATCH(8010,Schedule!$K$4:$K$483,0)))</f>
        <v/>
      </c>
      <c r="E409" s="90" t="str">
        <f aca="false">IF($B409="","",INDEX(Schedule!$E$4:$E$483,MATCH(8010,Schedule!$K$4:$K$483,0)))</f>
        <v/>
      </c>
      <c r="F409" s="91"/>
      <c r="G409" s="92" t="str">
        <f aca="false">IF($B409="","",IF($D409="Income",IF($F409&lt;&gt;"",$F409,IF(COUNTIFS('Paid Log'!$B$9:$B$308,$C409,'Paid Log'!$C$9:$C$308,$B409)&gt;0,SUMIFS('Paid Log'!$D$9:$D$308,'Paid Log'!$B$9:$B$308,$C409,'Paid Log'!$C$9:$C$308,$B409),$E409)),""))</f>
        <v/>
      </c>
      <c r="H409" s="93" t="str">
        <f aca="false">IF($B409="","",IF($D409="Income","",IF($F409&lt;&gt;"",$F409,IF(COUNTIFS('Paid Log'!$B$9:$B$308,$C409,'Paid Log'!$C$9:$C$308,$B409)&gt;0,SUMIFS('Paid Log'!$D$9:$D$308,'Paid Log'!$B$9:$B$308,$C409,'Paid Log'!$C$9:$C$308,$B409),$E409))))</f>
        <v/>
      </c>
      <c r="I409" s="94" t="str">
        <f aca="false">IF($B409="","",$I$398+SUMIFS($G$400:$G$450,$M$400:$M$450,"&lt;="&amp;$M409)-SUMIFS($H$400:$H$450,$M$400:$M$450,"&lt;="&amp;$M409))</f>
        <v/>
      </c>
      <c r="J409" s="95" t="str">
        <f aca="true">IF($B409="","",IF(OR($F409&lt;&gt;"",COUNTIFS('Paid Log'!$B$9:$B$308,$C409,'Paid Log'!$C$9:$C$308,$B409)&gt;0),IF($C409&gt;TODAY(),"ADJUSTED","PAID"),IF($C409&lt;TODAY(),"PAST DUE",IF($C409&lt;=TODAY()+7,"DUE","Upcoming"))))</f>
        <v/>
      </c>
      <c r="K409" s="96" t="str">
        <f aca="false">IF($B409="","",IF(OR($F409&lt;&gt;"",COUNTIFS('Paid Log'!$B$9:$B$308,$C409,'Paid Log'!$C$9:$C$308,$B409)&gt;0),"ACTUAL","FORECAST"))</f>
        <v/>
      </c>
      <c r="L409" s="0" t="str">
        <f aca="false">IF($B409="","",$C409)</f>
        <v/>
      </c>
      <c r="M409" s="0" t="str">
        <f aca="false">IF($L409="","",COUNTIFS($L$400:$L$450,"&lt;"&amp;$L409)+COUNTIFS($L$400:$L409,$L409))</f>
        <v/>
      </c>
    </row>
    <row r="410" customFormat="false" ht="15" hidden="false" customHeight="true" outlineLevel="0" collapsed="false">
      <c r="B410" s="98" t="s">
        <v>148</v>
      </c>
      <c r="C410" s="99"/>
      <c r="D410" s="99"/>
      <c r="E410" s="99"/>
      <c r="F410" s="99"/>
      <c r="G410" s="99"/>
      <c r="H410" s="99"/>
      <c r="I410" s="99"/>
      <c r="J410" s="99"/>
    </row>
    <row r="411" customFormat="false" ht="15" hidden="false" customHeight="true" outlineLevel="0" collapsed="false">
      <c r="B411" s="12"/>
      <c r="C411" s="100"/>
      <c r="D411" s="101" t="str">
        <f aca="false">IF($B411="","","Expense")</f>
        <v/>
      </c>
      <c r="E411" s="14"/>
      <c r="F411" s="102"/>
      <c r="G411" s="102"/>
      <c r="H411" s="103" t="str">
        <f aca="false">IF($B411="","",N($E411))</f>
        <v/>
      </c>
      <c r="I411" s="104" t="str">
        <f aca="false">IF($B411="","",$I$398+SUMIFS($G$400:$G$450,$M$400:$M$450,"&lt;="&amp;$M411)-SUMIFS($H$400:$H$450,$M$400:$M$450,"&lt;="&amp;$M411))</f>
        <v/>
      </c>
      <c r="J411" s="102"/>
      <c r="K411" s="96" t="str">
        <f aca="false">IF($B411="","","ACTUAL")</f>
        <v/>
      </c>
      <c r="L411" s="0" t="str">
        <f aca="false">IF($B411="","",IF($C411="",$E$6+55,$C411))</f>
        <v/>
      </c>
      <c r="M411" s="0" t="str">
        <f aca="false">IF($L411="","",COUNTIFS($L$400:$L$450,"&lt;"&amp;$L411)+COUNTIFS($L$400:$L411,$L411))</f>
        <v/>
      </c>
    </row>
    <row r="412" customFormat="false" ht="15" hidden="false" customHeight="true" outlineLevel="0" collapsed="false">
      <c r="B412" s="12"/>
      <c r="C412" s="100"/>
      <c r="D412" s="101" t="str">
        <f aca="false">IF($B412="","","Expense")</f>
        <v/>
      </c>
      <c r="E412" s="14"/>
      <c r="F412" s="102"/>
      <c r="G412" s="102"/>
      <c r="H412" s="103" t="str">
        <f aca="false">IF($B412="","",N($E412))</f>
        <v/>
      </c>
      <c r="I412" s="104" t="str">
        <f aca="false">IF($B412="","",$I$398+SUMIFS($G$400:$G$450,$M$400:$M$450,"&lt;="&amp;$M412)-SUMIFS($H$400:$H$450,$M$400:$M$450,"&lt;="&amp;$M412))</f>
        <v/>
      </c>
      <c r="J412" s="102"/>
      <c r="K412" s="96" t="str">
        <f aca="false">IF($B412="","","ACTUAL")</f>
        <v/>
      </c>
      <c r="L412" s="0" t="str">
        <f aca="false">IF($B412="","",IF($C412="",$E$6+55,$C412))</f>
        <v/>
      </c>
      <c r="M412" s="0" t="str">
        <f aca="false">IF($L412="","",COUNTIFS($L$400:$L$450,"&lt;"&amp;$L412)+COUNTIFS($L$400:$L412,$L412))</f>
        <v/>
      </c>
    </row>
    <row r="413" customFormat="false" ht="15" hidden="false" customHeight="true" outlineLevel="0" collapsed="false">
      <c r="B413" s="12"/>
      <c r="C413" s="100"/>
      <c r="D413" s="101" t="str">
        <f aca="false">IF($B413="","","Expense")</f>
        <v/>
      </c>
      <c r="E413" s="14"/>
      <c r="F413" s="102"/>
      <c r="G413" s="102"/>
      <c r="H413" s="103" t="str">
        <f aca="false">IF($B413="","",N($E413))</f>
        <v/>
      </c>
      <c r="I413" s="104" t="str">
        <f aca="false">IF($B413="","",$I$398+SUMIFS($G$400:$G$450,$M$400:$M$450,"&lt;="&amp;$M413)-SUMIFS($H$400:$H$450,$M$400:$M$450,"&lt;="&amp;$M413))</f>
        <v/>
      </c>
      <c r="J413" s="102"/>
      <c r="K413" s="96" t="str">
        <f aca="false">IF($B413="","","ACTUAL")</f>
        <v/>
      </c>
      <c r="L413" s="0" t="str">
        <f aca="false">IF($B413="","",IF($C413="",$E$6+55,$C413))</f>
        <v/>
      </c>
      <c r="M413" s="0" t="str">
        <f aca="false">IF($L413="","",COUNTIFS($L$400:$L$450,"&lt;"&amp;$L413)+COUNTIFS($L$400:$L413,$L413))</f>
        <v/>
      </c>
    </row>
    <row r="414" customFormat="false" ht="15" hidden="false" customHeight="true" outlineLevel="0" collapsed="false">
      <c r="B414" s="12"/>
      <c r="C414" s="100"/>
      <c r="D414" s="101" t="str">
        <f aca="false">IF($B414="","","Expense")</f>
        <v/>
      </c>
      <c r="E414" s="14"/>
      <c r="F414" s="102"/>
      <c r="G414" s="102"/>
      <c r="H414" s="103" t="str">
        <f aca="false">IF($B414="","",N($E414))</f>
        <v/>
      </c>
      <c r="I414" s="104" t="str">
        <f aca="false">IF($B414="","",$I$398+SUMIFS($G$400:$G$450,$M$400:$M$450,"&lt;="&amp;$M414)-SUMIFS($H$400:$H$450,$M$400:$M$450,"&lt;="&amp;$M414))</f>
        <v/>
      </c>
      <c r="J414" s="102"/>
      <c r="K414" s="96" t="str">
        <f aca="false">IF($B414="","","ACTUAL")</f>
        <v/>
      </c>
      <c r="L414" s="0" t="str">
        <f aca="false">IF($B414="","",IF($C414="",$E$6+55,$C414))</f>
        <v/>
      </c>
      <c r="M414" s="0" t="str">
        <f aca="false">IF($L414="","",COUNTIFS($L$400:$L$450,"&lt;"&amp;$L414)+COUNTIFS($L$400:$L414,$L414))</f>
        <v/>
      </c>
    </row>
    <row r="415" customFormat="false" ht="15" hidden="false" customHeight="true" outlineLevel="0" collapsed="false">
      <c r="B415" s="12"/>
      <c r="C415" s="100"/>
      <c r="D415" s="101" t="str">
        <f aca="false">IF($B415="","","Expense")</f>
        <v/>
      </c>
      <c r="E415" s="14"/>
      <c r="F415" s="102"/>
      <c r="G415" s="102"/>
      <c r="H415" s="103" t="str">
        <f aca="false">IF($B415="","",N($E415))</f>
        <v/>
      </c>
      <c r="I415" s="104" t="str">
        <f aca="false">IF($B415="","",$I$398+SUMIFS($G$400:$G$450,$M$400:$M$450,"&lt;="&amp;$M415)-SUMIFS($H$400:$H$450,$M$400:$M$450,"&lt;="&amp;$M415))</f>
        <v/>
      </c>
      <c r="J415" s="102"/>
      <c r="K415" s="96" t="str">
        <f aca="false">IF($B415="","","ACTUAL")</f>
        <v/>
      </c>
      <c r="L415" s="0" t="str">
        <f aca="false">IF($B415="","",IF($C415="",$E$6+55,$C415))</f>
        <v/>
      </c>
      <c r="M415" s="0" t="str">
        <f aca="false">IF($L415="","",COUNTIFS($L$400:$L$450,"&lt;"&amp;$L415)+COUNTIFS($L$400:$L415,$L415))</f>
        <v/>
      </c>
    </row>
    <row r="416" customFormat="false" ht="15" hidden="false" customHeight="true" outlineLevel="0" collapsed="false">
      <c r="B416" s="12"/>
      <c r="C416" s="100"/>
      <c r="D416" s="101" t="str">
        <f aca="false">IF($B416="","","Expense")</f>
        <v/>
      </c>
      <c r="E416" s="14"/>
      <c r="F416" s="102"/>
      <c r="G416" s="102"/>
      <c r="H416" s="103" t="str">
        <f aca="false">IF($B416="","",N($E416))</f>
        <v/>
      </c>
      <c r="I416" s="104" t="str">
        <f aca="false">IF($B416="","",$I$398+SUMIFS($G$400:$G$450,$M$400:$M$450,"&lt;="&amp;$M416)-SUMIFS($H$400:$H$450,$M$400:$M$450,"&lt;="&amp;$M416))</f>
        <v/>
      </c>
      <c r="J416" s="102"/>
      <c r="K416" s="96" t="str">
        <f aca="false">IF($B416="","","ACTUAL")</f>
        <v/>
      </c>
      <c r="L416" s="0" t="str">
        <f aca="false">IF($B416="","",IF($C416="",$E$6+55,$C416))</f>
        <v/>
      </c>
      <c r="M416" s="0" t="str">
        <f aca="false">IF($L416="","",COUNTIFS($L$400:$L$450,"&lt;"&amp;$L416)+COUNTIFS($L$400:$L416,$L416))</f>
        <v/>
      </c>
    </row>
    <row r="417" customFormat="false" ht="15" hidden="false" customHeight="true" outlineLevel="0" collapsed="false">
      <c r="B417" s="12"/>
      <c r="C417" s="100"/>
      <c r="D417" s="101" t="str">
        <f aca="false">IF($B417="","","Expense")</f>
        <v/>
      </c>
      <c r="E417" s="14"/>
      <c r="F417" s="102"/>
      <c r="G417" s="102"/>
      <c r="H417" s="103" t="str">
        <f aca="false">IF($B417="","",N($E417))</f>
        <v/>
      </c>
      <c r="I417" s="104" t="str">
        <f aca="false">IF($B417="","",$I$398+SUMIFS($G$400:$G$450,$M$400:$M$450,"&lt;="&amp;$M417)-SUMIFS($H$400:$H$450,$M$400:$M$450,"&lt;="&amp;$M417))</f>
        <v/>
      </c>
      <c r="J417" s="102"/>
      <c r="K417" s="96" t="str">
        <f aca="false">IF($B417="","","ACTUAL")</f>
        <v/>
      </c>
      <c r="L417" s="0" t="str">
        <f aca="false">IF($B417="","",IF($C417="",$E$6+55,$C417))</f>
        <v/>
      </c>
      <c r="M417" s="0" t="str">
        <f aca="false">IF($L417="","",COUNTIFS($L$400:$L$450,"&lt;"&amp;$L417)+COUNTIFS($L$400:$L417,$L417))</f>
        <v/>
      </c>
    </row>
    <row r="418" customFormat="false" ht="15" hidden="false" customHeight="true" outlineLevel="0" collapsed="false">
      <c r="B418" s="12"/>
      <c r="C418" s="100"/>
      <c r="D418" s="101" t="str">
        <f aca="false">IF($B418="","","Expense")</f>
        <v/>
      </c>
      <c r="E418" s="14"/>
      <c r="F418" s="102"/>
      <c r="G418" s="102"/>
      <c r="H418" s="103" t="str">
        <f aca="false">IF($B418="","",N($E418))</f>
        <v/>
      </c>
      <c r="I418" s="104" t="str">
        <f aca="false">IF($B418="","",$I$398+SUMIFS($G$400:$G$450,$M$400:$M$450,"&lt;="&amp;$M418)-SUMIFS($H$400:$H$450,$M$400:$M$450,"&lt;="&amp;$M418))</f>
        <v/>
      </c>
      <c r="J418" s="102"/>
      <c r="K418" s="96" t="str">
        <f aca="false">IF($B418="","","ACTUAL")</f>
        <v/>
      </c>
      <c r="L418" s="0" t="str">
        <f aca="false">IF($B418="","",IF($C418="",$E$6+55,$C418))</f>
        <v/>
      </c>
      <c r="M418" s="0" t="str">
        <f aca="false">IF($L418="","",COUNTIFS($L$400:$L$450,"&lt;"&amp;$L418)+COUNTIFS($L$400:$L418,$L418))</f>
        <v/>
      </c>
    </row>
    <row r="419" customFormat="false" ht="15" hidden="false" customHeight="true" outlineLevel="0" collapsed="false">
      <c r="B419" s="12"/>
      <c r="C419" s="100"/>
      <c r="D419" s="101" t="str">
        <f aca="false">IF($B419="","","Expense")</f>
        <v/>
      </c>
      <c r="E419" s="14"/>
      <c r="F419" s="102"/>
      <c r="G419" s="102"/>
      <c r="H419" s="103" t="str">
        <f aca="false">IF($B419="","",N($E419))</f>
        <v/>
      </c>
      <c r="I419" s="104" t="str">
        <f aca="false">IF($B419="","",$I$398+SUMIFS($G$400:$G$450,$M$400:$M$450,"&lt;="&amp;$M419)-SUMIFS($H$400:$H$450,$M$400:$M$450,"&lt;="&amp;$M419))</f>
        <v/>
      </c>
      <c r="J419" s="102"/>
      <c r="K419" s="96" t="str">
        <f aca="false">IF($B419="","","ACTUAL")</f>
        <v/>
      </c>
      <c r="L419" s="0" t="str">
        <f aca="false">IF($B419="","",IF($C419="",$E$6+55,$C419))</f>
        <v/>
      </c>
      <c r="M419" s="0" t="str">
        <f aca="false">IF($L419="","",COUNTIFS($L$400:$L$450,"&lt;"&amp;$L419)+COUNTIFS($L$400:$L419,$L419))</f>
        <v/>
      </c>
    </row>
    <row r="420" customFormat="false" ht="15" hidden="false" customHeight="true" outlineLevel="0" collapsed="false">
      <c r="B420" s="12"/>
      <c r="C420" s="100"/>
      <c r="D420" s="101" t="str">
        <f aca="false">IF($B420="","","Expense")</f>
        <v/>
      </c>
      <c r="E420" s="14"/>
      <c r="F420" s="102"/>
      <c r="G420" s="102"/>
      <c r="H420" s="103" t="str">
        <f aca="false">IF($B420="","",N($E420))</f>
        <v/>
      </c>
      <c r="I420" s="104" t="str">
        <f aca="false">IF($B420="","",$I$398+SUMIFS($G$400:$G$450,$M$400:$M$450,"&lt;="&amp;$M420)-SUMIFS($H$400:$H$450,$M$400:$M$450,"&lt;="&amp;$M420))</f>
        <v/>
      </c>
      <c r="J420" s="102"/>
      <c r="K420" s="96" t="str">
        <f aca="false">IF($B420="","","ACTUAL")</f>
        <v/>
      </c>
      <c r="L420" s="0" t="str">
        <f aca="false">IF($B420="","",IF($C420="",$E$6+55,$C420))</f>
        <v/>
      </c>
      <c r="M420" s="0" t="str">
        <f aca="false">IF($L420="","",COUNTIFS($L$400:$L$450,"&lt;"&amp;$L420)+COUNTIFS($L$400:$L420,$L420))</f>
        <v/>
      </c>
    </row>
    <row r="421" customFormat="false" ht="15" hidden="false" customHeight="true" outlineLevel="0" collapsed="false">
      <c r="B421" s="12"/>
      <c r="C421" s="100"/>
      <c r="D421" s="101" t="str">
        <f aca="false">IF($B421="","","Expense")</f>
        <v/>
      </c>
      <c r="E421" s="14"/>
      <c r="F421" s="102"/>
      <c r="G421" s="102"/>
      <c r="H421" s="103" t="str">
        <f aca="false">IF($B421="","",N($E421))</f>
        <v/>
      </c>
      <c r="I421" s="104" t="str">
        <f aca="false">IF($B421="","",$I$398+SUMIFS($G$400:$G$450,$M$400:$M$450,"&lt;="&amp;$M421)-SUMIFS($H$400:$H$450,$M$400:$M$450,"&lt;="&amp;$M421))</f>
        <v/>
      </c>
      <c r="J421" s="102"/>
      <c r="K421" s="96" t="str">
        <f aca="false">IF($B421="","","ACTUAL")</f>
        <v/>
      </c>
      <c r="L421" s="0" t="str">
        <f aca="false">IF($B421="","",IF($C421="",$E$6+55,$C421))</f>
        <v/>
      </c>
      <c r="M421" s="0" t="str">
        <f aca="false">IF($L421="","",COUNTIFS($L$400:$L$450,"&lt;"&amp;$L421)+COUNTIFS($L$400:$L421,$L421))</f>
        <v/>
      </c>
    </row>
    <row r="422" customFormat="false" ht="15" hidden="false" customHeight="true" outlineLevel="0" collapsed="false">
      <c r="B422" s="12"/>
      <c r="C422" s="100"/>
      <c r="D422" s="101" t="str">
        <f aca="false">IF($B422="","","Expense")</f>
        <v/>
      </c>
      <c r="E422" s="14"/>
      <c r="F422" s="102"/>
      <c r="G422" s="102"/>
      <c r="H422" s="103" t="str">
        <f aca="false">IF($B422="","",N($E422))</f>
        <v/>
      </c>
      <c r="I422" s="104" t="str">
        <f aca="false">IF($B422="","",$I$398+SUMIFS($G$400:$G$450,$M$400:$M$450,"&lt;="&amp;$M422)-SUMIFS($H$400:$H$450,$M$400:$M$450,"&lt;="&amp;$M422))</f>
        <v/>
      </c>
      <c r="J422" s="102"/>
      <c r="K422" s="96" t="str">
        <f aca="false">IF($B422="","","ACTUAL")</f>
        <v/>
      </c>
      <c r="L422" s="0" t="str">
        <f aca="false">IF($B422="","",IF($C422="",$E$6+55,$C422))</f>
        <v/>
      </c>
      <c r="M422" s="0" t="str">
        <f aca="false">IF($L422="","",COUNTIFS($L$400:$L$450,"&lt;"&amp;$L422)+COUNTIFS($L$400:$L422,$L422))</f>
        <v/>
      </c>
    </row>
    <row r="423" customFormat="false" ht="15" hidden="false" customHeight="true" outlineLevel="0" collapsed="false">
      <c r="B423" s="12"/>
      <c r="C423" s="100"/>
      <c r="D423" s="101" t="str">
        <f aca="false">IF($B423="","","Expense")</f>
        <v/>
      </c>
      <c r="E423" s="14"/>
      <c r="F423" s="102"/>
      <c r="G423" s="102"/>
      <c r="H423" s="103" t="str">
        <f aca="false">IF($B423="","",N($E423))</f>
        <v/>
      </c>
      <c r="I423" s="104" t="str">
        <f aca="false">IF($B423="","",$I$398+SUMIFS($G$400:$G$450,$M$400:$M$450,"&lt;="&amp;$M423)-SUMIFS($H$400:$H$450,$M$400:$M$450,"&lt;="&amp;$M423))</f>
        <v/>
      </c>
      <c r="J423" s="102"/>
      <c r="K423" s="96" t="str">
        <f aca="false">IF($B423="","","ACTUAL")</f>
        <v/>
      </c>
      <c r="L423" s="0" t="str">
        <f aca="false">IF($B423="","",IF($C423="",$E$6+55,$C423))</f>
        <v/>
      </c>
      <c r="M423" s="0" t="str">
        <f aca="false">IF($L423="","",COUNTIFS($L$400:$L$450,"&lt;"&amp;$L423)+COUNTIFS($L$400:$L423,$L423))</f>
        <v/>
      </c>
    </row>
    <row r="424" customFormat="false" ht="15" hidden="false" customHeight="true" outlineLevel="0" collapsed="false">
      <c r="B424" s="12"/>
      <c r="C424" s="100"/>
      <c r="D424" s="101" t="str">
        <f aca="false">IF($B424="","","Expense")</f>
        <v/>
      </c>
      <c r="E424" s="14"/>
      <c r="F424" s="102"/>
      <c r="G424" s="102"/>
      <c r="H424" s="103" t="str">
        <f aca="false">IF($B424="","",N($E424))</f>
        <v/>
      </c>
      <c r="I424" s="104" t="str">
        <f aca="false">IF($B424="","",$I$398+SUMIFS($G$400:$G$450,$M$400:$M$450,"&lt;="&amp;$M424)-SUMIFS($H$400:$H$450,$M$400:$M$450,"&lt;="&amp;$M424))</f>
        <v/>
      </c>
      <c r="J424" s="102"/>
      <c r="K424" s="96" t="str">
        <f aca="false">IF($B424="","","ACTUAL")</f>
        <v/>
      </c>
      <c r="L424" s="0" t="str">
        <f aca="false">IF($B424="","",IF($C424="",$E$6+55,$C424))</f>
        <v/>
      </c>
      <c r="M424" s="0" t="str">
        <f aca="false">IF($L424="","",COUNTIFS($L$400:$L$450,"&lt;"&amp;$L424)+COUNTIFS($L$400:$L424,$L424))</f>
        <v/>
      </c>
    </row>
    <row r="425" customFormat="false" ht="15" hidden="false" customHeight="true" outlineLevel="0" collapsed="false">
      <c r="B425" s="12"/>
      <c r="C425" s="100"/>
      <c r="D425" s="101" t="str">
        <f aca="false">IF($B425="","","Expense")</f>
        <v/>
      </c>
      <c r="E425" s="14"/>
      <c r="F425" s="102"/>
      <c r="G425" s="102"/>
      <c r="H425" s="103" t="str">
        <f aca="false">IF($B425="","",N($E425))</f>
        <v/>
      </c>
      <c r="I425" s="104" t="str">
        <f aca="false">IF($B425="","",$I$398+SUMIFS($G$400:$G$450,$M$400:$M$450,"&lt;="&amp;$M425)-SUMIFS($H$400:$H$450,$M$400:$M$450,"&lt;="&amp;$M425))</f>
        <v/>
      </c>
      <c r="J425" s="102"/>
      <c r="K425" s="96" t="str">
        <f aca="false">IF($B425="","","ACTUAL")</f>
        <v/>
      </c>
      <c r="L425" s="0" t="str">
        <f aca="false">IF($B425="","",IF($C425="",$E$6+55,$C425))</f>
        <v/>
      </c>
      <c r="M425" s="0" t="str">
        <f aca="false">IF($L425="","",COUNTIFS($L$400:$L$450,"&lt;"&amp;$L425)+COUNTIFS($L$400:$L425,$L425))</f>
        <v/>
      </c>
    </row>
    <row r="426" customFormat="false" ht="15" hidden="false" customHeight="true" outlineLevel="0" collapsed="false">
      <c r="B426" s="12"/>
      <c r="C426" s="100"/>
      <c r="D426" s="101" t="str">
        <f aca="false">IF($B426="","","Expense")</f>
        <v/>
      </c>
      <c r="E426" s="14"/>
      <c r="F426" s="102"/>
      <c r="G426" s="102"/>
      <c r="H426" s="103" t="str">
        <f aca="false">IF($B426="","",N($E426))</f>
        <v/>
      </c>
      <c r="I426" s="104" t="str">
        <f aca="false">IF($B426="","",$I$398+SUMIFS($G$400:$G$450,$M$400:$M$450,"&lt;="&amp;$M426)-SUMIFS($H$400:$H$450,$M$400:$M$450,"&lt;="&amp;$M426))</f>
        <v/>
      </c>
      <c r="J426" s="102"/>
      <c r="K426" s="96" t="str">
        <f aca="false">IF($B426="","","ACTUAL")</f>
        <v/>
      </c>
      <c r="L426" s="0" t="str">
        <f aca="false">IF($B426="","",IF($C426="",$E$6+55,$C426))</f>
        <v/>
      </c>
      <c r="M426" s="0" t="str">
        <f aca="false">IF($L426="","",COUNTIFS($L$400:$L$450,"&lt;"&amp;$L426)+COUNTIFS($L$400:$L426,$L426))</f>
        <v/>
      </c>
    </row>
    <row r="427" customFormat="false" ht="15" hidden="false" customHeight="true" outlineLevel="0" collapsed="false">
      <c r="B427" s="12"/>
      <c r="C427" s="100"/>
      <c r="D427" s="101" t="str">
        <f aca="false">IF($B427="","","Expense")</f>
        <v/>
      </c>
      <c r="E427" s="14"/>
      <c r="F427" s="102"/>
      <c r="G427" s="102"/>
      <c r="H427" s="103" t="str">
        <f aca="false">IF($B427="","",N($E427))</f>
        <v/>
      </c>
      <c r="I427" s="104" t="str">
        <f aca="false">IF($B427="","",$I$398+SUMIFS($G$400:$G$450,$M$400:$M$450,"&lt;="&amp;$M427)-SUMIFS($H$400:$H$450,$M$400:$M$450,"&lt;="&amp;$M427))</f>
        <v/>
      </c>
      <c r="J427" s="102"/>
      <c r="K427" s="96" t="str">
        <f aca="false">IF($B427="","","ACTUAL")</f>
        <v/>
      </c>
      <c r="L427" s="0" t="str">
        <f aca="false">IF($B427="","",IF($C427="",$E$6+55,$C427))</f>
        <v/>
      </c>
      <c r="M427" s="0" t="str">
        <f aca="false">IF($L427="","",COUNTIFS($L$400:$L$450,"&lt;"&amp;$L427)+COUNTIFS($L$400:$L427,$L427))</f>
        <v/>
      </c>
    </row>
    <row r="428" customFormat="false" ht="15" hidden="false" customHeight="true" outlineLevel="0" collapsed="false">
      <c r="B428" s="12"/>
      <c r="C428" s="100"/>
      <c r="D428" s="101" t="str">
        <f aca="false">IF($B428="","","Expense")</f>
        <v/>
      </c>
      <c r="E428" s="14"/>
      <c r="F428" s="102"/>
      <c r="G428" s="102"/>
      <c r="H428" s="103" t="str">
        <f aca="false">IF($B428="","",N($E428))</f>
        <v/>
      </c>
      <c r="I428" s="104" t="str">
        <f aca="false">IF($B428="","",$I$398+SUMIFS($G$400:$G$450,$M$400:$M$450,"&lt;="&amp;$M428)-SUMIFS($H$400:$H$450,$M$400:$M$450,"&lt;="&amp;$M428))</f>
        <v/>
      </c>
      <c r="J428" s="102"/>
      <c r="K428" s="96" t="str">
        <f aca="false">IF($B428="","","ACTUAL")</f>
        <v/>
      </c>
      <c r="L428" s="0" t="str">
        <f aca="false">IF($B428="","",IF($C428="",$E$6+55,$C428))</f>
        <v/>
      </c>
      <c r="M428" s="0" t="str">
        <f aca="false">IF($L428="","",COUNTIFS($L$400:$L$450,"&lt;"&amp;$L428)+COUNTIFS($L$400:$L428,$L428))</f>
        <v/>
      </c>
    </row>
    <row r="429" customFormat="false" ht="15" hidden="false" customHeight="true" outlineLevel="0" collapsed="false">
      <c r="B429" s="12"/>
      <c r="C429" s="100"/>
      <c r="D429" s="101" t="str">
        <f aca="false">IF($B429="","","Expense")</f>
        <v/>
      </c>
      <c r="E429" s="14"/>
      <c r="F429" s="102"/>
      <c r="G429" s="102"/>
      <c r="H429" s="103" t="str">
        <f aca="false">IF($B429="","",N($E429))</f>
        <v/>
      </c>
      <c r="I429" s="104" t="str">
        <f aca="false">IF($B429="","",$I$398+SUMIFS($G$400:$G$450,$M$400:$M$450,"&lt;="&amp;$M429)-SUMIFS($H$400:$H$450,$M$400:$M$450,"&lt;="&amp;$M429))</f>
        <v/>
      </c>
      <c r="J429" s="102"/>
      <c r="K429" s="96" t="str">
        <f aca="false">IF($B429="","","ACTUAL")</f>
        <v/>
      </c>
      <c r="L429" s="0" t="str">
        <f aca="false">IF($B429="","",IF($C429="",$E$6+55,$C429))</f>
        <v/>
      </c>
      <c r="M429" s="0" t="str">
        <f aca="false">IF($L429="","",COUNTIFS($L$400:$L$450,"&lt;"&amp;$L429)+COUNTIFS($L$400:$L429,$L429))</f>
        <v/>
      </c>
    </row>
    <row r="430" customFormat="false" ht="15" hidden="false" customHeight="true" outlineLevel="0" collapsed="false">
      <c r="B430" s="12"/>
      <c r="C430" s="100"/>
      <c r="D430" s="101" t="str">
        <f aca="false">IF($B430="","","Expense")</f>
        <v/>
      </c>
      <c r="E430" s="14"/>
      <c r="F430" s="102"/>
      <c r="G430" s="102"/>
      <c r="H430" s="103" t="str">
        <f aca="false">IF($B430="","",N($E430))</f>
        <v/>
      </c>
      <c r="I430" s="104" t="str">
        <f aca="false">IF($B430="","",$I$398+SUMIFS($G$400:$G$450,$M$400:$M$450,"&lt;="&amp;$M430)-SUMIFS($H$400:$H$450,$M$400:$M$450,"&lt;="&amp;$M430))</f>
        <v/>
      </c>
      <c r="J430" s="102"/>
      <c r="K430" s="96" t="str">
        <f aca="false">IF($B430="","","ACTUAL")</f>
        <v/>
      </c>
      <c r="L430" s="0" t="str">
        <f aca="false">IF($B430="","",IF($C430="",$E$6+55,$C430))</f>
        <v/>
      </c>
      <c r="M430" s="0" t="str">
        <f aca="false">IF($L430="","",COUNTIFS($L$400:$L$450,"&lt;"&amp;$L430)+COUNTIFS($L$400:$L430,$L430))</f>
        <v/>
      </c>
    </row>
    <row r="431" customFormat="false" ht="15" hidden="false" customHeight="true" outlineLevel="0" collapsed="false">
      <c r="B431" s="12"/>
      <c r="C431" s="100"/>
      <c r="D431" s="101" t="str">
        <f aca="false">IF($B431="","","Expense")</f>
        <v/>
      </c>
      <c r="E431" s="14"/>
      <c r="F431" s="102"/>
      <c r="G431" s="102"/>
      <c r="H431" s="103" t="str">
        <f aca="false">IF($B431="","",N($E431))</f>
        <v/>
      </c>
      <c r="I431" s="104" t="str">
        <f aca="false">IF($B431="","",$I$398+SUMIFS($G$400:$G$450,$M$400:$M$450,"&lt;="&amp;$M431)-SUMIFS($H$400:$H$450,$M$400:$M$450,"&lt;="&amp;$M431))</f>
        <v/>
      </c>
      <c r="J431" s="102"/>
      <c r="K431" s="96" t="str">
        <f aca="false">IF($B431="","","ACTUAL")</f>
        <v/>
      </c>
      <c r="L431" s="0" t="str">
        <f aca="false">IF($B431="","",IF($C431="",$E$6+55,$C431))</f>
        <v/>
      </c>
      <c r="M431" s="0" t="str">
        <f aca="false">IF($L431="","",COUNTIFS($L$400:$L$450,"&lt;"&amp;$L431)+COUNTIFS($L$400:$L431,$L431))</f>
        <v/>
      </c>
    </row>
    <row r="432" customFormat="false" ht="15" hidden="false" customHeight="true" outlineLevel="0" collapsed="false">
      <c r="B432" s="12"/>
      <c r="C432" s="100"/>
      <c r="D432" s="101" t="str">
        <f aca="false">IF($B432="","","Expense")</f>
        <v/>
      </c>
      <c r="E432" s="14"/>
      <c r="F432" s="102"/>
      <c r="G432" s="102"/>
      <c r="H432" s="103" t="str">
        <f aca="false">IF($B432="","",N($E432))</f>
        <v/>
      </c>
      <c r="I432" s="104" t="str">
        <f aca="false">IF($B432="","",$I$398+SUMIFS($G$400:$G$450,$M$400:$M$450,"&lt;="&amp;$M432)-SUMIFS($H$400:$H$450,$M$400:$M$450,"&lt;="&amp;$M432))</f>
        <v/>
      </c>
      <c r="J432" s="102"/>
      <c r="K432" s="96" t="str">
        <f aca="false">IF($B432="","","ACTUAL")</f>
        <v/>
      </c>
      <c r="L432" s="0" t="str">
        <f aca="false">IF($B432="","",IF($C432="",$E$6+55,$C432))</f>
        <v/>
      </c>
      <c r="M432" s="0" t="str">
        <f aca="false">IF($L432="","",COUNTIFS($L$400:$L$450,"&lt;"&amp;$L432)+COUNTIFS($L$400:$L432,$L432))</f>
        <v/>
      </c>
    </row>
    <row r="433" customFormat="false" ht="15" hidden="false" customHeight="true" outlineLevel="0" collapsed="false">
      <c r="B433" s="12"/>
      <c r="C433" s="100"/>
      <c r="D433" s="101" t="str">
        <f aca="false">IF($B433="","","Expense")</f>
        <v/>
      </c>
      <c r="E433" s="14"/>
      <c r="F433" s="102"/>
      <c r="G433" s="102"/>
      <c r="H433" s="103" t="str">
        <f aca="false">IF($B433="","",N($E433))</f>
        <v/>
      </c>
      <c r="I433" s="104" t="str">
        <f aca="false">IF($B433="","",$I$398+SUMIFS($G$400:$G$450,$M$400:$M$450,"&lt;="&amp;$M433)-SUMIFS($H$400:$H$450,$M$400:$M$450,"&lt;="&amp;$M433))</f>
        <v/>
      </c>
      <c r="J433" s="102"/>
      <c r="K433" s="96" t="str">
        <f aca="false">IF($B433="","","ACTUAL")</f>
        <v/>
      </c>
      <c r="L433" s="0" t="str">
        <f aca="false">IF($B433="","",IF($C433="",$E$6+55,$C433))</f>
        <v/>
      </c>
      <c r="M433" s="0" t="str">
        <f aca="false">IF($L433="","",COUNTIFS($L$400:$L$450,"&lt;"&amp;$L433)+COUNTIFS($L$400:$L433,$L433))</f>
        <v/>
      </c>
    </row>
    <row r="434" customFormat="false" ht="15" hidden="false" customHeight="true" outlineLevel="0" collapsed="false">
      <c r="B434" s="12"/>
      <c r="C434" s="100"/>
      <c r="D434" s="101" t="str">
        <f aca="false">IF($B434="","","Expense")</f>
        <v/>
      </c>
      <c r="E434" s="14"/>
      <c r="F434" s="102"/>
      <c r="G434" s="102"/>
      <c r="H434" s="103" t="str">
        <f aca="false">IF($B434="","",N($E434))</f>
        <v/>
      </c>
      <c r="I434" s="104" t="str">
        <f aca="false">IF($B434="","",$I$398+SUMIFS($G$400:$G$450,$M$400:$M$450,"&lt;="&amp;$M434)-SUMIFS($H$400:$H$450,$M$400:$M$450,"&lt;="&amp;$M434))</f>
        <v/>
      </c>
      <c r="J434" s="102"/>
      <c r="K434" s="96" t="str">
        <f aca="false">IF($B434="","","ACTUAL")</f>
        <v/>
      </c>
      <c r="L434" s="0" t="str">
        <f aca="false">IF($B434="","",IF($C434="",$E$6+55,$C434))</f>
        <v/>
      </c>
      <c r="M434" s="0" t="str">
        <f aca="false">IF($L434="","",COUNTIFS($L$400:$L$450,"&lt;"&amp;$L434)+COUNTIFS($L$400:$L434,$L434))</f>
        <v/>
      </c>
    </row>
    <row r="435" customFormat="false" ht="15" hidden="false" customHeight="true" outlineLevel="0" collapsed="false">
      <c r="B435" s="12"/>
      <c r="C435" s="100"/>
      <c r="D435" s="101" t="str">
        <f aca="false">IF($B435="","","Expense")</f>
        <v/>
      </c>
      <c r="E435" s="14"/>
      <c r="F435" s="102"/>
      <c r="G435" s="102"/>
      <c r="H435" s="103" t="str">
        <f aca="false">IF($B435="","",N($E435))</f>
        <v/>
      </c>
      <c r="I435" s="104" t="str">
        <f aca="false">IF($B435="","",$I$398+SUMIFS($G$400:$G$450,$M$400:$M$450,"&lt;="&amp;$M435)-SUMIFS($H$400:$H$450,$M$400:$M$450,"&lt;="&amp;$M435))</f>
        <v/>
      </c>
      <c r="J435" s="102"/>
      <c r="K435" s="96" t="str">
        <f aca="false">IF($B435="","","ACTUAL")</f>
        <v/>
      </c>
      <c r="L435" s="0" t="str">
        <f aca="false">IF($B435="","",IF($C435="",$E$6+55,$C435))</f>
        <v/>
      </c>
      <c r="M435" s="0" t="str">
        <f aca="false">IF($L435="","",COUNTIFS($L$400:$L$450,"&lt;"&amp;$L435)+COUNTIFS($L$400:$L435,$L435))</f>
        <v/>
      </c>
    </row>
    <row r="436" customFormat="false" ht="15" hidden="false" customHeight="true" outlineLevel="0" collapsed="false">
      <c r="B436" s="12"/>
      <c r="C436" s="100"/>
      <c r="D436" s="101" t="str">
        <f aca="false">IF($B436="","","Expense")</f>
        <v/>
      </c>
      <c r="E436" s="14"/>
      <c r="F436" s="102"/>
      <c r="G436" s="102"/>
      <c r="H436" s="103" t="str">
        <f aca="false">IF($B436="","",N($E436))</f>
        <v/>
      </c>
      <c r="I436" s="104" t="str">
        <f aca="false">IF($B436="","",$I$398+SUMIFS($G$400:$G$450,$M$400:$M$450,"&lt;="&amp;$M436)-SUMIFS($H$400:$H$450,$M$400:$M$450,"&lt;="&amp;$M436))</f>
        <v/>
      </c>
      <c r="J436" s="102"/>
      <c r="K436" s="96" t="str">
        <f aca="false">IF($B436="","","ACTUAL")</f>
        <v/>
      </c>
      <c r="L436" s="0" t="str">
        <f aca="false">IF($B436="","",IF($C436="",$E$6+55,$C436))</f>
        <v/>
      </c>
      <c r="M436" s="0" t="str">
        <f aca="false">IF($L436="","",COUNTIFS($L$400:$L$450,"&lt;"&amp;$L436)+COUNTIFS($L$400:$L436,$L436))</f>
        <v/>
      </c>
    </row>
    <row r="437" customFormat="false" ht="15" hidden="false" customHeight="true" outlineLevel="0" collapsed="false">
      <c r="B437" s="12"/>
      <c r="C437" s="100"/>
      <c r="D437" s="101" t="str">
        <f aca="false">IF($B437="","","Expense")</f>
        <v/>
      </c>
      <c r="E437" s="14"/>
      <c r="F437" s="102"/>
      <c r="G437" s="102"/>
      <c r="H437" s="103" t="str">
        <f aca="false">IF($B437="","",N($E437))</f>
        <v/>
      </c>
      <c r="I437" s="104" t="str">
        <f aca="false">IF($B437="","",$I$398+SUMIFS($G$400:$G$450,$M$400:$M$450,"&lt;="&amp;$M437)-SUMIFS($H$400:$H$450,$M$400:$M$450,"&lt;="&amp;$M437))</f>
        <v/>
      </c>
      <c r="J437" s="102"/>
      <c r="K437" s="96" t="str">
        <f aca="false">IF($B437="","","ACTUAL")</f>
        <v/>
      </c>
      <c r="L437" s="0" t="str">
        <f aca="false">IF($B437="","",IF($C437="",$E$6+55,$C437))</f>
        <v/>
      </c>
      <c r="M437" s="0" t="str">
        <f aca="false">IF($L437="","",COUNTIFS($L$400:$L$450,"&lt;"&amp;$L437)+COUNTIFS($L$400:$L437,$L437))</f>
        <v/>
      </c>
    </row>
    <row r="438" customFormat="false" ht="15" hidden="false" customHeight="true" outlineLevel="0" collapsed="false">
      <c r="B438" s="12"/>
      <c r="C438" s="100"/>
      <c r="D438" s="101" t="str">
        <f aca="false">IF($B438="","","Expense")</f>
        <v/>
      </c>
      <c r="E438" s="14"/>
      <c r="F438" s="102"/>
      <c r="G438" s="102"/>
      <c r="H438" s="103" t="str">
        <f aca="false">IF($B438="","",N($E438))</f>
        <v/>
      </c>
      <c r="I438" s="104" t="str">
        <f aca="false">IF($B438="","",$I$398+SUMIFS($G$400:$G$450,$M$400:$M$450,"&lt;="&amp;$M438)-SUMIFS($H$400:$H$450,$M$400:$M$450,"&lt;="&amp;$M438))</f>
        <v/>
      </c>
      <c r="J438" s="102"/>
      <c r="K438" s="96" t="str">
        <f aca="false">IF($B438="","","ACTUAL")</f>
        <v/>
      </c>
      <c r="L438" s="0" t="str">
        <f aca="false">IF($B438="","",IF($C438="",$E$6+55,$C438))</f>
        <v/>
      </c>
      <c r="M438" s="0" t="str">
        <f aca="false">IF($L438="","",COUNTIFS($L$400:$L$450,"&lt;"&amp;$L438)+COUNTIFS($L$400:$L438,$L438))</f>
        <v/>
      </c>
    </row>
    <row r="439" customFormat="false" ht="15" hidden="false" customHeight="true" outlineLevel="0" collapsed="false">
      <c r="B439" s="12"/>
      <c r="C439" s="100"/>
      <c r="D439" s="101" t="str">
        <f aca="false">IF($B439="","","Expense")</f>
        <v/>
      </c>
      <c r="E439" s="14"/>
      <c r="F439" s="102"/>
      <c r="G439" s="102"/>
      <c r="H439" s="103" t="str">
        <f aca="false">IF($B439="","",N($E439))</f>
        <v/>
      </c>
      <c r="I439" s="104" t="str">
        <f aca="false">IF($B439="","",$I$398+SUMIFS($G$400:$G$450,$M$400:$M$450,"&lt;="&amp;$M439)-SUMIFS($H$400:$H$450,$M$400:$M$450,"&lt;="&amp;$M439))</f>
        <v/>
      </c>
      <c r="J439" s="102"/>
      <c r="K439" s="96" t="str">
        <f aca="false">IF($B439="","","ACTUAL")</f>
        <v/>
      </c>
      <c r="L439" s="0" t="str">
        <f aca="false">IF($B439="","",IF($C439="",$E$6+55,$C439))</f>
        <v/>
      </c>
      <c r="M439" s="0" t="str">
        <f aca="false">IF($L439="","",COUNTIFS($L$400:$L$450,"&lt;"&amp;$L439)+COUNTIFS($L$400:$L439,$L439))</f>
        <v/>
      </c>
    </row>
    <row r="440" customFormat="false" ht="15" hidden="false" customHeight="true" outlineLevel="0" collapsed="false">
      <c r="B440" s="12"/>
      <c r="C440" s="100"/>
      <c r="D440" s="101" t="str">
        <f aca="false">IF($B440="","","Expense")</f>
        <v/>
      </c>
      <c r="E440" s="14"/>
      <c r="F440" s="102"/>
      <c r="G440" s="102"/>
      <c r="H440" s="103" t="str">
        <f aca="false">IF($B440="","",N($E440))</f>
        <v/>
      </c>
      <c r="I440" s="104" t="str">
        <f aca="false">IF($B440="","",$I$398+SUMIFS($G$400:$G$450,$M$400:$M$450,"&lt;="&amp;$M440)-SUMIFS($H$400:$H$450,$M$400:$M$450,"&lt;="&amp;$M440))</f>
        <v/>
      </c>
      <c r="J440" s="102"/>
      <c r="K440" s="96" t="str">
        <f aca="false">IF($B440="","","ACTUAL")</f>
        <v/>
      </c>
      <c r="L440" s="0" t="str">
        <f aca="false">IF($B440="","",IF($C440="",$E$6+55,$C440))</f>
        <v/>
      </c>
      <c r="M440" s="0" t="str">
        <f aca="false">IF($L440="","",COUNTIFS($L$400:$L$450,"&lt;"&amp;$L440)+COUNTIFS($L$400:$L440,$L440))</f>
        <v/>
      </c>
    </row>
    <row r="441" customFormat="false" ht="15" hidden="false" customHeight="true" outlineLevel="0" collapsed="false">
      <c r="B441" s="12"/>
      <c r="C441" s="100"/>
      <c r="D441" s="101" t="str">
        <f aca="false">IF($B441="","","Expense")</f>
        <v/>
      </c>
      <c r="E441" s="14"/>
      <c r="F441" s="102"/>
      <c r="G441" s="102"/>
      <c r="H441" s="103" t="str">
        <f aca="false">IF($B441="","",N($E441))</f>
        <v/>
      </c>
      <c r="I441" s="104" t="str">
        <f aca="false">IF($B441="","",$I$398+SUMIFS($G$400:$G$450,$M$400:$M$450,"&lt;="&amp;$M441)-SUMIFS($H$400:$H$450,$M$400:$M$450,"&lt;="&amp;$M441))</f>
        <v/>
      </c>
      <c r="J441" s="102"/>
      <c r="K441" s="96" t="str">
        <f aca="false">IF($B441="","","ACTUAL")</f>
        <v/>
      </c>
      <c r="L441" s="0" t="str">
        <f aca="false">IF($B441="","",IF($C441="",$E$6+55,$C441))</f>
        <v/>
      </c>
      <c r="M441" s="0" t="str">
        <f aca="false">IF($L441="","",COUNTIFS($L$400:$L$450,"&lt;"&amp;$L441)+COUNTIFS($L$400:$L441,$L441))</f>
        <v/>
      </c>
    </row>
    <row r="442" customFormat="false" ht="15" hidden="false" customHeight="true" outlineLevel="0" collapsed="false">
      <c r="B442" s="12"/>
      <c r="C442" s="100"/>
      <c r="D442" s="101" t="str">
        <f aca="false">IF($B442="","","Expense")</f>
        <v/>
      </c>
      <c r="E442" s="14"/>
      <c r="F442" s="102"/>
      <c r="G442" s="102"/>
      <c r="H442" s="103" t="str">
        <f aca="false">IF($B442="","",N($E442))</f>
        <v/>
      </c>
      <c r="I442" s="104" t="str">
        <f aca="false">IF($B442="","",$I$398+SUMIFS($G$400:$G$450,$M$400:$M$450,"&lt;="&amp;$M442)-SUMIFS($H$400:$H$450,$M$400:$M$450,"&lt;="&amp;$M442))</f>
        <v/>
      </c>
      <c r="J442" s="102"/>
      <c r="K442" s="96" t="str">
        <f aca="false">IF($B442="","","ACTUAL")</f>
        <v/>
      </c>
      <c r="L442" s="0" t="str">
        <f aca="false">IF($B442="","",IF($C442="",$E$6+55,$C442))</f>
        <v/>
      </c>
      <c r="M442" s="0" t="str">
        <f aca="false">IF($L442="","",COUNTIFS($L$400:$L$450,"&lt;"&amp;$L442)+COUNTIFS($L$400:$L442,$L442))</f>
        <v/>
      </c>
    </row>
    <row r="443" customFormat="false" ht="15" hidden="false" customHeight="true" outlineLevel="0" collapsed="false">
      <c r="B443" s="12"/>
      <c r="C443" s="100"/>
      <c r="D443" s="101" t="str">
        <f aca="false">IF($B443="","","Expense")</f>
        <v/>
      </c>
      <c r="E443" s="14"/>
      <c r="F443" s="102"/>
      <c r="G443" s="102"/>
      <c r="H443" s="103" t="str">
        <f aca="false">IF($B443="","",N($E443))</f>
        <v/>
      </c>
      <c r="I443" s="104" t="str">
        <f aca="false">IF($B443="","",$I$398+SUMIFS($G$400:$G$450,$M$400:$M$450,"&lt;="&amp;$M443)-SUMIFS($H$400:$H$450,$M$400:$M$450,"&lt;="&amp;$M443))</f>
        <v/>
      </c>
      <c r="J443" s="102"/>
      <c r="K443" s="96" t="str">
        <f aca="false">IF($B443="","","ACTUAL")</f>
        <v/>
      </c>
      <c r="L443" s="0" t="str">
        <f aca="false">IF($B443="","",IF($C443="",$E$6+55,$C443))</f>
        <v/>
      </c>
      <c r="M443" s="0" t="str">
        <f aca="false">IF($L443="","",COUNTIFS($L$400:$L$450,"&lt;"&amp;$L443)+COUNTIFS($L$400:$L443,$L443))</f>
        <v/>
      </c>
    </row>
    <row r="444" customFormat="false" ht="15" hidden="false" customHeight="true" outlineLevel="0" collapsed="false">
      <c r="B444" s="12"/>
      <c r="C444" s="100"/>
      <c r="D444" s="101" t="str">
        <f aca="false">IF($B444="","","Expense")</f>
        <v/>
      </c>
      <c r="E444" s="14"/>
      <c r="F444" s="102"/>
      <c r="G444" s="102"/>
      <c r="H444" s="103" t="str">
        <f aca="false">IF($B444="","",N($E444))</f>
        <v/>
      </c>
      <c r="I444" s="104" t="str">
        <f aca="false">IF($B444="","",$I$398+SUMIFS($G$400:$G$450,$M$400:$M$450,"&lt;="&amp;$M444)-SUMIFS($H$400:$H$450,$M$400:$M$450,"&lt;="&amp;$M444))</f>
        <v/>
      </c>
      <c r="J444" s="102"/>
      <c r="K444" s="96" t="str">
        <f aca="false">IF($B444="","","ACTUAL")</f>
        <v/>
      </c>
      <c r="L444" s="0" t="str">
        <f aca="false">IF($B444="","",IF($C444="",$E$6+55,$C444))</f>
        <v/>
      </c>
      <c r="M444" s="0" t="str">
        <f aca="false">IF($L444="","",COUNTIFS($L$400:$L$450,"&lt;"&amp;$L444)+COUNTIFS($L$400:$L444,$L444))</f>
        <v/>
      </c>
    </row>
    <row r="445" customFormat="false" ht="15" hidden="false" customHeight="true" outlineLevel="0" collapsed="false">
      <c r="B445" s="12"/>
      <c r="C445" s="100"/>
      <c r="D445" s="101" t="str">
        <f aca="false">IF($B445="","","Expense")</f>
        <v/>
      </c>
      <c r="E445" s="14"/>
      <c r="F445" s="102"/>
      <c r="G445" s="102"/>
      <c r="H445" s="103" t="str">
        <f aca="false">IF($B445="","",N($E445))</f>
        <v/>
      </c>
      <c r="I445" s="104" t="str">
        <f aca="false">IF($B445="","",$I$398+SUMIFS($G$400:$G$450,$M$400:$M$450,"&lt;="&amp;$M445)-SUMIFS($H$400:$H$450,$M$400:$M$450,"&lt;="&amp;$M445))</f>
        <v/>
      </c>
      <c r="J445" s="102"/>
      <c r="K445" s="96" t="str">
        <f aca="false">IF($B445="","","ACTUAL")</f>
        <v/>
      </c>
      <c r="L445" s="0" t="str">
        <f aca="false">IF($B445="","",IF($C445="",$E$6+55,$C445))</f>
        <v/>
      </c>
      <c r="M445" s="0" t="str">
        <f aca="false">IF($L445="","",COUNTIFS($L$400:$L$450,"&lt;"&amp;$L445)+COUNTIFS($L$400:$L445,$L445))</f>
        <v/>
      </c>
    </row>
    <row r="446" customFormat="false" ht="15" hidden="false" customHeight="true" outlineLevel="0" collapsed="false">
      <c r="B446" s="12"/>
      <c r="C446" s="100"/>
      <c r="D446" s="101" t="str">
        <f aca="false">IF($B446="","","Expense")</f>
        <v/>
      </c>
      <c r="E446" s="14"/>
      <c r="F446" s="102"/>
      <c r="G446" s="102"/>
      <c r="H446" s="103" t="str">
        <f aca="false">IF($B446="","",N($E446))</f>
        <v/>
      </c>
      <c r="I446" s="104" t="str">
        <f aca="false">IF($B446="","",$I$398+SUMIFS($G$400:$G$450,$M$400:$M$450,"&lt;="&amp;$M446)-SUMIFS($H$400:$H$450,$M$400:$M$450,"&lt;="&amp;$M446))</f>
        <v/>
      </c>
      <c r="J446" s="102"/>
      <c r="K446" s="96" t="str">
        <f aca="false">IF($B446="","","ACTUAL")</f>
        <v/>
      </c>
      <c r="L446" s="0" t="str">
        <f aca="false">IF($B446="","",IF($C446="",$E$6+55,$C446))</f>
        <v/>
      </c>
      <c r="M446" s="0" t="str">
        <f aca="false">IF($L446="","",COUNTIFS($L$400:$L$450,"&lt;"&amp;$L446)+COUNTIFS($L$400:$L446,$L446))</f>
        <v/>
      </c>
    </row>
    <row r="447" customFormat="false" ht="15" hidden="false" customHeight="true" outlineLevel="0" collapsed="false">
      <c r="B447" s="12"/>
      <c r="C447" s="100"/>
      <c r="D447" s="101" t="str">
        <f aca="false">IF($B447="","","Expense")</f>
        <v/>
      </c>
      <c r="E447" s="14"/>
      <c r="F447" s="102"/>
      <c r="G447" s="102"/>
      <c r="H447" s="103" t="str">
        <f aca="false">IF($B447="","",N($E447))</f>
        <v/>
      </c>
      <c r="I447" s="104" t="str">
        <f aca="false">IF($B447="","",$I$398+SUMIFS($G$400:$G$450,$M$400:$M$450,"&lt;="&amp;$M447)-SUMIFS($H$400:$H$450,$M$400:$M$450,"&lt;="&amp;$M447))</f>
        <v/>
      </c>
      <c r="J447" s="102"/>
      <c r="K447" s="96" t="str">
        <f aca="false">IF($B447="","","ACTUAL")</f>
        <v/>
      </c>
      <c r="L447" s="0" t="str">
        <f aca="false">IF($B447="","",IF($C447="",$E$6+55,$C447))</f>
        <v/>
      </c>
      <c r="M447" s="0" t="str">
        <f aca="false">IF($L447="","",COUNTIFS($L$400:$L$450,"&lt;"&amp;$L447)+COUNTIFS($L$400:$L447,$L447))</f>
        <v/>
      </c>
    </row>
    <row r="448" customFormat="false" ht="15" hidden="false" customHeight="true" outlineLevel="0" collapsed="false">
      <c r="B448" s="12"/>
      <c r="C448" s="100"/>
      <c r="D448" s="101" t="str">
        <f aca="false">IF($B448="","","Expense")</f>
        <v/>
      </c>
      <c r="E448" s="14"/>
      <c r="F448" s="102"/>
      <c r="G448" s="102"/>
      <c r="H448" s="103" t="str">
        <f aca="false">IF($B448="","",N($E448))</f>
        <v/>
      </c>
      <c r="I448" s="104" t="str">
        <f aca="false">IF($B448="","",$I$398+SUMIFS($G$400:$G$450,$M$400:$M$450,"&lt;="&amp;$M448)-SUMIFS($H$400:$H$450,$M$400:$M$450,"&lt;="&amp;$M448))</f>
        <v/>
      </c>
      <c r="J448" s="102"/>
      <c r="K448" s="96" t="str">
        <f aca="false">IF($B448="","","ACTUAL")</f>
        <v/>
      </c>
      <c r="L448" s="0" t="str">
        <f aca="false">IF($B448="","",IF($C448="",$E$6+55,$C448))</f>
        <v/>
      </c>
      <c r="M448" s="0" t="str">
        <f aca="false">IF($L448="","",COUNTIFS($L$400:$L$450,"&lt;"&amp;$L448)+COUNTIFS($L$400:$L448,$L448))</f>
        <v/>
      </c>
    </row>
    <row r="449" customFormat="false" ht="15" hidden="false" customHeight="true" outlineLevel="0" collapsed="false">
      <c r="B449" s="12"/>
      <c r="C449" s="100"/>
      <c r="D449" s="101" t="str">
        <f aca="false">IF($B449="","","Expense")</f>
        <v/>
      </c>
      <c r="E449" s="14"/>
      <c r="F449" s="102"/>
      <c r="G449" s="102"/>
      <c r="H449" s="103" t="str">
        <f aca="false">IF($B449="","",N($E449))</f>
        <v/>
      </c>
      <c r="I449" s="104" t="str">
        <f aca="false">IF($B449="","",$I$398+SUMIFS($G$400:$G$450,$M$400:$M$450,"&lt;="&amp;$M449)-SUMIFS($H$400:$H$450,$M$400:$M$450,"&lt;="&amp;$M449))</f>
        <v/>
      </c>
      <c r="J449" s="102"/>
      <c r="K449" s="96" t="str">
        <f aca="false">IF($B449="","","ACTUAL")</f>
        <v/>
      </c>
      <c r="L449" s="0" t="str">
        <f aca="false">IF($B449="","",IF($C449="",$E$6+55,$C449))</f>
        <v/>
      </c>
      <c r="M449" s="0" t="str">
        <f aca="false">IF($L449="","",COUNTIFS($L$400:$L$450,"&lt;"&amp;$L449)+COUNTIFS($L$400:$L449,$L449))</f>
        <v/>
      </c>
    </row>
    <row r="450" customFormat="false" ht="15" hidden="false" customHeight="true" outlineLevel="0" collapsed="false">
      <c r="B450" s="105" t="str">
        <f aca="false">"Everyday spending still expected this week"</f>
        <v>Everyday spending still expected this week</v>
      </c>
      <c r="C450" s="106" t="n">
        <f aca="false">$E$6+55</f>
        <v>46304</v>
      </c>
      <c r="D450" s="101" t="str">
        <f aca="false">IF($B450="","","Expense")</f>
        <v>Expense</v>
      </c>
      <c r="E450" s="107" t="n">
        <f aca="false">MAX(0,$E$8-SUM($E$411:$E$449))</f>
        <v>400</v>
      </c>
      <c r="F450" s="102"/>
      <c r="G450" s="102"/>
      <c r="H450" s="103" t="n">
        <f aca="false">IF($B450="","",N($E450))</f>
        <v>400</v>
      </c>
      <c r="I450" s="104" t="n">
        <f aca="false">IF($B450="","",$I$398+SUMIFS($G$400:$G$450,$M$400:$M$450,"&lt;="&amp;$M450)-SUMIFS($H$400:$H$450,$M$400:$M$450,"&lt;="&amp;$M450))</f>
        <v>-84.9399999999996</v>
      </c>
      <c r="J450" s="102"/>
      <c r="K450" s="96" t="str">
        <f aca="false">"FORECAST"</f>
        <v>FORECAST</v>
      </c>
      <c r="L450" s="97" t="n">
        <f aca="false">IF($B450="","",IF($C450="",$E$6+55,$C450))</f>
        <v>46304</v>
      </c>
      <c r="M450" s="0" t="n">
        <f aca="false">IF($L450="","",COUNTIFS($L$400:$L$450,"&lt;"&amp;$L450)+COUNTIFS($L$400:$L450,$L450))</f>
        <v>9</v>
      </c>
    </row>
    <row r="451" customFormat="false" ht="15" hidden="false" customHeight="true" outlineLevel="0" collapsed="false">
      <c r="B451" s="108" t="s">
        <v>176</v>
      </c>
      <c r="C451" s="57"/>
      <c r="D451" s="57"/>
      <c r="E451" s="57"/>
      <c r="F451" s="57"/>
      <c r="G451" s="56" t="n">
        <f aca="false">SUM($G$400:$G$450)</f>
        <v>835</v>
      </c>
      <c r="H451" s="56" t="n">
        <f aca="false">SUM($H$400:$H$450)</f>
        <v>1119.59</v>
      </c>
      <c r="I451" s="109" t="n">
        <f aca="false">$I$398+$G$451-$H$451</f>
        <v>-84.9399999999998</v>
      </c>
      <c r="J451" s="110" t="str">
        <f aca="false">IF($I$451&lt;0,"SHORTFALL",IF($I$451&lt;$E$7,"TIGHT","OK"))</f>
        <v>SHORTFALL</v>
      </c>
      <c r="K451" s="111"/>
      <c r="N451" s="111" t="str">
        <f aca="false">IF(COUNT($I$400:$I$450)=0,"","Lowest point this week: "&amp;TEXT(MIN($I$400:$I$450),"$#,##0.00;-$#,##0.00")&amp;" on "&amp;TEXT(INDEX($C$400:$C$450,MATCH(MIN($I$400:$I$450),$I$400:$I$450,0)),"ddd mmm d")&amp;"     (in "&amp;TEXT($G$451,"$#,##0.00")&amp;", out "&amp;TEXT($H$451,"$#,##0.00")&amp;")")</f>
        <v>Lowest point this week: -$429.94 on Thu Oct 8     (in $835.00, out $1,119.59)</v>
      </c>
    </row>
    <row r="453" customFormat="false" ht="21.75" hidden="false" customHeight="true" outlineLevel="0" collapsed="false">
      <c r="B453" s="82" t="str">
        <f aca="false">"WEEK 9     "&amp;TEXT($E$6+56,"ddd, mmm d")&amp;"   through   "&amp;TEXT($E$6+56+6,"ddd, mmm d, yyyy")</f>
        <v>WEEK 9     Sat, Oct 10   through   Fri, Oct 16, 2026</v>
      </c>
      <c r="C453" s="83"/>
      <c r="D453" s="83"/>
      <c r="E453" s="83"/>
      <c r="F453" s="83"/>
      <c r="G453" s="84" t="s">
        <v>139</v>
      </c>
      <c r="H453" s="83"/>
      <c r="I453" s="85" t="n">
        <f aca="false">$I$451</f>
        <v>-84.9399999999998</v>
      </c>
      <c r="J453" s="83"/>
      <c r="K453" s="86"/>
      <c r="N453" s="86" t="str">
        <f aca="false">IF(COUNTIF(Schedule!$I$4:$I$483,9)&gt;10,"! "&amp;COUNTIF(Schedule!$I$4:$I$483,9)-10&amp;" more transaction(s) fall in this week than there are rows to show them.","")</f>
        <v/>
      </c>
    </row>
    <row r="454" customFormat="false" ht="25.5" hidden="false" customHeight="true" outlineLevel="0" collapsed="false">
      <c r="B454" s="87" t="s">
        <v>140</v>
      </c>
      <c r="C454" s="87" t="s">
        <v>141</v>
      </c>
      <c r="D454" s="87" t="s">
        <v>42</v>
      </c>
      <c r="E454" s="87" t="s">
        <v>142</v>
      </c>
      <c r="F454" s="87" t="s">
        <v>143</v>
      </c>
      <c r="G454" s="36" t="s">
        <v>144</v>
      </c>
      <c r="H454" s="37" t="s">
        <v>145</v>
      </c>
      <c r="I454" s="87" t="s">
        <v>146</v>
      </c>
      <c r="J454" s="87" t="s">
        <v>14</v>
      </c>
      <c r="K454" s="87" t="s">
        <v>147</v>
      </c>
    </row>
    <row r="455" customFormat="false" ht="15" hidden="false" customHeight="true" outlineLevel="0" collapsed="false">
      <c r="B455" s="7" t="str">
        <f aca="false">IFERROR(INDEX(Schedule!$C$4:$C$483,MATCH(9001,Schedule!$K$4:$K$483,0)),"")</f>
        <v>Apple: iCloud</v>
      </c>
      <c r="C455" s="88" t="n">
        <f aca="false">IF($B455="","",INDEX(Schedule!$G$4:$G$483,MATCH(9001,Schedule!$K$4:$K$483,0)))</f>
        <v>46308</v>
      </c>
      <c r="D455" s="89" t="str">
        <f aca="false">IF($B455="","",INDEX(Schedule!$D$4:$D$483,MATCH(9001,Schedule!$K$4:$K$483,0)))</f>
        <v>Expense</v>
      </c>
      <c r="E455" s="90" t="n">
        <f aca="false">IF($B455="","",INDEX(Schedule!$E$4:$E$483,MATCH(9001,Schedule!$K$4:$K$483,0)))</f>
        <v>2.99</v>
      </c>
      <c r="F455" s="91"/>
      <c r="G455" s="92" t="str">
        <f aca="false">IF($B455="","",IF($D455="Income",IF($F455&lt;&gt;"",$F455,IF(COUNTIFS('Paid Log'!$B$9:$B$308,$C455,'Paid Log'!$C$9:$C$308,$B455)&gt;0,SUMIFS('Paid Log'!$D$9:$D$308,'Paid Log'!$B$9:$B$308,$C455,'Paid Log'!$C$9:$C$308,$B455),$E455)),""))</f>
        <v/>
      </c>
      <c r="H455" s="93" t="n">
        <f aca="false">IF($B455="","",IF($D455="Income","",IF($F455&lt;&gt;"",$F455,IF(COUNTIFS('Paid Log'!$B$9:$B$308,$C455,'Paid Log'!$C$9:$C$308,$B455)&gt;0,SUMIFS('Paid Log'!$D$9:$D$308,'Paid Log'!$B$9:$B$308,$C455,'Paid Log'!$C$9:$C$308,$B455),$E455))))</f>
        <v>2.99</v>
      </c>
      <c r="I455" s="94" t="n">
        <f aca="false">IF($B455="","",$I$453+SUMIFS($G$455:$G$505,$M$455:$M$505,"&lt;="&amp;$M455)-SUMIFS($H$455:$H$505,$M$455:$M$505,"&lt;="&amp;$M455))</f>
        <v>-87.9299999999998</v>
      </c>
      <c r="J455" s="95" t="str">
        <f aca="true">IF($B455="","",IF(OR($F455&lt;&gt;"",COUNTIFS('Paid Log'!$B$9:$B$308,$C455,'Paid Log'!$C$9:$C$308,$B455)&gt;0),IF($C455&gt;TODAY(),"ADJUSTED","PAID"),IF($C455&lt;TODAY(),"PAST DUE",IF($C455&lt;=TODAY()+7,"DUE","Upcoming"))))</f>
        <v>Upcoming</v>
      </c>
      <c r="K455" s="96" t="str">
        <f aca="false">IF($B455="","",IF(OR($F455&lt;&gt;"",COUNTIFS('Paid Log'!$B$9:$B$308,$C455,'Paid Log'!$C$9:$C$308,$B455)&gt;0),"ACTUAL","FORECAST"))</f>
        <v>FORECAST</v>
      </c>
      <c r="L455" s="97" t="n">
        <f aca="false">IF($B455="","",$C455)</f>
        <v>46308</v>
      </c>
      <c r="M455" s="0" t="n">
        <f aca="false">IF($L455="","",COUNTIFS($L$455:$L$505,"&lt;"&amp;$L455)+COUNTIFS($L$455:$L455,$L455))</f>
        <v>1</v>
      </c>
    </row>
    <row r="456" customFormat="false" ht="15" hidden="false" customHeight="true" outlineLevel="0" collapsed="false">
      <c r="B456" s="7" t="str">
        <f aca="false">IFERROR(INDEX(Schedule!$C$4:$C$483,MATCH(9002,Schedule!$K$4:$K$483,0)),"")</f>
        <v>Bruno's Restaurant (paycheck)</v>
      </c>
      <c r="C456" s="88" t="n">
        <f aca="false">IF($B456="","",INDEX(Schedule!$G$4:$G$483,MATCH(9002,Schedule!$K$4:$K$483,0)))</f>
        <v>46309</v>
      </c>
      <c r="D456" s="89" t="str">
        <f aca="false">IF($B456="","",INDEX(Schedule!$D$4:$D$483,MATCH(9002,Schedule!$K$4:$K$483,0)))</f>
        <v>Income</v>
      </c>
      <c r="E456" s="90" t="n">
        <f aca="false">IF($B456="","",INDEX(Schedule!$E$4:$E$483,MATCH(9002,Schedule!$K$4:$K$483,0)))</f>
        <v>90</v>
      </c>
      <c r="F456" s="91"/>
      <c r="G456" s="92" t="n">
        <f aca="false">IF($B456="","",IF($D456="Income",IF($F456&lt;&gt;"",$F456,IF(COUNTIFS('Paid Log'!$B$9:$B$308,$C456,'Paid Log'!$C$9:$C$308,$B456)&gt;0,SUMIFS('Paid Log'!$D$9:$D$308,'Paid Log'!$B$9:$B$308,$C456,'Paid Log'!$C$9:$C$308,$B456),$E456)),""))</f>
        <v>90</v>
      </c>
      <c r="H456" s="93" t="str">
        <f aca="false">IF($B456="","",IF($D456="Income","",IF($F456&lt;&gt;"",$F456,IF(COUNTIFS('Paid Log'!$B$9:$B$308,$C456,'Paid Log'!$C$9:$C$308,$B456)&gt;0,SUMIFS('Paid Log'!$D$9:$D$308,'Paid Log'!$B$9:$B$308,$C456,'Paid Log'!$C$9:$C$308,$B456),$E456))))</f>
        <v/>
      </c>
      <c r="I456" s="94" t="n">
        <f aca="false">IF($B456="","",$I$453+SUMIFS($G$455:$G$505,$M$455:$M$505,"&lt;="&amp;$M456)-SUMIFS($H$455:$H$505,$M$455:$M$505,"&lt;="&amp;$M456))</f>
        <v>2.07000000000017</v>
      </c>
      <c r="J456" s="95" t="str">
        <f aca="true">IF($B456="","",IF(OR($F456&lt;&gt;"",COUNTIFS('Paid Log'!$B$9:$B$308,$C456,'Paid Log'!$C$9:$C$308,$B456)&gt;0),IF($C456&gt;TODAY(),"ADJUSTED","PAID"),IF($C456&lt;TODAY(),"PAST DUE",IF($C456&lt;=TODAY()+7,"DUE","Upcoming"))))</f>
        <v>Upcoming</v>
      </c>
      <c r="K456" s="96" t="str">
        <f aca="false">IF($B456="","",IF(OR($F456&lt;&gt;"",COUNTIFS('Paid Log'!$B$9:$B$308,$C456,'Paid Log'!$C$9:$C$308,$B456)&gt;0),"ACTUAL","FORECAST"))</f>
        <v>FORECAST</v>
      </c>
      <c r="L456" s="97" t="n">
        <f aca="false">IF($B456="","",$C456)</f>
        <v>46309</v>
      </c>
      <c r="M456" s="0" t="n">
        <f aca="false">IF($L456="","",COUNTIFS($L$455:$L$505,"&lt;"&amp;$L456)+COUNTIFS($L$455:$L456,$L456))</f>
        <v>2</v>
      </c>
    </row>
    <row r="457" customFormat="false" ht="15" hidden="false" customHeight="true" outlineLevel="0" collapsed="false">
      <c r="B457" s="7" t="str">
        <f aca="false">IFERROR(INDEX(Schedule!$C$4:$C$483,MATCH(9003,Schedule!$K$4:$K$483,0)),"")</f>
        <v>Patrick Rombalski (rent)</v>
      </c>
      <c r="C457" s="88" t="n">
        <f aca="false">IF($B457="","",INDEX(Schedule!$G$4:$G$483,MATCH(9003,Schedule!$K$4:$K$483,0)))</f>
        <v>46310</v>
      </c>
      <c r="D457" s="89" t="str">
        <f aca="false">IF($B457="","",INDEX(Schedule!$D$4:$D$483,MATCH(9003,Schedule!$K$4:$K$483,0)))</f>
        <v>Expense</v>
      </c>
      <c r="E457" s="90" t="n">
        <f aca="false">IF($B457="","",INDEX(Schedule!$E$4:$E$483,MATCH(9003,Schedule!$K$4:$K$483,0)))</f>
        <v>350</v>
      </c>
      <c r="F457" s="91"/>
      <c r="G457" s="92" t="str">
        <f aca="false">IF($B457="","",IF($D457="Income",IF($F457&lt;&gt;"",$F457,IF(COUNTIFS('Paid Log'!$B$9:$B$308,$C457,'Paid Log'!$C$9:$C$308,$B457)&gt;0,SUMIFS('Paid Log'!$D$9:$D$308,'Paid Log'!$B$9:$B$308,$C457,'Paid Log'!$C$9:$C$308,$B457),$E457)),""))</f>
        <v/>
      </c>
      <c r="H457" s="93" t="n">
        <f aca="false">IF($B457="","",IF($D457="Income","",IF($F457&lt;&gt;"",$F457,IF(COUNTIFS('Paid Log'!$B$9:$B$308,$C457,'Paid Log'!$C$9:$C$308,$B457)&gt;0,SUMIFS('Paid Log'!$D$9:$D$308,'Paid Log'!$B$9:$B$308,$C457,'Paid Log'!$C$9:$C$308,$B457),$E457))))</f>
        <v>350</v>
      </c>
      <c r="I457" s="94" t="n">
        <f aca="false">IF($B457="","",$I$453+SUMIFS($G$455:$G$505,$M$455:$M$505,"&lt;="&amp;$M457)-SUMIFS($H$455:$H$505,$M$455:$M$505,"&lt;="&amp;$M457))</f>
        <v>-347.93</v>
      </c>
      <c r="J457" s="95" t="str">
        <f aca="true">IF($B457="","",IF(OR($F457&lt;&gt;"",COUNTIFS('Paid Log'!$B$9:$B$308,$C457,'Paid Log'!$C$9:$C$308,$B457)&gt;0),IF($C457&gt;TODAY(),"ADJUSTED","PAID"),IF($C457&lt;TODAY(),"PAST DUE",IF($C457&lt;=TODAY()+7,"DUE","Upcoming"))))</f>
        <v>Upcoming</v>
      </c>
      <c r="K457" s="96" t="str">
        <f aca="false">IF($B457="","",IF(OR($F457&lt;&gt;"",COUNTIFS('Paid Log'!$B$9:$B$308,$C457,'Paid Log'!$C$9:$C$308,$B457)&gt;0),"ACTUAL","FORECAST"))</f>
        <v>FORECAST</v>
      </c>
      <c r="L457" s="97" t="n">
        <f aca="false">IF($B457="","",$C457)</f>
        <v>46310</v>
      </c>
      <c r="M457" s="0" t="n">
        <f aca="false">IF($L457="","",COUNTIFS($L$455:$L$505,"&lt;"&amp;$L457)+COUNTIFS($L$455:$L457,$L457))</f>
        <v>3</v>
      </c>
    </row>
    <row r="458" customFormat="false" ht="15" hidden="false" customHeight="true" outlineLevel="0" collapsed="false">
      <c r="B458" s="7" t="str">
        <f aca="false">IFERROR(INDEX(Schedule!$C$4:$C$483,MATCH(9004,Schedule!$K$4:$K$483,0)),"")</f>
        <v>Compunnel Software (paycheck)</v>
      </c>
      <c r="C458" s="88" t="n">
        <f aca="false">IF($B458="","",INDEX(Schedule!$G$4:$G$483,MATCH(9004,Schedule!$K$4:$K$483,0)))</f>
        <v>46311</v>
      </c>
      <c r="D458" s="89" t="str">
        <f aca="false">IF($B458="","",INDEX(Schedule!$D$4:$D$483,MATCH(9004,Schedule!$K$4:$K$483,0)))</f>
        <v>Income</v>
      </c>
      <c r="E458" s="90" t="n">
        <f aca="false">IF($B458="","",INDEX(Schedule!$E$4:$E$483,MATCH(9004,Schedule!$K$4:$K$483,0)))</f>
        <v>745</v>
      </c>
      <c r="F458" s="91"/>
      <c r="G458" s="92" t="n">
        <f aca="false">IF($B458="","",IF($D458="Income",IF($F458&lt;&gt;"",$F458,IF(COUNTIFS('Paid Log'!$B$9:$B$308,$C458,'Paid Log'!$C$9:$C$308,$B458)&gt;0,SUMIFS('Paid Log'!$D$9:$D$308,'Paid Log'!$B$9:$B$308,$C458,'Paid Log'!$C$9:$C$308,$B458),$E458)),""))</f>
        <v>745</v>
      </c>
      <c r="H458" s="93" t="str">
        <f aca="false">IF($B458="","",IF($D458="Income","",IF($F458&lt;&gt;"",$F458,IF(COUNTIFS('Paid Log'!$B$9:$B$308,$C458,'Paid Log'!$C$9:$C$308,$B458)&gt;0,SUMIFS('Paid Log'!$D$9:$D$308,'Paid Log'!$B$9:$B$308,$C458,'Paid Log'!$C$9:$C$308,$B458),$E458))))</f>
        <v/>
      </c>
      <c r="I458" s="94" t="n">
        <f aca="false">IF($B458="","",$I$453+SUMIFS($G$455:$G$505,$M$455:$M$505,"&lt;="&amp;$M458)-SUMIFS($H$455:$H$505,$M$455:$M$505,"&lt;="&amp;$M458))</f>
        <v>397.07</v>
      </c>
      <c r="J458" s="95" t="str">
        <f aca="true">IF($B458="","",IF(OR($F458&lt;&gt;"",COUNTIFS('Paid Log'!$B$9:$B$308,$C458,'Paid Log'!$C$9:$C$308,$B458)&gt;0),IF($C458&gt;TODAY(),"ADJUSTED","PAID"),IF($C458&lt;TODAY(),"PAST DUE",IF($C458&lt;=TODAY()+7,"DUE","Upcoming"))))</f>
        <v>Upcoming</v>
      </c>
      <c r="K458" s="96" t="str">
        <f aca="false">IF($B458="","",IF(OR($F458&lt;&gt;"",COUNTIFS('Paid Log'!$B$9:$B$308,$C458,'Paid Log'!$C$9:$C$308,$B458)&gt;0),"ACTUAL","FORECAST"))</f>
        <v>FORECAST</v>
      </c>
      <c r="L458" s="97" t="n">
        <f aca="false">IF($B458="","",$C458)</f>
        <v>46311</v>
      </c>
      <c r="M458" s="0" t="n">
        <f aca="false">IF($L458="","",COUNTIFS($L$455:$L$505,"&lt;"&amp;$L458)+COUNTIFS($L$455:$L458,$L458))</f>
        <v>4</v>
      </c>
    </row>
    <row r="459" customFormat="false" ht="15" hidden="false" customHeight="true" outlineLevel="0" collapsed="false">
      <c r="B459" s="7" t="str">
        <f aca="false">IFERROR(INDEX(Schedule!$C$4:$C$483,MATCH(9005,Schedule!$K$4:$K$483,0)),"")</f>
        <v>Maine Revenue Services</v>
      </c>
      <c r="C459" s="88" t="n">
        <f aca="false">IF($B459="","",INDEX(Schedule!$G$4:$G$483,MATCH(9005,Schedule!$K$4:$K$483,0)))</f>
        <v>46311</v>
      </c>
      <c r="D459" s="89" t="str">
        <f aca="false">IF($B459="","",INDEX(Schedule!$D$4:$D$483,MATCH(9005,Schedule!$K$4:$K$483,0)))</f>
        <v>Expense</v>
      </c>
      <c r="E459" s="90" t="n">
        <f aca="false">IF($B459="","",INDEX(Schedule!$E$4:$E$483,MATCH(9005,Schedule!$K$4:$K$483,0)))</f>
        <v>45</v>
      </c>
      <c r="F459" s="91"/>
      <c r="G459" s="92" t="str">
        <f aca="false">IF($B459="","",IF($D459="Income",IF($F459&lt;&gt;"",$F459,IF(COUNTIFS('Paid Log'!$B$9:$B$308,$C459,'Paid Log'!$C$9:$C$308,$B459)&gt;0,SUMIFS('Paid Log'!$D$9:$D$308,'Paid Log'!$B$9:$B$308,$C459,'Paid Log'!$C$9:$C$308,$B459),$E459)),""))</f>
        <v/>
      </c>
      <c r="H459" s="93" t="n">
        <f aca="false">IF($B459="","",IF($D459="Income","",IF($F459&lt;&gt;"",$F459,IF(COUNTIFS('Paid Log'!$B$9:$B$308,$C459,'Paid Log'!$C$9:$C$308,$B459)&gt;0,SUMIFS('Paid Log'!$D$9:$D$308,'Paid Log'!$B$9:$B$308,$C459,'Paid Log'!$C$9:$C$308,$B459),$E459))))</f>
        <v>45</v>
      </c>
      <c r="I459" s="94" t="n">
        <f aca="false">IF($B459="","",$I$453+SUMIFS($G$455:$G$505,$M$455:$M$505,"&lt;="&amp;$M459)-SUMIFS($H$455:$H$505,$M$455:$M$505,"&lt;="&amp;$M459))</f>
        <v>352.07</v>
      </c>
      <c r="J459" s="95" t="str">
        <f aca="true">IF($B459="","",IF(OR($F459&lt;&gt;"",COUNTIFS('Paid Log'!$B$9:$B$308,$C459,'Paid Log'!$C$9:$C$308,$B459)&gt;0),IF($C459&gt;TODAY(),"ADJUSTED","PAID"),IF($C459&lt;TODAY(),"PAST DUE",IF($C459&lt;=TODAY()+7,"DUE","Upcoming"))))</f>
        <v>Upcoming</v>
      </c>
      <c r="K459" s="96" t="str">
        <f aca="false">IF($B459="","",IF(OR($F459&lt;&gt;"",COUNTIFS('Paid Log'!$B$9:$B$308,$C459,'Paid Log'!$C$9:$C$308,$B459)&gt;0),"ACTUAL","FORECAST"))</f>
        <v>FORECAST</v>
      </c>
      <c r="L459" s="97" t="n">
        <f aca="false">IF($B459="","",$C459)</f>
        <v>46311</v>
      </c>
      <c r="M459" s="0" t="n">
        <f aca="false">IF($L459="","",COUNTIFS($L$455:$L$505,"&lt;"&amp;$L459)+COUNTIFS($L$455:$L459,$L459))</f>
        <v>5</v>
      </c>
    </row>
    <row r="460" customFormat="false" ht="15" hidden="false" customHeight="true" outlineLevel="0" collapsed="false">
      <c r="B460" s="7" t="str">
        <f aca="false">IFERROR(INDEX(Schedule!$C$4:$C$483,MATCH(9006,Schedule!$K$4:$K$483,0)),"")</f>
        <v/>
      </c>
      <c r="C460" s="88" t="str">
        <f aca="false">IF($B460="","",INDEX(Schedule!$G$4:$G$483,MATCH(9006,Schedule!$K$4:$K$483,0)))</f>
        <v/>
      </c>
      <c r="D460" s="89" t="str">
        <f aca="false">IF($B460="","",INDEX(Schedule!$D$4:$D$483,MATCH(9006,Schedule!$K$4:$K$483,0)))</f>
        <v/>
      </c>
      <c r="E460" s="90" t="str">
        <f aca="false">IF($B460="","",INDEX(Schedule!$E$4:$E$483,MATCH(9006,Schedule!$K$4:$K$483,0)))</f>
        <v/>
      </c>
      <c r="F460" s="91"/>
      <c r="G460" s="92" t="str">
        <f aca="false">IF($B460="","",IF($D460="Income",IF($F460&lt;&gt;"",$F460,IF(COUNTIFS('Paid Log'!$B$9:$B$308,$C460,'Paid Log'!$C$9:$C$308,$B460)&gt;0,SUMIFS('Paid Log'!$D$9:$D$308,'Paid Log'!$B$9:$B$308,$C460,'Paid Log'!$C$9:$C$308,$B460),$E460)),""))</f>
        <v/>
      </c>
      <c r="H460" s="93" t="str">
        <f aca="false">IF($B460="","",IF($D460="Income","",IF($F460&lt;&gt;"",$F460,IF(COUNTIFS('Paid Log'!$B$9:$B$308,$C460,'Paid Log'!$C$9:$C$308,$B460)&gt;0,SUMIFS('Paid Log'!$D$9:$D$308,'Paid Log'!$B$9:$B$308,$C460,'Paid Log'!$C$9:$C$308,$B460),$E460))))</f>
        <v/>
      </c>
      <c r="I460" s="94" t="str">
        <f aca="false">IF($B460="","",$I$453+SUMIFS($G$455:$G$505,$M$455:$M$505,"&lt;="&amp;$M460)-SUMIFS($H$455:$H$505,$M$455:$M$505,"&lt;="&amp;$M460))</f>
        <v/>
      </c>
      <c r="J460" s="95" t="str">
        <f aca="true">IF($B460="","",IF(OR($F460&lt;&gt;"",COUNTIFS('Paid Log'!$B$9:$B$308,$C460,'Paid Log'!$C$9:$C$308,$B460)&gt;0),IF($C460&gt;TODAY(),"ADJUSTED","PAID"),IF($C460&lt;TODAY(),"PAST DUE",IF($C460&lt;=TODAY()+7,"DUE","Upcoming"))))</f>
        <v/>
      </c>
      <c r="K460" s="96" t="str">
        <f aca="false">IF($B460="","",IF(OR($F460&lt;&gt;"",COUNTIFS('Paid Log'!$B$9:$B$308,$C460,'Paid Log'!$C$9:$C$308,$B460)&gt;0),"ACTUAL","FORECAST"))</f>
        <v/>
      </c>
      <c r="L460" s="97" t="str">
        <f aca="false">IF($B460="","",$C460)</f>
        <v/>
      </c>
      <c r="M460" s="0" t="str">
        <f aca="false">IF($L460="","",COUNTIFS($L$455:$L$505,"&lt;"&amp;$L460)+COUNTIFS($L$455:$L460,$L460))</f>
        <v/>
      </c>
    </row>
    <row r="461" customFormat="false" ht="15" hidden="false" customHeight="true" outlineLevel="0" collapsed="false">
      <c r="B461" s="7" t="str">
        <f aca="false">IFERROR(INDEX(Schedule!$C$4:$C$483,MATCH(9007,Schedule!$K$4:$K$483,0)),"")</f>
        <v/>
      </c>
      <c r="C461" s="88" t="str">
        <f aca="false">IF($B461="","",INDEX(Schedule!$G$4:$G$483,MATCH(9007,Schedule!$K$4:$K$483,0)))</f>
        <v/>
      </c>
      <c r="D461" s="89" t="str">
        <f aca="false">IF($B461="","",INDEX(Schedule!$D$4:$D$483,MATCH(9007,Schedule!$K$4:$K$483,0)))</f>
        <v/>
      </c>
      <c r="E461" s="90" t="str">
        <f aca="false">IF($B461="","",INDEX(Schedule!$E$4:$E$483,MATCH(9007,Schedule!$K$4:$K$483,0)))</f>
        <v/>
      </c>
      <c r="F461" s="91"/>
      <c r="G461" s="92" t="str">
        <f aca="false">IF($B461="","",IF($D461="Income",IF($F461&lt;&gt;"",$F461,IF(COUNTIFS('Paid Log'!$B$9:$B$308,$C461,'Paid Log'!$C$9:$C$308,$B461)&gt;0,SUMIFS('Paid Log'!$D$9:$D$308,'Paid Log'!$B$9:$B$308,$C461,'Paid Log'!$C$9:$C$308,$B461),$E461)),""))</f>
        <v/>
      </c>
      <c r="H461" s="93" t="str">
        <f aca="false">IF($B461="","",IF($D461="Income","",IF($F461&lt;&gt;"",$F461,IF(COUNTIFS('Paid Log'!$B$9:$B$308,$C461,'Paid Log'!$C$9:$C$308,$B461)&gt;0,SUMIFS('Paid Log'!$D$9:$D$308,'Paid Log'!$B$9:$B$308,$C461,'Paid Log'!$C$9:$C$308,$B461),$E461))))</f>
        <v/>
      </c>
      <c r="I461" s="94" t="str">
        <f aca="false">IF($B461="","",$I$453+SUMIFS($G$455:$G$505,$M$455:$M$505,"&lt;="&amp;$M461)-SUMIFS($H$455:$H$505,$M$455:$M$505,"&lt;="&amp;$M461))</f>
        <v/>
      </c>
      <c r="J461" s="95" t="str">
        <f aca="true">IF($B461="","",IF(OR($F461&lt;&gt;"",COUNTIFS('Paid Log'!$B$9:$B$308,$C461,'Paid Log'!$C$9:$C$308,$B461)&gt;0),IF($C461&gt;TODAY(),"ADJUSTED","PAID"),IF($C461&lt;TODAY(),"PAST DUE",IF($C461&lt;=TODAY()+7,"DUE","Upcoming"))))</f>
        <v/>
      </c>
      <c r="K461" s="96" t="str">
        <f aca="false">IF($B461="","",IF(OR($F461&lt;&gt;"",COUNTIFS('Paid Log'!$B$9:$B$308,$C461,'Paid Log'!$C$9:$C$308,$B461)&gt;0),"ACTUAL","FORECAST"))</f>
        <v/>
      </c>
      <c r="L461" s="0" t="str">
        <f aca="false">IF($B461="","",$C461)</f>
        <v/>
      </c>
      <c r="M461" s="0" t="str">
        <f aca="false">IF($L461="","",COUNTIFS($L$455:$L$505,"&lt;"&amp;$L461)+COUNTIFS($L$455:$L461,$L461))</f>
        <v/>
      </c>
    </row>
    <row r="462" customFormat="false" ht="15" hidden="false" customHeight="true" outlineLevel="0" collapsed="false">
      <c r="B462" s="7" t="str">
        <f aca="false">IFERROR(INDEX(Schedule!$C$4:$C$483,MATCH(9008,Schedule!$K$4:$K$483,0)),"")</f>
        <v/>
      </c>
      <c r="C462" s="88" t="str">
        <f aca="false">IF($B462="","",INDEX(Schedule!$G$4:$G$483,MATCH(9008,Schedule!$K$4:$K$483,0)))</f>
        <v/>
      </c>
      <c r="D462" s="89" t="str">
        <f aca="false">IF($B462="","",INDEX(Schedule!$D$4:$D$483,MATCH(9008,Schedule!$K$4:$K$483,0)))</f>
        <v/>
      </c>
      <c r="E462" s="90" t="str">
        <f aca="false">IF($B462="","",INDEX(Schedule!$E$4:$E$483,MATCH(9008,Schedule!$K$4:$K$483,0)))</f>
        <v/>
      </c>
      <c r="F462" s="91"/>
      <c r="G462" s="92" t="str">
        <f aca="false">IF($B462="","",IF($D462="Income",IF($F462&lt;&gt;"",$F462,IF(COUNTIFS('Paid Log'!$B$9:$B$308,$C462,'Paid Log'!$C$9:$C$308,$B462)&gt;0,SUMIFS('Paid Log'!$D$9:$D$308,'Paid Log'!$B$9:$B$308,$C462,'Paid Log'!$C$9:$C$308,$B462),$E462)),""))</f>
        <v/>
      </c>
      <c r="H462" s="93" t="str">
        <f aca="false">IF($B462="","",IF($D462="Income","",IF($F462&lt;&gt;"",$F462,IF(COUNTIFS('Paid Log'!$B$9:$B$308,$C462,'Paid Log'!$C$9:$C$308,$B462)&gt;0,SUMIFS('Paid Log'!$D$9:$D$308,'Paid Log'!$B$9:$B$308,$C462,'Paid Log'!$C$9:$C$308,$B462),$E462))))</f>
        <v/>
      </c>
      <c r="I462" s="94" t="str">
        <f aca="false">IF($B462="","",$I$453+SUMIFS($G$455:$G$505,$M$455:$M$505,"&lt;="&amp;$M462)-SUMIFS($H$455:$H$505,$M$455:$M$505,"&lt;="&amp;$M462))</f>
        <v/>
      </c>
      <c r="J462" s="95" t="str">
        <f aca="true">IF($B462="","",IF(OR($F462&lt;&gt;"",COUNTIFS('Paid Log'!$B$9:$B$308,$C462,'Paid Log'!$C$9:$C$308,$B462)&gt;0),IF($C462&gt;TODAY(),"ADJUSTED","PAID"),IF($C462&lt;TODAY(),"PAST DUE",IF($C462&lt;=TODAY()+7,"DUE","Upcoming"))))</f>
        <v/>
      </c>
      <c r="K462" s="96" t="str">
        <f aca="false">IF($B462="","",IF(OR($F462&lt;&gt;"",COUNTIFS('Paid Log'!$B$9:$B$308,$C462,'Paid Log'!$C$9:$C$308,$B462)&gt;0),"ACTUAL","FORECAST"))</f>
        <v/>
      </c>
      <c r="L462" s="0" t="str">
        <f aca="false">IF($B462="","",$C462)</f>
        <v/>
      </c>
      <c r="M462" s="0" t="str">
        <f aca="false">IF($L462="","",COUNTIFS($L$455:$L$505,"&lt;"&amp;$L462)+COUNTIFS($L$455:$L462,$L462))</f>
        <v/>
      </c>
    </row>
    <row r="463" customFormat="false" ht="15" hidden="false" customHeight="true" outlineLevel="0" collapsed="false">
      <c r="B463" s="7" t="str">
        <f aca="false">IFERROR(INDEX(Schedule!$C$4:$C$483,MATCH(9009,Schedule!$K$4:$K$483,0)),"")</f>
        <v/>
      </c>
      <c r="C463" s="88" t="str">
        <f aca="false">IF($B463="","",INDEX(Schedule!$G$4:$G$483,MATCH(9009,Schedule!$K$4:$K$483,0)))</f>
        <v/>
      </c>
      <c r="D463" s="89" t="str">
        <f aca="false">IF($B463="","",INDEX(Schedule!$D$4:$D$483,MATCH(9009,Schedule!$K$4:$K$483,0)))</f>
        <v/>
      </c>
      <c r="E463" s="90" t="str">
        <f aca="false">IF($B463="","",INDEX(Schedule!$E$4:$E$483,MATCH(9009,Schedule!$K$4:$K$483,0)))</f>
        <v/>
      </c>
      <c r="F463" s="91"/>
      <c r="G463" s="92" t="str">
        <f aca="false">IF($B463="","",IF($D463="Income",IF($F463&lt;&gt;"",$F463,IF(COUNTIFS('Paid Log'!$B$9:$B$308,$C463,'Paid Log'!$C$9:$C$308,$B463)&gt;0,SUMIFS('Paid Log'!$D$9:$D$308,'Paid Log'!$B$9:$B$308,$C463,'Paid Log'!$C$9:$C$308,$B463),$E463)),""))</f>
        <v/>
      </c>
      <c r="H463" s="93" t="str">
        <f aca="false">IF($B463="","",IF($D463="Income","",IF($F463&lt;&gt;"",$F463,IF(COUNTIFS('Paid Log'!$B$9:$B$308,$C463,'Paid Log'!$C$9:$C$308,$B463)&gt;0,SUMIFS('Paid Log'!$D$9:$D$308,'Paid Log'!$B$9:$B$308,$C463,'Paid Log'!$C$9:$C$308,$B463),$E463))))</f>
        <v/>
      </c>
      <c r="I463" s="94" t="str">
        <f aca="false">IF($B463="","",$I$453+SUMIFS($G$455:$G$505,$M$455:$M$505,"&lt;="&amp;$M463)-SUMIFS($H$455:$H$505,$M$455:$M$505,"&lt;="&amp;$M463))</f>
        <v/>
      </c>
      <c r="J463" s="95" t="str">
        <f aca="true">IF($B463="","",IF(OR($F463&lt;&gt;"",COUNTIFS('Paid Log'!$B$9:$B$308,$C463,'Paid Log'!$C$9:$C$308,$B463)&gt;0),IF($C463&gt;TODAY(),"ADJUSTED","PAID"),IF($C463&lt;TODAY(),"PAST DUE",IF($C463&lt;=TODAY()+7,"DUE","Upcoming"))))</f>
        <v/>
      </c>
      <c r="K463" s="96" t="str">
        <f aca="false">IF($B463="","",IF(OR($F463&lt;&gt;"",COUNTIFS('Paid Log'!$B$9:$B$308,$C463,'Paid Log'!$C$9:$C$308,$B463)&gt;0),"ACTUAL","FORECAST"))</f>
        <v/>
      </c>
      <c r="L463" s="0" t="str">
        <f aca="false">IF($B463="","",$C463)</f>
        <v/>
      </c>
      <c r="M463" s="0" t="str">
        <f aca="false">IF($L463="","",COUNTIFS($L$455:$L$505,"&lt;"&amp;$L463)+COUNTIFS($L$455:$L463,$L463))</f>
        <v/>
      </c>
    </row>
    <row r="464" customFormat="false" ht="15" hidden="false" customHeight="true" outlineLevel="0" collapsed="false">
      <c r="B464" s="7" t="str">
        <f aca="false">IFERROR(INDEX(Schedule!$C$4:$C$483,MATCH(9010,Schedule!$K$4:$K$483,0)),"")</f>
        <v/>
      </c>
      <c r="C464" s="88" t="str">
        <f aca="false">IF($B464="","",INDEX(Schedule!$G$4:$G$483,MATCH(9010,Schedule!$K$4:$K$483,0)))</f>
        <v/>
      </c>
      <c r="D464" s="89" t="str">
        <f aca="false">IF($B464="","",INDEX(Schedule!$D$4:$D$483,MATCH(9010,Schedule!$K$4:$K$483,0)))</f>
        <v/>
      </c>
      <c r="E464" s="90" t="str">
        <f aca="false">IF($B464="","",INDEX(Schedule!$E$4:$E$483,MATCH(9010,Schedule!$K$4:$K$483,0)))</f>
        <v/>
      </c>
      <c r="F464" s="91"/>
      <c r="G464" s="92" t="str">
        <f aca="false">IF($B464="","",IF($D464="Income",IF($F464&lt;&gt;"",$F464,IF(COUNTIFS('Paid Log'!$B$9:$B$308,$C464,'Paid Log'!$C$9:$C$308,$B464)&gt;0,SUMIFS('Paid Log'!$D$9:$D$308,'Paid Log'!$B$9:$B$308,$C464,'Paid Log'!$C$9:$C$308,$B464),$E464)),""))</f>
        <v/>
      </c>
      <c r="H464" s="93" t="str">
        <f aca="false">IF($B464="","",IF($D464="Income","",IF($F464&lt;&gt;"",$F464,IF(COUNTIFS('Paid Log'!$B$9:$B$308,$C464,'Paid Log'!$C$9:$C$308,$B464)&gt;0,SUMIFS('Paid Log'!$D$9:$D$308,'Paid Log'!$B$9:$B$308,$C464,'Paid Log'!$C$9:$C$308,$B464),$E464))))</f>
        <v/>
      </c>
      <c r="I464" s="94" t="str">
        <f aca="false">IF($B464="","",$I$453+SUMIFS($G$455:$G$505,$M$455:$M$505,"&lt;="&amp;$M464)-SUMIFS($H$455:$H$505,$M$455:$M$505,"&lt;="&amp;$M464))</f>
        <v/>
      </c>
      <c r="J464" s="95" t="str">
        <f aca="true">IF($B464="","",IF(OR($F464&lt;&gt;"",COUNTIFS('Paid Log'!$B$9:$B$308,$C464,'Paid Log'!$C$9:$C$308,$B464)&gt;0),IF($C464&gt;TODAY(),"ADJUSTED","PAID"),IF($C464&lt;TODAY(),"PAST DUE",IF($C464&lt;=TODAY()+7,"DUE","Upcoming"))))</f>
        <v/>
      </c>
      <c r="K464" s="96" t="str">
        <f aca="false">IF($B464="","",IF(OR($F464&lt;&gt;"",COUNTIFS('Paid Log'!$B$9:$B$308,$C464,'Paid Log'!$C$9:$C$308,$B464)&gt;0),"ACTUAL","FORECAST"))</f>
        <v/>
      </c>
      <c r="L464" s="0" t="str">
        <f aca="false">IF($B464="","",$C464)</f>
        <v/>
      </c>
      <c r="M464" s="0" t="str">
        <f aca="false">IF($L464="","",COUNTIFS($L$455:$L$505,"&lt;"&amp;$L464)+COUNTIFS($L$455:$L464,$L464))</f>
        <v/>
      </c>
    </row>
    <row r="465" customFormat="false" ht="15" hidden="false" customHeight="true" outlineLevel="0" collapsed="false">
      <c r="B465" s="98" t="s">
        <v>148</v>
      </c>
      <c r="C465" s="99"/>
      <c r="D465" s="99"/>
      <c r="E465" s="99"/>
      <c r="F465" s="99"/>
      <c r="G465" s="99"/>
      <c r="H465" s="99"/>
      <c r="I465" s="99"/>
      <c r="J465" s="99"/>
    </row>
    <row r="466" customFormat="false" ht="15" hidden="false" customHeight="true" outlineLevel="0" collapsed="false">
      <c r="B466" s="12"/>
      <c r="C466" s="100"/>
      <c r="D466" s="101" t="str">
        <f aca="false">IF($B466="","","Expense")</f>
        <v/>
      </c>
      <c r="E466" s="14"/>
      <c r="F466" s="102"/>
      <c r="G466" s="102"/>
      <c r="H466" s="103" t="str">
        <f aca="false">IF($B466="","",N($E466))</f>
        <v/>
      </c>
      <c r="I466" s="104" t="str">
        <f aca="false">IF($B466="","",$I$453+SUMIFS($G$455:$G$505,$M$455:$M$505,"&lt;="&amp;$M466)-SUMIFS($H$455:$H$505,$M$455:$M$505,"&lt;="&amp;$M466))</f>
        <v/>
      </c>
      <c r="J466" s="102"/>
      <c r="K466" s="96" t="str">
        <f aca="false">IF($B466="","","ACTUAL")</f>
        <v/>
      </c>
      <c r="L466" s="0" t="str">
        <f aca="false">IF($B466="","",IF($C466="",$E$6+62,$C466))</f>
        <v/>
      </c>
      <c r="M466" s="0" t="str">
        <f aca="false">IF($L466="","",COUNTIFS($L$455:$L$505,"&lt;"&amp;$L466)+COUNTIFS($L$455:$L466,$L466))</f>
        <v/>
      </c>
    </row>
    <row r="467" customFormat="false" ht="15" hidden="false" customHeight="true" outlineLevel="0" collapsed="false">
      <c r="B467" s="12"/>
      <c r="C467" s="100"/>
      <c r="D467" s="101" t="str">
        <f aca="false">IF($B467="","","Expense")</f>
        <v/>
      </c>
      <c r="E467" s="14"/>
      <c r="F467" s="102"/>
      <c r="G467" s="102"/>
      <c r="H467" s="103" t="str">
        <f aca="false">IF($B467="","",N($E467))</f>
        <v/>
      </c>
      <c r="I467" s="104" t="str">
        <f aca="false">IF($B467="","",$I$453+SUMIFS($G$455:$G$505,$M$455:$M$505,"&lt;="&amp;$M467)-SUMIFS($H$455:$H$505,$M$455:$M$505,"&lt;="&amp;$M467))</f>
        <v/>
      </c>
      <c r="J467" s="102"/>
      <c r="K467" s="96" t="str">
        <f aca="false">IF($B467="","","ACTUAL")</f>
        <v/>
      </c>
      <c r="L467" s="0" t="str">
        <f aca="false">IF($B467="","",IF($C467="",$E$6+62,$C467))</f>
        <v/>
      </c>
      <c r="M467" s="0" t="str">
        <f aca="false">IF($L467="","",COUNTIFS($L$455:$L$505,"&lt;"&amp;$L467)+COUNTIFS($L$455:$L467,$L467))</f>
        <v/>
      </c>
    </row>
    <row r="468" customFormat="false" ht="15" hidden="false" customHeight="true" outlineLevel="0" collapsed="false">
      <c r="B468" s="12"/>
      <c r="C468" s="100"/>
      <c r="D468" s="101" t="str">
        <f aca="false">IF($B468="","","Expense")</f>
        <v/>
      </c>
      <c r="E468" s="14"/>
      <c r="F468" s="102"/>
      <c r="G468" s="102"/>
      <c r="H468" s="103" t="str">
        <f aca="false">IF($B468="","",N($E468))</f>
        <v/>
      </c>
      <c r="I468" s="104" t="str">
        <f aca="false">IF($B468="","",$I$453+SUMIFS($G$455:$G$505,$M$455:$M$505,"&lt;="&amp;$M468)-SUMIFS($H$455:$H$505,$M$455:$M$505,"&lt;="&amp;$M468))</f>
        <v/>
      </c>
      <c r="J468" s="102"/>
      <c r="K468" s="96" t="str">
        <f aca="false">IF($B468="","","ACTUAL")</f>
        <v/>
      </c>
      <c r="L468" s="0" t="str">
        <f aca="false">IF($B468="","",IF($C468="",$E$6+62,$C468))</f>
        <v/>
      </c>
      <c r="M468" s="0" t="str">
        <f aca="false">IF($L468="","",COUNTIFS($L$455:$L$505,"&lt;"&amp;$L468)+COUNTIFS($L$455:$L468,$L468))</f>
        <v/>
      </c>
    </row>
    <row r="469" customFormat="false" ht="15" hidden="false" customHeight="true" outlineLevel="0" collapsed="false">
      <c r="B469" s="12"/>
      <c r="C469" s="100"/>
      <c r="D469" s="101" t="str">
        <f aca="false">IF($B469="","","Expense")</f>
        <v/>
      </c>
      <c r="E469" s="14"/>
      <c r="F469" s="102"/>
      <c r="G469" s="102"/>
      <c r="H469" s="103" t="str">
        <f aca="false">IF($B469="","",N($E469))</f>
        <v/>
      </c>
      <c r="I469" s="104" t="str">
        <f aca="false">IF($B469="","",$I$453+SUMIFS($G$455:$G$505,$M$455:$M$505,"&lt;="&amp;$M469)-SUMIFS($H$455:$H$505,$M$455:$M$505,"&lt;="&amp;$M469))</f>
        <v/>
      </c>
      <c r="J469" s="102"/>
      <c r="K469" s="96" t="str">
        <f aca="false">IF($B469="","","ACTUAL")</f>
        <v/>
      </c>
      <c r="L469" s="0" t="str">
        <f aca="false">IF($B469="","",IF($C469="",$E$6+62,$C469))</f>
        <v/>
      </c>
      <c r="M469" s="0" t="str">
        <f aca="false">IF($L469="","",COUNTIFS($L$455:$L$505,"&lt;"&amp;$L469)+COUNTIFS($L$455:$L469,$L469))</f>
        <v/>
      </c>
    </row>
    <row r="470" customFormat="false" ht="15" hidden="false" customHeight="true" outlineLevel="0" collapsed="false">
      <c r="B470" s="12"/>
      <c r="C470" s="100"/>
      <c r="D470" s="101" t="str">
        <f aca="false">IF($B470="","","Expense")</f>
        <v/>
      </c>
      <c r="E470" s="14"/>
      <c r="F470" s="102"/>
      <c r="G470" s="102"/>
      <c r="H470" s="103" t="str">
        <f aca="false">IF($B470="","",N($E470))</f>
        <v/>
      </c>
      <c r="I470" s="104" t="str">
        <f aca="false">IF($B470="","",$I$453+SUMIFS($G$455:$G$505,$M$455:$M$505,"&lt;="&amp;$M470)-SUMIFS($H$455:$H$505,$M$455:$M$505,"&lt;="&amp;$M470))</f>
        <v/>
      </c>
      <c r="J470" s="102"/>
      <c r="K470" s="96" t="str">
        <f aca="false">IF($B470="","","ACTUAL")</f>
        <v/>
      </c>
      <c r="L470" s="0" t="str">
        <f aca="false">IF($B470="","",IF($C470="",$E$6+62,$C470))</f>
        <v/>
      </c>
      <c r="M470" s="0" t="str">
        <f aca="false">IF($L470="","",COUNTIFS($L$455:$L$505,"&lt;"&amp;$L470)+COUNTIFS($L$455:$L470,$L470))</f>
        <v/>
      </c>
    </row>
    <row r="471" customFormat="false" ht="15" hidden="false" customHeight="true" outlineLevel="0" collapsed="false">
      <c r="B471" s="12"/>
      <c r="C471" s="100"/>
      <c r="D471" s="101" t="str">
        <f aca="false">IF($B471="","","Expense")</f>
        <v/>
      </c>
      <c r="E471" s="14"/>
      <c r="F471" s="102"/>
      <c r="G471" s="102"/>
      <c r="H471" s="103" t="str">
        <f aca="false">IF($B471="","",N($E471))</f>
        <v/>
      </c>
      <c r="I471" s="104" t="str">
        <f aca="false">IF($B471="","",$I$453+SUMIFS($G$455:$G$505,$M$455:$M$505,"&lt;="&amp;$M471)-SUMIFS($H$455:$H$505,$M$455:$M$505,"&lt;="&amp;$M471))</f>
        <v/>
      </c>
      <c r="J471" s="102"/>
      <c r="K471" s="96" t="str">
        <f aca="false">IF($B471="","","ACTUAL")</f>
        <v/>
      </c>
      <c r="L471" s="0" t="str">
        <f aca="false">IF($B471="","",IF($C471="",$E$6+62,$C471))</f>
        <v/>
      </c>
      <c r="M471" s="0" t="str">
        <f aca="false">IF($L471="","",COUNTIFS($L$455:$L$505,"&lt;"&amp;$L471)+COUNTIFS($L$455:$L471,$L471))</f>
        <v/>
      </c>
    </row>
    <row r="472" customFormat="false" ht="15" hidden="false" customHeight="true" outlineLevel="0" collapsed="false">
      <c r="B472" s="12"/>
      <c r="C472" s="100"/>
      <c r="D472" s="101" t="str">
        <f aca="false">IF($B472="","","Expense")</f>
        <v/>
      </c>
      <c r="E472" s="14"/>
      <c r="F472" s="102"/>
      <c r="G472" s="102"/>
      <c r="H472" s="103" t="str">
        <f aca="false">IF($B472="","",N($E472))</f>
        <v/>
      </c>
      <c r="I472" s="104" t="str">
        <f aca="false">IF($B472="","",$I$453+SUMIFS($G$455:$G$505,$M$455:$M$505,"&lt;="&amp;$M472)-SUMIFS($H$455:$H$505,$M$455:$M$505,"&lt;="&amp;$M472))</f>
        <v/>
      </c>
      <c r="J472" s="102"/>
      <c r="K472" s="96" t="str">
        <f aca="false">IF($B472="","","ACTUAL")</f>
        <v/>
      </c>
      <c r="L472" s="0" t="str">
        <f aca="false">IF($B472="","",IF($C472="",$E$6+62,$C472))</f>
        <v/>
      </c>
      <c r="M472" s="0" t="str">
        <f aca="false">IF($L472="","",COUNTIFS($L$455:$L$505,"&lt;"&amp;$L472)+COUNTIFS($L$455:$L472,$L472))</f>
        <v/>
      </c>
    </row>
    <row r="473" customFormat="false" ht="15" hidden="false" customHeight="true" outlineLevel="0" collapsed="false">
      <c r="B473" s="12"/>
      <c r="C473" s="100"/>
      <c r="D473" s="101" t="str">
        <f aca="false">IF($B473="","","Expense")</f>
        <v/>
      </c>
      <c r="E473" s="14"/>
      <c r="F473" s="102"/>
      <c r="G473" s="102"/>
      <c r="H473" s="103" t="str">
        <f aca="false">IF($B473="","",N($E473))</f>
        <v/>
      </c>
      <c r="I473" s="104" t="str">
        <f aca="false">IF($B473="","",$I$453+SUMIFS($G$455:$G$505,$M$455:$M$505,"&lt;="&amp;$M473)-SUMIFS($H$455:$H$505,$M$455:$M$505,"&lt;="&amp;$M473))</f>
        <v/>
      </c>
      <c r="J473" s="102"/>
      <c r="K473" s="96" t="str">
        <f aca="false">IF($B473="","","ACTUAL")</f>
        <v/>
      </c>
      <c r="L473" s="0" t="str">
        <f aca="false">IF($B473="","",IF($C473="",$E$6+62,$C473))</f>
        <v/>
      </c>
      <c r="M473" s="0" t="str">
        <f aca="false">IF($L473="","",COUNTIFS($L$455:$L$505,"&lt;"&amp;$L473)+COUNTIFS($L$455:$L473,$L473))</f>
        <v/>
      </c>
    </row>
    <row r="474" customFormat="false" ht="15" hidden="false" customHeight="true" outlineLevel="0" collapsed="false">
      <c r="B474" s="12"/>
      <c r="C474" s="100"/>
      <c r="D474" s="101" t="str">
        <f aca="false">IF($B474="","","Expense")</f>
        <v/>
      </c>
      <c r="E474" s="14"/>
      <c r="F474" s="102"/>
      <c r="G474" s="102"/>
      <c r="H474" s="103" t="str">
        <f aca="false">IF($B474="","",N($E474))</f>
        <v/>
      </c>
      <c r="I474" s="104" t="str">
        <f aca="false">IF($B474="","",$I$453+SUMIFS($G$455:$G$505,$M$455:$M$505,"&lt;="&amp;$M474)-SUMIFS($H$455:$H$505,$M$455:$M$505,"&lt;="&amp;$M474))</f>
        <v/>
      </c>
      <c r="J474" s="102"/>
      <c r="K474" s="96" t="str">
        <f aca="false">IF($B474="","","ACTUAL")</f>
        <v/>
      </c>
      <c r="L474" s="0" t="str">
        <f aca="false">IF($B474="","",IF($C474="",$E$6+62,$C474))</f>
        <v/>
      </c>
      <c r="M474" s="0" t="str">
        <f aca="false">IF($L474="","",COUNTIFS($L$455:$L$505,"&lt;"&amp;$L474)+COUNTIFS($L$455:$L474,$L474))</f>
        <v/>
      </c>
    </row>
    <row r="475" customFormat="false" ht="15" hidden="false" customHeight="true" outlineLevel="0" collapsed="false">
      <c r="B475" s="12"/>
      <c r="C475" s="100"/>
      <c r="D475" s="101" t="str">
        <f aca="false">IF($B475="","","Expense")</f>
        <v/>
      </c>
      <c r="E475" s="14"/>
      <c r="F475" s="102"/>
      <c r="G475" s="102"/>
      <c r="H475" s="103" t="str">
        <f aca="false">IF($B475="","",N($E475))</f>
        <v/>
      </c>
      <c r="I475" s="104" t="str">
        <f aca="false">IF($B475="","",$I$453+SUMIFS($G$455:$G$505,$M$455:$M$505,"&lt;="&amp;$M475)-SUMIFS($H$455:$H$505,$M$455:$M$505,"&lt;="&amp;$M475))</f>
        <v/>
      </c>
      <c r="J475" s="102"/>
      <c r="K475" s="96" t="str">
        <f aca="false">IF($B475="","","ACTUAL")</f>
        <v/>
      </c>
      <c r="L475" s="0" t="str">
        <f aca="false">IF($B475="","",IF($C475="",$E$6+62,$C475))</f>
        <v/>
      </c>
      <c r="M475" s="0" t="str">
        <f aca="false">IF($L475="","",COUNTIFS($L$455:$L$505,"&lt;"&amp;$L475)+COUNTIFS($L$455:$L475,$L475))</f>
        <v/>
      </c>
    </row>
    <row r="476" customFormat="false" ht="15" hidden="false" customHeight="true" outlineLevel="0" collapsed="false">
      <c r="B476" s="12"/>
      <c r="C476" s="100"/>
      <c r="D476" s="101" t="str">
        <f aca="false">IF($B476="","","Expense")</f>
        <v/>
      </c>
      <c r="E476" s="14"/>
      <c r="F476" s="102"/>
      <c r="G476" s="102"/>
      <c r="H476" s="103" t="str">
        <f aca="false">IF($B476="","",N($E476))</f>
        <v/>
      </c>
      <c r="I476" s="104" t="str">
        <f aca="false">IF($B476="","",$I$453+SUMIFS($G$455:$G$505,$M$455:$M$505,"&lt;="&amp;$M476)-SUMIFS($H$455:$H$505,$M$455:$M$505,"&lt;="&amp;$M476))</f>
        <v/>
      </c>
      <c r="J476" s="102"/>
      <c r="K476" s="96" t="str">
        <f aca="false">IF($B476="","","ACTUAL")</f>
        <v/>
      </c>
      <c r="L476" s="0" t="str">
        <f aca="false">IF($B476="","",IF($C476="",$E$6+62,$C476))</f>
        <v/>
      </c>
      <c r="M476" s="0" t="str">
        <f aca="false">IF($L476="","",COUNTIFS($L$455:$L$505,"&lt;"&amp;$L476)+COUNTIFS($L$455:$L476,$L476))</f>
        <v/>
      </c>
    </row>
    <row r="477" customFormat="false" ht="15" hidden="false" customHeight="true" outlineLevel="0" collapsed="false">
      <c r="B477" s="12"/>
      <c r="C477" s="100"/>
      <c r="D477" s="101" t="str">
        <f aca="false">IF($B477="","","Expense")</f>
        <v/>
      </c>
      <c r="E477" s="14"/>
      <c r="F477" s="102"/>
      <c r="G477" s="102"/>
      <c r="H477" s="103" t="str">
        <f aca="false">IF($B477="","",N($E477))</f>
        <v/>
      </c>
      <c r="I477" s="104" t="str">
        <f aca="false">IF($B477="","",$I$453+SUMIFS($G$455:$G$505,$M$455:$M$505,"&lt;="&amp;$M477)-SUMIFS($H$455:$H$505,$M$455:$M$505,"&lt;="&amp;$M477))</f>
        <v/>
      </c>
      <c r="J477" s="102"/>
      <c r="K477" s="96" t="str">
        <f aca="false">IF($B477="","","ACTUAL")</f>
        <v/>
      </c>
      <c r="L477" s="0" t="str">
        <f aca="false">IF($B477="","",IF($C477="",$E$6+62,$C477))</f>
        <v/>
      </c>
      <c r="M477" s="0" t="str">
        <f aca="false">IF($L477="","",COUNTIFS($L$455:$L$505,"&lt;"&amp;$L477)+COUNTIFS($L$455:$L477,$L477))</f>
        <v/>
      </c>
    </row>
    <row r="478" customFormat="false" ht="15" hidden="false" customHeight="true" outlineLevel="0" collapsed="false">
      <c r="B478" s="12"/>
      <c r="C478" s="100"/>
      <c r="D478" s="101" t="str">
        <f aca="false">IF($B478="","","Expense")</f>
        <v/>
      </c>
      <c r="E478" s="14"/>
      <c r="F478" s="102"/>
      <c r="G478" s="102"/>
      <c r="H478" s="103" t="str">
        <f aca="false">IF($B478="","",N($E478))</f>
        <v/>
      </c>
      <c r="I478" s="104" t="str">
        <f aca="false">IF($B478="","",$I$453+SUMIFS($G$455:$G$505,$M$455:$M$505,"&lt;="&amp;$M478)-SUMIFS($H$455:$H$505,$M$455:$M$505,"&lt;="&amp;$M478))</f>
        <v/>
      </c>
      <c r="J478" s="102"/>
      <c r="K478" s="96" t="str">
        <f aca="false">IF($B478="","","ACTUAL")</f>
        <v/>
      </c>
      <c r="L478" s="0" t="str">
        <f aca="false">IF($B478="","",IF($C478="",$E$6+62,$C478))</f>
        <v/>
      </c>
      <c r="M478" s="0" t="str">
        <f aca="false">IF($L478="","",COUNTIFS($L$455:$L$505,"&lt;"&amp;$L478)+COUNTIFS($L$455:$L478,$L478))</f>
        <v/>
      </c>
    </row>
    <row r="479" customFormat="false" ht="15" hidden="false" customHeight="true" outlineLevel="0" collapsed="false">
      <c r="B479" s="12"/>
      <c r="C479" s="100"/>
      <c r="D479" s="101" t="str">
        <f aca="false">IF($B479="","","Expense")</f>
        <v/>
      </c>
      <c r="E479" s="14"/>
      <c r="F479" s="102"/>
      <c r="G479" s="102"/>
      <c r="H479" s="103" t="str">
        <f aca="false">IF($B479="","",N($E479))</f>
        <v/>
      </c>
      <c r="I479" s="104" t="str">
        <f aca="false">IF($B479="","",$I$453+SUMIFS($G$455:$G$505,$M$455:$M$505,"&lt;="&amp;$M479)-SUMIFS($H$455:$H$505,$M$455:$M$505,"&lt;="&amp;$M479))</f>
        <v/>
      </c>
      <c r="J479" s="102"/>
      <c r="K479" s="96" t="str">
        <f aca="false">IF($B479="","","ACTUAL")</f>
        <v/>
      </c>
      <c r="L479" s="0" t="str">
        <f aca="false">IF($B479="","",IF($C479="",$E$6+62,$C479))</f>
        <v/>
      </c>
      <c r="M479" s="0" t="str">
        <f aca="false">IF($L479="","",COUNTIFS($L$455:$L$505,"&lt;"&amp;$L479)+COUNTIFS($L$455:$L479,$L479))</f>
        <v/>
      </c>
    </row>
    <row r="480" customFormat="false" ht="15" hidden="false" customHeight="true" outlineLevel="0" collapsed="false">
      <c r="B480" s="12"/>
      <c r="C480" s="100"/>
      <c r="D480" s="101" t="str">
        <f aca="false">IF($B480="","","Expense")</f>
        <v/>
      </c>
      <c r="E480" s="14"/>
      <c r="F480" s="102"/>
      <c r="G480" s="102"/>
      <c r="H480" s="103" t="str">
        <f aca="false">IF($B480="","",N($E480))</f>
        <v/>
      </c>
      <c r="I480" s="104" t="str">
        <f aca="false">IF($B480="","",$I$453+SUMIFS($G$455:$G$505,$M$455:$M$505,"&lt;="&amp;$M480)-SUMIFS($H$455:$H$505,$M$455:$M$505,"&lt;="&amp;$M480))</f>
        <v/>
      </c>
      <c r="J480" s="102"/>
      <c r="K480" s="96" t="str">
        <f aca="false">IF($B480="","","ACTUAL")</f>
        <v/>
      </c>
      <c r="L480" s="0" t="str">
        <f aca="false">IF($B480="","",IF($C480="",$E$6+62,$C480))</f>
        <v/>
      </c>
      <c r="M480" s="0" t="str">
        <f aca="false">IF($L480="","",COUNTIFS($L$455:$L$505,"&lt;"&amp;$L480)+COUNTIFS($L$455:$L480,$L480))</f>
        <v/>
      </c>
    </row>
    <row r="481" customFormat="false" ht="15" hidden="false" customHeight="true" outlineLevel="0" collapsed="false">
      <c r="B481" s="12"/>
      <c r="C481" s="100"/>
      <c r="D481" s="101" t="str">
        <f aca="false">IF($B481="","","Expense")</f>
        <v/>
      </c>
      <c r="E481" s="14"/>
      <c r="F481" s="102"/>
      <c r="G481" s="102"/>
      <c r="H481" s="103" t="str">
        <f aca="false">IF($B481="","",N($E481))</f>
        <v/>
      </c>
      <c r="I481" s="104" t="str">
        <f aca="false">IF($B481="","",$I$453+SUMIFS($G$455:$G$505,$M$455:$M$505,"&lt;="&amp;$M481)-SUMIFS($H$455:$H$505,$M$455:$M$505,"&lt;="&amp;$M481))</f>
        <v/>
      </c>
      <c r="J481" s="102"/>
      <c r="K481" s="96" t="str">
        <f aca="false">IF($B481="","","ACTUAL")</f>
        <v/>
      </c>
      <c r="L481" s="0" t="str">
        <f aca="false">IF($B481="","",IF($C481="",$E$6+62,$C481))</f>
        <v/>
      </c>
      <c r="M481" s="0" t="str">
        <f aca="false">IF($L481="","",COUNTIFS($L$455:$L$505,"&lt;"&amp;$L481)+COUNTIFS($L$455:$L481,$L481))</f>
        <v/>
      </c>
    </row>
    <row r="482" customFormat="false" ht="15" hidden="false" customHeight="true" outlineLevel="0" collapsed="false">
      <c r="B482" s="12"/>
      <c r="C482" s="100"/>
      <c r="D482" s="101" t="str">
        <f aca="false">IF($B482="","","Expense")</f>
        <v/>
      </c>
      <c r="E482" s="14"/>
      <c r="F482" s="102"/>
      <c r="G482" s="102"/>
      <c r="H482" s="103" t="str">
        <f aca="false">IF($B482="","",N($E482))</f>
        <v/>
      </c>
      <c r="I482" s="104" t="str">
        <f aca="false">IF($B482="","",$I$453+SUMIFS($G$455:$G$505,$M$455:$M$505,"&lt;="&amp;$M482)-SUMIFS($H$455:$H$505,$M$455:$M$505,"&lt;="&amp;$M482))</f>
        <v/>
      </c>
      <c r="J482" s="102"/>
      <c r="K482" s="96" t="str">
        <f aca="false">IF($B482="","","ACTUAL")</f>
        <v/>
      </c>
      <c r="L482" s="0" t="str">
        <f aca="false">IF($B482="","",IF($C482="",$E$6+62,$C482))</f>
        <v/>
      </c>
      <c r="M482" s="0" t="str">
        <f aca="false">IF($L482="","",COUNTIFS($L$455:$L$505,"&lt;"&amp;$L482)+COUNTIFS($L$455:$L482,$L482))</f>
        <v/>
      </c>
    </row>
    <row r="483" customFormat="false" ht="15" hidden="false" customHeight="true" outlineLevel="0" collapsed="false">
      <c r="B483" s="12"/>
      <c r="C483" s="100"/>
      <c r="D483" s="101" t="str">
        <f aca="false">IF($B483="","","Expense")</f>
        <v/>
      </c>
      <c r="E483" s="14"/>
      <c r="F483" s="102"/>
      <c r="G483" s="102"/>
      <c r="H483" s="103" t="str">
        <f aca="false">IF($B483="","",N($E483))</f>
        <v/>
      </c>
      <c r="I483" s="104" t="str">
        <f aca="false">IF($B483="","",$I$453+SUMIFS($G$455:$G$505,$M$455:$M$505,"&lt;="&amp;$M483)-SUMIFS($H$455:$H$505,$M$455:$M$505,"&lt;="&amp;$M483))</f>
        <v/>
      </c>
      <c r="J483" s="102"/>
      <c r="K483" s="96" t="str">
        <f aca="false">IF($B483="","","ACTUAL")</f>
        <v/>
      </c>
      <c r="L483" s="0" t="str">
        <f aca="false">IF($B483="","",IF($C483="",$E$6+62,$C483))</f>
        <v/>
      </c>
      <c r="M483" s="0" t="str">
        <f aca="false">IF($L483="","",COUNTIFS($L$455:$L$505,"&lt;"&amp;$L483)+COUNTIFS($L$455:$L483,$L483))</f>
        <v/>
      </c>
    </row>
    <row r="484" customFormat="false" ht="15" hidden="false" customHeight="true" outlineLevel="0" collapsed="false">
      <c r="B484" s="12"/>
      <c r="C484" s="100"/>
      <c r="D484" s="101" t="str">
        <f aca="false">IF($B484="","","Expense")</f>
        <v/>
      </c>
      <c r="E484" s="14"/>
      <c r="F484" s="102"/>
      <c r="G484" s="102"/>
      <c r="H484" s="103" t="str">
        <f aca="false">IF($B484="","",N($E484))</f>
        <v/>
      </c>
      <c r="I484" s="104" t="str">
        <f aca="false">IF($B484="","",$I$453+SUMIFS($G$455:$G$505,$M$455:$M$505,"&lt;="&amp;$M484)-SUMIFS($H$455:$H$505,$M$455:$M$505,"&lt;="&amp;$M484))</f>
        <v/>
      </c>
      <c r="J484" s="102"/>
      <c r="K484" s="96" t="str">
        <f aca="false">IF($B484="","","ACTUAL")</f>
        <v/>
      </c>
      <c r="L484" s="0" t="str">
        <f aca="false">IF($B484="","",IF($C484="",$E$6+62,$C484))</f>
        <v/>
      </c>
      <c r="M484" s="0" t="str">
        <f aca="false">IF($L484="","",COUNTIFS($L$455:$L$505,"&lt;"&amp;$L484)+COUNTIFS($L$455:$L484,$L484))</f>
        <v/>
      </c>
    </row>
    <row r="485" customFormat="false" ht="15" hidden="false" customHeight="true" outlineLevel="0" collapsed="false">
      <c r="B485" s="12"/>
      <c r="C485" s="100"/>
      <c r="D485" s="101" t="str">
        <f aca="false">IF($B485="","","Expense")</f>
        <v/>
      </c>
      <c r="E485" s="14"/>
      <c r="F485" s="102"/>
      <c r="G485" s="102"/>
      <c r="H485" s="103" t="str">
        <f aca="false">IF($B485="","",N($E485))</f>
        <v/>
      </c>
      <c r="I485" s="104" t="str">
        <f aca="false">IF($B485="","",$I$453+SUMIFS($G$455:$G$505,$M$455:$M$505,"&lt;="&amp;$M485)-SUMIFS($H$455:$H$505,$M$455:$M$505,"&lt;="&amp;$M485))</f>
        <v/>
      </c>
      <c r="J485" s="102"/>
      <c r="K485" s="96" t="str">
        <f aca="false">IF($B485="","","ACTUAL")</f>
        <v/>
      </c>
      <c r="L485" s="0" t="str">
        <f aca="false">IF($B485="","",IF($C485="",$E$6+62,$C485))</f>
        <v/>
      </c>
      <c r="M485" s="0" t="str">
        <f aca="false">IF($L485="","",COUNTIFS($L$455:$L$505,"&lt;"&amp;$L485)+COUNTIFS($L$455:$L485,$L485))</f>
        <v/>
      </c>
    </row>
    <row r="486" customFormat="false" ht="15" hidden="false" customHeight="true" outlineLevel="0" collapsed="false">
      <c r="B486" s="12"/>
      <c r="C486" s="100"/>
      <c r="D486" s="101" t="str">
        <f aca="false">IF($B486="","","Expense")</f>
        <v/>
      </c>
      <c r="E486" s="14"/>
      <c r="F486" s="102"/>
      <c r="G486" s="102"/>
      <c r="H486" s="103" t="str">
        <f aca="false">IF($B486="","",N($E486))</f>
        <v/>
      </c>
      <c r="I486" s="104" t="str">
        <f aca="false">IF($B486="","",$I$453+SUMIFS($G$455:$G$505,$M$455:$M$505,"&lt;="&amp;$M486)-SUMIFS($H$455:$H$505,$M$455:$M$505,"&lt;="&amp;$M486))</f>
        <v/>
      </c>
      <c r="J486" s="102"/>
      <c r="K486" s="96" t="str">
        <f aca="false">IF($B486="","","ACTUAL")</f>
        <v/>
      </c>
      <c r="L486" s="0" t="str">
        <f aca="false">IF($B486="","",IF($C486="",$E$6+62,$C486))</f>
        <v/>
      </c>
      <c r="M486" s="0" t="str">
        <f aca="false">IF($L486="","",COUNTIFS($L$455:$L$505,"&lt;"&amp;$L486)+COUNTIFS($L$455:$L486,$L486))</f>
        <v/>
      </c>
    </row>
    <row r="487" customFormat="false" ht="15" hidden="false" customHeight="true" outlineLevel="0" collapsed="false">
      <c r="B487" s="12"/>
      <c r="C487" s="100"/>
      <c r="D487" s="101" t="str">
        <f aca="false">IF($B487="","","Expense")</f>
        <v/>
      </c>
      <c r="E487" s="14"/>
      <c r="F487" s="102"/>
      <c r="G487" s="102"/>
      <c r="H487" s="103" t="str">
        <f aca="false">IF($B487="","",N($E487))</f>
        <v/>
      </c>
      <c r="I487" s="104" t="str">
        <f aca="false">IF($B487="","",$I$453+SUMIFS($G$455:$G$505,$M$455:$M$505,"&lt;="&amp;$M487)-SUMIFS($H$455:$H$505,$M$455:$M$505,"&lt;="&amp;$M487))</f>
        <v/>
      </c>
      <c r="J487" s="102"/>
      <c r="K487" s="96" t="str">
        <f aca="false">IF($B487="","","ACTUAL")</f>
        <v/>
      </c>
      <c r="L487" s="0" t="str">
        <f aca="false">IF($B487="","",IF($C487="",$E$6+62,$C487))</f>
        <v/>
      </c>
      <c r="M487" s="0" t="str">
        <f aca="false">IF($L487="","",COUNTIFS($L$455:$L$505,"&lt;"&amp;$L487)+COUNTIFS($L$455:$L487,$L487))</f>
        <v/>
      </c>
    </row>
    <row r="488" customFormat="false" ht="15" hidden="false" customHeight="true" outlineLevel="0" collapsed="false">
      <c r="B488" s="12"/>
      <c r="C488" s="100"/>
      <c r="D488" s="101" t="str">
        <f aca="false">IF($B488="","","Expense")</f>
        <v/>
      </c>
      <c r="E488" s="14"/>
      <c r="F488" s="102"/>
      <c r="G488" s="102"/>
      <c r="H488" s="103" t="str">
        <f aca="false">IF($B488="","",N($E488))</f>
        <v/>
      </c>
      <c r="I488" s="104" t="str">
        <f aca="false">IF($B488="","",$I$453+SUMIFS($G$455:$G$505,$M$455:$M$505,"&lt;="&amp;$M488)-SUMIFS($H$455:$H$505,$M$455:$M$505,"&lt;="&amp;$M488))</f>
        <v/>
      </c>
      <c r="J488" s="102"/>
      <c r="K488" s="96" t="str">
        <f aca="false">IF($B488="","","ACTUAL")</f>
        <v/>
      </c>
      <c r="L488" s="0" t="str">
        <f aca="false">IF($B488="","",IF($C488="",$E$6+62,$C488))</f>
        <v/>
      </c>
      <c r="M488" s="0" t="str">
        <f aca="false">IF($L488="","",COUNTIFS($L$455:$L$505,"&lt;"&amp;$L488)+COUNTIFS($L$455:$L488,$L488))</f>
        <v/>
      </c>
    </row>
    <row r="489" customFormat="false" ht="15" hidden="false" customHeight="true" outlineLevel="0" collapsed="false">
      <c r="B489" s="12"/>
      <c r="C489" s="100"/>
      <c r="D489" s="101" t="str">
        <f aca="false">IF($B489="","","Expense")</f>
        <v/>
      </c>
      <c r="E489" s="14"/>
      <c r="F489" s="102"/>
      <c r="G489" s="102"/>
      <c r="H489" s="103" t="str">
        <f aca="false">IF($B489="","",N($E489))</f>
        <v/>
      </c>
      <c r="I489" s="104" t="str">
        <f aca="false">IF($B489="","",$I$453+SUMIFS($G$455:$G$505,$M$455:$M$505,"&lt;="&amp;$M489)-SUMIFS($H$455:$H$505,$M$455:$M$505,"&lt;="&amp;$M489))</f>
        <v/>
      </c>
      <c r="J489" s="102"/>
      <c r="K489" s="96" t="str">
        <f aca="false">IF($B489="","","ACTUAL")</f>
        <v/>
      </c>
      <c r="L489" s="0" t="str">
        <f aca="false">IF($B489="","",IF($C489="",$E$6+62,$C489))</f>
        <v/>
      </c>
      <c r="M489" s="0" t="str">
        <f aca="false">IF($L489="","",COUNTIFS($L$455:$L$505,"&lt;"&amp;$L489)+COUNTIFS($L$455:$L489,$L489))</f>
        <v/>
      </c>
    </row>
    <row r="490" customFormat="false" ht="15" hidden="false" customHeight="true" outlineLevel="0" collapsed="false">
      <c r="B490" s="12"/>
      <c r="C490" s="100"/>
      <c r="D490" s="101" t="str">
        <f aca="false">IF($B490="","","Expense")</f>
        <v/>
      </c>
      <c r="E490" s="14"/>
      <c r="F490" s="102"/>
      <c r="G490" s="102"/>
      <c r="H490" s="103" t="str">
        <f aca="false">IF($B490="","",N($E490))</f>
        <v/>
      </c>
      <c r="I490" s="104" t="str">
        <f aca="false">IF($B490="","",$I$453+SUMIFS($G$455:$G$505,$M$455:$M$505,"&lt;="&amp;$M490)-SUMIFS($H$455:$H$505,$M$455:$M$505,"&lt;="&amp;$M490))</f>
        <v/>
      </c>
      <c r="J490" s="102"/>
      <c r="K490" s="96" t="str">
        <f aca="false">IF($B490="","","ACTUAL")</f>
        <v/>
      </c>
      <c r="L490" s="0" t="str">
        <f aca="false">IF($B490="","",IF($C490="",$E$6+62,$C490))</f>
        <v/>
      </c>
      <c r="M490" s="0" t="str">
        <f aca="false">IF($L490="","",COUNTIFS($L$455:$L$505,"&lt;"&amp;$L490)+COUNTIFS($L$455:$L490,$L490))</f>
        <v/>
      </c>
    </row>
    <row r="491" customFormat="false" ht="15" hidden="false" customHeight="true" outlineLevel="0" collapsed="false">
      <c r="B491" s="12"/>
      <c r="C491" s="100"/>
      <c r="D491" s="101" t="str">
        <f aca="false">IF($B491="","","Expense")</f>
        <v/>
      </c>
      <c r="E491" s="14"/>
      <c r="F491" s="102"/>
      <c r="G491" s="102"/>
      <c r="H491" s="103" t="str">
        <f aca="false">IF($B491="","",N($E491))</f>
        <v/>
      </c>
      <c r="I491" s="104" t="str">
        <f aca="false">IF($B491="","",$I$453+SUMIFS($G$455:$G$505,$M$455:$M$505,"&lt;="&amp;$M491)-SUMIFS($H$455:$H$505,$M$455:$M$505,"&lt;="&amp;$M491))</f>
        <v/>
      </c>
      <c r="J491" s="102"/>
      <c r="K491" s="96" t="str">
        <f aca="false">IF($B491="","","ACTUAL")</f>
        <v/>
      </c>
      <c r="L491" s="0" t="str">
        <f aca="false">IF($B491="","",IF($C491="",$E$6+62,$C491))</f>
        <v/>
      </c>
      <c r="M491" s="0" t="str">
        <f aca="false">IF($L491="","",COUNTIFS($L$455:$L$505,"&lt;"&amp;$L491)+COUNTIFS($L$455:$L491,$L491))</f>
        <v/>
      </c>
    </row>
    <row r="492" customFormat="false" ht="15" hidden="false" customHeight="true" outlineLevel="0" collapsed="false">
      <c r="B492" s="12"/>
      <c r="C492" s="100"/>
      <c r="D492" s="101" t="str">
        <f aca="false">IF($B492="","","Expense")</f>
        <v/>
      </c>
      <c r="E492" s="14"/>
      <c r="F492" s="102"/>
      <c r="G492" s="102"/>
      <c r="H492" s="103" t="str">
        <f aca="false">IF($B492="","",N($E492))</f>
        <v/>
      </c>
      <c r="I492" s="104" t="str">
        <f aca="false">IF($B492="","",$I$453+SUMIFS($G$455:$G$505,$M$455:$M$505,"&lt;="&amp;$M492)-SUMIFS($H$455:$H$505,$M$455:$M$505,"&lt;="&amp;$M492))</f>
        <v/>
      </c>
      <c r="J492" s="102"/>
      <c r="K492" s="96" t="str">
        <f aca="false">IF($B492="","","ACTUAL")</f>
        <v/>
      </c>
      <c r="L492" s="0" t="str">
        <f aca="false">IF($B492="","",IF($C492="",$E$6+62,$C492))</f>
        <v/>
      </c>
      <c r="M492" s="0" t="str">
        <f aca="false">IF($L492="","",COUNTIFS($L$455:$L$505,"&lt;"&amp;$L492)+COUNTIFS($L$455:$L492,$L492))</f>
        <v/>
      </c>
    </row>
    <row r="493" customFormat="false" ht="15" hidden="false" customHeight="true" outlineLevel="0" collapsed="false">
      <c r="B493" s="12"/>
      <c r="C493" s="100"/>
      <c r="D493" s="101" t="str">
        <f aca="false">IF($B493="","","Expense")</f>
        <v/>
      </c>
      <c r="E493" s="14"/>
      <c r="F493" s="102"/>
      <c r="G493" s="102"/>
      <c r="H493" s="103" t="str">
        <f aca="false">IF($B493="","",N($E493))</f>
        <v/>
      </c>
      <c r="I493" s="104" t="str">
        <f aca="false">IF($B493="","",$I$453+SUMIFS($G$455:$G$505,$M$455:$M$505,"&lt;="&amp;$M493)-SUMIFS($H$455:$H$505,$M$455:$M$505,"&lt;="&amp;$M493))</f>
        <v/>
      </c>
      <c r="J493" s="102"/>
      <c r="K493" s="96" t="str">
        <f aca="false">IF($B493="","","ACTUAL")</f>
        <v/>
      </c>
      <c r="L493" s="0" t="str">
        <f aca="false">IF($B493="","",IF($C493="",$E$6+62,$C493))</f>
        <v/>
      </c>
      <c r="M493" s="0" t="str">
        <f aca="false">IF($L493="","",COUNTIFS($L$455:$L$505,"&lt;"&amp;$L493)+COUNTIFS($L$455:$L493,$L493))</f>
        <v/>
      </c>
    </row>
    <row r="494" customFormat="false" ht="15" hidden="false" customHeight="true" outlineLevel="0" collapsed="false">
      <c r="B494" s="12"/>
      <c r="C494" s="100"/>
      <c r="D494" s="101" t="str">
        <f aca="false">IF($B494="","","Expense")</f>
        <v/>
      </c>
      <c r="E494" s="14"/>
      <c r="F494" s="102"/>
      <c r="G494" s="102"/>
      <c r="H494" s="103" t="str">
        <f aca="false">IF($B494="","",N($E494))</f>
        <v/>
      </c>
      <c r="I494" s="104" t="str">
        <f aca="false">IF($B494="","",$I$453+SUMIFS($G$455:$G$505,$M$455:$M$505,"&lt;="&amp;$M494)-SUMIFS($H$455:$H$505,$M$455:$M$505,"&lt;="&amp;$M494))</f>
        <v/>
      </c>
      <c r="J494" s="102"/>
      <c r="K494" s="96" t="str">
        <f aca="false">IF($B494="","","ACTUAL")</f>
        <v/>
      </c>
      <c r="L494" s="0" t="str">
        <f aca="false">IF($B494="","",IF($C494="",$E$6+62,$C494))</f>
        <v/>
      </c>
      <c r="M494" s="0" t="str">
        <f aca="false">IF($L494="","",COUNTIFS($L$455:$L$505,"&lt;"&amp;$L494)+COUNTIFS($L$455:$L494,$L494))</f>
        <v/>
      </c>
    </row>
    <row r="495" customFormat="false" ht="15" hidden="false" customHeight="true" outlineLevel="0" collapsed="false">
      <c r="B495" s="12"/>
      <c r="C495" s="100"/>
      <c r="D495" s="101" t="str">
        <f aca="false">IF($B495="","","Expense")</f>
        <v/>
      </c>
      <c r="E495" s="14"/>
      <c r="F495" s="102"/>
      <c r="G495" s="102"/>
      <c r="H495" s="103" t="str">
        <f aca="false">IF($B495="","",N($E495))</f>
        <v/>
      </c>
      <c r="I495" s="104" t="str">
        <f aca="false">IF($B495="","",$I$453+SUMIFS($G$455:$G$505,$M$455:$M$505,"&lt;="&amp;$M495)-SUMIFS($H$455:$H$505,$M$455:$M$505,"&lt;="&amp;$M495))</f>
        <v/>
      </c>
      <c r="J495" s="102"/>
      <c r="K495" s="96" t="str">
        <f aca="false">IF($B495="","","ACTUAL")</f>
        <v/>
      </c>
      <c r="L495" s="0" t="str">
        <f aca="false">IF($B495="","",IF($C495="",$E$6+62,$C495))</f>
        <v/>
      </c>
      <c r="M495" s="0" t="str">
        <f aca="false">IF($L495="","",COUNTIFS($L$455:$L$505,"&lt;"&amp;$L495)+COUNTIFS($L$455:$L495,$L495))</f>
        <v/>
      </c>
    </row>
    <row r="496" customFormat="false" ht="15" hidden="false" customHeight="true" outlineLevel="0" collapsed="false">
      <c r="B496" s="12"/>
      <c r="C496" s="100"/>
      <c r="D496" s="101" t="str">
        <f aca="false">IF($B496="","","Expense")</f>
        <v/>
      </c>
      <c r="E496" s="14"/>
      <c r="F496" s="102"/>
      <c r="G496" s="102"/>
      <c r="H496" s="103" t="str">
        <f aca="false">IF($B496="","",N($E496))</f>
        <v/>
      </c>
      <c r="I496" s="104" t="str">
        <f aca="false">IF($B496="","",$I$453+SUMIFS($G$455:$G$505,$M$455:$M$505,"&lt;="&amp;$M496)-SUMIFS($H$455:$H$505,$M$455:$M$505,"&lt;="&amp;$M496))</f>
        <v/>
      </c>
      <c r="J496" s="102"/>
      <c r="K496" s="96" t="str">
        <f aca="false">IF($B496="","","ACTUAL")</f>
        <v/>
      </c>
      <c r="L496" s="0" t="str">
        <f aca="false">IF($B496="","",IF($C496="",$E$6+62,$C496))</f>
        <v/>
      </c>
      <c r="M496" s="0" t="str">
        <f aca="false">IF($L496="","",COUNTIFS($L$455:$L$505,"&lt;"&amp;$L496)+COUNTIFS($L$455:$L496,$L496))</f>
        <v/>
      </c>
    </row>
    <row r="497" customFormat="false" ht="15" hidden="false" customHeight="true" outlineLevel="0" collapsed="false">
      <c r="B497" s="12"/>
      <c r="C497" s="100"/>
      <c r="D497" s="101" t="str">
        <f aca="false">IF($B497="","","Expense")</f>
        <v/>
      </c>
      <c r="E497" s="14"/>
      <c r="F497" s="102"/>
      <c r="G497" s="102"/>
      <c r="H497" s="103" t="str">
        <f aca="false">IF($B497="","",N($E497))</f>
        <v/>
      </c>
      <c r="I497" s="104" t="str">
        <f aca="false">IF($B497="","",$I$453+SUMIFS($G$455:$G$505,$M$455:$M$505,"&lt;="&amp;$M497)-SUMIFS($H$455:$H$505,$M$455:$M$505,"&lt;="&amp;$M497))</f>
        <v/>
      </c>
      <c r="J497" s="102"/>
      <c r="K497" s="96" t="str">
        <f aca="false">IF($B497="","","ACTUAL")</f>
        <v/>
      </c>
      <c r="L497" s="0" t="str">
        <f aca="false">IF($B497="","",IF($C497="",$E$6+62,$C497))</f>
        <v/>
      </c>
      <c r="M497" s="0" t="str">
        <f aca="false">IF($L497="","",COUNTIFS($L$455:$L$505,"&lt;"&amp;$L497)+COUNTIFS($L$455:$L497,$L497))</f>
        <v/>
      </c>
    </row>
    <row r="498" customFormat="false" ht="15" hidden="false" customHeight="true" outlineLevel="0" collapsed="false">
      <c r="B498" s="12"/>
      <c r="C498" s="100"/>
      <c r="D498" s="101" t="str">
        <f aca="false">IF($B498="","","Expense")</f>
        <v/>
      </c>
      <c r="E498" s="14"/>
      <c r="F498" s="102"/>
      <c r="G498" s="102"/>
      <c r="H498" s="103" t="str">
        <f aca="false">IF($B498="","",N($E498))</f>
        <v/>
      </c>
      <c r="I498" s="104" t="str">
        <f aca="false">IF($B498="","",$I$453+SUMIFS($G$455:$G$505,$M$455:$M$505,"&lt;="&amp;$M498)-SUMIFS($H$455:$H$505,$M$455:$M$505,"&lt;="&amp;$M498))</f>
        <v/>
      </c>
      <c r="J498" s="102"/>
      <c r="K498" s="96" t="str">
        <f aca="false">IF($B498="","","ACTUAL")</f>
        <v/>
      </c>
      <c r="L498" s="0" t="str">
        <f aca="false">IF($B498="","",IF($C498="",$E$6+62,$C498))</f>
        <v/>
      </c>
      <c r="M498" s="0" t="str">
        <f aca="false">IF($L498="","",COUNTIFS($L$455:$L$505,"&lt;"&amp;$L498)+COUNTIFS($L$455:$L498,$L498))</f>
        <v/>
      </c>
    </row>
    <row r="499" customFormat="false" ht="15" hidden="false" customHeight="true" outlineLevel="0" collapsed="false">
      <c r="B499" s="12"/>
      <c r="C499" s="100"/>
      <c r="D499" s="101" t="str">
        <f aca="false">IF($B499="","","Expense")</f>
        <v/>
      </c>
      <c r="E499" s="14"/>
      <c r="F499" s="102"/>
      <c r="G499" s="102"/>
      <c r="H499" s="103" t="str">
        <f aca="false">IF($B499="","",N($E499))</f>
        <v/>
      </c>
      <c r="I499" s="104" t="str">
        <f aca="false">IF($B499="","",$I$453+SUMIFS($G$455:$G$505,$M$455:$M$505,"&lt;="&amp;$M499)-SUMIFS($H$455:$H$505,$M$455:$M$505,"&lt;="&amp;$M499))</f>
        <v/>
      </c>
      <c r="J499" s="102"/>
      <c r="K499" s="96" t="str">
        <f aca="false">IF($B499="","","ACTUAL")</f>
        <v/>
      </c>
      <c r="L499" s="0" t="str">
        <f aca="false">IF($B499="","",IF($C499="",$E$6+62,$C499))</f>
        <v/>
      </c>
      <c r="M499" s="0" t="str">
        <f aca="false">IF($L499="","",COUNTIFS($L$455:$L$505,"&lt;"&amp;$L499)+COUNTIFS($L$455:$L499,$L499))</f>
        <v/>
      </c>
    </row>
    <row r="500" customFormat="false" ht="15" hidden="false" customHeight="true" outlineLevel="0" collapsed="false">
      <c r="B500" s="12"/>
      <c r="C500" s="100"/>
      <c r="D500" s="101" t="str">
        <f aca="false">IF($B500="","","Expense")</f>
        <v/>
      </c>
      <c r="E500" s="14"/>
      <c r="F500" s="102"/>
      <c r="G500" s="102"/>
      <c r="H500" s="103" t="str">
        <f aca="false">IF($B500="","",N($E500))</f>
        <v/>
      </c>
      <c r="I500" s="104" t="str">
        <f aca="false">IF($B500="","",$I$453+SUMIFS($G$455:$G$505,$M$455:$M$505,"&lt;="&amp;$M500)-SUMIFS($H$455:$H$505,$M$455:$M$505,"&lt;="&amp;$M500))</f>
        <v/>
      </c>
      <c r="J500" s="102"/>
      <c r="K500" s="96" t="str">
        <f aca="false">IF($B500="","","ACTUAL")</f>
        <v/>
      </c>
      <c r="L500" s="0" t="str">
        <f aca="false">IF($B500="","",IF($C500="",$E$6+62,$C500))</f>
        <v/>
      </c>
      <c r="M500" s="0" t="str">
        <f aca="false">IF($L500="","",COUNTIFS($L$455:$L$505,"&lt;"&amp;$L500)+COUNTIFS($L$455:$L500,$L500))</f>
        <v/>
      </c>
    </row>
    <row r="501" customFormat="false" ht="15" hidden="false" customHeight="true" outlineLevel="0" collapsed="false">
      <c r="B501" s="12"/>
      <c r="C501" s="100"/>
      <c r="D501" s="101" t="str">
        <f aca="false">IF($B501="","","Expense")</f>
        <v/>
      </c>
      <c r="E501" s="14"/>
      <c r="F501" s="102"/>
      <c r="G501" s="102"/>
      <c r="H501" s="103" t="str">
        <f aca="false">IF($B501="","",N($E501))</f>
        <v/>
      </c>
      <c r="I501" s="104" t="str">
        <f aca="false">IF($B501="","",$I$453+SUMIFS($G$455:$G$505,$M$455:$M$505,"&lt;="&amp;$M501)-SUMIFS($H$455:$H$505,$M$455:$M$505,"&lt;="&amp;$M501))</f>
        <v/>
      </c>
      <c r="J501" s="102"/>
      <c r="K501" s="96" t="str">
        <f aca="false">IF($B501="","","ACTUAL")</f>
        <v/>
      </c>
      <c r="L501" s="0" t="str">
        <f aca="false">IF($B501="","",IF($C501="",$E$6+62,$C501))</f>
        <v/>
      </c>
      <c r="M501" s="0" t="str">
        <f aca="false">IF($L501="","",COUNTIFS($L$455:$L$505,"&lt;"&amp;$L501)+COUNTIFS($L$455:$L501,$L501))</f>
        <v/>
      </c>
    </row>
    <row r="502" customFormat="false" ht="15" hidden="false" customHeight="true" outlineLevel="0" collapsed="false">
      <c r="B502" s="12"/>
      <c r="C502" s="100"/>
      <c r="D502" s="101" t="str">
        <f aca="false">IF($B502="","","Expense")</f>
        <v/>
      </c>
      <c r="E502" s="14"/>
      <c r="F502" s="102"/>
      <c r="G502" s="102"/>
      <c r="H502" s="103" t="str">
        <f aca="false">IF($B502="","",N($E502))</f>
        <v/>
      </c>
      <c r="I502" s="104" t="str">
        <f aca="false">IF($B502="","",$I$453+SUMIFS($G$455:$G$505,$M$455:$M$505,"&lt;="&amp;$M502)-SUMIFS($H$455:$H$505,$M$455:$M$505,"&lt;="&amp;$M502))</f>
        <v/>
      </c>
      <c r="J502" s="102"/>
      <c r="K502" s="96" t="str">
        <f aca="false">IF($B502="","","ACTUAL")</f>
        <v/>
      </c>
      <c r="L502" s="0" t="str">
        <f aca="false">IF($B502="","",IF($C502="",$E$6+62,$C502))</f>
        <v/>
      </c>
      <c r="M502" s="0" t="str">
        <f aca="false">IF($L502="","",COUNTIFS($L$455:$L$505,"&lt;"&amp;$L502)+COUNTIFS($L$455:$L502,$L502))</f>
        <v/>
      </c>
    </row>
    <row r="503" customFormat="false" ht="15" hidden="false" customHeight="true" outlineLevel="0" collapsed="false">
      <c r="B503" s="12"/>
      <c r="C503" s="100"/>
      <c r="D503" s="101" t="str">
        <f aca="false">IF($B503="","","Expense")</f>
        <v/>
      </c>
      <c r="E503" s="14"/>
      <c r="F503" s="102"/>
      <c r="G503" s="102"/>
      <c r="H503" s="103" t="str">
        <f aca="false">IF($B503="","",N($E503))</f>
        <v/>
      </c>
      <c r="I503" s="104" t="str">
        <f aca="false">IF($B503="","",$I$453+SUMIFS($G$455:$G$505,$M$455:$M$505,"&lt;="&amp;$M503)-SUMIFS($H$455:$H$505,$M$455:$M$505,"&lt;="&amp;$M503))</f>
        <v/>
      </c>
      <c r="J503" s="102"/>
      <c r="K503" s="96" t="str">
        <f aca="false">IF($B503="","","ACTUAL")</f>
        <v/>
      </c>
      <c r="L503" s="0" t="str">
        <f aca="false">IF($B503="","",IF($C503="",$E$6+62,$C503))</f>
        <v/>
      </c>
      <c r="M503" s="0" t="str">
        <f aca="false">IF($L503="","",COUNTIFS($L$455:$L$505,"&lt;"&amp;$L503)+COUNTIFS($L$455:$L503,$L503))</f>
        <v/>
      </c>
    </row>
    <row r="504" customFormat="false" ht="15" hidden="false" customHeight="true" outlineLevel="0" collapsed="false">
      <c r="B504" s="12"/>
      <c r="C504" s="100"/>
      <c r="D504" s="101" t="str">
        <f aca="false">IF($B504="","","Expense")</f>
        <v/>
      </c>
      <c r="E504" s="14"/>
      <c r="F504" s="102"/>
      <c r="G504" s="102"/>
      <c r="H504" s="103" t="str">
        <f aca="false">IF($B504="","",N($E504))</f>
        <v/>
      </c>
      <c r="I504" s="104" t="str">
        <f aca="false">IF($B504="","",$I$453+SUMIFS($G$455:$G$505,$M$455:$M$505,"&lt;="&amp;$M504)-SUMIFS($H$455:$H$505,$M$455:$M$505,"&lt;="&amp;$M504))</f>
        <v/>
      </c>
      <c r="J504" s="102"/>
      <c r="K504" s="96" t="str">
        <f aca="false">IF($B504="","","ACTUAL")</f>
        <v/>
      </c>
      <c r="L504" s="0" t="str">
        <f aca="false">IF($B504="","",IF($C504="",$E$6+62,$C504))</f>
        <v/>
      </c>
      <c r="M504" s="0" t="str">
        <f aca="false">IF($L504="","",COUNTIFS($L$455:$L$505,"&lt;"&amp;$L504)+COUNTIFS($L$455:$L504,$L504))</f>
        <v/>
      </c>
    </row>
    <row r="505" customFormat="false" ht="15" hidden="false" customHeight="true" outlineLevel="0" collapsed="false">
      <c r="B505" s="105" t="str">
        <f aca="false">"Everyday spending still expected this week"</f>
        <v>Everyday spending still expected this week</v>
      </c>
      <c r="C505" s="106" t="n">
        <f aca="false">$E$6+62</f>
        <v>46311</v>
      </c>
      <c r="D505" s="101" t="str">
        <f aca="false">IF($B505="","","Expense")</f>
        <v>Expense</v>
      </c>
      <c r="E505" s="107" t="n">
        <f aca="false">MAX(0,$E$8-SUM($E$466:$E$504))</f>
        <v>400</v>
      </c>
      <c r="F505" s="102"/>
      <c r="G505" s="102"/>
      <c r="H505" s="103" t="n">
        <f aca="false">IF($B505="","",N($E505))</f>
        <v>400</v>
      </c>
      <c r="I505" s="104" t="n">
        <f aca="false">IF($B505="","",$I$453+SUMIFS($G$455:$G$505,$M$455:$M$505,"&lt;="&amp;$M505)-SUMIFS($H$455:$H$505,$M$455:$M$505,"&lt;="&amp;$M505))</f>
        <v>-47.9299999999998</v>
      </c>
      <c r="J505" s="102"/>
      <c r="K505" s="96" t="str">
        <f aca="false">"FORECAST"</f>
        <v>FORECAST</v>
      </c>
      <c r="L505" s="97" t="n">
        <f aca="false">IF($B505="","",IF($C505="",$E$6+62,$C505))</f>
        <v>46311</v>
      </c>
      <c r="M505" s="0" t="n">
        <f aca="false">IF($L505="","",COUNTIFS($L$455:$L$505,"&lt;"&amp;$L505)+COUNTIFS($L$455:$L505,$L505))</f>
        <v>6</v>
      </c>
    </row>
    <row r="506" customFormat="false" ht="15" hidden="false" customHeight="true" outlineLevel="0" collapsed="false">
      <c r="B506" s="108" t="s">
        <v>177</v>
      </c>
      <c r="C506" s="57"/>
      <c r="D506" s="57"/>
      <c r="E506" s="57"/>
      <c r="F506" s="57"/>
      <c r="G506" s="56" t="n">
        <f aca="false">SUM($G$455:$G$505)</f>
        <v>835</v>
      </c>
      <c r="H506" s="56" t="n">
        <f aca="false">SUM($H$455:$H$505)</f>
        <v>797.99</v>
      </c>
      <c r="I506" s="109" t="n">
        <f aca="false">$I$453+$G$506-$H$506</f>
        <v>-47.9299999999998</v>
      </c>
      <c r="J506" s="110" t="str">
        <f aca="false">IF($I$506&lt;0,"SHORTFALL",IF($I$506&lt;$E$7,"TIGHT","OK"))</f>
        <v>SHORTFALL</v>
      </c>
      <c r="K506" s="111"/>
      <c r="N506" s="111" t="str">
        <f aca="false">IF(COUNT($I$455:$I$505)=0,"","Lowest point this week: "&amp;TEXT(MIN($I$455:$I$505),"$#,##0.00;-$#,##0.00")&amp;" on "&amp;TEXT(INDEX($C$455:$C$505,MATCH(MIN($I$455:$I$505),$I$455:$I$505,0)),"ddd mmm d")&amp;"     (in "&amp;TEXT($G$506,"$#,##0.00")&amp;", out "&amp;TEXT($H$506,"$#,##0.00")&amp;")")</f>
        <v>Lowest point this week: -$347.93 on Thu Oct 15     (in $835.00, out $797.99)</v>
      </c>
    </row>
    <row r="508" customFormat="false" ht="21.75" hidden="false" customHeight="true" outlineLevel="0" collapsed="false">
      <c r="B508" s="82" t="str">
        <f aca="false">"WEEK 10     "&amp;TEXT($E$6+63,"ddd, mmm d")&amp;"   through   "&amp;TEXT($E$6+63+6,"ddd, mmm d, yyyy")</f>
        <v>WEEK 10     Sat, Oct 17   through   Fri, Oct 23, 2026</v>
      </c>
      <c r="C508" s="83"/>
      <c r="D508" s="83"/>
      <c r="E508" s="83"/>
      <c r="F508" s="83"/>
      <c r="G508" s="84" t="s">
        <v>139</v>
      </c>
      <c r="H508" s="83"/>
      <c r="I508" s="85" t="n">
        <f aca="false">$I$506</f>
        <v>-47.9299999999998</v>
      </c>
      <c r="J508" s="83"/>
      <c r="K508" s="86"/>
      <c r="N508" s="86" t="str">
        <f aca="false">IF(COUNTIF(Schedule!$I$4:$I$483,10)&gt;10,"! "&amp;COUNTIF(Schedule!$I$4:$I$483,10)-10&amp;" more transaction(s) fall in this week than there are rows to show them.","")</f>
        <v/>
      </c>
    </row>
    <row r="509" customFormat="false" ht="25.5" hidden="false" customHeight="true" outlineLevel="0" collapsed="false">
      <c r="B509" s="87" t="s">
        <v>140</v>
      </c>
      <c r="C509" s="87" t="s">
        <v>141</v>
      </c>
      <c r="D509" s="87" t="s">
        <v>42</v>
      </c>
      <c r="E509" s="87" t="s">
        <v>142</v>
      </c>
      <c r="F509" s="87" t="s">
        <v>143</v>
      </c>
      <c r="G509" s="36" t="s">
        <v>144</v>
      </c>
      <c r="H509" s="37" t="s">
        <v>145</v>
      </c>
      <c r="I509" s="87" t="s">
        <v>146</v>
      </c>
      <c r="J509" s="87" t="s">
        <v>14</v>
      </c>
      <c r="K509" s="87" t="s">
        <v>147</v>
      </c>
    </row>
    <row r="510" customFormat="false" ht="15" hidden="false" customHeight="true" outlineLevel="0" collapsed="false">
      <c r="B510" s="7" t="str">
        <f aca="false">IFERROR(INDEX(Schedule!$C$4:$C$483,MATCH(10001,Schedule!$K$4:$K$483,0)),"")</f>
        <v>Bruno's Restaurant (paycheck)</v>
      </c>
      <c r="C510" s="88" t="n">
        <f aca="false">IF($B510="","",INDEX(Schedule!$G$4:$G$483,MATCH(10001,Schedule!$K$4:$K$483,0)))</f>
        <v>46316</v>
      </c>
      <c r="D510" s="89" t="str">
        <f aca="false">IF($B510="","",INDEX(Schedule!$D$4:$D$483,MATCH(10001,Schedule!$K$4:$K$483,0)))</f>
        <v>Income</v>
      </c>
      <c r="E510" s="90" t="n">
        <f aca="false">IF($B510="","",INDEX(Schedule!$E$4:$E$483,MATCH(10001,Schedule!$K$4:$K$483,0)))</f>
        <v>90</v>
      </c>
      <c r="F510" s="91"/>
      <c r="G510" s="92" t="n">
        <f aca="false">IF($B510="","",IF($D510="Income",IF($F510&lt;&gt;"",$F510,IF(COUNTIFS('Paid Log'!$B$9:$B$308,$C510,'Paid Log'!$C$9:$C$308,$B510)&gt;0,SUMIFS('Paid Log'!$D$9:$D$308,'Paid Log'!$B$9:$B$308,$C510,'Paid Log'!$C$9:$C$308,$B510),$E510)),""))</f>
        <v>90</v>
      </c>
      <c r="H510" s="93" t="str">
        <f aca="false">IF($B510="","",IF($D510="Income","",IF($F510&lt;&gt;"",$F510,IF(COUNTIFS('Paid Log'!$B$9:$B$308,$C510,'Paid Log'!$C$9:$C$308,$B510)&gt;0,SUMIFS('Paid Log'!$D$9:$D$308,'Paid Log'!$B$9:$B$308,$C510,'Paid Log'!$C$9:$C$308,$B510),$E510))))</f>
        <v/>
      </c>
      <c r="I510" s="94" t="n">
        <f aca="false">IF($B510="","",$I$508+SUMIFS($G$510:$G$560,$M$510:$M$560,"&lt;="&amp;$M510)-SUMIFS($H$510:$H$560,$M$510:$M$560,"&lt;="&amp;$M510))</f>
        <v>42.0700000000002</v>
      </c>
      <c r="J510" s="95" t="str">
        <f aca="true">IF($B510="","",IF(OR($F510&lt;&gt;"",COUNTIFS('Paid Log'!$B$9:$B$308,$C510,'Paid Log'!$C$9:$C$308,$B510)&gt;0),IF($C510&gt;TODAY(),"ADJUSTED","PAID"),IF($C510&lt;TODAY(),"PAST DUE",IF($C510&lt;=TODAY()+7,"DUE","Upcoming"))))</f>
        <v>Upcoming</v>
      </c>
      <c r="K510" s="96" t="str">
        <f aca="false">IF($B510="","",IF(OR($F510&lt;&gt;"",COUNTIFS('Paid Log'!$B$9:$B$308,$C510,'Paid Log'!$C$9:$C$308,$B510)&gt;0),"ACTUAL","FORECAST"))</f>
        <v>FORECAST</v>
      </c>
      <c r="L510" s="97" t="n">
        <f aca="false">IF($B510="","",$C510)</f>
        <v>46316</v>
      </c>
      <c r="M510" s="0" t="n">
        <f aca="false">IF($L510="","",COUNTIFS($L$510:$L$560,"&lt;"&amp;$L510)+COUNTIFS($L$510:$L510,$L510))</f>
        <v>1</v>
      </c>
    </row>
    <row r="511" customFormat="false" ht="15" hidden="false" customHeight="true" outlineLevel="0" collapsed="false">
      <c r="B511" s="7" t="str">
        <f aca="false">IFERROR(INDEX(Schedule!$C$4:$C$483,MATCH(10002,Schedule!$K$4:$K$483,0)),"")</f>
        <v>Spectrum</v>
      </c>
      <c r="C511" s="88" t="n">
        <f aca="false">IF($B511="","",INDEX(Schedule!$G$4:$G$483,MATCH(10002,Schedule!$K$4:$K$483,0)))</f>
        <v>46316</v>
      </c>
      <c r="D511" s="89" t="str">
        <f aca="false">IF($B511="","",INDEX(Schedule!$D$4:$D$483,MATCH(10002,Schedule!$K$4:$K$483,0)))</f>
        <v>Expense</v>
      </c>
      <c r="E511" s="90" t="n">
        <f aca="false">IF($B511="","",INDEX(Schedule!$E$4:$E$483,MATCH(10002,Schedule!$K$4:$K$483,0)))</f>
        <v>171.1</v>
      </c>
      <c r="F511" s="91"/>
      <c r="G511" s="92" t="str">
        <f aca="false">IF($B511="","",IF($D511="Income",IF($F511&lt;&gt;"",$F511,IF(COUNTIFS('Paid Log'!$B$9:$B$308,$C511,'Paid Log'!$C$9:$C$308,$B511)&gt;0,SUMIFS('Paid Log'!$D$9:$D$308,'Paid Log'!$B$9:$B$308,$C511,'Paid Log'!$C$9:$C$308,$B511),$E511)),""))</f>
        <v/>
      </c>
      <c r="H511" s="93" t="n">
        <f aca="false">IF($B511="","",IF($D511="Income","",IF($F511&lt;&gt;"",$F511,IF(COUNTIFS('Paid Log'!$B$9:$B$308,$C511,'Paid Log'!$C$9:$C$308,$B511)&gt;0,SUMIFS('Paid Log'!$D$9:$D$308,'Paid Log'!$B$9:$B$308,$C511,'Paid Log'!$C$9:$C$308,$B511),$E511))))</f>
        <v>171.1</v>
      </c>
      <c r="I511" s="94" t="n">
        <f aca="false">IF($B511="","",$I$508+SUMIFS($G$510:$G$560,$M$510:$M$560,"&lt;="&amp;$M511)-SUMIFS($H$510:$H$560,$M$510:$M$560,"&lt;="&amp;$M511))</f>
        <v>-129.03</v>
      </c>
      <c r="J511" s="95" t="str">
        <f aca="true">IF($B511="","",IF(OR($F511&lt;&gt;"",COUNTIFS('Paid Log'!$B$9:$B$308,$C511,'Paid Log'!$C$9:$C$308,$B511)&gt;0),IF($C511&gt;TODAY(),"ADJUSTED","PAID"),IF($C511&lt;TODAY(),"PAST DUE",IF($C511&lt;=TODAY()+7,"DUE","Upcoming"))))</f>
        <v>Upcoming</v>
      </c>
      <c r="K511" s="96" t="str">
        <f aca="false">IF($B511="","",IF(OR($F511&lt;&gt;"",COUNTIFS('Paid Log'!$B$9:$B$308,$C511,'Paid Log'!$C$9:$C$308,$B511)&gt;0),"ACTUAL","FORECAST"))</f>
        <v>FORECAST</v>
      </c>
      <c r="L511" s="97" t="n">
        <f aca="false">IF($B511="","",$C511)</f>
        <v>46316</v>
      </c>
      <c r="M511" s="0" t="n">
        <f aca="false">IF($L511="","",COUNTIFS($L$510:$L$560,"&lt;"&amp;$L511)+COUNTIFS($L$510:$L511,$L511))</f>
        <v>2</v>
      </c>
    </row>
    <row r="512" customFormat="false" ht="15" hidden="false" customHeight="true" outlineLevel="0" collapsed="false">
      <c r="B512" s="7" t="str">
        <f aca="false">IFERROR(INDEX(Schedule!$C$4:$C$483,MATCH(10003,Schedule!$K$4:$K$483,0)),"")</f>
        <v>Microsoft</v>
      </c>
      <c r="C512" s="88" t="n">
        <f aca="false">IF($B512="","",INDEX(Schedule!$G$4:$G$483,MATCH(10003,Schedule!$K$4:$K$483,0)))</f>
        <v>46317</v>
      </c>
      <c r="D512" s="89" t="str">
        <f aca="false">IF($B512="","",INDEX(Schedule!$D$4:$D$483,MATCH(10003,Schedule!$K$4:$K$483,0)))</f>
        <v>Expense</v>
      </c>
      <c r="E512" s="90" t="n">
        <f aca="false">IF($B512="","",INDEX(Schedule!$E$4:$E$483,MATCH(10003,Schedule!$K$4:$K$483,0)))</f>
        <v>13.7</v>
      </c>
      <c r="F512" s="91"/>
      <c r="G512" s="92" t="str">
        <f aca="false">IF($B512="","",IF($D512="Income",IF($F512&lt;&gt;"",$F512,IF(COUNTIFS('Paid Log'!$B$9:$B$308,$C512,'Paid Log'!$C$9:$C$308,$B512)&gt;0,SUMIFS('Paid Log'!$D$9:$D$308,'Paid Log'!$B$9:$B$308,$C512,'Paid Log'!$C$9:$C$308,$B512),$E512)),""))</f>
        <v/>
      </c>
      <c r="H512" s="93" t="n">
        <f aca="false">IF($B512="","",IF($D512="Income","",IF($F512&lt;&gt;"",$F512,IF(COUNTIFS('Paid Log'!$B$9:$B$308,$C512,'Paid Log'!$C$9:$C$308,$B512)&gt;0,SUMIFS('Paid Log'!$D$9:$D$308,'Paid Log'!$B$9:$B$308,$C512,'Paid Log'!$C$9:$C$308,$B512),$E512))))</f>
        <v>13.7</v>
      </c>
      <c r="I512" s="94" t="n">
        <f aca="false">IF($B512="","",$I$508+SUMIFS($G$510:$G$560,$M$510:$M$560,"&lt;="&amp;$M512)-SUMIFS($H$510:$H$560,$M$510:$M$560,"&lt;="&amp;$M512))</f>
        <v>-142.73</v>
      </c>
      <c r="J512" s="95" t="str">
        <f aca="true">IF($B512="","",IF(OR($F512&lt;&gt;"",COUNTIFS('Paid Log'!$B$9:$B$308,$C512,'Paid Log'!$C$9:$C$308,$B512)&gt;0),IF($C512&gt;TODAY(),"ADJUSTED","PAID"),IF($C512&lt;TODAY(),"PAST DUE",IF($C512&lt;=TODAY()+7,"DUE","Upcoming"))))</f>
        <v>Upcoming</v>
      </c>
      <c r="K512" s="96" t="str">
        <f aca="false">IF($B512="","",IF(OR($F512&lt;&gt;"",COUNTIFS('Paid Log'!$B$9:$B$308,$C512,'Paid Log'!$C$9:$C$308,$B512)&gt;0),"ACTUAL","FORECAST"))</f>
        <v>FORECAST</v>
      </c>
      <c r="L512" s="97" t="n">
        <f aca="false">IF($B512="","",$C512)</f>
        <v>46317</v>
      </c>
      <c r="M512" s="0" t="n">
        <f aca="false">IF($L512="","",COUNTIFS($L$510:$L$560,"&lt;"&amp;$L512)+COUNTIFS($L$510:$L512,$L512))</f>
        <v>3</v>
      </c>
    </row>
    <row r="513" customFormat="false" ht="15" hidden="false" customHeight="true" outlineLevel="0" collapsed="false">
      <c r="B513" s="7" t="str">
        <f aca="false">IFERROR(INDEX(Schedule!$C$4:$C$483,MATCH(10004,Schedule!$K$4:$K$483,0)),"")</f>
        <v>Compunnel Software (paycheck)</v>
      </c>
      <c r="C513" s="88" t="n">
        <f aca="false">IF($B513="","",INDEX(Schedule!$G$4:$G$483,MATCH(10004,Schedule!$K$4:$K$483,0)))</f>
        <v>46318</v>
      </c>
      <c r="D513" s="89" t="str">
        <f aca="false">IF($B513="","",INDEX(Schedule!$D$4:$D$483,MATCH(10004,Schedule!$K$4:$K$483,0)))</f>
        <v>Income</v>
      </c>
      <c r="E513" s="90" t="n">
        <f aca="false">IF($B513="","",INDEX(Schedule!$E$4:$E$483,MATCH(10004,Schedule!$K$4:$K$483,0)))</f>
        <v>745</v>
      </c>
      <c r="F513" s="91"/>
      <c r="G513" s="92" t="n">
        <f aca="false">IF($B513="","",IF($D513="Income",IF($F513&lt;&gt;"",$F513,IF(COUNTIFS('Paid Log'!$B$9:$B$308,$C513,'Paid Log'!$C$9:$C$308,$B513)&gt;0,SUMIFS('Paid Log'!$D$9:$D$308,'Paid Log'!$B$9:$B$308,$C513,'Paid Log'!$C$9:$C$308,$B513),$E513)),""))</f>
        <v>745</v>
      </c>
      <c r="H513" s="93" t="str">
        <f aca="false">IF($B513="","",IF($D513="Income","",IF($F513&lt;&gt;"",$F513,IF(COUNTIFS('Paid Log'!$B$9:$B$308,$C513,'Paid Log'!$C$9:$C$308,$B513)&gt;0,SUMIFS('Paid Log'!$D$9:$D$308,'Paid Log'!$B$9:$B$308,$C513,'Paid Log'!$C$9:$C$308,$B513),$E513))))</f>
        <v/>
      </c>
      <c r="I513" s="94" t="n">
        <f aca="false">IF($B513="","",$I$508+SUMIFS($G$510:$G$560,$M$510:$M$560,"&lt;="&amp;$M513)-SUMIFS($H$510:$H$560,$M$510:$M$560,"&lt;="&amp;$M513))</f>
        <v>602.27</v>
      </c>
      <c r="J513" s="95" t="str">
        <f aca="true">IF($B513="","",IF(OR($F513&lt;&gt;"",COUNTIFS('Paid Log'!$B$9:$B$308,$C513,'Paid Log'!$C$9:$C$308,$B513)&gt;0),IF($C513&gt;TODAY(),"ADJUSTED","PAID"),IF($C513&lt;TODAY(),"PAST DUE",IF($C513&lt;=TODAY()+7,"DUE","Upcoming"))))</f>
        <v>Upcoming</v>
      </c>
      <c r="K513" s="96" t="str">
        <f aca="false">IF($B513="","",IF(OR($F513&lt;&gt;"",COUNTIFS('Paid Log'!$B$9:$B$308,$C513,'Paid Log'!$C$9:$C$308,$B513)&gt;0),"ACTUAL","FORECAST"))</f>
        <v>FORECAST</v>
      </c>
      <c r="L513" s="97" t="n">
        <f aca="false">IF($B513="","",$C513)</f>
        <v>46318</v>
      </c>
      <c r="M513" s="0" t="n">
        <f aca="false">IF($L513="","",COUNTIFS($L$510:$L$560,"&lt;"&amp;$L513)+COUNTIFS($L$510:$L513,$L513))</f>
        <v>4</v>
      </c>
    </row>
    <row r="514" customFormat="false" ht="15" hidden="false" customHeight="true" outlineLevel="0" collapsed="false">
      <c r="B514" s="7" t="str">
        <f aca="false">IFERROR(INDEX(Schedule!$C$4:$C$483,MATCH(10005,Schedule!$K$4:$K$483,0)),"")</f>
        <v/>
      </c>
      <c r="C514" s="88" t="str">
        <f aca="false">IF($B514="","",INDEX(Schedule!$G$4:$G$483,MATCH(10005,Schedule!$K$4:$K$483,0)))</f>
        <v/>
      </c>
      <c r="D514" s="89" t="str">
        <f aca="false">IF($B514="","",INDEX(Schedule!$D$4:$D$483,MATCH(10005,Schedule!$K$4:$K$483,0)))</f>
        <v/>
      </c>
      <c r="E514" s="90" t="str">
        <f aca="false">IF($B514="","",INDEX(Schedule!$E$4:$E$483,MATCH(10005,Schedule!$K$4:$K$483,0)))</f>
        <v/>
      </c>
      <c r="F514" s="91"/>
      <c r="G514" s="92" t="str">
        <f aca="false">IF($B514="","",IF($D514="Income",IF($F514&lt;&gt;"",$F514,IF(COUNTIFS('Paid Log'!$B$9:$B$308,$C514,'Paid Log'!$C$9:$C$308,$B514)&gt;0,SUMIFS('Paid Log'!$D$9:$D$308,'Paid Log'!$B$9:$B$308,$C514,'Paid Log'!$C$9:$C$308,$B514),$E514)),""))</f>
        <v/>
      </c>
      <c r="H514" s="93" t="str">
        <f aca="false">IF($B514="","",IF($D514="Income","",IF($F514&lt;&gt;"",$F514,IF(COUNTIFS('Paid Log'!$B$9:$B$308,$C514,'Paid Log'!$C$9:$C$308,$B514)&gt;0,SUMIFS('Paid Log'!$D$9:$D$308,'Paid Log'!$B$9:$B$308,$C514,'Paid Log'!$C$9:$C$308,$B514),$E514))))</f>
        <v/>
      </c>
      <c r="I514" s="94" t="str">
        <f aca="false">IF($B514="","",$I$508+SUMIFS($G$510:$G$560,$M$510:$M$560,"&lt;="&amp;$M514)-SUMIFS($H$510:$H$560,$M$510:$M$560,"&lt;="&amp;$M514))</f>
        <v/>
      </c>
      <c r="J514" s="95" t="str">
        <f aca="true">IF($B514="","",IF(OR($F514&lt;&gt;"",COUNTIFS('Paid Log'!$B$9:$B$308,$C514,'Paid Log'!$C$9:$C$308,$B514)&gt;0),IF($C514&gt;TODAY(),"ADJUSTED","PAID"),IF($C514&lt;TODAY(),"PAST DUE",IF($C514&lt;=TODAY()+7,"DUE","Upcoming"))))</f>
        <v/>
      </c>
      <c r="K514" s="96" t="str">
        <f aca="false">IF($B514="","",IF(OR($F514&lt;&gt;"",COUNTIFS('Paid Log'!$B$9:$B$308,$C514,'Paid Log'!$C$9:$C$308,$B514)&gt;0),"ACTUAL","FORECAST"))</f>
        <v/>
      </c>
      <c r="L514" s="0" t="str">
        <f aca="false">IF($B514="","",$C514)</f>
        <v/>
      </c>
      <c r="M514" s="0" t="str">
        <f aca="false">IF($L514="","",COUNTIFS($L$510:$L$560,"&lt;"&amp;$L514)+COUNTIFS($L$510:$L514,$L514))</f>
        <v/>
      </c>
    </row>
    <row r="515" customFormat="false" ht="15" hidden="false" customHeight="true" outlineLevel="0" collapsed="false">
      <c r="B515" s="7" t="str">
        <f aca="false">IFERROR(INDEX(Schedule!$C$4:$C$483,MATCH(10006,Schedule!$K$4:$K$483,0)),"")</f>
        <v/>
      </c>
      <c r="C515" s="88" t="str">
        <f aca="false">IF($B515="","",INDEX(Schedule!$G$4:$G$483,MATCH(10006,Schedule!$K$4:$K$483,0)))</f>
        <v/>
      </c>
      <c r="D515" s="89" t="str">
        <f aca="false">IF($B515="","",INDEX(Schedule!$D$4:$D$483,MATCH(10006,Schedule!$K$4:$K$483,0)))</f>
        <v/>
      </c>
      <c r="E515" s="90" t="str">
        <f aca="false">IF($B515="","",INDEX(Schedule!$E$4:$E$483,MATCH(10006,Schedule!$K$4:$K$483,0)))</f>
        <v/>
      </c>
      <c r="F515" s="91"/>
      <c r="G515" s="92" t="str">
        <f aca="false">IF($B515="","",IF($D515="Income",IF($F515&lt;&gt;"",$F515,IF(COUNTIFS('Paid Log'!$B$9:$B$308,$C515,'Paid Log'!$C$9:$C$308,$B515)&gt;0,SUMIFS('Paid Log'!$D$9:$D$308,'Paid Log'!$B$9:$B$308,$C515,'Paid Log'!$C$9:$C$308,$B515),$E515)),""))</f>
        <v/>
      </c>
      <c r="H515" s="93" t="str">
        <f aca="false">IF($B515="","",IF($D515="Income","",IF($F515&lt;&gt;"",$F515,IF(COUNTIFS('Paid Log'!$B$9:$B$308,$C515,'Paid Log'!$C$9:$C$308,$B515)&gt;0,SUMIFS('Paid Log'!$D$9:$D$308,'Paid Log'!$B$9:$B$308,$C515,'Paid Log'!$C$9:$C$308,$B515),$E515))))</f>
        <v/>
      </c>
      <c r="I515" s="94" t="str">
        <f aca="false">IF($B515="","",$I$508+SUMIFS($G$510:$G$560,$M$510:$M$560,"&lt;="&amp;$M515)-SUMIFS($H$510:$H$560,$M$510:$M$560,"&lt;="&amp;$M515))</f>
        <v/>
      </c>
      <c r="J515" s="95" t="str">
        <f aca="true">IF($B515="","",IF(OR($F515&lt;&gt;"",COUNTIFS('Paid Log'!$B$9:$B$308,$C515,'Paid Log'!$C$9:$C$308,$B515)&gt;0),IF($C515&gt;TODAY(),"ADJUSTED","PAID"),IF($C515&lt;TODAY(),"PAST DUE",IF($C515&lt;=TODAY()+7,"DUE","Upcoming"))))</f>
        <v/>
      </c>
      <c r="K515" s="96" t="str">
        <f aca="false">IF($B515="","",IF(OR($F515&lt;&gt;"",COUNTIFS('Paid Log'!$B$9:$B$308,$C515,'Paid Log'!$C$9:$C$308,$B515)&gt;0),"ACTUAL","FORECAST"))</f>
        <v/>
      </c>
      <c r="L515" s="0" t="str">
        <f aca="false">IF($B515="","",$C515)</f>
        <v/>
      </c>
      <c r="M515" s="0" t="str">
        <f aca="false">IF($L515="","",COUNTIFS($L$510:$L$560,"&lt;"&amp;$L515)+COUNTIFS($L$510:$L515,$L515))</f>
        <v/>
      </c>
    </row>
    <row r="516" customFormat="false" ht="15" hidden="false" customHeight="true" outlineLevel="0" collapsed="false">
      <c r="B516" s="7" t="str">
        <f aca="false">IFERROR(INDEX(Schedule!$C$4:$C$483,MATCH(10007,Schedule!$K$4:$K$483,0)),"")</f>
        <v/>
      </c>
      <c r="C516" s="88" t="str">
        <f aca="false">IF($B516="","",INDEX(Schedule!$G$4:$G$483,MATCH(10007,Schedule!$K$4:$K$483,0)))</f>
        <v/>
      </c>
      <c r="D516" s="89" t="str">
        <f aca="false">IF($B516="","",INDEX(Schedule!$D$4:$D$483,MATCH(10007,Schedule!$K$4:$K$483,0)))</f>
        <v/>
      </c>
      <c r="E516" s="90" t="str">
        <f aca="false">IF($B516="","",INDEX(Schedule!$E$4:$E$483,MATCH(10007,Schedule!$K$4:$K$483,0)))</f>
        <v/>
      </c>
      <c r="F516" s="91"/>
      <c r="G516" s="92" t="str">
        <f aca="false">IF($B516="","",IF($D516="Income",IF($F516&lt;&gt;"",$F516,IF(COUNTIFS('Paid Log'!$B$9:$B$308,$C516,'Paid Log'!$C$9:$C$308,$B516)&gt;0,SUMIFS('Paid Log'!$D$9:$D$308,'Paid Log'!$B$9:$B$308,$C516,'Paid Log'!$C$9:$C$308,$B516),$E516)),""))</f>
        <v/>
      </c>
      <c r="H516" s="93" t="str">
        <f aca="false">IF($B516="","",IF($D516="Income","",IF($F516&lt;&gt;"",$F516,IF(COUNTIFS('Paid Log'!$B$9:$B$308,$C516,'Paid Log'!$C$9:$C$308,$B516)&gt;0,SUMIFS('Paid Log'!$D$9:$D$308,'Paid Log'!$B$9:$B$308,$C516,'Paid Log'!$C$9:$C$308,$B516),$E516))))</f>
        <v/>
      </c>
      <c r="I516" s="94" t="str">
        <f aca="false">IF($B516="","",$I$508+SUMIFS($G$510:$G$560,$M$510:$M$560,"&lt;="&amp;$M516)-SUMIFS($H$510:$H$560,$M$510:$M$560,"&lt;="&amp;$M516))</f>
        <v/>
      </c>
      <c r="J516" s="95" t="str">
        <f aca="true">IF($B516="","",IF(OR($F516&lt;&gt;"",COUNTIFS('Paid Log'!$B$9:$B$308,$C516,'Paid Log'!$C$9:$C$308,$B516)&gt;0),IF($C516&gt;TODAY(),"ADJUSTED","PAID"),IF($C516&lt;TODAY(),"PAST DUE",IF($C516&lt;=TODAY()+7,"DUE","Upcoming"))))</f>
        <v/>
      </c>
      <c r="K516" s="96" t="str">
        <f aca="false">IF($B516="","",IF(OR($F516&lt;&gt;"",COUNTIFS('Paid Log'!$B$9:$B$308,$C516,'Paid Log'!$C$9:$C$308,$B516)&gt;0),"ACTUAL","FORECAST"))</f>
        <v/>
      </c>
      <c r="L516" s="0" t="str">
        <f aca="false">IF($B516="","",$C516)</f>
        <v/>
      </c>
      <c r="M516" s="0" t="str">
        <f aca="false">IF($L516="","",COUNTIFS($L$510:$L$560,"&lt;"&amp;$L516)+COUNTIFS($L$510:$L516,$L516))</f>
        <v/>
      </c>
    </row>
    <row r="517" customFormat="false" ht="15" hidden="false" customHeight="true" outlineLevel="0" collapsed="false">
      <c r="B517" s="7" t="str">
        <f aca="false">IFERROR(INDEX(Schedule!$C$4:$C$483,MATCH(10008,Schedule!$K$4:$K$483,0)),"")</f>
        <v/>
      </c>
      <c r="C517" s="88" t="str">
        <f aca="false">IF($B517="","",INDEX(Schedule!$G$4:$G$483,MATCH(10008,Schedule!$K$4:$K$483,0)))</f>
        <v/>
      </c>
      <c r="D517" s="89" t="str">
        <f aca="false">IF($B517="","",INDEX(Schedule!$D$4:$D$483,MATCH(10008,Schedule!$K$4:$K$483,0)))</f>
        <v/>
      </c>
      <c r="E517" s="90" t="str">
        <f aca="false">IF($B517="","",INDEX(Schedule!$E$4:$E$483,MATCH(10008,Schedule!$K$4:$K$483,0)))</f>
        <v/>
      </c>
      <c r="F517" s="91"/>
      <c r="G517" s="92" t="str">
        <f aca="false">IF($B517="","",IF($D517="Income",IF($F517&lt;&gt;"",$F517,IF(COUNTIFS('Paid Log'!$B$9:$B$308,$C517,'Paid Log'!$C$9:$C$308,$B517)&gt;0,SUMIFS('Paid Log'!$D$9:$D$308,'Paid Log'!$B$9:$B$308,$C517,'Paid Log'!$C$9:$C$308,$B517),$E517)),""))</f>
        <v/>
      </c>
      <c r="H517" s="93" t="str">
        <f aca="false">IF($B517="","",IF($D517="Income","",IF($F517&lt;&gt;"",$F517,IF(COUNTIFS('Paid Log'!$B$9:$B$308,$C517,'Paid Log'!$C$9:$C$308,$B517)&gt;0,SUMIFS('Paid Log'!$D$9:$D$308,'Paid Log'!$B$9:$B$308,$C517,'Paid Log'!$C$9:$C$308,$B517),$E517))))</f>
        <v/>
      </c>
      <c r="I517" s="94" t="str">
        <f aca="false">IF($B517="","",$I$508+SUMIFS($G$510:$G$560,$M$510:$M$560,"&lt;="&amp;$M517)-SUMIFS($H$510:$H$560,$M$510:$M$560,"&lt;="&amp;$M517))</f>
        <v/>
      </c>
      <c r="J517" s="95" t="str">
        <f aca="true">IF($B517="","",IF(OR($F517&lt;&gt;"",COUNTIFS('Paid Log'!$B$9:$B$308,$C517,'Paid Log'!$C$9:$C$308,$B517)&gt;0),IF($C517&gt;TODAY(),"ADJUSTED","PAID"),IF($C517&lt;TODAY(),"PAST DUE",IF($C517&lt;=TODAY()+7,"DUE","Upcoming"))))</f>
        <v/>
      </c>
      <c r="K517" s="96" t="str">
        <f aca="false">IF($B517="","",IF(OR($F517&lt;&gt;"",COUNTIFS('Paid Log'!$B$9:$B$308,$C517,'Paid Log'!$C$9:$C$308,$B517)&gt;0),"ACTUAL","FORECAST"))</f>
        <v/>
      </c>
      <c r="L517" s="0" t="str">
        <f aca="false">IF($B517="","",$C517)</f>
        <v/>
      </c>
      <c r="M517" s="0" t="str">
        <f aca="false">IF($L517="","",COUNTIFS($L$510:$L$560,"&lt;"&amp;$L517)+COUNTIFS($L$510:$L517,$L517))</f>
        <v/>
      </c>
    </row>
    <row r="518" customFormat="false" ht="15" hidden="false" customHeight="true" outlineLevel="0" collapsed="false">
      <c r="B518" s="7" t="str">
        <f aca="false">IFERROR(INDEX(Schedule!$C$4:$C$483,MATCH(10009,Schedule!$K$4:$K$483,0)),"")</f>
        <v/>
      </c>
      <c r="C518" s="88" t="str">
        <f aca="false">IF($B518="","",INDEX(Schedule!$G$4:$G$483,MATCH(10009,Schedule!$K$4:$K$483,0)))</f>
        <v/>
      </c>
      <c r="D518" s="89" t="str">
        <f aca="false">IF($B518="","",INDEX(Schedule!$D$4:$D$483,MATCH(10009,Schedule!$K$4:$K$483,0)))</f>
        <v/>
      </c>
      <c r="E518" s="90" t="str">
        <f aca="false">IF($B518="","",INDEX(Schedule!$E$4:$E$483,MATCH(10009,Schedule!$K$4:$K$483,0)))</f>
        <v/>
      </c>
      <c r="F518" s="91"/>
      <c r="G518" s="92" t="str">
        <f aca="false">IF($B518="","",IF($D518="Income",IF($F518&lt;&gt;"",$F518,IF(COUNTIFS('Paid Log'!$B$9:$B$308,$C518,'Paid Log'!$C$9:$C$308,$B518)&gt;0,SUMIFS('Paid Log'!$D$9:$D$308,'Paid Log'!$B$9:$B$308,$C518,'Paid Log'!$C$9:$C$308,$B518),$E518)),""))</f>
        <v/>
      </c>
      <c r="H518" s="93" t="str">
        <f aca="false">IF($B518="","",IF($D518="Income","",IF($F518&lt;&gt;"",$F518,IF(COUNTIFS('Paid Log'!$B$9:$B$308,$C518,'Paid Log'!$C$9:$C$308,$B518)&gt;0,SUMIFS('Paid Log'!$D$9:$D$308,'Paid Log'!$B$9:$B$308,$C518,'Paid Log'!$C$9:$C$308,$B518),$E518))))</f>
        <v/>
      </c>
      <c r="I518" s="94" t="str">
        <f aca="false">IF($B518="","",$I$508+SUMIFS($G$510:$G$560,$M$510:$M$560,"&lt;="&amp;$M518)-SUMIFS($H$510:$H$560,$M$510:$M$560,"&lt;="&amp;$M518))</f>
        <v/>
      </c>
      <c r="J518" s="95" t="str">
        <f aca="true">IF($B518="","",IF(OR($F518&lt;&gt;"",COUNTIFS('Paid Log'!$B$9:$B$308,$C518,'Paid Log'!$C$9:$C$308,$B518)&gt;0),IF($C518&gt;TODAY(),"ADJUSTED","PAID"),IF($C518&lt;TODAY(),"PAST DUE",IF($C518&lt;=TODAY()+7,"DUE","Upcoming"))))</f>
        <v/>
      </c>
      <c r="K518" s="96" t="str">
        <f aca="false">IF($B518="","",IF(OR($F518&lt;&gt;"",COUNTIFS('Paid Log'!$B$9:$B$308,$C518,'Paid Log'!$C$9:$C$308,$B518)&gt;0),"ACTUAL","FORECAST"))</f>
        <v/>
      </c>
      <c r="L518" s="0" t="str">
        <f aca="false">IF($B518="","",$C518)</f>
        <v/>
      </c>
      <c r="M518" s="0" t="str">
        <f aca="false">IF($L518="","",COUNTIFS($L$510:$L$560,"&lt;"&amp;$L518)+COUNTIFS($L$510:$L518,$L518))</f>
        <v/>
      </c>
    </row>
    <row r="519" customFormat="false" ht="15" hidden="false" customHeight="true" outlineLevel="0" collapsed="false">
      <c r="B519" s="7" t="str">
        <f aca="false">IFERROR(INDEX(Schedule!$C$4:$C$483,MATCH(10010,Schedule!$K$4:$K$483,0)),"")</f>
        <v/>
      </c>
      <c r="C519" s="88" t="str">
        <f aca="false">IF($B519="","",INDEX(Schedule!$G$4:$G$483,MATCH(10010,Schedule!$K$4:$K$483,0)))</f>
        <v/>
      </c>
      <c r="D519" s="89" t="str">
        <f aca="false">IF($B519="","",INDEX(Schedule!$D$4:$D$483,MATCH(10010,Schedule!$K$4:$K$483,0)))</f>
        <v/>
      </c>
      <c r="E519" s="90" t="str">
        <f aca="false">IF($B519="","",INDEX(Schedule!$E$4:$E$483,MATCH(10010,Schedule!$K$4:$K$483,0)))</f>
        <v/>
      </c>
      <c r="F519" s="91"/>
      <c r="G519" s="92" t="str">
        <f aca="false">IF($B519="","",IF($D519="Income",IF($F519&lt;&gt;"",$F519,IF(COUNTIFS('Paid Log'!$B$9:$B$308,$C519,'Paid Log'!$C$9:$C$308,$B519)&gt;0,SUMIFS('Paid Log'!$D$9:$D$308,'Paid Log'!$B$9:$B$308,$C519,'Paid Log'!$C$9:$C$308,$B519),$E519)),""))</f>
        <v/>
      </c>
      <c r="H519" s="93" t="str">
        <f aca="false">IF($B519="","",IF($D519="Income","",IF($F519&lt;&gt;"",$F519,IF(COUNTIFS('Paid Log'!$B$9:$B$308,$C519,'Paid Log'!$C$9:$C$308,$B519)&gt;0,SUMIFS('Paid Log'!$D$9:$D$308,'Paid Log'!$B$9:$B$308,$C519,'Paid Log'!$C$9:$C$308,$B519),$E519))))</f>
        <v/>
      </c>
      <c r="I519" s="94" t="str">
        <f aca="false">IF($B519="","",$I$508+SUMIFS($G$510:$G$560,$M$510:$M$560,"&lt;="&amp;$M519)-SUMIFS($H$510:$H$560,$M$510:$M$560,"&lt;="&amp;$M519))</f>
        <v/>
      </c>
      <c r="J519" s="95" t="str">
        <f aca="true">IF($B519="","",IF(OR($F519&lt;&gt;"",COUNTIFS('Paid Log'!$B$9:$B$308,$C519,'Paid Log'!$C$9:$C$308,$B519)&gt;0),IF($C519&gt;TODAY(),"ADJUSTED","PAID"),IF($C519&lt;TODAY(),"PAST DUE",IF($C519&lt;=TODAY()+7,"DUE","Upcoming"))))</f>
        <v/>
      </c>
      <c r="K519" s="96" t="str">
        <f aca="false">IF($B519="","",IF(OR($F519&lt;&gt;"",COUNTIFS('Paid Log'!$B$9:$B$308,$C519,'Paid Log'!$C$9:$C$308,$B519)&gt;0),"ACTUAL","FORECAST"))</f>
        <v/>
      </c>
      <c r="L519" s="0" t="str">
        <f aca="false">IF($B519="","",$C519)</f>
        <v/>
      </c>
      <c r="M519" s="0" t="str">
        <f aca="false">IF($L519="","",COUNTIFS($L$510:$L$560,"&lt;"&amp;$L519)+COUNTIFS($L$510:$L519,$L519))</f>
        <v/>
      </c>
    </row>
    <row r="520" customFormat="false" ht="15" hidden="false" customHeight="true" outlineLevel="0" collapsed="false">
      <c r="B520" s="98" t="s">
        <v>148</v>
      </c>
      <c r="C520" s="99"/>
      <c r="D520" s="99"/>
      <c r="E520" s="99"/>
      <c r="F520" s="99"/>
      <c r="G520" s="99"/>
      <c r="H520" s="99"/>
      <c r="I520" s="99"/>
      <c r="J520" s="99"/>
    </row>
    <row r="521" customFormat="false" ht="15" hidden="false" customHeight="true" outlineLevel="0" collapsed="false">
      <c r="B521" s="12"/>
      <c r="C521" s="100"/>
      <c r="D521" s="101" t="str">
        <f aca="false">IF($B521="","","Expense")</f>
        <v/>
      </c>
      <c r="E521" s="14"/>
      <c r="F521" s="102"/>
      <c r="G521" s="102"/>
      <c r="H521" s="103" t="str">
        <f aca="false">IF($B521="","",N($E521))</f>
        <v/>
      </c>
      <c r="I521" s="104" t="str">
        <f aca="false">IF($B521="","",$I$508+SUMIFS($G$510:$G$560,$M$510:$M$560,"&lt;="&amp;$M521)-SUMIFS($H$510:$H$560,$M$510:$M$560,"&lt;="&amp;$M521))</f>
        <v/>
      </c>
      <c r="J521" s="102"/>
      <c r="K521" s="96" t="str">
        <f aca="false">IF($B521="","","ACTUAL")</f>
        <v/>
      </c>
      <c r="L521" s="0" t="str">
        <f aca="false">IF($B521="","",IF($C521="",$E$6+69,$C521))</f>
        <v/>
      </c>
      <c r="M521" s="0" t="str">
        <f aca="false">IF($L521="","",COUNTIFS($L$510:$L$560,"&lt;"&amp;$L521)+COUNTIFS($L$510:$L521,$L521))</f>
        <v/>
      </c>
    </row>
    <row r="522" customFormat="false" ht="15" hidden="false" customHeight="true" outlineLevel="0" collapsed="false">
      <c r="B522" s="12"/>
      <c r="C522" s="100"/>
      <c r="D522" s="101" t="str">
        <f aca="false">IF($B522="","","Expense")</f>
        <v/>
      </c>
      <c r="E522" s="14"/>
      <c r="F522" s="102"/>
      <c r="G522" s="102"/>
      <c r="H522" s="103" t="str">
        <f aca="false">IF($B522="","",N($E522))</f>
        <v/>
      </c>
      <c r="I522" s="104" t="str">
        <f aca="false">IF($B522="","",$I$508+SUMIFS($G$510:$G$560,$M$510:$M$560,"&lt;="&amp;$M522)-SUMIFS($H$510:$H$560,$M$510:$M$560,"&lt;="&amp;$M522))</f>
        <v/>
      </c>
      <c r="J522" s="102"/>
      <c r="K522" s="96" t="str">
        <f aca="false">IF($B522="","","ACTUAL")</f>
        <v/>
      </c>
      <c r="L522" s="0" t="str">
        <f aca="false">IF($B522="","",IF($C522="",$E$6+69,$C522))</f>
        <v/>
      </c>
      <c r="M522" s="0" t="str">
        <f aca="false">IF($L522="","",COUNTIFS($L$510:$L$560,"&lt;"&amp;$L522)+COUNTIFS($L$510:$L522,$L522))</f>
        <v/>
      </c>
    </row>
    <row r="523" customFormat="false" ht="15" hidden="false" customHeight="true" outlineLevel="0" collapsed="false">
      <c r="B523" s="12"/>
      <c r="C523" s="100"/>
      <c r="D523" s="101" t="str">
        <f aca="false">IF($B523="","","Expense")</f>
        <v/>
      </c>
      <c r="E523" s="14"/>
      <c r="F523" s="102"/>
      <c r="G523" s="102"/>
      <c r="H523" s="103" t="str">
        <f aca="false">IF($B523="","",N($E523))</f>
        <v/>
      </c>
      <c r="I523" s="104" t="str">
        <f aca="false">IF($B523="","",$I$508+SUMIFS($G$510:$G$560,$M$510:$M$560,"&lt;="&amp;$M523)-SUMIFS($H$510:$H$560,$M$510:$M$560,"&lt;="&amp;$M523))</f>
        <v/>
      </c>
      <c r="J523" s="102"/>
      <c r="K523" s="96" t="str">
        <f aca="false">IF($B523="","","ACTUAL")</f>
        <v/>
      </c>
      <c r="L523" s="0" t="str">
        <f aca="false">IF($B523="","",IF($C523="",$E$6+69,$C523))</f>
        <v/>
      </c>
      <c r="M523" s="0" t="str">
        <f aca="false">IF($L523="","",COUNTIFS($L$510:$L$560,"&lt;"&amp;$L523)+COUNTIFS($L$510:$L523,$L523))</f>
        <v/>
      </c>
    </row>
    <row r="524" customFormat="false" ht="15" hidden="false" customHeight="true" outlineLevel="0" collapsed="false">
      <c r="B524" s="12"/>
      <c r="C524" s="100"/>
      <c r="D524" s="101" t="str">
        <f aca="false">IF($B524="","","Expense")</f>
        <v/>
      </c>
      <c r="E524" s="14"/>
      <c r="F524" s="102"/>
      <c r="G524" s="102"/>
      <c r="H524" s="103" t="str">
        <f aca="false">IF($B524="","",N($E524))</f>
        <v/>
      </c>
      <c r="I524" s="104" t="str">
        <f aca="false">IF($B524="","",$I$508+SUMIFS($G$510:$G$560,$M$510:$M$560,"&lt;="&amp;$M524)-SUMIFS($H$510:$H$560,$M$510:$M$560,"&lt;="&amp;$M524))</f>
        <v/>
      </c>
      <c r="J524" s="102"/>
      <c r="K524" s="96" t="str">
        <f aca="false">IF($B524="","","ACTUAL")</f>
        <v/>
      </c>
      <c r="L524" s="0" t="str">
        <f aca="false">IF($B524="","",IF($C524="",$E$6+69,$C524))</f>
        <v/>
      </c>
      <c r="M524" s="0" t="str">
        <f aca="false">IF($L524="","",COUNTIFS($L$510:$L$560,"&lt;"&amp;$L524)+COUNTIFS($L$510:$L524,$L524))</f>
        <v/>
      </c>
    </row>
    <row r="525" customFormat="false" ht="15" hidden="false" customHeight="true" outlineLevel="0" collapsed="false">
      <c r="B525" s="12"/>
      <c r="C525" s="100"/>
      <c r="D525" s="101" t="str">
        <f aca="false">IF($B525="","","Expense")</f>
        <v/>
      </c>
      <c r="E525" s="14"/>
      <c r="F525" s="102"/>
      <c r="G525" s="102"/>
      <c r="H525" s="103" t="str">
        <f aca="false">IF($B525="","",N($E525))</f>
        <v/>
      </c>
      <c r="I525" s="104" t="str">
        <f aca="false">IF($B525="","",$I$508+SUMIFS($G$510:$G$560,$M$510:$M$560,"&lt;="&amp;$M525)-SUMIFS($H$510:$H$560,$M$510:$M$560,"&lt;="&amp;$M525))</f>
        <v/>
      </c>
      <c r="J525" s="102"/>
      <c r="K525" s="96" t="str">
        <f aca="false">IF($B525="","","ACTUAL")</f>
        <v/>
      </c>
      <c r="L525" s="0" t="str">
        <f aca="false">IF($B525="","",IF($C525="",$E$6+69,$C525))</f>
        <v/>
      </c>
      <c r="M525" s="0" t="str">
        <f aca="false">IF($L525="","",COUNTIFS($L$510:$L$560,"&lt;"&amp;$L525)+COUNTIFS($L$510:$L525,$L525))</f>
        <v/>
      </c>
    </row>
    <row r="526" customFormat="false" ht="15" hidden="false" customHeight="true" outlineLevel="0" collapsed="false">
      <c r="B526" s="12"/>
      <c r="C526" s="100"/>
      <c r="D526" s="101" t="str">
        <f aca="false">IF($B526="","","Expense")</f>
        <v/>
      </c>
      <c r="E526" s="14"/>
      <c r="F526" s="102"/>
      <c r="G526" s="102"/>
      <c r="H526" s="103" t="str">
        <f aca="false">IF($B526="","",N($E526))</f>
        <v/>
      </c>
      <c r="I526" s="104" t="str">
        <f aca="false">IF($B526="","",$I$508+SUMIFS($G$510:$G$560,$M$510:$M$560,"&lt;="&amp;$M526)-SUMIFS($H$510:$H$560,$M$510:$M$560,"&lt;="&amp;$M526))</f>
        <v/>
      </c>
      <c r="J526" s="102"/>
      <c r="K526" s="96" t="str">
        <f aca="false">IF($B526="","","ACTUAL")</f>
        <v/>
      </c>
      <c r="L526" s="0" t="str">
        <f aca="false">IF($B526="","",IF($C526="",$E$6+69,$C526))</f>
        <v/>
      </c>
      <c r="M526" s="0" t="str">
        <f aca="false">IF($L526="","",COUNTIFS($L$510:$L$560,"&lt;"&amp;$L526)+COUNTIFS($L$510:$L526,$L526))</f>
        <v/>
      </c>
    </row>
    <row r="527" customFormat="false" ht="15" hidden="false" customHeight="true" outlineLevel="0" collapsed="false">
      <c r="B527" s="12"/>
      <c r="C527" s="100"/>
      <c r="D527" s="101" t="str">
        <f aca="false">IF($B527="","","Expense")</f>
        <v/>
      </c>
      <c r="E527" s="14"/>
      <c r="F527" s="102"/>
      <c r="G527" s="102"/>
      <c r="H527" s="103" t="str">
        <f aca="false">IF($B527="","",N($E527))</f>
        <v/>
      </c>
      <c r="I527" s="104" t="str">
        <f aca="false">IF($B527="","",$I$508+SUMIFS($G$510:$G$560,$M$510:$M$560,"&lt;="&amp;$M527)-SUMIFS($H$510:$H$560,$M$510:$M$560,"&lt;="&amp;$M527))</f>
        <v/>
      </c>
      <c r="J527" s="102"/>
      <c r="K527" s="96" t="str">
        <f aca="false">IF($B527="","","ACTUAL")</f>
        <v/>
      </c>
      <c r="L527" s="0" t="str">
        <f aca="false">IF($B527="","",IF($C527="",$E$6+69,$C527))</f>
        <v/>
      </c>
      <c r="M527" s="0" t="str">
        <f aca="false">IF($L527="","",COUNTIFS($L$510:$L$560,"&lt;"&amp;$L527)+COUNTIFS($L$510:$L527,$L527))</f>
        <v/>
      </c>
    </row>
    <row r="528" customFormat="false" ht="15" hidden="false" customHeight="true" outlineLevel="0" collapsed="false">
      <c r="B528" s="12"/>
      <c r="C528" s="100"/>
      <c r="D528" s="101" t="str">
        <f aca="false">IF($B528="","","Expense")</f>
        <v/>
      </c>
      <c r="E528" s="14"/>
      <c r="F528" s="102"/>
      <c r="G528" s="102"/>
      <c r="H528" s="103" t="str">
        <f aca="false">IF($B528="","",N($E528))</f>
        <v/>
      </c>
      <c r="I528" s="104" t="str">
        <f aca="false">IF($B528="","",$I$508+SUMIFS($G$510:$G$560,$M$510:$M$560,"&lt;="&amp;$M528)-SUMIFS($H$510:$H$560,$M$510:$M$560,"&lt;="&amp;$M528))</f>
        <v/>
      </c>
      <c r="J528" s="102"/>
      <c r="K528" s="96" t="str">
        <f aca="false">IF($B528="","","ACTUAL")</f>
        <v/>
      </c>
      <c r="L528" s="0" t="str">
        <f aca="false">IF($B528="","",IF($C528="",$E$6+69,$C528))</f>
        <v/>
      </c>
      <c r="M528" s="0" t="str">
        <f aca="false">IF($L528="","",COUNTIFS($L$510:$L$560,"&lt;"&amp;$L528)+COUNTIFS($L$510:$L528,$L528))</f>
        <v/>
      </c>
    </row>
    <row r="529" customFormat="false" ht="15" hidden="false" customHeight="true" outlineLevel="0" collapsed="false">
      <c r="B529" s="12"/>
      <c r="C529" s="100"/>
      <c r="D529" s="101" t="str">
        <f aca="false">IF($B529="","","Expense")</f>
        <v/>
      </c>
      <c r="E529" s="14"/>
      <c r="F529" s="102"/>
      <c r="G529" s="102"/>
      <c r="H529" s="103" t="str">
        <f aca="false">IF($B529="","",N($E529))</f>
        <v/>
      </c>
      <c r="I529" s="104" t="str">
        <f aca="false">IF($B529="","",$I$508+SUMIFS($G$510:$G$560,$M$510:$M$560,"&lt;="&amp;$M529)-SUMIFS($H$510:$H$560,$M$510:$M$560,"&lt;="&amp;$M529))</f>
        <v/>
      </c>
      <c r="J529" s="102"/>
      <c r="K529" s="96" t="str">
        <f aca="false">IF($B529="","","ACTUAL")</f>
        <v/>
      </c>
      <c r="L529" s="0" t="str">
        <f aca="false">IF($B529="","",IF($C529="",$E$6+69,$C529))</f>
        <v/>
      </c>
      <c r="M529" s="0" t="str">
        <f aca="false">IF($L529="","",COUNTIFS($L$510:$L$560,"&lt;"&amp;$L529)+COUNTIFS($L$510:$L529,$L529))</f>
        <v/>
      </c>
    </row>
    <row r="530" customFormat="false" ht="15" hidden="false" customHeight="true" outlineLevel="0" collapsed="false">
      <c r="B530" s="12"/>
      <c r="C530" s="100"/>
      <c r="D530" s="101" t="str">
        <f aca="false">IF($B530="","","Expense")</f>
        <v/>
      </c>
      <c r="E530" s="14"/>
      <c r="F530" s="102"/>
      <c r="G530" s="102"/>
      <c r="H530" s="103" t="str">
        <f aca="false">IF($B530="","",N($E530))</f>
        <v/>
      </c>
      <c r="I530" s="104" t="str">
        <f aca="false">IF($B530="","",$I$508+SUMIFS($G$510:$G$560,$M$510:$M$560,"&lt;="&amp;$M530)-SUMIFS($H$510:$H$560,$M$510:$M$560,"&lt;="&amp;$M530))</f>
        <v/>
      </c>
      <c r="J530" s="102"/>
      <c r="K530" s="96" t="str">
        <f aca="false">IF($B530="","","ACTUAL")</f>
        <v/>
      </c>
      <c r="L530" s="0" t="str">
        <f aca="false">IF($B530="","",IF($C530="",$E$6+69,$C530))</f>
        <v/>
      </c>
      <c r="M530" s="0" t="str">
        <f aca="false">IF($L530="","",COUNTIFS($L$510:$L$560,"&lt;"&amp;$L530)+COUNTIFS($L$510:$L530,$L530))</f>
        <v/>
      </c>
    </row>
    <row r="531" customFormat="false" ht="15" hidden="false" customHeight="true" outlineLevel="0" collapsed="false">
      <c r="B531" s="12"/>
      <c r="C531" s="100"/>
      <c r="D531" s="101" t="str">
        <f aca="false">IF($B531="","","Expense")</f>
        <v/>
      </c>
      <c r="E531" s="14"/>
      <c r="F531" s="102"/>
      <c r="G531" s="102"/>
      <c r="H531" s="103" t="str">
        <f aca="false">IF($B531="","",N($E531))</f>
        <v/>
      </c>
      <c r="I531" s="104" t="str">
        <f aca="false">IF($B531="","",$I$508+SUMIFS($G$510:$G$560,$M$510:$M$560,"&lt;="&amp;$M531)-SUMIFS($H$510:$H$560,$M$510:$M$560,"&lt;="&amp;$M531))</f>
        <v/>
      </c>
      <c r="J531" s="102"/>
      <c r="K531" s="96" t="str">
        <f aca="false">IF($B531="","","ACTUAL")</f>
        <v/>
      </c>
      <c r="L531" s="0" t="str">
        <f aca="false">IF($B531="","",IF($C531="",$E$6+69,$C531))</f>
        <v/>
      </c>
      <c r="M531" s="0" t="str">
        <f aca="false">IF($L531="","",COUNTIFS($L$510:$L$560,"&lt;"&amp;$L531)+COUNTIFS($L$510:$L531,$L531))</f>
        <v/>
      </c>
    </row>
    <row r="532" customFormat="false" ht="15" hidden="false" customHeight="true" outlineLevel="0" collapsed="false">
      <c r="B532" s="12"/>
      <c r="C532" s="100"/>
      <c r="D532" s="101" t="str">
        <f aca="false">IF($B532="","","Expense")</f>
        <v/>
      </c>
      <c r="E532" s="14"/>
      <c r="F532" s="102"/>
      <c r="G532" s="102"/>
      <c r="H532" s="103" t="str">
        <f aca="false">IF($B532="","",N($E532))</f>
        <v/>
      </c>
      <c r="I532" s="104" t="str">
        <f aca="false">IF($B532="","",$I$508+SUMIFS($G$510:$G$560,$M$510:$M$560,"&lt;="&amp;$M532)-SUMIFS($H$510:$H$560,$M$510:$M$560,"&lt;="&amp;$M532))</f>
        <v/>
      </c>
      <c r="J532" s="102"/>
      <c r="K532" s="96" t="str">
        <f aca="false">IF($B532="","","ACTUAL")</f>
        <v/>
      </c>
      <c r="L532" s="0" t="str">
        <f aca="false">IF($B532="","",IF($C532="",$E$6+69,$C532))</f>
        <v/>
      </c>
      <c r="M532" s="0" t="str">
        <f aca="false">IF($L532="","",COUNTIFS($L$510:$L$560,"&lt;"&amp;$L532)+COUNTIFS($L$510:$L532,$L532))</f>
        <v/>
      </c>
    </row>
    <row r="533" customFormat="false" ht="15" hidden="false" customHeight="true" outlineLevel="0" collapsed="false">
      <c r="B533" s="12"/>
      <c r="C533" s="100"/>
      <c r="D533" s="101" t="str">
        <f aca="false">IF($B533="","","Expense")</f>
        <v/>
      </c>
      <c r="E533" s="14"/>
      <c r="F533" s="102"/>
      <c r="G533" s="102"/>
      <c r="H533" s="103" t="str">
        <f aca="false">IF($B533="","",N($E533))</f>
        <v/>
      </c>
      <c r="I533" s="104" t="str">
        <f aca="false">IF($B533="","",$I$508+SUMIFS($G$510:$G$560,$M$510:$M$560,"&lt;="&amp;$M533)-SUMIFS($H$510:$H$560,$M$510:$M$560,"&lt;="&amp;$M533))</f>
        <v/>
      </c>
      <c r="J533" s="102"/>
      <c r="K533" s="96" t="str">
        <f aca="false">IF($B533="","","ACTUAL")</f>
        <v/>
      </c>
      <c r="L533" s="0" t="str">
        <f aca="false">IF($B533="","",IF($C533="",$E$6+69,$C533))</f>
        <v/>
      </c>
      <c r="M533" s="0" t="str">
        <f aca="false">IF($L533="","",COUNTIFS($L$510:$L$560,"&lt;"&amp;$L533)+COUNTIFS($L$510:$L533,$L533))</f>
        <v/>
      </c>
    </row>
    <row r="534" customFormat="false" ht="15" hidden="false" customHeight="true" outlineLevel="0" collapsed="false">
      <c r="B534" s="12"/>
      <c r="C534" s="100"/>
      <c r="D534" s="101" t="str">
        <f aca="false">IF($B534="","","Expense")</f>
        <v/>
      </c>
      <c r="E534" s="14"/>
      <c r="F534" s="102"/>
      <c r="G534" s="102"/>
      <c r="H534" s="103" t="str">
        <f aca="false">IF($B534="","",N($E534))</f>
        <v/>
      </c>
      <c r="I534" s="104" t="str">
        <f aca="false">IF($B534="","",$I$508+SUMIFS($G$510:$G$560,$M$510:$M$560,"&lt;="&amp;$M534)-SUMIFS($H$510:$H$560,$M$510:$M$560,"&lt;="&amp;$M534))</f>
        <v/>
      </c>
      <c r="J534" s="102"/>
      <c r="K534" s="96" t="str">
        <f aca="false">IF($B534="","","ACTUAL")</f>
        <v/>
      </c>
      <c r="L534" s="0" t="str">
        <f aca="false">IF($B534="","",IF($C534="",$E$6+69,$C534))</f>
        <v/>
      </c>
      <c r="M534" s="0" t="str">
        <f aca="false">IF($L534="","",COUNTIFS($L$510:$L$560,"&lt;"&amp;$L534)+COUNTIFS($L$510:$L534,$L534))</f>
        <v/>
      </c>
    </row>
    <row r="535" customFormat="false" ht="15" hidden="false" customHeight="true" outlineLevel="0" collapsed="false">
      <c r="B535" s="12"/>
      <c r="C535" s="100"/>
      <c r="D535" s="101" t="str">
        <f aca="false">IF($B535="","","Expense")</f>
        <v/>
      </c>
      <c r="E535" s="14"/>
      <c r="F535" s="102"/>
      <c r="G535" s="102"/>
      <c r="H535" s="103" t="str">
        <f aca="false">IF($B535="","",N($E535))</f>
        <v/>
      </c>
      <c r="I535" s="104" t="str">
        <f aca="false">IF($B535="","",$I$508+SUMIFS($G$510:$G$560,$M$510:$M$560,"&lt;="&amp;$M535)-SUMIFS($H$510:$H$560,$M$510:$M$560,"&lt;="&amp;$M535))</f>
        <v/>
      </c>
      <c r="J535" s="102"/>
      <c r="K535" s="96" t="str">
        <f aca="false">IF($B535="","","ACTUAL")</f>
        <v/>
      </c>
      <c r="L535" s="0" t="str">
        <f aca="false">IF($B535="","",IF($C535="",$E$6+69,$C535))</f>
        <v/>
      </c>
      <c r="M535" s="0" t="str">
        <f aca="false">IF($L535="","",COUNTIFS($L$510:$L$560,"&lt;"&amp;$L535)+COUNTIFS($L$510:$L535,$L535))</f>
        <v/>
      </c>
    </row>
    <row r="536" customFormat="false" ht="15" hidden="false" customHeight="true" outlineLevel="0" collapsed="false">
      <c r="B536" s="12"/>
      <c r="C536" s="100"/>
      <c r="D536" s="101" t="str">
        <f aca="false">IF($B536="","","Expense")</f>
        <v/>
      </c>
      <c r="E536" s="14"/>
      <c r="F536" s="102"/>
      <c r="G536" s="102"/>
      <c r="H536" s="103" t="str">
        <f aca="false">IF($B536="","",N($E536))</f>
        <v/>
      </c>
      <c r="I536" s="104" t="str">
        <f aca="false">IF($B536="","",$I$508+SUMIFS($G$510:$G$560,$M$510:$M$560,"&lt;="&amp;$M536)-SUMIFS($H$510:$H$560,$M$510:$M$560,"&lt;="&amp;$M536))</f>
        <v/>
      </c>
      <c r="J536" s="102"/>
      <c r="K536" s="96" t="str">
        <f aca="false">IF($B536="","","ACTUAL")</f>
        <v/>
      </c>
      <c r="L536" s="0" t="str">
        <f aca="false">IF($B536="","",IF($C536="",$E$6+69,$C536))</f>
        <v/>
      </c>
      <c r="M536" s="0" t="str">
        <f aca="false">IF($L536="","",COUNTIFS($L$510:$L$560,"&lt;"&amp;$L536)+COUNTIFS($L$510:$L536,$L536))</f>
        <v/>
      </c>
    </row>
    <row r="537" customFormat="false" ht="15" hidden="false" customHeight="true" outlineLevel="0" collapsed="false">
      <c r="B537" s="12"/>
      <c r="C537" s="100"/>
      <c r="D537" s="101" t="str">
        <f aca="false">IF($B537="","","Expense")</f>
        <v/>
      </c>
      <c r="E537" s="14"/>
      <c r="F537" s="102"/>
      <c r="G537" s="102"/>
      <c r="H537" s="103" t="str">
        <f aca="false">IF($B537="","",N($E537))</f>
        <v/>
      </c>
      <c r="I537" s="104" t="str">
        <f aca="false">IF($B537="","",$I$508+SUMIFS($G$510:$G$560,$M$510:$M$560,"&lt;="&amp;$M537)-SUMIFS($H$510:$H$560,$M$510:$M$560,"&lt;="&amp;$M537))</f>
        <v/>
      </c>
      <c r="J537" s="102"/>
      <c r="K537" s="96" t="str">
        <f aca="false">IF($B537="","","ACTUAL")</f>
        <v/>
      </c>
      <c r="L537" s="0" t="str">
        <f aca="false">IF($B537="","",IF($C537="",$E$6+69,$C537))</f>
        <v/>
      </c>
      <c r="M537" s="0" t="str">
        <f aca="false">IF($L537="","",COUNTIFS($L$510:$L$560,"&lt;"&amp;$L537)+COUNTIFS($L$510:$L537,$L537))</f>
        <v/>
      </c>
    </row>
    <row r="538" customFormat="false" ht="15" hidden="false" customHeight="true" outlineLevel="0" collapsed="false">
      <c r="B538" s="12"/>
      <c r="C538" s="100"/>
      <c r="D538" s="101" t="str">
        <f aca="false">IF($B538="","","Expense")</f>
        <v/>
      </c>
      <c r="E538" s="14"/>
      <c r="F538" s="102"/>
      <c r="G538" s="102"/>
      <c r="H538" s="103" t="str">
        <f aca="false">IF($B538="","",N($E538))</f>
        <v/>
      </c>
      <c r="I538" s="104" t="str">
        <f aca="false">IF($B538="","",$I$508+SUMIFS($G$510:$G$560,$M$510:$M$560,"&lt;="&amp;$M538)-SUMIFS($H$510:$H$560,$M$510:$M$560,"&lt;="&amp;$M538))</f>
        <v/>
      </c>
      <c r="J538" s="102"/>
      <c r="K538" s="96" t="str">
        <f aca="false">IF($B538="","","ACTUAL")</f>
        <v/>
      </c>
      <c r="L538" s="0" t="str">
        <f aca="false">IF($B538="","",IF($C538="",$E$6+69,$C538))</f>
        <v/>
      </c>
      <c r="M538" s="0" t="str">
        <f aca="false">IF($L538="","",COUNTIFS($L$510:$L$560,"&lt;"&amp;$L538)+COUNTIFS($L$510:$L538,$L538))</f>
        <v/>
      </c>
    </row>
    <row r="539" customFormat="false" ht="15" hidden="false" customHeight="true" outlineLevel="0" collapsed="false">
      <c r="B539" s="12"/>
      <c r="C539" s="100"/>
      <c r="D539" s="101" t="str">
        <f aca="false">IF($B539="","","Expense")</f>
        <v/>
      </c>
      <c r="E539" s="14"/>
      <c r="F539" s="102"/>
      <c r="G539" s="102"/>
      <c r="H539" s="103" t="str">
        <f aca="false">IF($B539="","",N($E539))</f>
        <v/>
      </c>
      <c r="I539" s="104" t="str">
        <f aca="false">IF($B539="","",$I$508+SUMIFS($G$510:$G$560,$M$510:$M$560,"&lt;="&amp;$M539)-SUMIFS($H$510:$H$560,$M$510:$M$560,"&lt;="&amp;$M539))</f>
        <v/>
      </c>
      <c r="J539" s="102"/>
      <c r="K539" s="96" t="str">
        <f aca="false">IF($B539="","","ACTUAL")</f>
        <v/>
      </c>
      <c r="L539" s="0" t="str">
        <f aca="false">IF($B539="","",IF($C539="",$E$6+69,$C539))</f>
        <v/>
      </c>
      <c r="M539" s="0" t="str">
        <f aca="false">IF($L539="","",COUNTIFS($L$510:$L$560,"&lt;"&amp;$L539)+COUNTIFS($L$510:$L539,$L539))</f>
        <v/>
      </c>
    </row>
    <row r="540" customFormat="false" ht="15" hidden="false" customHeight="true" outlineLevel="0" collapsed="false">
      <c r="B540" s="12"/>
      <c r="C540" s="100"/>
      <c r="D540" s="101" t="str">
        <f aca="false">IF($B540="","","Expense")</f>
        <v/>
      </c>
      <c r="E540" s="14"/>
      <c r="F540" s="102"/>
      <c r="G540" s="102"/>
      <c r="H540" s="103" t="str">
        <f aca="false">IF($B540="","",N($E540))</f>
        <v/>
      </c>
      <c r="I540" s="104" t="str">
        <f aca="false">IF($B540="","",$I$508+SUMIFS($G$510:$G$560,$M$510:$M$560,"&lt;="&amp;$M540)-SUMIFS($H$510:$H$560,$M$510:$M$560,"&lt;="&amp;$M540))</f>
        <v/>
      </c>
      <c r="J540" s="102"/>
      <c r="K540" s="96" t="str">
        <f aca="false">IF($B540="","","ACTUAL")</f>
        <v/>
      </c>
      <c r="L540" s="0" t="str">
        <f aca="false">IF($B540="","",IF($C540="",$E$6+69,$C540))</f>
        <v/>
      </c>
      <c r="M540" s="0" t="str">
        <f aca="false">IF($L540="","",COUNTIFS($L$510:$L$560,"&lt;"&amp;$L540)+COUNTIFS($L$510:$L540,$L540))</f>
        <v/>
      </c>
    </row>
    <row r="541" customFormat="false" ht="15" hidden="false" customHeight="true" outlineLevel="0" collapsed="false">
      <c r="B541" s="12"/>
      <c r="C541" s="100"/>
      <c r="D541" s="101" t="str">
        <f aca="false">IF($B541="","","Expense")</f>
        <v/>
      </c>
      <c r="E541" s="14"/>
      <c r="F541" s="102"/>
      <c r="G541" s="102"/>
      <c r="H541" s="103" t="str">
        <f aca="false">IF($B541="","",N($E541))</f>
        <v/>
      </c>
      <c r="I541" s="104" t="str">
        <f aca="false">IF($B541="","",$I$508+SUMIFS($G$510:$G$560,$M$510:$M$560,"&lt;="&amp;$M541)-SUMIFS($H$510:$H$560,$M$510:$M$560,"&lt;="&amp;$M541))</f>
        <v/>
      </c>
      <c r="J541" s="102"/>
      <c r="K541" s="96" t="str">
        <f aca="false">IF($B541="","","ACTUAL")</f>
        <v/>
      </c>
      <c r="L541" s="0" t="str">
        <f aca="false">IF($B541="","",IF($C541="",$E$6+69,$C541))</f>
        <v/>
      </c>
      <c r="M541" s="0" t="str">
        <f aca="false">IF($L541="","",COUNTIFS($L$510:$L$560,"&lt;"&amp;$L541)+COUNTIFS($L$510:$L541,$L541))</f>
        <v/>
      </c>
    </row>
    <row r="542" customFormat="false" ht="15" hidden="false" customHeight="true" outlineLevel="0" collapsed="false">
      <c r="B542" s="12"/>
      <c r="C542" s="100"/>
      <c r="D542" s="101" t="str">
        <f aca="false">IF($B542="","","Expense")</f>
        <v/>
      </c>
      <c r="E542" s="14"/>
      <c r="F542" s="102"/>
      <c r="G542" s="102"/>
      <c r="H542" s="103" t="str">
        <f aca="false">IF($B542="","",N($E542))</f>
        <v/>
      </c>
      <c r="I542" s="104" t="str">
        <f aca="false">IF($B542="","",$I$508+SUMIFS($G$510:$G$560,$M$510:$M$560,"&lt;="&amp;$M542)-SUMIFS($H$510:$H$560,$M$510:$M$560,"&lt;="&amp;$M542))</f>
        <v/>
      </c>
      <c r="J542" s="102"/>
      <c r="K542" s="96" t="str">
        <f aca="false">IF($B542="","","ACTUAL")</f>
        <v/>
      </c>
      <c r="L542" s="0" t="str">
        <f aca="false">IF($B542="","",IF($C542="",$E$6+69,$C542))</f>
        <v/>
      </c>
      <c r="M542" s="0" t="str">
        <f aca="false">IF($L542="","",COUNTIFS($L$510:$L$560,"&lt;"&amp;$L542)+COUNTIFS($L$510:$L542,$L542))</f>
        <v/>
      </c>
    </row>
    <row r="543" customFormat="false" ht="15" hidden="false" customHeight="true" outlineLevel="0" collapsed="false">
      <c r="B543" s="12"/>
      <c r="C543" s="100"/>
      <c r="D543" s="101" t="str">
        <f aca="false">IF($B543="","","Expense")</f>
        <v/>
      </c>
      <c r="E543" s="14"/>
      <c r="F543" s="102"/>
      <c r="G543" s="102"/>
      <c r="H543" s="103" t="str">
        <f aca="false">IF($B543="","",N($E543))</f>
        <v/>
      </c>
      <c r="I543" s="104" t="str">
        <f aca="false">IF($B543="","",$I$508+SUMIFS($G$510:$G$560,$M$510:$M$560,"&lt;="&amp;$M543)-SUMIFS($H$510:$H$560,$M$510:$M$560,"&lt;="&amp;$M543))</f>
        <v/>
      </c>
      <c r="J543" s="102"/>
      <c r="K543" s="96" t="str">
        <f aca="false">IF($B543="","","ACTUAL")</f>
        <v/>
      </c>
      <c r="L543" s="0" t="str">
        <f aca="false">IF($B543="","",IF($C543="",$E$6+69,$C543))</f>
        <v/>
      </c>
      <c r="M543" s="0" t="str">
        <f aca="false">IF($L543="","",COUNTIFS($L$510:$L$560,"&lt;"&amp;$L543)+COUNTIFS($L$510:$L543,$L543))</f>
        <v/>
      </c>
    </row>
    <row r="544" customFormat="false" ht="15" hidden="false" customHeight="true" outlineLevel="0" collapsed="false">
      <c r="B544" s="12"/>
      <c r="C544" s="100"/>
      <c r="D544" s="101" t="str">
        <f aca="false">IF($B544="","","Expense")</f>
        <v/>
      </c>
      <c r="E544" s="14"/>
      <c r="F544" s="102"/>
      <c r="G544" s="102"/>
      <c r="H544" s="103" t="str">
        <f aca="false">IF($B544="","",N($E544))</f>
        <v/>
      </c>
      <c r="I544" s="104" t="str">
        <f aca="false">IF($B544="","",$I$508+SUMIFS($G$510:$G$560,$M$510:$M$560,"&lt;="&amp;$M544)-SUMIFS($H$510:$H$560,$M$510:$M$560,"&lt;="&amp;$M544))</f>
        <v/>
      </c>
      <c r="J544" s="102"/>
      <c r="K544" s="96" t="str">
        <f aca="false">IF($B544="","","ACTUAL")</f>
        <v/>
      </c>
      <c r="L544" s="0" t="str">
        <f aca="false">IF($B544="","",IF($C544="",$E$6+69,$C544))</f>
        <v/>
      </c>
      <c r="M544" s="0" t="str">
        <f aca="false">IF($L544="","",COUNTIFS($L$510:$L$560,"&lt;"&amp;$L544)+COUNTIFS($L$510:$L544,$L544))</f>
        <v/>
      </c>
    </row>
    <row r="545" customFormat="false" ht="15" hidden="false" customHeight="true" outlineLevel="0" collapsed="false">
      <c r="B545" s="12"/>
      <c r="C545" s="100"/>
      <c r="D545" s="101" t="str">
        <f aca="false">IF($B545="","","Expense")</f>
        <v/>
      </c>
      <c r="E545" s="14"/>
      <c r="F545" s="102"/>
      <c r="G545" s="102"/>
      <c r="H545" s="103" t="str">
        <f aca="false">IF($B545="","",N($E545))</f>
        <v/>
      </c>
      <c r="I545" s="104" t="str">
        <f aca="false">IF($B545="","",$I$508+SUMIFS($G$510:$G$560,$M$510:$M$560,"&lt;="&amp;$M545)-SUMIFS($H$510:$H$560,$M$510:$M$560,"&lt;="&amp;$M545))</f>
        <v/>
      </c>
      <c r="J545" s="102"/>
      <c r="K545" s="96" t="str">
        <f aca="false">IF($B545="","","ACTUAL")</f>
        <v/>
      </c>
      <c r="L545" s="0" t="str">
        <f aca="false">IF($B545="","",IF($C545="",$E$6+69,$C545))</f>
        <v/>
      </c>
      <c r="M545" s="0" t="str">
        <f aca="false">IF($L545="","",COUNTIFS($L$510:$L$560,"&lt;"&amp;$L545)+COUNTIFS($L$510:$L545,$L545))</f>
        <v/>
      </c>
    </row>
    <row r="546" customFormat="false" ht="15" hidden="false" customHeight="true" outlineLevel="0" collapsed="false">
      <c r="B546" s="12"/>
      <c r="C546" s="100"/>
      <c r="D546" s="101" t="str">
        <f aca="false">IF($B546="","","Expense")</f>
        <v/>
      </c>
      <c r="E546" s="14"/>
      <c r="F546" s="102"/>
      <c r="G546" s="102"/>
      <c r="H546" s="103" t="str">
        <f aca="false">IF($B546="","",N($E546))</f>
        <v/>
      </c>
      <c r="I546" s="104" t="str">
        <f aca="false">IF($B546="","",$I$508+SUMIFS($G$510:$G$560,$M$510:$M$560,"&lt;="&amp;$M546)-SUMIFS($H$510:$H$560,$M$510:$M$560,"&lt;="&amp;$M546))</f>
        <v/>
      </c>
      <c r="J546" s="102"/>
      <c r="K546" s="96" t="str">
        <f aca="false">IF($B546="","","ACTUAL")</f>
        <v/>
      </c>
      <c r="L546" s="0" t="str">
        <f aca="false">IF($B546="","",IF($C546="",$E$6+69,$C546))</f>
        <v/>
      </c>
      <c r="M546" s="0" t="str">
        <f aca="false">IF($L546="","",COUNTIFS($L$510:$L$560,"&lt;"&amp;$L546)+COUNTIFS($L$510:$L546,$L546))</f>
        <v/>
      </c>
    </row>
    <row r="547" customFormat="false" ht="15" hidden="false" customHeight="true" outlineLevel="0" collapsed="false">
      <c r="B547" s="12"/>
      <c r="C547" s="100"/>
      <c r="D547" s="101" t="str">
        <f aca="false">IF($B547="","","Expense")</f>
        <v/>
      </c>
      <c r="E547" s="14"/>
      <c r="F547" s="102"/>
      <c r="G547" s="102"/>
      <c r="H547" s="103" t="str">
        <f aca="false">IF($B547="","",N($E547))</f>
        <v/>
      </c>
      <c r="I547" s="104" t="str">
        <f aca="false">IF($B547="","",$I$508+SUMIFS($G$510:$G$560,$M$510:$M$560,"&lt;="&amp;$M547)-SUMIFS($H$510:$H$560,$M$510:$M$560,"&lt;="&amp;$M547))</f>
        <v/>
      </c>
      <c r="J547" s="102"/>
      <c r="K547" s="96" t="str">
        <f aca="false">IF($B547="","","ACTUAL")</f>
        <v/>
      </c>
      <c r="L547" s="0" t="str">
        <f aca="false">IF($B547="","",IF($C547="",$E$6+69,$C547))</f>
        <v/>
      </c>
      <c r="M547" s="0" t="str">
        <f aca="false">IF($L547="","",COUNTIFS($L$510:$L$560,"&lt;"&amp;$L547)+COUNTIFS($L$510:$L547,$L547))</f>
        <v/>
      </c>
    </row>
    <row r="548" customFormat="false" ht="15" hidden="false" customHeight="true" outlineLevel="0" collapsed="false">
      <c r="B548" s="12"/>
      <c r="C548" s="100"/>
      <c r="D548" s="101" t="str">
        <f aca="false">IF($B548="","","Expense")</f>
        <v/>
      </c>
      <c r="E548" s="14"/>
      <c r="F548" s="102"/>
      <c r="G548" s="102"/>
      <c r="H548" s="103" t="str">
        <f aca="false">IF($B548="","",N($E548))</f>
        <v/>
      </c>
      <c r="I548" s="104" t="str">
        <f aca="false">IF($B548="","",$I$508+SUMIFS($G$510:$G$560,$M$510:$M$560,"&lt;="&amp;$M548)-SUMIFS($H$510:$H$560,$M$510:$M$560,"&lt;="&amp;$M548))</f>
        <v/>
      </c>
      <c r="J548" s="102"/>
      <c r="K548" s="96" t="str">
        <f aca="false">IF($B548="","","ACTUAL")</f>
        <v/>
      </c>
      <c r="L548" s="0" t="str">
        <f aca="false">IF($B548="","",IF($C548="",$E$6+69,$C548))</f>
        <v/>
      </c>
      <c r="M548" s="0" t="str">
        <f aca="false">IF($L548="","",COUNTIFS($L$510:$L$560,"&lt;"&amp;$L548)+COUNTIFS($L$510:$L548,$L548))</f>
        <v/>
      </c>
    </row>
    <row r="549" customFormat="false" ht="15" hidden="false" customHeight="true" outlineLevel="0" collapsed="false">
      <c r="B549" s="12"/>
      <c r="C549" s="100"/>
      <c r="D549" s="101" t="str">
        <f aca="false">IF($B549="","","Expense")</f>
        <v/>
      </c>
      <c r="E549" s="14"/>
      <c r="F549" s="102"/>
      <c r="G549" s="102"/>
      <c r="H549" s="103" t="str">
        <f aca="false">IF($B549="","",N($E549))</f>
        <v/>
      </c>
      <c r="I549" s="104" t="str">
        <f aca="false">IF($B549="","",$I$508+SUMIFS($G$510:$G$560,$M$510:$M$560,"&lt;="&amp;$M549)-SUMIFS($H$510:$H$560,$M$510:$M$560,"&lt;="&amp;$M549))</f>
        <v/>
      </c>
      <c r="J549" s="102"/>
      <c r="K549" s="96" t="str">
        <f aca="false">IF($B549="","","ACTUAL")</f>
        <v/>
      </c>
      <c r="L549" s="0" t="str">
        <f aca="false">IF($B549="","",IF($C549="",$E$6+69,$C549))</f>
        <v/>
      </c>
      <c r="M549" s="0" t="str">
        <f aca="false">IF($L549="","",COUNTIFS($L$510:$L$560,"&lt;"&amp;$L549)+COUNTIFS($L$510:$L549,$L549))</f>
        <v/>
      </c>
    </row>
    <row r="550" customFormat="false" ht="15" hidden="false" customHeight="true" outlineLevel="0" collapsed="false">
      <c r="B550" s="12"/>
      <c r="C550" s="100"/>
      <c r="D550" s="101" t="str">
        <f aca="false">IF($B550="","","Expense")</f>
        <v/>
      </c>
      <c r="E550" s="14"/>
      <c r="F550" s="102"/>
      <c r="G550" s="102"/>
      <c r="H550" s="103" t="str">
        <f aca="false">IF($B550="","",N($E550))</f>
        <v/>
      </c>
      <c r="I550" s="104" t="str">
        <f aca="false">IF($B550="","",$I$508+SUMIFS($G$510:$G$560,$M$510:$M$560,"&lt;="&amp;$M550)-SUMIFS($H$510:$H$560,$M$510:$M$560,"&lt;="&amp;$M550))</f>
        <v/>
      </c>
      <c r="J550" s="102"/>
      <c r="K550" s="96" t="str">
        <f aca="false">IF($B550="","","ACTUAL")</f>
        <v/>
      </c>
      <c r="L550" s="0" t="str">
        <f aca="false">IF($B550="","",IF($C550="",$E$6+69,$C550))</f>
        <v/>
      </c>
      <c r="M550" s="0" t="str">
        <f aca="false">IF($L550="","",COUNTIFS($L$510:$L$560,"&lt;"&amp;$L550)+COUNTIFS($L$510:$L550,$L550))</f>
        <v/>
      </c>
    </row>
    <row r="551" customFormat="false" ht="15" hidden="false" customHeight="true" outlineLevel="0" collapsed="false">
      <c r="B551" s="12"/>
      <c r="C551" s="100"/>
      <c r="D551" s="101" t="str">
        <f aca="false">IF($B551="","","Expense")</f>
        <v/>
      </c>
      <c r="E551" s="14"/>
      <c r="F551" s="102"/>
      <c r="G551" s="102"/>
      <c r="H551" s="103" t="str">
        <f aca="false">IF($B551="","",N($E551))</f>
        <v/>
      </c>
      <c r="I551" s="104" t="str">
        <f aca="false">IF($B551="","",$I$508+SUMIFS($G$510:$G$560,$M$510:$M$560,"&lt;="&amp;$M551)-SUMIFS($H$510:$H$560,$M$510:$M$560,"&lt;="&amp;$M551))</f>
        <v/>
      </c>
      <c r="J551" s="102"/>
      <c r="K551" s="96" t="str">
        <f aca="false">IF($B551="","","ACTUAL")</f>
        <v/>
      </c>
      <c r="L551" s="0" t="str">
        <f aca="false">IF($B551="","",IF($C551="",$E$6+69,$C551))</f>
        <v/>
      </c>
      <c r="M551" s="0" t="str">
        <f aca="false">IF($L551="","",COUNTIFS($L$510:$L$560,"&lt;"&amp;$L551)+COUNTIFS($L$510:$L551,$L551))</f>
        <v/>
      </c>
    </row>
    <row r="552" customFormat="false" ht="15" hidden="false" customHeight="true" outlineLevel="0" collapsed="false">
      <c r="B552" s="12"/>
      <c r="C552" s="100"/>
      <c r="D552" s="101" t="str">
        <f aca="false">IF($B552="","","Expense")</f>
        <v/>
      </c>
      <c r="E552" s="14"/>
      <c r="F552" s="102"/>
      <c r="G552" s="102"/>
      <c r="H552" s="103" t="str">
        <f aca="false">IF($B552="","",N($E552))</f>
        <v/>
      </c>
      <c r="I552" s="104" t="str">
        <f aca="false">IF($B552="","",$I$508+SUMIFS($G$510:$G$560,$M$510:$M$560,"&lt;="&amp;$M552)-SUMIFS($H$510:$H$560,$M$510:$M$560,"&lt;="&amp;$M552))</f>
        <v/>
      </c>
      <c r="J552" s="102"/>
      <c r="K552" s="96" t="str">
        <f aca="false">IF($B552="","","ACTUAL")</f>
        <v/>
      </c>
      <c r="L552" s="0" t="str">
        <f aca="false">IF($B552="","",IF($C552="",$E$6+69,$C552))</f>
        <v/>
      </c>
      <c r="M552" s="0" t="str">
        <f aca="false">IF($L552="","",COUNTIFS($L$510:$L$560,"&lt;"&amp;$L552)+COUNTIFS($L$510:$L552,$L552))</f>
        <v/>
      </c>
    </row>
    <row r="553" customFormat="false" ht="15" hidden="false" customHeight="true" outlineLevel="0" collapsed="false">
      <c r="B553" s="12"/>
      <c r="C553" s="100"/>
      <c r="D553" s="101" t="str">
        <f aca="false">IF($B553="","","Expense")</f>
        <v/>
      </c>
      <c r="E553" s="14"/>
      <c r="F553" s="102"/>
      <c r="G553" s="102"/>
      <c r="H553" s="103" t="str">
        <f aca="false">IF($B553="","",N($E553))</f>
        <v/>
      </c>
      <c r="I553" s="104" t="str">
        <f aca="false">IF($B553="","",$I$508+SUMIFS($G$510:$G$560,$M$510:$M$560,"&lt;="&amp;$M553)-SUMIFS($H$510:$H$560,$M$510:$M$560,"&lt;="&amp;$M553))</f>
        <v/>
      </c>
      <c r="J553" s="102"/>
      <c r="K553" s="96" t="str">
        <f aca="false">IF($B553="","","ACTUAL")</f>
        <v/>
      </c>
      <c r="L553" s="0" t="str">
        <f aca="false">IF($B553="","",IF($C553="",$E$6+69,$C553))</f>
        <v/>
      </c>
      <c r="M553" s="0" t="str">
        <f aca="false">IF($L553="","",COUNTIFS($L$510:$L$560,"&lt;"&amp;$L553)+COUNTIFS($L$510:$L553,$L553))</f>
        <v/>
      </c>
    </row>
    <row r="554" customFormat="false" ht="15" hidden="false" customHeight="true" outlineLevel="0" collapsed="false">
      <c r="B554" s="12"/>
      <c r="C554" s="100"/>
      <c r="D554" s="101" t="str">
        <f aca="false">IF($B554="","","Expense")</f>
        <v/>
      </c>
      <c r="E554" s="14"/>
      <c r="F554" s="102"/>
      <c r="G554" s="102"/>
      <c r="H554" s="103" t="str">
        <f aca="false">IF($B554="","",N($E554))</f>
        <v/>
      </c>
      <c r="I554" s="104" t="str">
        <f aca="false">IF($B554="","",$I$508+SUMIFS($G$510:$G$560,$M$510:$M$560,"&lt;="&amp;$M554)-SUMIFS($H$510:$H$560,$M$510:$M$560,"&lt;="&amp;$M554))</f>
        <v/>
      </c>
      <c r="J554" s="102"/>
      <c r="K554" s="96" t="str">
        <f aca="false">IF($B554="","","ACTUAL")</f>
        <v/>
      </c>
      <c r="L554" s="0" t="str">
        <f aca="false">IF($B554="","",IF($C554="",$E$6+69,$C554))</f>
        <v/>
      </c>
      <c r="M554" s="0" t="str">
        <f aca="false">IF($L554="","",COUNTIFS($L$510:$L$560,"&lt;"&amp;$L554)+COUNTIFS($L$510:$L554,$L554))</f>
        <v/>
      </c>
    </row>
    <row r="555" customFormat="false" ht="15" hidden="false" customHeight="true" outlineLevel="0" collapsed="false">
      <c r="B555" s="12"/>
      <c r="C555" s="100"/>
      <c r="D555" s="101" t="str">
        <f aca="false">IF($B555="","","Expense")</f>
        <v/>
      </c>
      <c r="E555" s="14"/>
      <c r="F555" s="102"/>
      <c r="G555" s="102"/>
      <c r="H555" s="103" t="str">
        <f aca="false">IF($B555="","",N($E555))</f>
        <v/>
      </c>
      <c r="I555" s="104" t="str">
        <f aca="false">IF($B555="","",$I$508+SUMIFS($G$510:$G$560,$M$510:$M$560,"&lt;="&amp;$M555)-SUMIFS($H$510:$H$560,$M$510:$M$560,"&lt;="&amp;$M555))</f>
        <v/>
      </c>
      <c r="J555" s="102"/>
      <c r="K555" s="96" t="str">
        <f aca="false">IF($B555="","","ACTUAL")</f>
        <v/>
      </c>
      <c r="L555" s="0" t="str">
        <f aca="false">IF($B555="","",IF($C555="",$E$6+69,$C555))</f>
        <v/>
      </c>
      <c r="M555" s="0" t="str">
        <f aca="false">IF($L555="","",COUNTIFS($L$510:$L$560,"&lt;"&amp;$L555)+COUNTIFS($L$510:$L555,$L555))</f>
        <v/>
      </c>
    </row>
    <row r="556" customFormat="false" ht="15" hidden="false" customHeight="true" outlineLevel="0" collapsed="false">
      <c r="B556" s="12"/>
      <c r="C556" s="100"/>
      <c r="D556" s="101" t="str">
        <f aca="false">IF($B556="","","Expense")</f>
        <v/>
      </c>
      <c r="E556" s="14"/>
      <c r="F556" s="102"/>
      <c r="G556" s="102"/>
      <c r="H556" s="103" t="str">
        <f aca="false">IF($B556="","",N($E556))</f>
        <v/>
      </c>
      <c r="I556" s="104" t="str">
        <f aca="false">IF($B556="","",$I$508+SUMIFS($G$510:$G$560,$M$510:$M$560,"&lt;="&amp;$M556)-SUMIFS($H$510:$H$560,$M$510:$M$560,"&lt;="&amp;$M556))</f>
        <v/>
      </c>
      <c r="J556" s="102"/>
      <c r="K556" s="96" t="str">
        <f aca="false">IF($B556="","","ACTUAL")</f>
        <v/>
      </c>
      <c r="L556" s="0" t="str">
        <f aca="false">IF($B556="","",IF($C556="",$E$6+69,$C556))</f>
        <v/>
      </c>
      <c r="M556" s="0" t="str">
        <f aca="false">IF($L556="","",COUNTIFS($L$510:$L$560,"&lt;"&amp;$L556)+COUNTIFS($L$510:$L556,$L556))</f>
        <v/>
      </c>
    </row>
    <row r="557" customFormat="false" ht="15" hidden="false" customHeight="true" outlineLevel="0" collapsed="false">
      <c r="B557" s="12"/>
      <c r="C557" s="100"/>
      <c r="D557" s="101" t="str">
        <f aca="false">IF($B557="","","Expense")</f>
        <v/>
      </c>
      <c r="E557" s="14"/>
      <c r="F557" s="102"/>
      <c r="G557" s="102"/>
      <c r="H557" s="103" t="str">
        <f aca="false">IF($B557="","",N($E557))</f>
        <v/>
      </c>
      <c r="I557" s="104" t="str">
        <f aca="false">IF($B557="","",$I$508+SUMIFS($G$510:$G$560,$M$510:$M$560,"&lt;="&amp;$M557)-SUMIFS($H$510:$H$560,$M$510:$M$560,"&lt;="&amp;$M557))</f>
        <v/>
      </c>
      <c r="J557" s="102"/>
      <c r="K557" s="96" t="str">
        <f aca="false">IF($B557="","","ACTUAL")</f>
        <v/>
      </c>
      <c r="L557" s="0" t="str">
        <f aca="false">IF($B557="","",IF($C557="",$E$6+69,$C557))</f>
        <v/>
      </c>
      <c r="M557" s="0" t="str">
        <f aca="false">IF($L557="","",COUNTIFS($L$510:$L$560,"&lt;"&amp;$L557)+COUNTIFS($L$510:$L557,$L557))</f>
        <v/>
      </c>
    </row>
    <row r="558" customFormat="false" ht="15" hidden="false" customHeight="true" outlineLevel="0" collapsed="false">
      <c r="B558" s="12"/>
      <c r="C558" s="100"/>
      <c r="D558" s="101" t="str">
        <f aca="false">IF($B558="","","Expense")</f>
        <v/>
      </c>
      <c r="E558" s="14"/>
      <c r="F558" s="102"/>
      <c r="G558" s="102"/>
      <c r="H558" s="103" t="str">
        <f aca="false">IF($B558="","",N($E558))</f>
        <v/>
      </c>
      <c r="I558" s="104" t="str">
        <f aca="false">IF($B558="","",$I$508+SUMIFS($G$510:$G$560,$M$510:$M$560,"&lt;="&amp;$M558)-SUMIFS($H$510:$H$560,$M$510:$M$560,"&lt;="&amp;$M558))</f>
        <v/>
      </c>
      <c r="J558" s="102"/>
      <c r="K558" s="96" t="str">
        <f aca="false">IF($B558="","","ACTUAL")</f>
        <v/>
      </c>
      <c r="L558" s="0" t="str">
        <f aca="false">IF($B558="","",IF($C558="",$E$6+69,$C558))</f>
        <v/>
      </c>
      <c r="M558" s="0" t="str">
        <f aca="false">IF($L558="","",COUNTIFS($L$510:$L$560,"&lt;"&amp;$L558)+COUNTIFS($L$510:$L558,$L558))</f>
        <v/>
      </c>
    </row>
    <row r="559" customFormat="false" ht="15" hidden="false" customHeight="true" outlineLevel="0" collapsed="false">
      <c r="B559" s="12"/>
      <c r="C559" s="100"/>
      <c r="D559" s="101" t="str">
        <f aca="false">IF($B559="","","Expense")</f>
        <v/>
      </c>
      <c r="E559" s="14"/>
      <c r="F559" s="102"/>
      <c r="G559" s="102"/>
      <c r="H559" s="103" t="str">
        <f aca="false">IF($B559="","",N($E559))</f>
        <v/>
      </c>
      <c r="I559" s="104" t="str">
        <f aca="false">IF($B559="","",$I$508+SUMIFS($G$510:$G$560,$M$510:$M$560,"&lt;="&amp;$M559)-SUMIFS($H$510:$H$560,$M$510:$M$560,"&lt;="&amp;$M559))</f>
        <v/>
      </c>
      <c r="J559" s="102"/>
      <c r="K559" s="96" t="str">
        <f aca="false">IF($B559="","","ACTUAL")</f>
        <v/>
      </c>
      <c r="L559" s="0" t="str">
        <f aca="false">IF($B559="","",IF($C559="",$E$6+69,$C559))</f>
        <v/>
      </c>
      <c r="M559" s="0" t="str">
        <f aca="false">IF($L559="","",COUNTIFS($L$510:$L$560,"&lt;"&amp;$L559)+COUNTIFS($L$510:$L559,$L559))</f>
        <v/>
      </c>
    </row>
    <row r="560" customFormat="false" ht="15" hidden="false" customHeight="true" outlineLevel="0" collapsed="false">
      <c r="B560" s="105" t="str">
        <f aca="false">"Everyday spending still expected this week"</f>
        <v>Everyday spending still expected this week</v>
      </c>
      <c r="C560" s="106" t="n">
        <f aca="false">$E$6+69</f>
        <v>46318</v>
      </c>
      <c r="D560" s="101" t="str">
        <f aca="false">IF($B560="","","Expense")</f>
        <v>Expense</v>
      </c>
      <c r="E560" s="107" t="n">
        <f aca="false">MAX(0,$E$8-SUM($E$521:$E$559))</f>
        <v>400</v>
      </c>
      <c r="F560" s="102"/>
      <c r="G560" s="102"/>
      <c r="H560" s="103" t="n">
        <f aca="false">IF($B560="","",N($E560))</f>
        <v>400</v>
      </c>
      <c r="I560" s="104" t="n">
        <f aca="false">IF($B560="","",$I$508+SUMIFS($G$510:$G$560,$M$510:$M$560,"&lt;="&amp;$M560)-SUMIFS($H$510:$H$560,$M$510:$M$560,"&lt;="&amp;$M560))</f>
        <v>202.27</v>
      </c>
      <c r="J560" s="102"/>
      <c r="K560" s="96" t="str">
        <f aca="false">"FORECAST"</f>
        <v>FORECAST</v>
      </c>
      <c r="L560" s="97" t="n">
        <f aca="false">IF($B560="","",IF($C560="",$E$6+69,$C560))</f>
        <v>46318</v>
      </c>
      <c r="M560" s="0" t="n">
        <f aca="false">IF($L560="","",COUNTIFS($L$510:$L$560,"&lt;"&amp;$L560)+COUNTIFS($L$510:$L560,$L560))</f>
        <v>5</v>
      </c>
    </row>
    <row r="561" customFormat="false" ht="15" hidden="false" customHeight="true" outlineLevel="0" collapsed="false">
      <c r="B561" s="108" t="s">
        <v>178</v>
      </c>
      <c r="C561" s="57"/>
      <c r="D561" s="57"/>
      <c r="E561" s="57"/>
      <c r="F561" s="57"/>
      <c r="G561" s="56" t="n">
        <f aca="false">SUM($G$510:$G$560)</f>
        <v>835</v>
      </c>
      <c r="H561" s="56" t="n">
        <f aca="false">SUM($H$510:$H$560)</f>
        <v>584.8</v>
      </c>
      <c r="I561" s="109" t="n">
        <f aca="false">$I$508+$G$561-$H$561</f>
        <v>202.27</v>
      </c>
      <c r="J561" s="110" t="str">
        <f aca="false">IF($I$561&lt;0,"SHORTFALL",IF($I$561&lt;$E$7,"TIGHT","OK"))</f>
        <v>OK</v>
      </c>
      <c r="K561" s="111"/>
      <c r="N561" s="111" t="str">
        <f aca="false">IF(COUNT($I$510:$I$560)=0,"","Lowest point this week: "&amp;TEXT(MIN($I$510:$I$560),"$#,##0.00;-$#,##0.00")&amp;" on "&amp;TEXT(INDEX($C$510:$C$560,MATCH(MIN($I$510:$I$560),$I$510:$I$560,0)),"ddd mmm d")&amp;"     (in "&amp;TEXT($G$561,"$#,##0.00")&amp;", out "&amp;TEXT($H$561,"$#,##0.00")&amp;")")</f>
        <v>Lowest point this week: -$142.73 on Thu Oct 22     (in $835.00, out $584.80)</v>
      </c>
    </row>
    <row r="563" customFormat="false" ht="21.75" hidden="false" customHeight="true" outlineLevel="0" collapsed="false">
      <c r="B563" s="82" t="str">
        <f aca="false">"WEEK 11     "&amp;TEXT($E$6+70,"ddd, mmm d")&amp;"   through   "&amp;TEXT($E$6+70+6,"ddd, mmm d, yyyy")</f>
        <v>WEEK 11     Sat, Oct 24   through   Fri, Oct 30, 2026</v>
      </c>
      <c r="C563" s="83"/>
      <c r="D563" s="83"/>
      <c r="E563" s="83"/>
      <c r="F563" s="83"/>
      <c r="G563" s="84" t="s">
        <v>139</v>
      </c>
      <c r="H563" s="83"/>
      <c r="I563" s="85" t="n">
        <f aca="false">$I$561</f>
        <v>202.27</v>
      </c>
      <c r="J563" s="83"/>
      <c r="K563" s="86"/>
      <c r="N563" s="86" t="str">
        <f aca="false">IF(COUNTIF(Schedule!$I$4:$I$483,11)&gt;10,"! "&amp;COUNTIF(Schedule!$I$4:$I$483,11)-10&amp;" more transaction(s) fall in this week than there are rows to show them.","")</f>
        <v/>
      </c>
    </row>
    <row r="564" customFormat="false" ht="25.5" hidden="false" customHeight="true" outlineLevel="0" collapsed="false">
      <c r="B564" s="87" t="s">
        <v>140</v>
      </c>
      <c r="C564" s="87" t="s">
        <v>141</v>
      </c>
      <c r="D564" s="87" t="s">
        <v>42</v>
      </c>
      <c r="E564" s="87" t="s">
        <v>142</v>
      </c>
      <c r="F564" s="87" t="s">
        <v>143</v>
      </c>
      <c r="G564" s="36" t="s">
        <v>144</v>
      </c>
      <c r="H564" s="37" t="s">
        <v>145</v>
      </c>
      <c r="I564" s="87" t="s">
        <v>146</v>
      </c>
      <c r="J564" s="87" t="s">
        <v>14</v>
      </c>
      <c r="K564" s="87" t="s">
        <v>147</v>
      </c>
    </row>
    <row r="565" customFormat="false" ht="15" hidden="false" customHeight="true" outlineLevel="0" collapsed="false">
      <c r="B565" s="7" t="str">
        <f aca="false">IFERROR(INDEX(Schedule!$C$4:$C$483,MATCH(11001,Schedule!$K$4:$K$483,0)),"")</f>
        <v>Bruno's Restaurant (paycheck)</v>
      </c>
      <c r="C565" s="88" t="n">
        <f aca="false">IF($B565="","",INDEX(Schedule!$G$4:$G$483,MATCH(11001,Schedule!$K$4:$K$483,0)))</f>
        <v>46323</v>
      </c>
      <c r="D565" s="89" t="str">
        <f aca="false">IF($B565="","",INDEX(Schedule!$D$4:$D$483,MATCH(11001,Schedule!$K$4:$K$483,0)))</f>
        <v>Income</v>
      </c>
      <c r="E565" s="90" t="n">
        <f aca="false">IF($B565="","",INDEX(Schedule!$E$4:$E$483,MATCH(11001,Schedule!$K$4:$K$483,0)))</f>
        <v>90</v>
      </c>
      <c r="F565" s="91"/>
      <c r="G565" s="92" t="n">
        <f aca="false">IF($B565="","",IF($D565="Income",IF($F565&lt;&gt;"",$F565,IF(COUNTIFS('Paid Log'!$B$9:$B$308,$C565,'Paid Log'!$C$9:$C$308,$B565)&gt;0,SUMIFS('Paid Log'!$D$9:$D$308,'Paid Log'!$B$9:$B$308,$C565,'Paid Log'!$C$9:$C$308,$B565),$E565)),""))</f>
        <v>90</v>
      </c>
      <c r="H565" s="93" t="str">
        <f aca="false">IF($B565="","",IF($D565="Income","",IF($F565&lt;&gt;"",$F565,IF(COUNTIFS('Paid Log'!$B$9:$B$308,$C565,'Paid Log'!$C$9:$C$308,$B565)&gt;0,SUMIFS('Paid Log'!$D$9:$D$308,'Paid Log'!$B$9:$B$308,$C565,'Paid Log'!$C$9:$C$308,$B565),$E565))))</f>
        <v/>
      </c>
      <c r="I565" s="94" t="n">
        <f aca="false">IF($B565="","",$I$563+SUMIFS($G$565:$G$615,$M$565:$M$615,"&lt;="&amp;$M565)-SUMIFS($H$565:$H$615,$M$565:$M$615,"&lt;="&amp;$M565))</f>
        <v>292.27</v>
      </c>
      <c r="J565" s="95" t="str">
        <f aca="true">IF($B565="","",IF(OR($F565&lt;&gt;"",COUNTIFS('Paid Log'!$B$9:$B$308,$C565,'Paid Log'!$C$9:$C$308,$B565)&gt;0),IF($C565&gt;TODAY(),"ADJUSTED","PAID"),IF($C565&lt;TODAY(),"PAST DUE",IF($C565&lt;=TODAY()+7,"DUE","Upcoming"))))</f>
        <v>Upcoming</v>
      </c>
      <c r="K565" s="96" t="str">
        <f aca="false">IF($B565="","",IF(OR($F565&lt;&gt;"",COUNTIFS('Paid Log'!$B$9:$B$308,$C565,'Paid Log'!$C$9:$C$308,$B565)&gt;0),"ACTUAL","FORECAST"))</f>
        <v>FORECAST</v>
      </c>
      <c r="L565" s="97" t="n">
        <f aca="false">IF($B565="","",$C565)</f>
        <v>46323</v>
      </c>
      <c r="M565" s="0" t="n">
        <f aca="false">IF($L565="","",COUNTIFS($L$565:$L$615,"&lt;"&amp;$L565)+COUNTIFS($L$565:$L565,$L565))</f>
        <v>1</v>
      </c>
    </row>
    <row r="566" customFormat="false" ht="15" hidden="false" customHeight="true" outlineLevel="0" collapsed="false">
      <c r="B566" s="7" t="str">
        <f aca="false">IFERROR(INDEX(Schedule!$C$4:$C$483,MATCH(11002,Schedule!$K$4:$K$483,0)),"")</f>
        <v>Compunnel Software (paycheck)</v>
      </c>
      <c r="C566" s="88" t="n">
        <f aca="false">IF($B566="","",INDEX(Schedule!$G$4:$G$483,MATCH(11002,Schedule!$K$4:$K$483,0)))</f>
        <v>46325</v>
      </c>
      <c r="D566" s="89" t="str">
        <f aca="false">IF($B566="","",INDEX(Schedule!$D$4:$D$483,MATCH(11002,Schedule!$K$4:$K$483,0)))</f>
        <v>Income</v>
      </c>
      <c r="E566" s="90" t="n">
        <f aca="false">IF($B566="","",INDEX(Schedule!$E$4:$E$483,MATCH(11002,Schedule!$K$4:$K$483,0)))</f>
        <v>745</v>
      </c>
      <c r="F566" s="91"/>
      <c r="G566" s="92" t="n">
        <f aca="false">IF($B566="","",IF($D566="Income",IF($F566&lt;&gt;"",$F566,IF(COUNTIFS('Paid Log'!$B$9:$B$308,$C566,'Paid Log'!$C$9:$C$308,$B566)&gt;0,SUMIFS('Paid Log'!$D$9:$D$308,'Paid Log'!$B$9:$B$308,$C566,'Paid Log'!$C$9:$C$308,$B566),$E566)),""))</f>
        <v>745</v>
      </c>
      <c r="H566" s="93" t="str">
        <f aca="false">IF($B566="","",IF($D566="Income","",IF($F566&lt;&gt;"",$F566,IF(COUNTIFS('Paid Log'!$B$9:$B$308,$C566,'Paid Log'!$C$9:$C$308,$B566)&gt;0,SUMIFS('Paid Log'!$D$9:$D$308,'Paid Log'!$B$9:$B$308,$C566,'Paid Log'!$C$9:$C$308,$B566),$E566))))</f>
        <v/>
      </c>
      <c r="I566" s="94" t="n">
        <f aca="false">IF($B566="","",$I$563+SUMIFS($G$565:$G$615,$M$565:$M$615,"&lt;="&amp;$M566)-SUMIFS($H$565:$H$615,$M$565:$M$615,"&lt;="&amp;$M566))</f>
        <v>1037.27</v>
      </c>
      <c r="J566" s="95" t="str">
        <f aca="true">IF($B566="","",IF(OR($F566&lt;&gt;"",COUNTIFS('Paid Log'!$B$9:$B$308,$C566,'Paid Log'!$C$9:$C$308,$B566)&gt;0),IF($C566&gt;TODAY(),"ADJUSTED","PAID"),IF($C566&lt;TODAY(),"PAST DUE",IF($C566&lt;=TODAY()+7,"DUE","Upcoming"))))</f>
        <v>Upcoming</v>
      </c>
      <c r="K566" s="96" t="str">
        <f aca="false">IF($B566="","",IF(OR($F566&lt;&gt;"",COUNTIFS('Paid Log'!$B$9:$B$308,$C566,'Paid Log'!$C$9:$C$308,$B566)&gt;0),"ACTUAL","FORECAST"))</f>
        <v>FORECAST</v>
      </c>
      <c r="L566" s="97" t="n">
        <f aca="false">IF($B566="","",$C566)</f>
        <v>46325</v>
      </c>
      <c r="M566" s="0" t="n">
        <f aca="false">IF($L566="","",COUNTIFS($L$565:$L$615,"&lt;"&amp;$L566)+COUNTIFS($L$565:$L566,$L566))</f>
        <v>2</v>
      </c>
    </row>
    <row r="567" customFormat="false" ht="15" hidden="false" customHeight="true" outlineLevel="0" collapsed="false">
      <c r="B567" s="7" t="str">
        <f aca="false">IFERROR(INDEX(Schedule!$C$4:$C$483,MATCH(11003,Schedule!$K$4:$K$483,0)),"")</f>
        <v>Patrick Rombalski (rent)</v>
      </c>
      <c r="C567" s="88" t="n">
        <f aca="false">IF($B567="","",INDEX(Schedule!$G$4:$G$483,MATCH(11003,Schedule!$K$4:$K$483,0)))</f>
        <v>46325</v>
      </c>
      <c r="D567" s="89" t="str">
        <f aca="false">IF($B567="","",INDEX(Schedule!$D$4:$D$483,MATCH(11003,Schedule!$K$4:$K$483,0)))</f>
        <v>Expense</v>
      </c>
      <c r="E567" s="90" t="n">
        <f aca="false">IF($B567="","",INDEX(Schedule!$E$4:$E$483,MATCH(11003,Schedule!$K$4:$K$483,0)))</f>
        <v>350</v>
      </c>
      <c r="F567" s="91"/>
      <c r="G567" s="92" t="str">
        <f aca="false">IF($B567="","",IF($D567="Income",IF($F567&lt;&gt;"",$F567,IF(COUNTIFS('Paid Log'!$B$9:$B$308,$C567,'Paid Log'!$C$9:$C$308,$B567)&gt;0,SUMIFS('Paid Log'!$D$9:$D$308,'Paid Log'!$B$9:$B$308,$C567,'Paid Log'!$C$9:$C$308,$B567),$E567)),""))</f>
        <v/>
      </c>
      <c r="H567" s="93" t="n">
        <f aca="false">IF($B567="","",IF($D567="Income","",IF($F567&lt;&gt;"",$F567,IF(COUNTIFS('Paid Log'!$B$9:$B$308,$C567,'Paid Log'!$C$9:$C$308,$B567)&gt;0,SUMIFS('Paid Log'!$D$9:$D$308,'Paid Log'!$B$9:$B$308,$C567,'Paid Log'!$C$9:$C$308,$B567),$E567))))</f>
        <v>350</v>
      </c>
      <c r="I567" s="94" t="n">
        <f aca="false">IF($B567="","",$I$563+SUMIFS($G$565:$G$615,$M$565:$M$615,"&lt;="&amp;$M567)-SUMIFS($H$565:$H$615,$M$565:$M$615,"&lt;="&amp;$M567))</f>
        <v>687.27</v>
      </c>
      <c r="J567" s="95" t="str">
        <f aca="true">IF($B567="","",IF(OR($F567&lt;&gt;"",COUNTIFS('Paid Log'!$B$9:$B$308,$C567,'Paid Log'!$C$9:$C$308,$B567)&gt;0),IF($C567&gt;TODAY(),"ADJUSTED","PAID"),IF($C567&lt;TODAY(),"PAST DUE",IF($C567&lt;=TODAY()+7,"DUE","Upcoming"))))</f>
        <v>Upcoming</v>
      </c>
      <c r="K567" s="96" t="str">
        <f aca="false">IF($B567="","",IF(OR($F567&lt;&gt;"",COUNTIFS('Paid Log'!$B$9:$B$308,$C567,'Paid Log'!$C$9:$C$308,$B567)&gt;0),"ACTUAL","FORECAST"))</f>
        <v>FORECAST</v>
      </c>
      <c r="L567" s="97" t="n">
        <f aca="false">IF($B567="","",$C567)</f>
        <v>46325</v>
      </c>
      <c r="M567" s="0" t="n">
        <f aca="false">IF($L567="","",COUNTIFS($L$565:$L$615,"&lt;"&amp;$L567)+COUNTIFS($L$565:$L567,$L567))</f>
        <v>3</v>
      </c>
    </row>
    <row r="568" customFormat="false" ht="15" hidden="false" customHeight="true" outlineLevel="0" collapsed="false">
      <c r="B568" s="7" t="str">
        <f aca="false">IFERROR(INDEX(Schedule!$C$4:$C$483,MATCH(11004,Schedule!$K$4:$K$483,0)),"")</f>
        <v>Maine Revenue Services (2)</v>
      </c>
      <c r="C568" s="88" t="n">
        <f aca="false">IF($B568="","",INDEX(Schedule!$G$4:$G$483,MATCH(11004,Schedule!$K$4:$K$483,0)))</f>
        <v>46325</v>
      </c>
      <c r="D568" s="89" t="str">
        <f aca="false">IF($B568="","",INDEX(Schedule!$D$4:$D$483,MATCH(11004,Schedule!$K$4:$K$483,0)))</f>
        <v>Expense</v>
      </c>
      <c r="E568" s="90" t="n">
        <f aca="false">IF($B568="","",INDEX(Schedule!$E$4:$E$483,MATCH(11004,Schedule!$K$4:$K$483,0)))</f>
        <v>150</v>
      </c>
      <c r="F568" s="91"/>
      <c r="G568" s="92" t="str">
        <f aca="false">IF($B568="","",IF($D568="Income",IF($F568&lt;&gt;"",$F568,IF(COUNTIFS('Paid Log'!$B$9:$B$308,$C568,'Paid Log'!$C$9:$C$308,$B568)&gt;0,SUMIFS('Paid Log'!$D$9:$D$308,'Paid Log'!$B$9:$B$308,$C568,'Paid Log'!$C$9:$C$308,$B568),$E568)),""))</f>
        <v/>
      </c>
      <c r="H568" s="93" t="n">
        <f aca="false">IF($B568="","",IF($D568="Income","",IF($F568&lt;&gt;"",$F568,IF(COUNTIFS('Paid Log'!$B$9:$B$308,$C568,'Paid Log'!$C$9:$C$308,$B568)&gt;0,SUMIFS('Paid Log'!$D$9:$D$308,'Paid Log'!$B$9:$B$308,$C568,'Paid Log'!$C$9:$C$308,$B568),$E568))))</f>
        <v>150</v>
      </c>
      <c r="I568" s="94" t="n">
        <f aca="false">IF($B568="","",$I$563+SUMIFS($G$565:$G$615,$M$565:$M$615,"&lt;="&amp;$M568)-SUMIFS($H$565:$H$615,$M$565:$M$615,"&lt;="&amp;$M568))</f>
        <v>537.27</v>
      </c>
      <c r="J568" s="95" t="str">
        <f aca="true">IF($B568="","",IF(OR($F568&lt;&gt;"",COUNTIFS('Paid Log'!$B$9:$B$308,$C568,'Paid Log'!$C$9:$C$308,$B568)&gt;0),IF($C568&gt;TODAY(),"ADJUSTED","PAID"),IF($C568&lt;TODAY(),"PAST DUE",IF($C568&lt;=TODAY()+7,"DUE","Upcoming"))))</f>
        <v>Upcoming</v>
      </c>
      <c r="K568" s="96" t="str">
        <f aca="false">IF($B568="","",IF(OR($F568&lt;&gt;"",COUNTIFS('Paid Log'!$B$9:$B$308,$C568,'Paid Log'!$C$9:$C$308,$B568)&gt;0),"ACTUAL","FORECAST"))</f>
        <v>FORECAST</v>
      </c>
      <c r="L568" s="97" t="n">
        <f aca="false">IF($B568="","",$C568)</f>
        <v>46325</v>
      </c>
      <c r="M568" s="0" t="n">
        <f aca="false">IF($L568="","",COUNTIFS($L$565:$L$615,"&lt;"&amp;$L568)+COUNTIFS($L$565:$L568,$L568))</f>
        <v>4</v>
      </c>
    </row>
    <row r="569" customFormat="false" ht="15" hidden="false" customHeight="true" outlineLevel="0" collapsed="false">
      <c r="B569" s="7" t="str">
        <f aca="false">IFERROR(INDEX(Schedule!$C$4:$C$483,MATCH(11005,Schedule!$K$4:$K$483,0)),"")</f>
        <v/>
      </c>
      <c r="C569" s="88" t="str">
        <f aca="false">IF($B569="","",INDEX(Schedule!$G$4:$G$483,MATCH(11005,Schedule!$K$4:$K$483,0)))</f>
        <v/>
      </c>
      <c r="D569" s="89" t="str">
        <f aca="false">IF($B569="","",INDEX(Schedule!$D$4:$D$483,MATCH(11005,Schedule!$K$4:$K$483,0)))</f>
        <v/>
      </c>
      <c r="E569" s="90" t="str">
        <f aca="false">IF($B569="","",INDEX(Schedule!$E$4:$E$483,MATCH(11005,Schedule!$K$4:$K$483,0)))</f>
        <v/>
      </c>
      <c r="F569" s="91"/>
      <c r="G569" s="92" t="str">
        <f aca="false">IF($B569="","",IF($D569="Income",IF($F569&lt;&gt;"",$F569,IF(COUNTIFS('Paid Log'!$B$9:$B$308,$C569,'Paid Log'!$C$9:$C$308,$B569)&gt;0,SUMIFS('Paid Log'!$D$9:$D$308,'Paid Log'!$B$9:$B$308,$C569,'Paid Log'!$C$9:$C$308,$B569),$E569)),""))</f>
        <v/>
      </c>
      <c r="H569" s="93" t="str">
        <f aca="false">IF($B569="","",IF($D569="Income","",IF($F569&lt;&gt;"",$F569,IF(COUNTIFS('Paid Log'!$B$9:$B$308,$C569,'Paid Log'!$C$9:$C$308,$B569)&gt;0,SUMIFS('Paid Log'!$D$9:$D$308,'Paid Log'!$B$9:$B$308,$C569,'Paid Log'!$C$9:$C$308,$B569),$E569))))</f>
        <v/>
      </c>
      <c r="I569" s="94" t="str">
        <f aca="false">IF($B569="","",$I$563+SUMIFS($G$565:$G$615,$M$565:$M$615,"&lt;="&amp;$M569)-SUMIFS($H$565:$H$615,$M$565:$M$615,"&lt;="&amp;$M569))</f>
        <v/>
      </c>
      <c r="J569" s="95" t="str">
        <f aca="true">IF($B569="","",IF(OR($F569&lt;&gt;"",COUNTIFS('Paid Log'!$B$9:$B$308,$C569,'Paid Log'!$C$9:$C$308,$B569)&gt;0),IF($C569&gt;TODAY(),"ADJUSTED","PAID"),IF($C569&lt;TODAY(),"PAST DUE",IF($C569&lt;=TODAY()+7,"DUE","Upcoming"))))</f>
        <v/>
      </c>
      <c r="K569" s="96" t="str">
        <f aca="false">IF($B569="","",IF(OR($F569&lt;&gt;"",COUNTIFS('Paid Log'!$B$9:$B$308,$C569,'Paid Log'!$C$9:$C$308,$B569)&gt;0),"ACTUAL","FORECAST"))</f>
        <v/>
      </c>
      <c r="L569" s="97" t="str">
        <f aca="false">IF($B569="","",$C569)</f>
        <v/>
      </c>
      <c r="M569" s="0" t="str">
        <f aca="false">IF($L569="","",COUNTIFS($L$565:$L$615,"&lt;"&amp;$L569)+COUNTIFS($L$565:$L569,$L569))</f>
        <v/>
      </c>
    </row>
    <row r="570" customFormat="false" ht="15" hidden="false" customHeight="true" outlineLevel="0" collapsed="false">
      <c r="B570" s="7" t="str">
        <f aca="false">IFERROR(INDEX(Schedule!$C$4:$C$483,MATCH(11006,Schedule!$K$4:$K$483,0)),"")</f>
        <v/>
      </c>
      <c r="C570" s="88" t="str">
        <f aca="false">IF($B570="","",INDEX(Schedule!$G$4:$G$483,MATCH(11006,Schedule!$K$4:$K$483,0)))</f>
        <v/>
      </c>
      <c r="D570" s="89" t="str">
        <f aca="false">IF($B570="","",INDEX(Schedule!$D$4:$D$483,MATCH(11006,Schedule!$K$4:$K$483,0)))</f>
        <v/>
      </c>
      <c r="E570" s="90" t="str">
        <f aca="false">IF($B570="","",INDEX(Schedule!$E$4:$E$483,MATCH(11006,Schedule!$K$4:$K$483,0)))</f>
        <v/>
      </c>
      <c r="F570" s="91"/>
      <c r="G570" s="92" t="str">
        <f aca="false">IF($B570="","",IF($D570="Income",IF($F570&lt;&gt;"",$F570,IF(COUNTIFS('Paid Log'!$B$9:$B$308,$C570,'Paid Log'!$C$9:$C$308,$B570)&gt;0,SUMIFS('Paid Log'!$D$9:$D$308,'Paid Log'!$B$9:$B$308,$C570,'Paid Log'!$C$9:$C$308,$B570),$E570)),""))</f>
        <v/>
      </c>
      <c r="H570" s="93" t="str">
        <f aca="false">IF($B570="","",IF($D570="Income","",IF($F570&lt;&gt;"",$F570,IF(COUNTIFS('Paid Log'!$B$9:$B$308,$C570,'Paid Log'!$C$9:$C$308,$B570)&gt;0,SUMIFS('Paid Log'!$D$9:$D$308,'Paid Log'!$B$9:$B$308,$C570,'Paid Log'!$C$9:$C$308,$B570),$E570))))</f>
        <v/>
      </c>
      <c r="I570" s="94" t="str">
        <f aca="false">IF($B570="","",$I$563+SUMIFS($G$565:$G$615,$M$565:$M$615,"&lt;="&amp;$M570)-SUMIFS($H$565:$H$615,$M$565:$M$615,"&lt;="&amp;$M570))</f>
        <v/>
      </c>
      <c r="J570" s="95" t="str">
        <f aca="true">IF($B570="","",IF(OR($F570&lt;&gt;"",COUNTIFS('Paid Log'!$B$9:$B$308,$C570,'Paid Log'!$C$9:$C$308,$B570)&gt;0),IF($C570&gt;TODAY(),"ADJUSTED","PAID"),IF($C570&lt;TODAY(),"PAST DUE",IF($C570&lt;=TODAY()+7,"DUE","Upcoming"))))</f>
        <v/>
      </c>
      <c r="K570" s="96" t="str">
        <f aca="false">IF($B570="","",IF(OR($F570&lt;&gt;"",COUNTIFS('Paid Log'!$B$9:$B$308,$C570,'Paid Log'!$C$9:$C$308,$B570)&gt;0),"ACTUAL","FORECAST"))</f>
        <v/>
      </c>
      <c r="L570" s="97" t="str">
        <f aca="false">IF($B570="","",$C570)</f>
        <v/>
      </c>
      <c r="M570" s="0" t="str">
        <f aca="false">IF($L570="","",COUNTIFS($L$565:$L$615,"&lt;"&amp;$L570)+COUNTIFS($L$565:$L570,$L570))</f>
        <v/>
      </c>
    </row>
    <row r="571" customFormat="false" ht="15" hidden="false" customHeight="true" outlineLevel="0" collapsed="false">
      <c r="B571" s="7" t="str">
        <f aca="false">IFERROR(INDEX(Schedule!$C$4:$C$483,MATCH(11007,Schedule!$K$4:$K$483,0)),"")</f>
        <v/>
      </c>
      <c r="C571" s="88" t="str">
        <f aca="false">IF($B571="","",INDEX(Schedule!$G$4:$G$483,MATCH(11007,Schedule!$K$4:$K$483,0)))</f>
        <v/>
      </c>
      <c r="D571" s="89" t="str">
        <f aca="false">IF($B571="","",INDEX(Schedule!$D$4:$D$483,MATCH(11007,Schedule!$K$4:$K$483,0)))</f>
        <v/>
      </c>
      <c r="E571" s="90" t="str">
        <f aca="false">IF($B571="","",INDEX(Schedule!$E$4:$E$483,MATCH(11007,Schedule!$K$4:$K$483,0)))</f>
        <v/>
      </c>
      <c r="F571" s="91"/>
      <c r="G571" s="92" t="str">
        <f aca="false">IF($B571="","",IF($D571="Income",IF($F571&lt;&gt;"",$F571,IF(COUNTIFS('Paid Log'!$B$9:$B$308,$C571,'Paid Log'!$C$9:$C$308,$B571)&gt;0,SUMIFS('Paid Log'!$D$9:$D$308,'Paid Log'!$B$9:$B$308,$C571,'Paid Log'!$C$9:$C$308,$B571),$E571)),""))</f>
        <v/>
      </c>
      <c r="H571" s="93" t="str">
        <f aca="false">IF($B571="","",IF($D571="Income","",IF($F571&lt;&gt;"",$F571,IF(COUNTIFS('Paid Log'!$B$9:$B$308,$C571,'Paid Log'!$C$9:$C$308,$B571)&gt;0,SUMIFS('Paid Log'!$D$9:$D$308,'Paid Log'!$B$9:$B$308,$C571,'Paid Log'!$C$9:$C$308,$B571),$E571))))</f>
        <v/>
      </c>
      <c r="I571" s="94" t="str">
        <f aca="false">IF($B571="","",$I$563+SUMIFS($G$565:$G$615,$M$565:$M$615,"&lt;="&amp;$M571)-SUMIFS($H$565:$H$615,$M$565:$M$615,"&lt;="&amp;$M571))</f>
        <v/>
      </c>
      <c r="J571" s="95" t="str">
        <f aca="true">IF($B571="","",IF(OR($F571&lt;&gt;"",COUNTIFS('Paid Log'!$B$9:$B$308,$C571,'Paid Log'!$C$9:$C$308,$B571)&gt;0),IF($C571&gt;TODAY(),"ADJUSTED","PAID"),IF($C571&lt;TODAY(),"PAST DUE",IF($C571&lt;=TODAY()+7,"DUE","Upcoming"))))</f>
        <v/>
      </c>
      <c r="K571" s="96" t="str">
        <f aca="false">IF($B571="","",IF(OR($F571&lt;&gt;"",COUNTIFS('Paid Log'!$B$9:$B$308,$C571,'Paid Log'!$C$9:$C$308,$B571)&gt;0),"ACTUAL","FORECAST"))</f>
        <v/>
      </c>
      <c r="L571" s="0" t="str">
        <f aca="false">IF($B571="","",$C571)</f>
        <v/>
      </c>
      <c r="M571" s="0" t="str">
        <f aca="false">IF($L571="","",COUNTIFS($L$565:$L$615,"&lt;"&amp;$L571)+COUNTIFS($L$565:$L571,$L571))</f>
        <v/>
      </c>
    </row>
    <row r="572" customFormat="false" ht="15" hidden="false" customHeight="true" outlineLevel="0" collapsed="false">
      <c r="B572" s="7" t="str">
        <f aca="false">IFERROR(INDEX(Schedule!$C$4:$C$483,MATCH(11008,Schedule!$K$4:$K$483,0)),"")</f>
        <v/>
      </c>
      <c r="C572" s="88" t="str">
        <f aca="false">IF($B572="","",INDEX(Schedule!$G$4:$G$483,MATCH(11008,Schedule!$K$4:$K$483,0)))</f>
        <v/>
      </c>
      <c r="D572" s="89" t="str">
        <f aca="false">IF($B572="","",INDEX(Schedule!$D$4:$D$483,MATCH(11008,Schedule!$K$4:$K$483,0)))</f>
        <v/>
      </c>
      <c r="E572" s="90" t="str">
        <f aca="false">IF($B572="","",INDEX(Schedule!$E$4:$E$483,MATCH(11008,Schedule!$K$4:$K$483,0)))</f>
        <v/>
      </c>
      <c r="F572" s="91"/>
      <c r="G572" s="92" t="str">
        <f aca="false">IF($B572="","",IF($D572="Income",IF($F572&lt;&gt;"",$F572,IF(COUNTIFS('Paid Log'!$B$9:$B$308,$C572,'Paid Log'!$C$9:$C$308,$B572)&gt;0,SUMIFS('Paid Log'!$D$9:$D$308,'Paid Log'!$B$9:$B$308,$C572,'Paid Log'!$C$9:$C$308,$B572),$E572)),""))</f>
        <v/>
      </c>
      <c r="H572" s="93" t="str">
        <f aca="false">IF($B572="","",IF($D572="Income","",IF($F572&lt;&gt;"",$F572,IF(COUNTIFS('Paid Log'!$B$9:$B$308,$C572,'Paid Log'!$C$9:$C$308,$B572)&gt;0,SUMIFS('Paid Log'!$D$9:$D$308,'Paid Log'!$B$9:$B$308,$C572,'Paid Log'!$C$9:$C$308,$B572),$E572))))</f>
        <v/>
      </c>
      <c r="I572" s="94" t="str">
        <f aca="false">IF($B572="","",$I$563+SUMIFS($G$565:$G$615,$M$565:$M$615,"&lt;="&amp;$M572)-SUMIFS($H$565:$H$615,$M$565:$M$615,"&lt;="&amp;$M572))</f>
        <v/>
      </c>
      <c r="J572" s="95" t="str">
        <f aca="true">IF($B572="","",IF(OR($F572&lt;&gt;"",COUNTIFS('Paid Log'!$B$9:$B$308,$C572,'Paid Log'!$C$9:$C$308,$B572)&gt;0),IF($C572&gt;TODAY(),"ADJUSTED","PAID"),IF($C572&lt;TODAY(),"PAST DUE",IF($C572&lt;=TODAY()+7,"DUE","Upcoming"))))</f>
        <v/>
      </c>
      <c r="K572" s="96" t="str">
        <f aca="false">IF($B572="","",IF(OR($F572&lt;&gt;"",COUNTIFS('Paid Log'!$B$9:$B$308,$C572,'Paid Log'!$C$9:$C$308,$B572)&gt;0),"ACTUAL","FORECAST"))</f>
        <v/>
      </c>
      <c r="L572" s="0" t="str">
        <f aca="false">IF($B572="","",$C572)</f>
        <v/>
      </c>
      <c r="M572" s="0" t="str">
        <f aca="false">IF($L572="","",COUNTIFS($L$565:$L$615,"&lt;"&amp;$L572)+COUNTIFS($L$565:$L572,$L572))</f>
        <v/>
      </c>
    </row>
    <row r="573" customFormat="false" ht="15" hidden="false" customHeight="true" outlineLevel="0" collapsed="false">
      <c r="B573" s="7" t="str">
        <f aca="false">IFERROR(INDEX(Schedule!$C$4:$C$483,MATCH(11009,Schedule!$K$4:$K$483,0)),"")</f>
        <v/>
      </c>
      <c r="C573" s="88" t="str">
        <f aca="false">IF($B573="","",INDEX(Schedule!$G$4:$G$483,MATCH(11009,Schedule!$K$4:$K$483,0)))</f>
        <v/>
      </c>
      <c r="D573" s="89" t="str">
        <f aca="false">IF($B573="","",INDEX(Schedule!$D$4:$D$483,MATCH(11009,Schedule!$K$4:$K$483,0)))</f>
        <v/>
      </c>
      <c r="E573" s="90" t="str">
        <f aca="false">IF($B573="","",INDEX(Schedule!$E$4:$E$483,MATCH(11009,Schedule!$K$4:$K$483,0)))</f>
        <v/>
      </c>
      <c r="F573" s="91"/>
      <c r="G573" s="92" t="str">
        <f aca="false">IF($B573="","",IF($D573="Income",IF($F573&lt;&gt;"",$F573,IF(COUNTIFS('Paid Log'!$B$9:$B$308,$C573,'Paid Log'!$C$9:$C$308,$B573)&gt;0,SUMIFS('Paid Log'!$D$9:$D$308,'Paid Log'!$B$9:$B$308,$C573,'Paid Log'!$C$9:$C$308,$B573),$E573)),""))</f>
        <v/>
      </c>
      <c r="H573" s="93" t="str">
        <f aca="false">IF($B573="","",IF($D573="Income","",IF($F573&lt;&gt;"",$F573,IF(COUNTIFS('Paid Log'!$B$9:$B$308,$C573,'Paid Log'!$C$9:$C$308,$B573)&gt;0,SUMIFS('Paid Log'!$D$9:$D$308,'Paid Log'!$B$9:$B$308,$C573,'Paid Log'!$C$9:$C$308,$B573),$E573))))</f>
        <v/>
      </c>
      <c r="I573" s="94" t="str">
        <f aca="false">IF($B573="","",$I$563+SUMIFS($G$565:$G$615,$M$565:$M$615,"&lt;="&amp;$M573)-SUMIFS($H$565:$H$615,$M$565:$M$615,"&lt;="&amp;$M573))</f>
        <v/>
      </c>
      <c r="J573" s="95" t="str">
        <f aca="true">IF($B573="","",IF(OR($F573&lt;&gt;"",COUNTIFS('Paid Log'!$B$9:$B$308,$C573,'Paid Log'!$C$9:$C$308,$B573)&gt;0),IF($C573&gt;TODAY(),"ADJUSTED","PAID"),IF($C573&lt;TODAY(),"PAST DUE",IF($C573&lt;=TODAY()+7,"DUE","Upcoming"))))</f>
        <v/>
      </c>
      <c r="K573" s="96" t="str">
        <f aca="false">IF($B573="","",IF(OR($F573&lt;&gt;"",COUNTIFS('Paid Log'!$B$9:$B$308,$C573,'Paid Log'!$C$9:$C$308,$B573)&gt;0),"ACTUAL","FORECAST"))</f>
        <v/>
      </c>
      <c r="L573" s="0" t="str">
        <f aca="false">IF($B573="","",$C573)</f>
        <v/>
      </c>
      <c r="M573" s="0" t="str">
        <f aca="false">IF($L573="","",COUNTIFS($L$565:$L$615,"&lt;"&amp;$L573)+COUNTIFS($L$565:$L573,$L573))</f>
        <v/>
      </c>
    </row>
    <row r="574" customFormat="false" ht="15" hidden="false" customHeight="true" outlineLevel="0" collapsed="false">
      <c r="B574" s="7" t="str">
        <f aca="false">IFERROR(INDEX(Schedule!$C$4:$C$483,MATCH(11010,Schedule!$K$4:$K$483,0)),"")</f>
        <v/>
      </c>
      <c r="C574" s="88" t="str">
        <f aca="false">IF($B574="","",INDEX(Schedule!$G$4:$G$483,MATCH(11010,Schedule!$K$4:$K$483,0)))</f>
        <v/>
      </c>
      <c r="D574" s="89" t="str">
        <f aca="false">IF($B574="","",INDEX(Schedule!$D$4:$D$483,MATCH(11010,Schedule!$K$4:$K$483,0)))</f>
        <v/>
      </c>
      <c r="E574" s="90" t="str">
        <f aca="false">IF($B574="","",INDEX(Schedule!$E$4:$E$483,MATCH(11010,Schedule!$K$4:$K$483,0)))</f>
        <v/>
      </c>
      <c r="F574" s="91"/>
      <c r="G574" s="92" t="str">
        <f aca="false">IF($B574="","",IF($D574="Income",IF($F574&lt;&gt;"",$F574,IF(COUNTIFS('Paid Log'!$B$9:$B$308,$C574,'Paid Log'!$C$9:$C$308,$B574)&gt;0,SUMIFS('Paid Log'!$D$9:$D$308,'Paid Log'!$B$9:$B$308,$C574,'Paid Log'!$C$9:$C$308,$B574),$E574)),""))</f>
        <v/>
      </c>
      <c r="H574" s="93" t="str">
        <f aca="false">IF($B574="","",IF($D574="Income","",IF($F574&lt;&gt;"",$F574,IF(COUNTIFS('Paid Log'!$B$9:$B$308,$C574,'Paid Log'!$C$9:$C$308,$B574)&gt;0,SUMIFS('Paid Log'!$D$9:$D$308,'Paid Log'!$B$9:$B$308,$C574,'Paid Log'!$C$9:$C$308,$B574),$E574))))</f>
        <v/>
      </c>
      <c r="I574" s="94" t="str">
        <f aca="false">IF($B574="","",$I$563+SUMIFS($G$565:$G$615,$M$565:$M$615,"&lt;="&amp;$M574)-SUMIFS($H$565:$H$615,$M$565:$M$615,"&lt;="&amp;$M574))</f>
        <v/>
      </c>
      <c r="J574" s="95" t="str">
        <f aca="true">IF($B574="","",IF(OR($F574&lt;&gt;"",COUNTIFS('Paid Log'!$B$9:$B$308,$C574,'Paid Log'!$C$9:$C$308,$B574)&gt;0),IF($C574&gt;TODAY(),"ADJUSTED","PAID"),IF($C574&lt;TODAY(),"PAST DUE",IF($C574&lt;=TODAY()+7,"DUE","Upcoming"))))</f>
        <v/>
      </c>
      <c r="K574" s="96" t="str">
        <f aca="false">IF($B574="","",IF(OR($F574&lt;&gt;"",COUNTIFS('Paid Log'!$B$9:$B$308,$C574,'Paid Log'!$C$9:$C$308,$B574)&gt;0),"ACTUAL","FORECAST"))</f>
        <v/>
      </c>
      <c r="L574" s="0" t="str">
        <f aca="false">IF($B574="","",$C574)</f>
        <v/>
      </c>
      <c r="M574" s="0" t="str">
        <f aca="false">IF($L574="","",COUNTIFS($L$565:$L$615,"&lt;"&amp;$L574)+COUNTIFS($L$565:$L574,$L574))</f>
        <v/>
      </c>
    </row>
    <row r="575" customFormat="false" ht="15" hidden="false" customHeight="true" outlineLevel="0" collapsed="false">
      <c r="B575" s="98" t="s">
        <v>148</v>
      </c>
      <c r="C575" s="99"/>
      <c r="D575" s="99"/>
      <c r="E575" s="99"/>
      <c r="F575" s="99"/>
      <c r="G575" s="99"/>
      <c r="H575" s="99"/>
      <c r="I575" s="99"/>
      <c r="J575" s="99"/>
    </row>
    <row r="576" customFormat="false" ht="15" hidden="false" customHeight="true" outlineLevel="0" collapsed="false">
      <c r="B576" s="12"/>
      <c r="C576" s="100"/>
      <c r="D576" s="101" t="str">
        <f aca="false">IF($B576="","","Expense")</f>
        <v/>
      </c>
      <c r="E576" s="14"/>
      <c r="F576" s="102"/>
      <c r="G576" s="102"/>
      <c r="H576" s="103" t="str">
        <f aca="false">IF($B576="","",N($E576))</f>
        <v/>
      </c>
      <c r="I576" s="104" t="str">
        <f aca="false">IF($B576="","",$I$563+SUMIFS($G$565:$G$615,$M$565:$M$615,"&lt;="&amp;$M576)-SUMIFS($H$565:$H$615,$M$565:$M$615,"&lt;="&amp;$M576))</f>
        <v/>
      </c>
      <c r="J576" s="102"/>
      <c r="K576" s="96" t="str">
        <f aca="false">IF($B576="","","ACTUAL")</f>
        <v/>
      </c>
      <c r="L576" s="0" t="str">
        <f aca="false">IF($B576="","",IF($C576="",$E$6+76,$C576))</f>
        <v/>
      </c>
      <c r="M576" s="0" t="str">
        <f aca="false">IF($L576="","",COUNTIFS($L$565:$L$615,"&lt;"&amp;$L576)+COUNTIFS($L$565:$L576,$L576))</f>
        <v/>
      </c>
    </row>
    <row r="577" customFormat="false" ht="15" hidden="false" customHeight="true" outlineLevel="0" collapsed="false">
      <c r="B577" s="12"/>
      <c r="C577" s="100"/>
      <c r="D577" s="101" t="str">
        <f aca="false">IF($B577="","","Expense")</f>
        <v/>
      </c>
      <c r="E577" s="14"/>
      <c r="F577" s="102"/>
      <c r="G577" s="102"/>
      <c r="H577" s="103" t="str">
        <f aca="false">IF($B577="","",N($E577))</f>
        <v/>
      </c>
      <c r="I577" s="104" t="str">
        <f aca="false">IF($B577="","",$I$563+SUMIFS($G$565:$G$615,$M$565:$M$615,"&lt;="&amp;$M577)-SUMIFS($H$565:$H$615,$M$565:$M$615,"&lt;="&amp;$M577))</f>
        <v/>
      </c>
      <c r="J577" s="102"/>
      <c r="K577" s="96" t="str">
        <f aca="false">IF($B577="","","ACTUAL")</f>
        <v/>
      </c>
      <c r="L577" s="0" t="str">
        <f aca="false">IF($B577="","",IF($C577="",$E$6+76,$C577))</f>
        <v/>
      </c>
      <c r="M577" s="0" t="str">
        <f aca="false">IF($L577="","",COUNTIFS($L$565:$L$615,"&lt;"&amp;$L577)+COUNTIFS($L$565:$L577,$L577))</f>
        <v/>
      </c>
    </row>
    <row r="578" customFormat="false" ht="15" hidden="false" customHeight="true" outlineLevel="0" collapsed="false">
      <c r="B578" s="12"/>
      <c r="C578" s="100"/>
      <c r="D578" s="101" t="str">
        <f aca="false">IF($B578="","","Expense")</f>
        <v/>
      </c>
      <c r="E578" s="14"/>
      <c r="F578" s="102"/>
      <c r="G578" s="102"/>
      <c r="H578" s="103" t="str">
        <f aca="false">IF($B578="","",N($E578))</f>
        <v/>
      </c>
      <c r="I578" s="104" t="str">
        <f aca="false">IF($B578="","",$I$563+SUMIFS($G$565:$G$615,$M$565:$M$615,"&lt;="&amp;$M578)-SUMIFS($H$565:$H$615,$M$565:$M$615,"&lt;="&amp;$M578))</f>
        <v/>
      </c>
      <c r="J578" s="102"/>
      <c r="K578" s="96" t="str">
        <f aca="false">IF($B578="","","ACTUAL")</f>
        <v/>
      </c>
      <c r="L578" s="0" t="str">
        <f aca="false">IF($B578="","",IF($C578="",$E$6+76,$C578))</f>
        <v/>
      </c>
      <c r="M578" s="0" t="str">
        <f aca="false">IF($L578="","",COUNTIFS($L$565:$L$615,"&lt;"&amp;$L578)+COUNTIFS($L$565:$L578,$L578))</f>
        <v/>
      </c>
    </row>
    <row r="579" customFormat="false" ht="15" hidden="false" customHeight="true" outlineLevel="0" collapsed="false">
      <c r="B579" s="12"/>
      <c r="C579" s="100"/>
      <c r="D579" s="101" t="str">
        <f aca="false">IF($B579="","","Expense")</f>
        <v/>
      </c>
      <c r="E579" s="14"/>
      <c r="F579" s="102"/>
      <c r="G579" s="102"/>
      <c r="H579" s="103" t="str">
        <f aca="false">IF($B579="","",N($E579))</f>
        <v/>
      </c>
      <c r="I579" s="104" t="str">
        <f aca="false">IF($B579="","",$I$563+SUMIFS($G$565:$G$615,$M$565:$M$615,"&lt;="&amp;$M579)-SUMIFS($H$565:$H$615,$M$565:$M$615,"&lt;="&amp;$M579))</f>
        <v/>
      </c>
      <c r="J579" s="102"/>
      <c r="K579" s="96" t="str">
        <f aca="false">IF($B579="","","ACTUAL")</f>
        <v/>
      </c>
      <c r="L579" s="0" t="str">
        <f aca="false">IF($B579="","",IF($C579="",$E$6+76,$C579))</f>
        <v/>
      </c>
      <c r="M579" s="0" t="str">
        <f aca="false">IF($L579="","",COUNTIFS($L$565:$L$615,"&lt;"&amp;$L579)+COUNTIFS($L$565:$L579,$L579))</f>
        <v/>
      </c>
    </row>
    <row r="580" customFormat="false" ht="15" hidden="false" customHeight="true" outlineLevel="0" collapsed="false">
      <c r="B580" s="12"/>
      <c r="C580" s="100"/>
      <c r="D580" s="101" t="str">
        <f aca="false">IF($B580="","","Expense")</f>
        <v/>
      </c>
      <c r="E580" s="14"/>
      <c r="F580" s="102"/>
      <c r="G580" s="102"/>
      <c r="H580" s="103" t="str">
        <f aca="false">IF($B580="","",N($E580))</f>
        <v/>
      </c>
      <c r="I580" s="104" t="str">
        <f aca="false">IF($B580="","",$I$563+SUMIFS($G$565:$G$615,$M$565:$M$615,"&lt;="&amp;$M580)-SUMIFS($H$565:$H$615,$M$565:$M$615,"&lt;="&amp;$M580))</f>
        <v/>
      </c>
      <c r="J580" s="102"/>
      <c r="K580" s="96" t="str">
        <f aca="false">IF($B580="","","ACTUAL")</f>
        <v/>
      </c>
      <c r="L580" s="0" t="str">
        <f aca="false">IF($B580="","",IF($C580="",$E$6+76,$C580))</f>
        <v/>
      </c>
      <c r="M580" s="0" t="str">
        <f aca="false">IF($L580="","",COUNTIFS($L$565:$L$615,"&lt;"&amp;$L580)+COUNTIFS($L$565:$L580,$L580))</f>
        <v/>
      </c>
    </row>
    <row r="581" customFormat="false" ht="15" hidden="false" customHeight="true" outlineLevel="0" collapsed="false">
      <c r="B581" s="12"/>
      <c r="C581" s="100"/>
      <c r="D581" s="101" t="str">
        <f aca="false">IF($B581="","","Expense")</f>
        <v/>
      </c>
      <c r="E581" s="14"/>
      <c r="F581" s="102"/>
      <c r="G581" s="102"/>
      <c r="H581" s="103" t="str">
        <f aca="false">IF($B581="","",N($E581))</f>
        <v/>
      </c>
      <c r="I581" s="104" t="str">
        <f aca="false">IF($B581="","",$I$563+SUMIFS($G$565:$G$615,$M$565:$M$615,"&lt;="&amp;$M581)-SUMIFS($H$565:$H$615,$M$565:$M$615,"&lt;="&amp;$M581))</f>
        <v/>
      </c>
      <c r="J581" s="102"/>
      <c r="K581" s="96" t="str">
        <f aca="false">IF($B581="","","ACTUAL")</f>
        <v/>
      </c>
      <c r="L581" s="0" t="str">
        <f aca="false">IF($B581="","",IF($C581="",$E$6+76,$C581))</f>
        <v/>
      </c>
      <c r="M581" s="0" t="str">
        <f aca="false">IF($L581="","",COUNTIFS($L$565:$L$615,"&lt;"&amp;$L581)+COUNTIFS($L$565:$L581,$L581))</f>
        <v/>
      </c>
    </row>
    <row r="582" customFormat="false" ht="15" hidden="false" customHeight="true" outlineLevel="0" collapsed="false">
      <c r="B582" s="12"/>
      <c r="C582" s="100"/>
      <c r="D582" s="101" t="str">
        <f aca="false">IF($B582="","","Expense")</f>
        <v/>
      </c>
      <c r="E582" s="14"/>
      <c r="F582" s="102"/>
      <c r="G582" s="102"/>
      <c r="H582" s="103" t="str">
        <f aca="false">IF($B582="","",N($E582))</f>
        <v/>
      </c>
      <c r="I582" s="104" t="str">
        <f aca="false">IF($B582="","",$I$563+SUMIFS($G$565:$G$615,$M$565:$M$615,"&lt;="&amp;$M582)-SUMIFS($H$565:$H$615,$M$565:$M$615,"&lt;="&amp;$M582))</f>
        <v/>
      </c>
      <c r="J582" s="102"/>
      <c r="K582" s="96" t="str">
        <f aca="false">IF($B582="","","ACTUAL")</f>
        <v/>
      </c>
      <c r="L582" s="0" t="str">
        <f aca="false">IF($B582="","",IF($C582="",$E$6+76,$C582))</f>
        <v/>
      </c>
      <c r="M582" s="0" t="str">
        <f aca="false">IF($L582="","",COUNTIFS($L$565:$L$615,"&lt;"&amp;$L582)+COUNTIFS($L$565:$L582,$L582))</f>
        <v/>
      </c>
    </row>
    <row r="583" customFormat="false" ht="15" hidden="false" customHeight="true" outlineLevel="0" collapsed="false">
      <c r="B583" s="12"/>
      <c r="C583" s="100"/>
      <c r="D583" s="101" t="str">
        <f aca="false">IF($B583="","","Expense")</f>
        <v/>
      </c>
      <c r="E583" s="14"/>
      <c r="F583" s="102"/>
      <c r="G583" s="102"/>
      <c r="H583" s="103" t="str">
        <f aca="false">IF($B583="","",N($E583))</f>
        <v/>
      </c>
      <c r="I583" s="104" t="str">
        <f aca="false">IF($B583="","",$I$563+SUMIFS($G$565:$G$615,$M$565:$M$615,"&lt;="&amp;$M583)-SUMIFS($H$565:$H$615,$M$565:$M$615,"&lt;="&amp;$M583))</f>
        <v/>
      </c>
      <c r="J583" s="102"/>
      <c r="K583" s="96" t="str">
        <f aca="false">IF($B583="","","ACTUAL")</f>
        <v/>
      </c>
      <c r="L583" s="0" t="str">
        <f aca="false">IF($B583="","",IF($C583="",$E$6+76,$C583))</f>
        <v/>
      </c>
      <c r="M583" s="0" t="str">
        <f aca="false">IF($L583="","",COUNTIFS($L$565:$L$615,"&lt;"&amp;$L583)+COUNTIFS($L$565:$L583,$L583))</f>
        <v/>
      </c>
    </row>
    <row r="584" customFormat="false" ht="15" hidden="false" customHeight="true" outlineLevel="0" collapsed="false">
      <c r="B584" s="12"/>
      <c r="C584" s="100"/>
      <c r="D584" s="101" t="str">
        <f aca="false">IF($B584="","","Expense")</f>
        <v/>
      </c>
      <c r="E584" s="14"/>
      <c r="F584" s="102"/>
      <c r="G584" s="102"/>
      <c r="H584" s="103" t="str">
        <f aca="false">IF($B584="","",N($E584))</f>
        <v/>
      </c>
      <c r="I584" s="104" t="str">
        <f aca="false">IF($B584="","",$I$563+SUMIFS($G$565:$G$615,$M$565:$M$615,"&lt;="&amp;$M584)-SUMIFS($H$565:$H$615,$M$565:$M$615,"&lt;="&amp;$M584))</f>
        <v/>
      </c>
      <c r="J584" s="102"/>
      <c r="K584" s="96" t="str">
        <f aca="false">IF($B584="","","ACTUAL")</f>
        <v/>
      </c>
      <c r="L584" s="0" t="str">
        <f aca="false">IF($B584="","",IF($C584="",$E$6+76,$C584))</f>
        <v/>
      </c>
      <c r="M584" s="0" t="str">
        <f aca="false">IF($L584="","",COUNTIFS($L$565:$L$615,"&lt;"&amp;$L584)+COUNTIFS($L$565:$L584,$L584))</f>
        <v/>
      </c>
    </row>
    <row r="585" customFormat="false" ht="15" hidden="false" customHeight="true" outlineLevel="0" collapsed="false">
      <c r="B585" s="12"/>
      <c r="C585" s="100"/>
      <c r="D585" s="101" t="str">
        <f aca="false">IF($B585="","","Expense")</f>
        <v/>
      </c>
      <c r="E585" s="14"/>
      <c r="F585" s="102"/>
      <c r="G585" s="102"/>
      <c r="H585" s="103" t="str">
        <f aca="false">IF($B585="","",N($E585))</f>
        <v/>
      </c>
      <c r="I585" s="104" t="str">
        <f aca="false">IF($B585="","",$I$563+SUMIFS($G$565:$G$615,$M$565:$M$615,"&lt;="&amp;$M585)-SUMIFS($H$565:$H$615,$M$565:$M$615,"&lt;="&amp;$M585))</f>
        <v/>
      </c>
      <c r="J585" s="102"/>
      <c r="K585" s="96" t="str">
        <f aca="false">IF($B585="","","ACTUAL")</f>
        <v/>
      </c>
      <c r="L585" s="0" t="str">
        <f aca="false">IF($B585="","",IF($C585="",$E$6+76,$C585))</f>
        <v/>
      </c>
      <c r="M585" s="0" t="str">
        <f aca="false">IF($L585="","",COUNTIFS($L$565:$L$615,"&lt;"&amp;$L585)+COUNTIFS($L$565:$L585,$L585))</f>
        <v/>
      </c>
    </row>
    <row r="586" customFormat="false" ht="15" hidden="false" customHeight="true" outlineLevel="0" collapsed="false">
      <c r="B586" s="12"/>
      <c r="C586" s="100"/>
      <c r="D586" s="101" t="str">
        <f aca="false">IF($B586="","","Expense")</f>
        <v/>
      </c>
      <c r="E586" s="14"/>
      <c r="F586" s="102"/>
      <c r="G586" s="102"/>
      <c r="H586" s="103" t="str">
        <f aca="false">IF($B586="","",N($E586))</f>
        <v/>
      </c>
      <c r="I586" s="104" t="str">
        <f aca="false">IF($B586="","",$I$563+SUMIFS($G$565:$G$615,$M$565:$M$615,"&lt;="&amp;$M586)-SUMIFS($H$565:$H$615,$M$565:$M$615,"&lt;="&amp;$M586))</f>
        <v/>
      </c>
      <c r="J586" s="102"/>
      <c r="K586" s="96" t="str">
        <f aca="false">IF($B586="","","ACTUAL")</f>
        <v/>
      </c>
      <c r="L586" s="0" t="str">
        <f aca="false">IF($B586="","",IF($C586="",$E$6+76,$C586))</f>
        <v/>
      </c>
      <c r="M586" s="0" t="str">
        <f aca="false">IF($L586="","",COUNTIFS($L$565:$L$615,"&lt;"&amp;$L586)+COUNTIFS($L$565:$L586,$L586))</f>
        <v/>
      </c>
    </row>
    <row r="587" customFormat="false" ht="15" hidden="false" customHeight="true" outlineLevel="0" collapsed="false">
      <c r="B587" s="12"/>
      <c r="C587" s="100"/>
      <c r="D587" s="101" t="str">
        <f aca="false">IF($B587="","","Expense")</f>
        <v/>
      </c>
      <c r="E587" s="14"/>
      <c r="F587" s="102"/>
      <c r="G587" s="102"/>
      <c r="H587" s="103" t="str">
        <f aca="false">IF($B587="","",N($E587))</f>
        <v/>
      </c>
      <c r="I587" s="104" t="str">
        <f aca="false">IF($B587="","",$I$563+SUMIFS($G$565:$G$615,$M$565:$M$615,"&lt;="&amp;$M587)-SUMIFS($H$565:$H$615,$M$565:$M$615,"&lt;="&amp;$M587))</f>
        <v/>
      </c>
      <c r="J587" s="102"/>
      <c r="K587" s="96" t="str">
        <f aca="false">IF($B587="","","ACTUAL")</f>
        <v/>
      </c>
      <c r="L587" s="0" t="str">
        <f aca="false">IF($B587="","",IF($C587="",$E$6+76,$C587))</f>
        <v/>
      </c>
      <c r="M587" s="0" t="str">
        <f aca="false">IF($L587="","",COUNTIFS($L$565:$L$615,"&lt;"&amp;$L587)+COUNTIFS($L$565:$L587,$L587))</f>
        <v/>
      </c>
    </row>
    <row r="588" customFormat="false" ht="15" hidden="false" customHeight="true" outlineLevel="0" collapsed="false">
      <c r="B588" s="12"/>
      <c r="C588" s="100"/>
      <c r="D588" s="101" t="str">
        <f aca="false">IF($B588="","","Expense")</f>
        <v/>
      </c>
      <c r="E588" s="14"/>
      <c r="F588" s="102"/>
      <c r="G588" s="102"/>
      <c r="H588" s="103" t="str">
        <f aca="false">IF($B588="","",N($E588))</f>
        <v/>
      </c>
      <c r="I588" s="104" t="str">
        <f aca="false">IF($B588="","",$I$563+SUMIFS($G$565:$G$615,$M$565:$M$615,"&lt;="&amp;$M588)-SUMIFS($H$565:$H$615,$M$565:$M$615,"&lt;="&amp;$M588))</f>
        <v/>
      </c>
      <c r="J588" s="102"/>
      <c r="K588" s="96" t="str">
        <f aca="false">IF($B588="","","ACTUAL")</f>
        <v/>
      </c>
      <c r="L588" s="0" t="str">
        <f aca="false">IF($B588="","",IF($C588="",$E$6+76,$C588))</f>
        <v/>
      </c>
      <c r="M588" s="0" t="str">
        <f aca="false">IF($L588="","",COUNTIFS($L$565:$L$615,"&lt;"&amp;$L588)+COUNTIFS($L$565:$L588,$L588))</f>
        <v/>
      </c>
    </row>
    <row r="589" customFormat="false" ht="15" hidden="false" customHeight="true" outlineLevel="0" collapsed="false">
      <c r="B589" s="12"/>
      <c r="C589" s="100"/>
      <c r="D589" s="101" t="str">
        <f aca="false">IF($B589="","","Expense")</f>
        <v/>
      </c>
      <c r="E589" s="14"/>
      <c r="F589" s="102"/>
      <c r="G589" s="102"/>
      <c r="H589" s="103" t="str">
        <f aca="false">IF($B589="","",N($E589))</f>
        <v/>
      </c>
      <c r="I589" s="104" t="str">
        <f aca="false">IF($B589="","",$I$563+SUMIFS($G$565:$G$615,$M$565:$M$615,"&lt;="&amp;$M589)-SUMIFS($H$565:$H$615,$M$565:$M$615,"&lt;="&amp;$M589))</f>
        <v/>
      </c>
      <c r="J589" s="102"/>
      <c r="K589" s="96" t="str">
        <f aca="false">IF($B589="","","ACTUAL")</f>
        <v/>
      </c>
      <c r="L589" s="0" t="str">
        <f aca="false">IF($B589="","",IF($C589="",$E$6+76,$C589))</f>
        <v/>
      </c>
      <c r="M589" s="0" t="str">
        <f aca="false">IF($L589="","",COUNTIFS($L$565:$L$615,"&lt;"&amp;$L589)+COUNTIFS($L$565:$L589,$L589))</f>
        <v/>
      </c>
    </row>
    <row r="590" customFormat="false" ht="15" hidden="false" customHeight="true" outlineLevel="0" collapsed="false">
      <c r="B590" s="12"/>
      <c r="C590" s="100"/>
      <c r="D590" s="101" t="str">
        <f aca="false">IF($B590="","","Expense")</f>
        <v/>
      </c>
      <c r="E590" s="14"/>
      <c r="F590" s="102"/>
      <c r="G590" s="102"/>
      <c r="H590" s="103" t="str">
        <f aca="false">IF($B590="","",N($E590))</f>
        <v/>
      </c>
      <c r="I590" s="104" t="str">
        <f aca="false">IF($B590="","",$I$563+SUMIFS($G$565:$G$615,$M$565:$M$615,"&lt;="&amp;$M590)-SUMIFS($H$565:$H$615,$M$565:$M$615,"&lt;="&amp;$M590))</f>
        <v/>
      </c>
      <c r="J590" s="102"/>
      <c r="K590" s="96" t="str">
        <f aca="false">IF($B590="","","ACTUAL")</f>
        <v/>
      </c>
      <c r="L590" s="0" t="str">
        <f aca="false">IF($B590="","",IF($C590="",$E$6+76,$C590))</f>
        <v/>
      </c>
      <c r="M590" s="0" t="str">
        <f aca="false">IF($L590="","",COUNTIFS($L$565:$L$615,"&lt;"&amp;$L590)+COUNTIFS($L$565:$L590,$L590))</f>
        <v/>
      </c>
    </row>
    <row r="591" customFormat="false" ht="15" hidden="false" customHeight="true" outlineLevel="0" collapsed="false">
      <c r="B591" s="12"/>
      <c r="C591" s="100"/>
      <c r="D591" s="101" t="str">
        <f aca="false">IF($B591="","","Expense")</f>
        <v/>
      </c>
      <c r="E591" s="14"/>
      <c r="F591" s="102"/>
      <c r="G591" s="102"/>
      <c r="H591" s="103" t="str">
        <f aca="false">IF($B591="","",N($E591))</f>
        <v/>
      </c>
      <c r="I591" s="104" t="str">
        <f aca="false">IF($B591="","",$I$563+SUMIFS($G$565:$G$615,$M$565:$M$615,"&lt;="&amp;$M591)-SUMIFS($H$565:$H$615,$M$565:$M$615,"&lt;="&amp;$M591))</f>
        <v/>
      </c>
      <c r="J591" s="102"/>
      <c r="K591" s="96" t="str">
        <f aca="false">IF($B591="","","ACTUAL")</f>
        <v/>
      </c>
      <c r="L591" s="0" t="str">
        <f aca="false">IF($B591="","",IF($C591="",$E$6+76,$C591))</f>
        <v/>
      </c>
      <c r="M591" s="0" t="str">
        <f aca="false">IF($L591="","",COUNTIFS($L$565:$L$615,"&lt;"&amp;$L591)+COUNTIFS($L$565:$L591,$L591))</f>
        <v/>
      </c>
    </row>
    <row r="592" customFormat="false" ht="15" hidden="false" customHeight="true" outlineLevel="0" collapsed="false">
      <c r="B592" s="12"/>
      <c r="C592" s="100"/>
      <c r="D592" s="101" t="str">
        <f aca="false">IF($B592="","","Expense")</f>
        <v/>
      </c>
      <c r="E592" s="14"/>
      <c r="F592" s="102"/>
      <c r="G592" s="102"/>
      <c r="H592" s="103" t="str">
        <f aca="false">IF($B592="","",N($E592))</f>
        <v/>
      </c>
      <c r="I592" s="104" t="str">
        <f aca="false">IF($B592="","",$I$563+SUMIFS($G$565:$G$615,$M$565:$M$615,"&lt;="&amp;$M592)-SUMIFS($H$565:$H$615,$M$565:$M$615,"&lt;="&amp;$M592))</f>
        <v/>
      </c>
      <c r="J592" s="102"/>
      <c r="K592" s="96" t="str">
        <f aca="false">IF($B592="","","ACTUAL")</f>
        <v/>
      </c>
      <c r="L592" s="0" t="str">
        <f aca="false">IF($B592="","",IF($C592="",$E$6+76,$C592))</f>
        <v/>
      </c>
      <c r="M592" s="0" t="str">
        <f aca="false">IF($L592="","",COUNTIFS($L$565:$L$615,"&lt;"&amp;$L592)+COUNTIFS($L$565:$L592,$L592))</f>
        <v/>
      </c>
    </row>
    <row r="593" customFormat="false" ht="15" hidden="false" customHeight="true" outlineLevel="0" collapsed="false">
      <c r="B593" s="12"/>
      <c r="C593" s="100"/>
      <c r="D593" s="101" t="str">
        <f aca="false">IF($B593="","","Expense")</f>
        <v/>
      </c>
      <c r="E593" s="14"/>
      <c r="F593" s="102"/>
      <c r="G593" s="102"/>
      <c r="H593" s="103" t="str">
        <f aca="false">IF($B593="","",N($E593))</f>
        <v/>
      </c>
      <c r="I593" s="104" t="str">
        <f aca="false">IF($B593="","",$I$563+SUMIFS($G$565:$G$615,$M$565:$M$615,"&lt;="&amp;$M593)-SUMIFS($H$565:$H$615,$M$565:$M$615,"&lt;="&amp;$M593))</f>
        <v/>
      </c>
      <c r="J593" s="102"/>
      <c r="K593" s="96" t="str">
        <f aca="false">IF($B593="","","ACTUAL")</f>
        <v/>
      </c>
      <c r="L593" s="0" t="str">
        <f aca="false">IF($B593="","",IF($C593="",$E$6+76,$C593))</f>
        <v/>
      </c>
      <c r="M593" s="0" t="str">
        <f aca="false">IF($L593="","",COUNTIFS($L$565:$L$615,"&lt;"&amp;$L593)+COUNTIFS($L$565:$L593,$L593))</f>
        <v/>
      </c>
    </row>
    <row r="594" customFormat="false" ht="15" hidden="false" customHeight="true" outlineLevel="0" collapsed="false">
      <c r="B594" s="12"/>
      <c r="C594" s="100"/>
      <c r="D594" s="101" t="str">
        <f aca="false">IF($B594="","","Expense")</f>
        <v/>
      </c>
      <c r="E594" s="14"/>
      <c r="F594" s="102"/>
      <c r="G594" s="102"/>
      <c r="H594" s="103" t="str">
        <f aca="false">IF($B594="","",N($E594))</f>
        <v/>
      </c>
      <c r="I594" s="104" t="str">
        <f aca="false">IF($B594="","",$I$563+SUMIFS($G$565:$G$615,$M$565:$M$615,"&lt;="&amp;$M594)-SUMIFS($H$565:$H$615,$M$565:$M$615,"&lt;="&amp;$M594))</f>
        <v/>
      </c>
      <c r="J594" s="102"/>
      <c r="K594" s="96" t="str">
        <f aca="false">IF($B594="","","ACTUAL")</f>
        <v/>
      </c>
      <c r="L594" s="0" t="str">
        <f aca="false">IF($B594="","",IF($C594="",$E$6+76,$C594))</f>
        <v/>
      </c>
      <c r="M594" s="0" t="str">
        <f aca="false">IF($L594="","",COUNTIFS($L$565:$L$615,"&lt;"&amp;$L594)+COUNTIFS($L$565:$L594,$L594))</f>
        <v/>
      </c>
    </row>
    <row r="595" customFormat="false" ht="15" hidden="false" customHeight="true" outlineLevel="0" collapsed="false">
      <c r="B595" s="12"/>
      <c r="C595" s="100"/>
      <c r="D595" s="101" t="str">
        <f aca="false">IF($B595="","","Expense")</f>
        <v/>
      </c>
      <c r="E595" s="14"/>
      <c r="F595" s="102"/>
      <c r="G595" s="102"/>
      <c r="H595" s="103" t="str">
        <f aca="false">IF($B595="","",N($E595))</f>
        <v/>
      </c>
      <c r="I595" s="104" t="str">
        <f aca="false">IF($B595="","",$I$563+SUMIFS($G$565:$G$615,$M$565:$M$615,"&lt;="&amp;$M595)-SUMIFS($H$565:$H$615,$M$565:$M$615,"&lt;="&amp;$M595))</f>
        <v/>
      </c>
      <c r="J595" s="102"/>
      <c r="K595" s="96" t="str">
        <f aca="false">IF($B595="","","ACTUAL")</f>
        <v/>
      </c>
      <c r="L595" s="0" t="str">
        <f aca="false">IF($B595="","",IF($C595="",$E$6+76,$C595))</f>
        <v/>
      </c>
      <c r="M595" s="0" t="str">
        <f aca="false">IF($L595="","",COUNTIFS($L$565:$L$615,"&lt;"&amp;$L595)+COUNTIFS($L$565:$L595,$L595))</f>
        <v/>
      </c>
    </row>
    <row r="596" customFormat="false" ht="15" hidden="false" customHeight="true" outlineLevel="0" collapsed="false">
      <c r="B596" s="12"/>
      <c r="C596" s="100"/>
      <c r="D596" s="101" t="str">
        <f aca="false">IF($B596="","","Expense")</f>
        <v/>
      </c>
      <c r="E596" s="14"/>
      <c r="F596" s="102"/>
      <c r="G596" s="102"/>
      <c r="H596" s="103" t="str">
        <f aca="false">IF($B596="","",N($E596))</f>
        <v/>
      </c>
      <c r="I596" s="104" t="str">
        <f aca="false">IF($B596="","",$I$563+SUMIFS($G$565:$G$615,$M$565:$M$615,"&lt;="&amp;$M596)-SUMIFS($H$565:$H$615,$M$565:$M$615,"&lt;="&amp;$M596))</f>
        <v/>
      </c>
      <c r="J596" s="102"/>
      <c r="K596" s="96" t="str">
        <f aca="false">IF($B596="","","ACTUAL")</f>
        <v/>
      </c>
      <c r="L596" s="0" t="str">
        <f aca="false">IF($B596="","",IF($C596="",$E$6+76,$C596))</f>
        <v/>
      </c>
      <c r="M596" s="0" t="str">
        <f aca="false">IF($L596="","",COUNTIFS($L$565:$L$615,"&lt;"&amp;$L596)+COUNTIFS($L$565:$L596,$L596))</f>
        <v/>
      </c>
    </row>
    <row r="597" customFormat="false" ht="15" hidden="false" customHeight="true" outlineLevel="0" collapsed="false">
      <c r="B597" s="12"/>
      <c r="C597" s="100"/>
      <c r="D597" s="101" t="str">
        <f aca="false">IF($B597="","","Expense")</f>
        <v/>
      </c>
      <c r="E597" s="14"/>
      <c r="F597" s="102"/>
      <c r="G597" s="102"/>
      <c r="H597" s="103" t="str">
        <f aca="false">IF($B597="","",N($E597))</f>
        <v/>
      </c>
      <c r="I597" s="104" t="str">
        <f aca="false">IF($B597="","",$I$563+SUMIFS($G$565:$G$615,$M$565:$M$615,"&lt;="&amp;$M597)-SUMIFS($H$565:$H$615,$M$565:$M$615,"&lt;="&amp;$M597))</f>
        <v/>
      </c>
      <c r="J597" s="102"/>
      <c r="K597" s="96" t="str">
        <f aca="false">IF($B597="","","ACTUAL")</f>
        <v/>
      </c>
      <c r="L597" s="0" t="str">
        <f aca="false">IF($B597="","",IF($C597="",$E$6+76,$C597))</f>
        <v/>
      </c>
      <c r="M597" s="0" t="str">
        <f aca="false">IF($L597="","",COUNTIFS($L$565:$L$615,"&lt;"&amp;$L597)+COUNTIFS($L$565:$L597,$L597))</f>
        <v/>
      </c>
    </row>
    <row r="598" customFormat="false" ht="15" hidden="false" customHeight="true" outlineLevel="0" collapsed="false">
      <c r="B598" s="12"/>
      <c r="C598" s="100"/>
      <c r="D598" s="101" t="str">
        <f aca="false">IF($B598="","","Expense")</f>
        <v/>
      </c>
      <c r="E598" s="14"/>
      <c r="F598" s="102"/>
      <c r="G598" s="102"/>
      <c r="H598" s="103" t="str">
        <f aca="false">IF($B598="","",N($E598))</f>
        <v/>
      </c>
      <c r="I598" s="104" t="str">
        <f aca="false">IF($B598="","",$I$563+SUMIFS($G$565:$G$615,$M$565:$M$615,"&lt;="&amp;$M598)-SUMIFS($H$565:$H$615,$M$565:$M$615,"&lt;="&amp;$M598))</f>
        <v/>
      </c>
      <c r="J598" s="102"/>
      <c r="K598" s="96" t="str">
        <f aca="false">IF($B598="","","ACTUAL")</f>
        <v/>
      </c>
      <c r="L598" s="0" t="str">
        <f aca="false">IF($B598="","",IF($C598="",$E$6+76,$C598))</f>
        <v/>
      </c>
      <c r="M598" s="0" t="str">
        <f aca="false">IF($L598="","",COUNTIFS($L$565:$L$615,"&lt;"&amp;$L598)+COUNTIFS($L$565:$L598,$L598))</f>
        <v/>
      </c>
    </row>
    <row r="599" customFormat="false" ht="15" hidden="false" customHeight="true" outlineLevel="0" collapsed="false">
      <c r="B599" s="12"/>
      <c r="C599" s="100"/>
      <c r="D599" s="101" t="str">
        <f aca="false">IF($B599="","","Expense")</f>
        <v/>
      </c>
      <c r="E599" s="14"/>
      <c r="F599" s="102"/>
      <c r="G599" s="102"/>
      <c r="H599" s="103" t="str">
        <f aca="false">IF($B599="","",N($E599))</f>
        <v/>
      </c>
      <c r="I599" s="104" t="str">
        <f aca="false">IF($B599="","",$I$563+SUMIFS($G$565:$G$615,$M$565:$M$615,"&lt;="&amp;$M599)-SUMIFS($H$565:$H$615,$M$565:$M$615,"&lt;="&amp;$M599))</f>
        <v/>
      </c>
      <c r="J599" s="102"/>
      <c r="K599" s="96" t="str">
        <f aca="false">IF($B599="","","ACTUAL")</f>
        <v/>
      </c>
      <c r="L599" s="0" t="str">
        <f aca="false">IF($B599="","",IF($C599="",$E$6+76,$C599))</f>
        <v/>
      </c>
      <c r="M599" s="0" t="str">
        <f aca="false">IF($L599="","",COUNTIFS($L$565:$L$615,"&lt;"&amp;$L599)+COUNTIFS($L$565:$L599,$L599))</f>
        <v/>
      </c>
    </row>
    <row r="600" customFormat="false" ht="15" hidden="false" customHeight="true" outlineLevel="0" collapsed="false">
      <c r="B600" s="12"/>
      <c r="C600" s="100"/>
      <c r="D600" s="101" t="str">
        <f aca="false">IF($B600="","","Expense")</f>
        <v/>
      </c>
      <c r="E600" s="14"/>
      <c r="F600" s="102"/>
      <c r="G600" s="102"/>
      <c r="H600" s="103" t="str">
        <f aca="false">IF($B600="","",N($E600))</f>
        <v/>
      </c>
      <c r="I600" s="104" t="str">
        <f aca="false">IF($B600="","",$I$563+SUMIFS($G$565:$G$615,$M$565:$M$615,"&lt;="&amp;$M600)-SUMIFS($H$565:$H$615,$M$565:$M$615,"&lt;="&amp;$M600))</f>
        <v/>
      </c>
      <c r="J600" s="102"/>
      <c r="K600" s="96" t="str">
        <f aca="false">IF($B600="","","ACTUAL")</f>
        <v/>
      </c>
      <c r="L600" s="0" t="str">
        <f aca="false">IF($B600="","",IF($C600="",$E$6+76,$C600))</f>
        <v/>
      </c>
      <c r="M600" s="0" t="str">
        <f aca="false">IF($L600="","",COUNTIFS($L$565:$L$615,"&lt;"&amp;$L600)+COUNTIFS($L$565:$L600,$L600))</f>
        <v/>
      </c>
    </row>
    <row r="601" customFormat="false" ht="15" hidden="false" customHeight="true" outlineLevel="0" collapsed="false">
      <c r="B601" s="12"/>
      <c r="C601" s="100"/>
      <c r="D601" s="101" t="str">
        <f aca="false">IF($B601="","","Expense")</f>
        <v/>
      </c>
      <c r="E601" s="14"/>
      <c r="F601" s="102"/>
      <c r="G601" s="102"/>
      <c r="H601" s="103" t="str">
        <f aca="false">IF($B601="","",N($E601))</f>
        <v/>
      </c>
      <c r="I601" s="104" t="str">
        <f aca="false">IF($B601="","",$I$563+SUMIFS($G$565:$G$615,$M$565:$M$615,"&lt;="&amp;$M601)-SUMIFS($H$565:$H$615,$M$565:$M$615,"&lt;="&amp;$M601))</f>
        <v/>
      </c>
      <c r="J601" s="102"/>
      <c r="K601" s="96" t="str">
        <f aca="false">IF($B601="","","ACTUAL")</f>
        <v/>
      </c>
      <c r="L601" s="0" t="str">
        <f aca="false">IF($B601="","",IF($C601="",$E$6+76,$C601))</f>
        <v/>
      </c>
      <c r="M601" s="0" t="str">
        <f aca="false">IF($L601="","",COUNTIFS($L$565:$L$615,"&lt;"&amp;$L601)+COUNTIFS($L$565:$L601,$L601))</f>
        <v/>
      </c>
    </row>
    <row r="602" customFormat="false" ht="15" hidden="false" customHeight="true" outlineLevel="0" collapsed="false">
      <c r="B602" s="12"/>
      <c r="C602" s="100"/>
      <c r="D602" s="101" t="str">
        <f aca="false">IF($B602="","","Expense")</f>
        <v/>
      </c>
      <c r="E602" s="14"/>
      <c r="F602" s="102"/>
      <c r="G602" s="102"/>
      <c r="H602" s="103" t="str">
        <f aca="false">IF($B602="","",N($E602))</f>
        <v/>
      </c>
      <c r="I602" s="104" t="str">
        <f aca="false">IF($B602="","",$I$563+SUMIFS($G$565:$G$615,$M$565:$M$615,"&lt;="&amp;$M602)-SUMIFS($H$565:$H$615,$M$565:$M$615,"&lt;="&amp;$M602))</f>
        <v/>
      </c>
      <c r="J602" s="102"/>
      <c r="K602" s="96" t="str">
        <f aca="false">IF($B602="","","ACTUAL")</f>
        <v/>
      </c>
      <c r="L602" s="0" t="str">
        <f aca="false">IF($B602="","",IF($C602="",$E$6+76,$C602))</f>
        <v/>
      </c>
      <c r="M602" s="0" t="str">
        <f aca="false">IF($L602="","",COUNTIFS($L$565:$L$615,"&lt;"&amp;$L602)+COUNTIFS($L$565:$L602,$L602))</f>
        <v/>
      </c>
    </row>
    <row r="603" customFormat="false" ht="15" hidden="false" customHeight="true" outlineLevel="0" collapsed="false">
      <c r="B603" s="12"/>
      <c r="C603" s="100"/>
      <c r="D603" s="101" t="str">
        <f aca="false">IF($B603="","","Expense")</f>
        <v/>
      </c>
      <c r="E603" s="14"/>
      <c r="F603" s="102"/>
      <c r="G603" s="102"/>
      <c r="H603" s="103" t="str">
        <f aca="false">IF($B603="","",N($E603))</f>
        <v/>
      </c>
      <c r="I603" s="104" t="str">
        <f aca="false">IF($B603="","",$I$563+SUMIFS($G$565:$G$615,$M$565:$M$615,"&lt;="&amp;$M603)-SUMIFS($H$565:$H$615,$M$565:$M$615,"&lt;="&amp;$M603))</f>
        <v/>
      </c>
      <c r="J603" s="102"/>
      <c r="K603" s="96" t="str">
        <f aca="false">IF($B603="","","ACTUAL")</f>
        <v/>
      </c>
      <c r="L603" s="0" t="str">
        <f aca="false">IF($B603="","",IF($C603="",$E$6+76,$C603))</f>
        <v/>
      </c>
      <c r="M603" s="0" t="str">
        <f aca="false">IF($L603="","",COUNTIFS($L$565:$L$615,"&lt;"&amp;$L603)+COUNTIFS($L$565:$L603,$L603))</f>
        <v/>
      </c>
    </row>
    <row r="604" customFormat="false" ht="15" hidden="false" customHeight="true" outlineLevel="0" collapsed="false">
      <c r="B604" s="12"/>
      <c r="C604" s="100"/>
      <c r="D604" s="101" t="str">
        <f aca="false">IF($B604="","","Expense")</f>
        <v/>
      </c>
      <c r="E604" s="14"/>
      <c r="F604" s="102"/>
      <c r="G604" s="102"/>
      <c r="H604" s="103" t="str">
        <f aca="false">IF($B604="","",N($E604))</f>
        <v/>
      </c>
      <c r="I604" s="104" t="str">
        <f aca="false">IF($B604="","",$I$563+SUMIFS($G$565:$G$615,$M$565:$M$615,"&lt;="&amp;$M604)-SUMIFS($H$565:$H$615,$M$565:$M$615,"&lt;="&amp;$M604))</f>
        <v/>
      </c>
      <c r="J604" s="102"/>
      <c r="K604" s="96" t="str">
        <f aca="false">IF($B604="","","ACTUAL")</f>
        <v/>
      </c>
      <c r="L604" s="0" t="str">
        <f aca="false">IF($B604="","",IF($C604="",$E$6+76,$C604))</f>
        <v/>
      </c>
      <c r="M604" s="0" t="str">
        <f aca="false">IF($L604="","",COUNTIFS($L$565:$L$615,"&lt;"&amp;$L604)+COUNTIFS($L$565:$L604,$L604))</f>
        <v/>
      </c>
    </row>
    <row r="605" customFormat="false" ht="15" hidden="false" customHeight="true" outlineLevel="0" collapsed="false">
      <c r="B605" s="12"/>
      <c r="C605" s="100"/>
      <c r="D605" s="101" t="str">
        <f aca="false">IF($B605="","","Expense")</f>
        <v/>
      </c>
      <c r="E605" s="14"/>
      <c r="F605" s="102"/>
      <c r="G605" s="102"/>
      <c r="H605" s="103" t="str">
        <f aca="false">IF($B605="","",N($E605))</f>
        <v/>
      </c>
      <c r="I605" s="104" t="str">
        <f aca="false">IF($B605="","",$I$563+SUMIFS($G$565:$G$615,$M$565:$M$615,"&lt;="&amp;$M605)-SUMIFS($H$565:$H$615,$M$565:$M$615,"&lt;="&amp;$M605))</f>
        <v/>
      </c>
      <c r="J605" s="102"/>
      <c r="K605" s="96" t="str">
        <f aca="false">IF($B605="","","ACTUAL")</f>
        <v/>
      </c>
      <c r="L605" s="0" t="str">
        <f aca="false">IF($B605="","",IF($C605="",$E$6+76,$C605))</f>
        <v/>
      </c>
      <c r="M605" s="0" t="str">
        <f aca="false">IF($L605="","",COUNTIFS($L$565:$L$615,"&lt;"&amp;$L605)+COUNTIFS($L$565:$L605,$L605))</f>
        <v/>
      </c>
    </row>
    <row r="606" customFormat="false" ht="15" hidden="false" customHeight="true" outlineLevel="0" collapsed="false">
      <c r="B606" s="12"/>
      <c r="C606" s="100"/>
      <c r="D606" s="101" t="str">
        <f aca="false">IF($B606="","","Expense")</f>
        <v/>
      </c>
      <c r="E606" s="14"/>
      <c r="F606" s="102"/>
      <c r="G606" s="102"/>
      <c r="H606" s="103" t="str">
        <f aca="false">IF($B606="","",N($E606))</f>
        <v/>
      </c>
      <c r="I606" s="104" t="str">
        <f aca="false">IF($B606="","",$I$563+SUMIFS($G$565:$G$615,$M$565:$M$615,"&lt;="&amp;$M606)-SUMIFS($H$565:$H$615,$M$565:$M$615,"&lt;="&amp;$M606))</f>
        <v/>
      </c>
      <c r="J606" s="102"/>
      <c r="K606" s="96" t="str">
        <f aca="false">IF($B606="","","ACTUAL")</f>
        <v/>
      </c>
      <c r="L606" s="0" t="str">
        <f aca="false">IF($B606="","",IF($C606="",$E$6+76,$C606))</f>
        <v/>
      </c>
      <c r="M606" s="0" t="str">
        <f aca="false">IF($L606="","",COUNTIFS($L$565:$L$615,"&lt;"&amp;$L606)+COUNTIFS($L$565:$L606,$L606))</f>
        <v/>
      </c>
    </row>
    <row r="607" customFormat="false" ht="15" hidden="false" customHeight="true" outlineLevel="0" collapsed="false">
      <c r="B607" s="12"/>
      <c r="C607" s="100"/>
      <c r="D607" s="101" t="str">
        <f aca="false">IF($B607="","","Expense")</f>
        <v/>
      </c>
      <c r="E607" s="14"/>
      <c r="F607" s="102"/>
      <c r="G607" s="102"/>
      <c r="H607" s="103" t="str">
        <f aca="false">IF($B607="","",N($E607))</f>
        <v/>
      </c>
      <c r="I607" s="104" t="str">
        <f aca="false">IF($B607="","",$I$563+SUMIFS($G$565:$G$615,$M$565:$M$615,"&lt;="&amp;$M607)-SUMIFS($H$565:$H$615,$M$565:$M$615,"&lt;="&amp;$M607))</f>
        <v/>
      </c>
      <c r="J607" s="102"/>
      <c r="K607" s="96" t="str">
        <f aca="false">IF($B607="","","ACTUAL")</f>
        <v/>
      </c>
      <c r="L607" s="0" t="str">
        <f aca="false">IF($B607="","",IF($C607="",$E$6+76,$C607))</f>
        <v/>
      </c>
      <c r="M607" s="0" t="str">
        <f aca="false">IF($L607="","",COUNTIFS($L$565:$L$615,"&lt;"&amp;$L607)+COUNTIFS($L$565:$L607,$L607))</f>
        <v/>
      </c>
    </row>
    <row r="608" customFormat="false" ht="15" hidden="false" customHeight="true" outlineLevel="0" collapsed="false">
      <c r="B608" s="12"/>
      <c r="C608" s="100"/>
      <c r="D608" s="101" t="str">
        <f aca="false">IF($B608="","","Expense")</f>
        <v/>
      </c>
      <c r="E608" s="14"/>
      <c r="F608" s="102"/>
      <c r="G608" s="102"/>
      <c r="H608" s="103" t="str">
        <f aca="false">IF($B608="","",N($E608))</f>
        <v/>
      </c>
      <c r="I608" s="104" t="str">
        <f aca="false">IF($B608="","",$I$563+SUMIFS($G$565:$G$615,$M$565:$M$615,"&lt;="&amp;$M608)-SUMIFS($H$565:$H$615,$M$565:$M$615,"&lt;="&amp;$M608))</f>
        <v/>
      </c>
      <c r="J608" s="102"/>
      <c r="K608" s="96" t="str">
        <f aca="false">IF($B608="","","ACTUAL")</f>
        <v/>
      </c>
      <c r="L608" s="0" t="str">
        <f aca="false">IF($B608="","",IF($C608="",$E$6+76,$C608))</f>
        <v/>
      </c>
      <c r="M608" s="0" t="str">
        <f aca="false">IF($L608="","",COUNTIFS($L$565:$L$615,"&lt;"&amp;$L608)+COUNTIFS($L$565:$L608,$L608))</f>
        <v/>
      </c>
    </row>
    <row r="609" customFormat="false" ht="15" hidden="false" customHeight="true" outlineLevel="0" collapsed="false">
      <c r="B609" s="12"/>
      <c r="C609" s="100"/>
      <c r="D609" s="101" t="str">
        <f aca="false">IF($B609="","","Expense")</f>
        <v/>
      </c>
      <c r="E609" s="14"/>
      <c r="F609" s="102"/>
      <c r="G609" s="102"/>
      <c r="H609" s="103" t="str">
        <f aca="false">IF($B609="","",N($E609))</f>
        <v/>
      </c>
      <c r="I609" s="104" t="str">
        <f aca="false">IF($B609="","",$I$563+SUMIFS($G$565:$G$615,$M$565:$M$615,"&lt;="&amp;$M609)-SUMIFS($H$565:$H$615,$M$565:$M$615,"&lt;="&amp;$M609))</f>
        <v/>
      </c>
      <c r="J609" s="102"/>
      <c r="K609" s="96" t="str">
        <f aca="false">IF($B609="","","ACTUAL")</f>
        <v/>
      </c>
      <c r="L609" s="0" t="str">
        <f aca="false">IF($B609="","",IF($C609="",$E$6+76,$C609))</f>
        <v/>
      </c>
      <c r="M609" s="0" t="str">
        <f aca="false">IF($L609="","",COUNTIFS($L$565:$L$615,"&lt;"&amp;$L609)+COUNTIFS($L$565:$L609,$L609))</f>
        <v/>
      </c>
    </row>
    <row r="610" customFormat="false" ht="15" hidden="false" customHeight="true" outlineLevel="0" collapsed="false">
      <c r="B610" s="12"/>
      <c r="C610" s="100"/>
      <c r="D610" s="101" t="str">
        <f aca="false">IF($B610="","","Expense")</f>
        <v/>
      </c>
      <c r="E610" s="14"/>
      <c r="F610" s="102"/>
      <c r="G610" s="102"/>
      <c r="H610" s="103" t="str">
        <f aca="false">IF($B610="","",N($E610))</f>
        <v/>
      </c>
      <c r="I610" s="104" t="str">
        <f aca="false">IF($B610="","",$I$563+SUMIFS($G$565:$G$615,$M$565:$M$615,"&lt;="&amp;$M610)-SUMIFS($H$565:$H$615,$M$565:$M$615,"&lt;="&amp;$M610))</f>
        <v/>
      </c>
      <c r="J610" s="102"/>
      <c r="K610" s="96" t="str">
        <f aca="false">IF($B610="","","ACTUAL")</f>
        <v/>
      </c>
      <c r="L610" s="0" t="str">
        <f aca="false">IF($B610="","",IF($C610="",$E$6+76,$C610))</f>
        <v/>
      </c>
      <c r="M610" s="0" t="str">
        <f aca="false">IF($L610="","",COUNTIFS($L$565:$L$615,"&lt;"&amp;$L610)+COUNTIFS($L$565:$L610,$L610))</f>
        <v/>
      </c>
    </row>
    <row r="611" customFormat="false" ht="15" hidden="false" customHeight="true" outlineLevel="0" collapsed="false">
      <c r="B611" s="12"/>
      <c r="C611" s="100"/>
      <c r="D611" s="101" t="str">
        <f aca="false">IF($B611="","","Expense")</f>
        <v/>
      </c>
      <c r="E611" s="14"/>
      <c r="F611" s="102"/>
      <c r="G611" s="102"/>
      <c r="H611" s="103" t="str">
        <f aca="false">IF($B611="","",N($E611))</f>
        <v/>
      </c>
      <c r="I611" s="104" t="str">
        <f aca="false">IF($B611="","",$I$563+SUMIFS($G$565:$G$615,$M$565:$M$615,"&lt;="&amp;$M611)-SUMIFS($H$565:$H$615,$M$565:$M$615,"&lt;="&amp;$M611))</f>
        <v/>
      </c>
      <c r="J611" s="102"/>
      <c r="K611" s="96" t="str">
        <f aca="false">IF($B611="","","ACTUAL")</f>
        <v/>
      </c>
      <c r="L611" s="0" t="str">
        <f aca="false">IF($B611="","",IF($C611="",$E$6+76,$C611))</f>
        <v/>
      </c>
      <c r="M611" s="0" t="str">
        <f aca="false">IF($L611="","",COUNTIFS($L$565:$L$615,"&lt;"&amp;$L611)+COUNTIFS($L$565:$L611,$L611))</f>
        <v/>
      </c>
    </row>
    <row r="612" customFormat="false" ht="15" hidden="false" customHeight="true" outlineLevel="0" collapsed="false">
      <c r="B612" s="12"/>
      <c r="C612" s="100"/>
      <c r="D612" s="101" t="str">
        <f aca="false">IF($B612="","","Expense")</f>
        <v/>
      </c>
      <c r="E612" s="14"/>
      <c r="F612" s="102"/>
      <c r="G612" s="102"/>
      <c r="H612" s="103" t="str">
        <f aca="false">IF($B612="","",N($E612))</f>
        <v/>
      </c>
      <c r="I612" s="104" t="str">
        <f aca="false">IF($B612="","",$I$563+SUMIFS($G$565:$G$615,$M$565:$M$615,"&lt;="&amp;$M612)-SUMIFS($H$565:$H$615,$M$565:$M$615,"&lt;="&amp;$M612))</f>
        <v/>
      </c>
      <c r="J612" s="102"/>
      <c r="K612" s="96" t="str">
        <f aca="false">IF($B612="","","ACTUAL")</f>
        <v/>
      </c>
      <c r="L612" s="0" t="str">
        <f aca="false">IF($B612="","",IF($C612="",$E$6+76,$C612))</f>
        <v/>
      </c>
      <c r="M612" s="0" t="str">
        <f aca="false">IF($L612="","",COUNTIFS($L$565:$L$615,"&lt;"&amp;$L612)+COUNTIFS($L$565:$L612,$L612))</f>
        <v/>
      </c>
    </row>
    <row r="613" customFormat="false" ht="15" hidden="false" customHeight="true" outlineLevel="0" collapsed="false">
      <c r="B613" s="12"/>
      <c r="C613" s="100"/>
      <c r="D613" s="101" t="str">
        <f aca="false">IF($B613="","","Expense")</f>
        <v/>
      </c>
      <c r="E613" s="14"/>
      <c r="F613" s="102"/>
      <c r="G613" s="102"/>
      <c r="H613" s="103" t="str">
        <f aca="false">IF($B613="","",N($E613))</f>
        <v/>
      </c>
      <c r="I613" s="104" t="str">
        <f aca="false">IF($B613="","",$I$563+SUMIFS($G$565:$G$615,$M$565:$M$615,"&lt;="&amp;$M613)-SUMIFS($H$565:$H$615,$M$565:$M$615,"&lt;="&amp;$M613))</f>
        <v/>
      </c>
      <c r="J613" s="102"/>
      <c r="K613" s="96" t="str">
        <f aca="false">IF($B613="","","ACTUAL")</f>
        <v/>
      </c>
      <c r="L613" s="0" t="str">
        <f aca="false">IF($B613="","",IF($C613="",$E$6+76,$C613))</f>
        <v/>
      </c>
      <c r="M613" s="0" t="str">
        <f aca="false">IF($L613="","",COUNTIFS($L$565:$L$615,"&lt;"&amp;$L613)+COUNTIFS($L$565:$L613,$L613))</f>
        <v/>
      </c>
    </row>
    <row r="614" customFormat="false" ht="15" hidden="false" customHeight="true" outlineLevel="0" collapsed="false">
      <c r="B614" s="12"/>
      <c r="C614" s="100"/>
      <c r="D614" s="101" t="str">
        <f aca="false">IF($B614="","","Expense")</f>
        <v/>
      </c>
      <c r="E614" s="14"/>
      <c r="F614" s="102"/>
      <c r="G614" s="102"/>
      <c r="H614" s="103" t="str">
        <f aca="false">IF($B614="","",N($E614))</f>
        <v/>
      </c>
      <c r="I614" s="104" t="str">
        <f aca="false">IF($B614="","",$I$563+SUMIFS($G$565:$G$615,$M$565:$M$615,"&lt;="&amp;$M614)-SUMIFS($H$565:$H$615,$M$565:$M$615,"&lt;="&amp;$M614))</f>
        <v/>
      </c>
      <c r="J614" s="102"/>
      <c r="K614" s="96" t="str">
        <f aca="false">IF($B614="","","ACTUAL")</f>
        <v/>
      </c>
      <c r="L614" s="0" t="str">
        <f aca="false">IF($B614="","",IF($C614="",$E$6+76,$C614))</f>
        <v/>
      </c>
      <c r="M614" s="0" t="str">
        <f aca="false">IF($L614="","",COUNTIFS($L$565:$L$615,"&lt;"&amp;$L614)+COUNTIFS($L$565:$L614,$L614))</f>
        <v/>
      </c>
    </row>
    <row r="615" customFormat="false" ht="15" hidden="false" customHeight="true" outlineLevel="0" collapsed="false">
      <c r="B615" s="105" t="str">
        <f aca="false">"Everyday spending still expected this week"</f>
        <v>Everyday spending still expected this week</v>
      </c>
      <c r="C615" s="106" t="n">
        <f aca="false">$E$6+76</f>
        <v>46325</v>
      </c>
      <c r="D615" s="101" t="str">
        <f aca="false">IF($B615="","","Expense")</f>
        <v>Expense</v>
      </c>
      <c r="E615" s="107" t="n">
        <f aca="false">MAX(0,$E$8-SUM($E$576:$E$614))</f>
        <v>400</v>
      </c>
      <c r="F615" s="102"/>
      <c r="G615" s="102"/>
      <c r="H615" s="103" t="n">
        <f aca="false">IF($B615="","",N($E615))</f>
        <v>400</v>
      </c>
      <c r="I615" s="104" t="n">
        <f aca="false">IF($B615="","",$I$563+SUMIFS($G$565:$G$615,$M$565:$M$615,"&lt;="&amp;$M615)-SUMIFS($H$565:$H$615,$M$565:$M$615,"&lt;="&amp;$M615))</f>
        <v>137.27</v>
      </c>
      <c r="J615" s="102"/>
      <c r="K615" s="96" t="str">
        <f aca="false">"FORECAST"</f>
        <v>FORECAST</v>
      </c>
      <c r="L615" s="97" t="n">
        <f aca="false">IF($B615="","",IF($C615="",$E$6+76,$C615))</f>
        <v>46325</v>
      </c>
      <c r="M615" s="0" t="n">
        <f aca="false">IF($L615="","",COUNTIFS($L$565:$L$615,"&lt;"&amp;$L615)+COUNTIFS($L$565:$L615,$L615))</f>
        <v>5</v>
      </c>
    </row>
    <row r="616" customFormat="false" ht="15" hidden="false" customHeight="true" outlineLevel="0" collapsed="false">
      <c r="B616" s="108" t="s">
        <v>179</v>
      </c>
      <c r="C616" s="57"/>
      <c r="D616" s="57"/>
      <c r="E616" s="57"/>
      <c r="F616" s="57"/>
      <c r="G616" s="56" t="n">
        <f aca="false">SUM($G$565:$G$615)</f>
        <v>835</v>
      </c>
      <c r="H616" s="56" t="n">
        <f aca="false">SUM($H$565:$H$615)</f>
        <v>900</v>
      </c>
      <c r="I616" s="109" t="n">
        <f aca="false">$I$563+$G$616-$H$616</f>
        <v>137.27</v>
      </c>
      <c r="J616" s="110" t="str">
        <f aca="false">IF($I$616&lt;0,"SHORTFALL",IF($I$616&lt;$E$7,"TIGHT","OK"))</f>
        <v>TIGHT</v>
      </c>
      <c r="K616" s="111"/>
      <c r="N616" s="111" t="str">
        <f aca="false">IF(COUNT($I$565:$I$615)=0,"","Lowest point this week: "&amp;TEXT(MIN($I$565:$I$615),"$#,##0.00;-$#,##0.00")&amp;" on "&amp;TEXT(INDEX($C$565:$C$615,MATCH(MIN($I$565:$I$615),$I$565:$I$615,0)),"ddd mmm d")&amp;"     (in "&amp;TEXT($G$616,"$#,##0.00")&amp;", out "&amp;TEXT($H$616,"$#,##0.00")&amp;")")</f>
        <v>Lowest point this week: $137.27 on Fri Oct 30     (in $835.00, out $900.00)</v>
      </c>
    </row>
    <row r="618" customFormat="false" ht="21.75" hidden="false" customHeight="true" outlineLevel="0" collapsed="false">
      <c r="B618" s="82" t="str">
        <f aca="false">"WEEK 12     "&amp;TEXT($E$6+77,"ddd, mmm d")&amp;"   through   "&amp;TEXT($E$6+77+6,"ddd, mmm d, yyyy")</f>
        <v>WEEK 12     Sat, Oct 31   through   Fri, Nov 6, 2026</v>
      </c>
      <c r="C618" s="83"/>
      <c r="D618" s="83"/>
      <c r="E618" s="83"/>
      <c r="F618" s="83"/>
      <c r="G618" s="84" t="s">
        <v>139</v>
      </c>
      <c r="H618" s="83"/>
      <c r="I618" s="85" t="n">
        <f aca="false">$I$616</f>
        <v>137.27</v>
      </c>
      <c r="J618" s="83"/>
      <c r="K618" s="86"/>
      <c r="N618" s="86" t="str">
        <f aca="false">IF(COUNTIF(Schedule!$I$4:$I$483,12)&gt;10,"! "&amp;COUNTIF(Schedule!$I$4:$I$483,12)-10&amp;" more transaction(s) fall in this week than there are rows to show them.","")</f>
        <v/>
      </c>
    </row>
    <row r="619" customFormat="false" ht="25.5" hidden="false" customHeight="true" outlineLevel="0" collapsed="false">
      <c r="B619" s="87" t="s">
        <v>140</v>
      </c>
      <c r="C619" s="87" t="s">
        <v>141</v>
      </c>
      <c r="D619" s="87" t="s">
        <v>42</v>
      </c>
      <c r="E619" s="87" t="s">
        <v>142</v>
      </c>
      <c r="F619" s="87" t="s">
        <v>143</v>
      </c>
      <c r="G619" s="36" t="s">
        <v>144</v>
      </c>
      <c r="H619" s="37" t="s">
        <v>145</v>
      </c>
      <c r="I619" s="87" t="s">
        <v>146</v>
      </c>
      <c r="J619" s="87" t="s">
        <v>14</v>
      </c>
      <c r="K619" s="87" t="s">
        <v>147</v>
      </c>
    </row>
    <row r="620" customFormat="false" ht="15" hidden="false" customHeight="true" outlineLevel="0" collapsed="false">
      <c r="B620" s="7" t="str">
        <f aca="false">IFERROR(INDEX(Schedule!$C$4:$C$483,MATCH(12001,Schedule!$K$4:$K$483,0)),"")</f>
        <v>Progressive Insurance</v>
      </c>
      <c r="C620" s="88" t="n">
        <f aca="false">IF($B620="","",INDEX(Schedule!$G$4:$G$483,MATCH(12001,Schedule!$K$4:$K$483,0)))</f>
        <v>46326</v>
      </c>
      <c r="D620" s="89" t="str">
        <f aca="false">IF($B620="","",INDEX(Schedule!$D$4:$D$483,MATCH(12001,Schedule!$K$4:$K$483,0)))</f>
        <v>Expense</v>
      </c>
      <c r="E620" s="90" t="n">
        <f aca="false">IF($B620="","",INDEX(Schedule!$E$4:$E$483,MATCH(12001,Schedule!$K$4:$K$483,0)))</f>
        <v>143.37</v>
      </c>
      <c r="F620" s="91"/>
      <c r="G620" s="92" t="str">
        <f aca="false">IF($B620="","",IF($D620="Income",IF($F620&lt;&gt;"",$F620,IF(COUNTIFS('Paid Log'!$B$9:$B$308,$C620,'Paid Log'!$C$9:$C$308,$B620)&gt;0,SUMIFS('Paid Log'!$D$9:$D$308,'Paid Log'!$B$9:$B$308,$C620,'Paid Log'!$C$9:$C$308,$B620),$E620)),""))</f>
        <v/>
      </c>
      <c r="H620" s="93" t="n">
        <f aca="false">IF($B620="","",IF($D620="Income","",IF($F620&lt;&gt;"",$F620,IF(COUNTIFS('Paid Log'!$B$9:$B$308,$C620,'Paid Log'!$C$9:$C$308,$B620)&gt;0,SUMIFS('Paid Log'!$D$9:$D$308,'Paid Log'!$B$9:$B$308,$C620,'Paid Log'!$C$9:$C$308,$B620),$E620))))</f>
        <v>143.37</v>
      </c>
      <c r="I620" s="94" t="n">
        <f aca="false">IF($B620="","",$I$618+SUMIFS($G$620:$G$670,$M$620:$M$670,"&lt;="&amp;$M620)-SUMIFS($H$620:$H$670,$M$620:$M$670,"&lt;="&amp;$M620))</f>
        <v>-6.0999999999998</v>
      </c>
      <c r="J620" s="95" t="str">
        <f aca="true">IF($B620="","",IF(OR($F620&lt;&gt;"",COUNTIFS('Paid Log'!$B$9:$B$308,$C620,'Paid Log'!$C$9:$C$308,$B620)&gt;0),IF($C620&gt;TODAY(),"ADJUSTED","PAID"),IF($C620&lt;TODAY(),"PAST DUE",IF($C620&lt;=TODAY()+7,"DUE","Upcoming"))))</f>
        <v>Upcoming</v>
      </c>
      <c r="K620" s="96" t="str">
        <f aca="false">IF($B620="","",IF(OR($F620&lt;&gt;"",COUNTIFS('Paid Log'!$B$9:$B$308,$C620,'Paid Log'!$C$9:$C$308,$B620)&gt;0),"ACTUAL","FORECAST"))</f>
        <v>FORECAST</v>
      </c>
      <c r="L620" s="97" t="n">
        <f aca="false">IF($B620="","",$C620)</f>
        <v>46326</v>
      </c>
      <c r="M620" s="0" t="n">
        <f aca="false">IF($L620="","",COUNTIFS($L$620:$L$670,"&lt;"&amp;$L620)+COUNTIFS($L$620:$L620,$L620))</f>
        <v>1</v>
      </c>
    </row>
    <row r="621" customFormat="false" ht="15" hidden="false" customHeight="true" outlineLevel="0" collapsed="false">
      <c r="B621" s="7" t="str">
        <f aca="false">IFERROR(INDEX(Schedule!$C$4:$C$483,MATCH(12002,Schedule!$K$4:$K$483,0)),"")</f>
        <v>Bruno's Restaurant (paycheck)</v>
      </c>
      <c r="C621" s="88" t="n">
        <f aca="false">IF($B621="","",INDEX(Schedule!$G$4:$G$483,MATCH(12002,Schedule!$K$4:$K$483,0)))</f>
        <v>46330</v>
      </c>
      <c r="D621" s="89" t="str">
        <f aca="false">IF($B621="","",INDEX(Schedule!$D$4:$D$483,MATCH(12002,Schedule!$K$4:$K$483,0)))</f>
        <v>Income</v>
      </c>
      <c r="E621" s="90" t="n">
        <f aca="false">IF($B621="","",INDEX(Schedule!$E$4:$E$483,MATCH(12002,Schedule!$K$4:$K$483,0)))</f>
        <v>90</v>
      </c>
      <c r="F621" s="91"/>
      <c r="G621" s="92" t="n">
        <f aca="false">IF($B621="","",IF($D621="Income",IF($F621&lt;&gt;"",$F621,IF(COUNTIFS('Paid Log'!$B$9:$B$308,$C621,'Paid Log'!$C$9:$C$308,$B621)&gt;0,SUMIFS('Paid Log'!$D$9:$D$308,'Paid Log'!$B$9:$B$308,$C621,'Paid Log'!$C$9:$C$308,$B621),$E621)),""))</f>
        <v>90</v>
      </c>
      <c r="H621" s="93" t="str">
        <f aca="false">IF($B621="","",IF($D621="Income","",IF($F621&lt;&gt;"",$F621,IF(COUNTIFS('Paid Log'!$B$9:$B$308,$C621,'Paid Log'!$C$9:$C$308,$B621)&gt;0,SUMIFS('Paid Log'!$D$9:$D$308,'Paid Log'!$B$9:$B$308,$C621,'Paid Log'!$C$9:$C$308,$B621),$E621))))</f>
        <v/>
      </c>
      <c r="I621" s="94" t="n">
        <f aca="false">IF($B621="","",$I$618+SUMIFS($G$620:$G$670,$M$620:$M$670,"&lt;="&amp;$M621)-SUMIFS($H$620:$H$670,$M$620:$M$670,"&lt;="&amp;$M621))</f>
        <v>83.9000000000002</v>
      </c>
      <c r="J621" s="95" t="str">
        <f aca="true">IF($B621="","",IF(OR($F621&lt;&gt;"",COUNTIFS('Paid Log'!$B$9:$B$308,$C621,'Paid Log'!$C$9:$C$308,$B621)&gt;0),IF($C621&gt;TODAY(),"ADJUSTED","PAID"),IF($C621&lt;TODAY(),"PAST DUE",IF($C621&lt;=TODAY()+7,"DUE","Upcoming"))))</f>
        <v>Upcoming</v>
      </c>
      <c r="K621" s="96" t="str">
        <f aca="false">IF($B621="","",IF(OR($F621&lt;&gt;"",COUNTIFS('Paid Log'!$B$9:$B$308,$C621,'Paid Log'!$C$9:$C$308,$B621)&gt;0),"ACTUAL","FORECAST"))</f>
        <v>FORECAST</v>
      </c>
      <c r="L621" s="97" t="n">
        <f aca="false">IF($B621="","",$C621)</f>
        <v>46330</v>
      </c>
      <c r="M621" s="0" t="n">
        <f aca="false">IF($L621="","",COUNTIFS($L$620:$L$670,"&lt;"&amp;$L621)+COUNTIFS($L$620:$L621,$L621))</f>
        <v>2</v>
      </c>
    </row>
    <row r="622" customFormat="false" ht="15" hidden="false" customHeight="true" outlineLevel="0" collapsed="false">
      <c r="B622" s="7" t="str">
        <f aca="false">IFERROR(INDEX(Schedule!$C$4:$C$483,MATCH(12003,Schedule!$K$4:$K$483,0)),"")</f>
        <v>Apple: Claude</v>
      </c>
      <c r="C622" s="88" t="n">
        <f aca="false">IF($B622="","",INDEX(Schedule!$G$4:$G$483,MATCH(12003,Schedule!$K$4:$K$483,0)))</f>
        <v>46330</v>
      </c>
      <c r="D622" s="89" t="str">
        <f aca="false">IF($B622="","",INDEX(Schedule!$D$4:$D$483,MATCH(12003,Schedule!$K$4:$K$483,0)))</f>
        <v>Expense</v>
      </c>
      <c r="E622" s="90" t="n">
        <f aca="false">IF($B622="","",INDEX(Schedule!$E$4:$E$483,MATCH(12003,Schedule!$K$4:$K$483,0)))</f>
        <v>21.1</v>
      </c>
      <c r="F622" s="91"/>
      <c r="G622" s="92" t="str">
        <f aca="false">IF($B622="","",IF($D622="Income",IF($F622&lt;&gt;"",$F622,IF(COUNTIFS('Paid Log'!$B$9:$B$308,$C622,'Paid Log'!$C$9:$C$308,$B622)&gt;0,SUMIFS('Paid Log'!$D$9:$D$308,'Paid Log'!$B$9:$B$308,$C622,'Paid Log'!$C$9:$C$308,$B622),$E622)),""))</f>
        <v/>
      </c>
      <c r="H622" s="93" t="n">
        <f aca="false">IF($B622="","",IF($D622="Income","",IF($F622&lt;&gt;"",$F622,IF(COUNTIFS('Paid Log'!$B$9:$B$308,$C622,'Paid Log'!$C$9:$C$308,$B622)&gt;0,SUMIFS('Paid Log'!$D$9:$D$308,'Paid Log'!$B$9:$B$308,$C622,'Paid Log'!$C$9:$C$308,$B622),$E622))))</f>
        <v>21.1</v>
      </c>
      <c r="I622" s="94" t="n">
        <f aca="false">IF($B622="","",$I$618+SUMIFS($G$620:$G$670,$M$620:$M$670,"&lt;="&amp;$M622)-SUMIFS($H$620:$H$670,$M$620:$M$670,"&lt;="&amp;$M622))</f>
        <v>62.8000000000002</v>
      </c>
      <c r="J622" s="95" t="str">
        <f aca="true">IF($B622="","",IF(OR($F622&lt;&gt;"",COUNTIFS('Paid Log'!$B$9:$B$308,$C622,'Paid Log'!$C$9:$C$308,$B622)&gt;0),IF($C622&gt;TODAY(),"ADJUSTED","PAID"),IF($C622&lt;TODAY(),"PAST DUE",IF($C622&lt;=TODAY()+7,"DUE","Upcoming"))))</f>
        <v>Upcoming</v>
      </c>
      <c r="K622" s="96" t="str">
        <f aca="false">IF($B622="","",IF(OR($F622&lt;&gt;"",COUNTIFS('Paid Log'!$B$9:$B$308,$C622,'Paid Log'!$C$9:$C$308,$B622)&gt;0),"ACTUAL","FORECAST"))</f>
        <v>FORECAST</v>
      </c>
      <c r="L622" s="97" t="n">
        <f aca="false">IF($B622="","",$C622)</f>
        <v>46330</v>
      </c>
      <c r="M622" s="0" t="n">
        <f aca="false">IF($L622="","",COUNTIFS($L$620:$L$670,"&lt;"&amp;$L622)+COUNTIFS($L$620:$L622,$L622))</f>
        <v>3</v>
      </c>
    </row>
    <row r="623" customFormat="false" ht="15" hidden="false" customHeight="true" outlineLevel="0" collapsed="false">
      <c r="B623" s="7" t="str">
        <f aca="false">IFERROR(INDEX(Schedule!$C$4:$C$483,MATCH(12004,Schedule!$K$4:$K$483,0)),"")</f>
        <v>OpenAI</v>
      </c>
      <c r="C623" s="88" t="n">
        <f aca="false">IF($B623="","",INDEX(Schedule!$G$4:$G$483,MATCH(12004,Schedule!$K$4:$K$483,0)))</f>
        <v>46331</v>
      </c>
      <c r="D623" s="89" t="str">
        <f aca="false">IF($B623="","",INDEX(Schedule!$D$4:$D$483,MATCH(12004,Schedule!$K$4:$K$483,0)))</f>
        <v>Expense</v>
      </c>
      <c r="E623" s="90" t="n">
        <f aca="false">IF($B623="","",INDEX(Schedule!$E$4:$E$483,MATCH(12004,Schedule!$K$4:$K$483,0)))</f>
        <v>20</v>
      </c>
      <c r="F623" s="91"/>
      <c r="G623" s="92" t="str">
        <f aca="false">IF($B623="","",IF($D623="Income",IF($F623&lt;&gt;"",$F623,IF(COUNTIFS('Paid Log'!$B$9:$B$308,$C623,'Paid Log'!$C$9:$C$308,$B623)&gt;0,SUMIFS('Paid Log'!$D$9:$D$308,'Paid Log'!$B$9:$B$308,$C623,'Paid Log'!$C$9:$C$308,$B623),$E623)),""))</f>
        <v/>
      </c>
      <c r="H623" s="93" t="n">
        <f aca="false">IF($B623="","",IF($D623="Income","",IF($F623&lt;&gt;"",$F623,IF(COUNTIFS('Paid Log'!$B$9:$B$308,$C623,'Paid Log'!$C$9:$C$308,$B623)&gt;0,SUMIFS('Paid Log'!$D$9:$D$308,'Paid Log'!$B$9:$B$308,$C623,'Paid Log'!$C$9:$C$308,$B623),$E623))))</f>
        <v>20</v>
      </c>
      <c r="I623" s="94" t="n">
        <f aca="false">IF($B623="","",$I$618+SUMIFS($G$620:$G$670,$M$620:$M$670,"&lt;="&amp;$M623)-SUMIFS($H$620:$H$670,$M$620:$M$670,"&lt;="&amp;$M623))</f>
        <v>42.8000000000002</v>
      </c>
      <c r="J623" s="95" t="str">
        <f aca="true">IF($B623="","",IF(OR($F623&lt;&gt;"",COUNTIFS('Paid Log'!$B$9:$B$308,$C623,'Paid Log'!$C$9:$C$308,$B623)&gt;0),IF($C623&gt;TODAY(),"ADJUSTED","PAID"),IF($C623&lt;TODAY(),"PAST DUE",IF($C623&lt;=TODAY()+7,"DUE","Upcoming"))))</f>
        <v>Upcoming</v>
      </c>
      <c r="K623" s="96" t="str">
        <f aca="false">IF($B623="","",IF(OR($F623&lt;&gt;"",COUNTIFS('Paid Log'!$B$9:$B$308,$C623,'Paid Log'!$C$9:$C$308,$B623)&gt;0),"ACTUAL","FORECAST"))</f>
        <v>FORECAST</v>
      </c>
      <c r="L623" s="97" t="n">
        <f aca="false">IF($B623="","",$C623)</f>
        <v>46331</v>
      </c>
      <c r="M623" s="0" t="n">
        <f aca="false">IF($L623="","",COUNTIFS($L$620:$L$670,"&lt;"&amp;$L623)+COUNTIFS($L$620:$L623,$L623))</f>
        <v>4</v>
      </c>
    </row>
    <row r="624" customFormat="false" ht="15" hidden="false" customHeight="true" outlineLevel="0" collapsed="false">
      <c r="B624" s="7" t="str">
        <f aca="false">IFERROR(INDEX(Schedule!$C$4:$C$483,MATCH(12005,Schedule!$K$4:$K$483,0)),"")</f>
        <v>Obsidian</v>
      </c>
      <c r="C624" s="88" t="n">
        <f aca="false">IF($B624="","",INDEX(Schedule!$G$4:$G$483,MATCH(12005,Schedule!$K$4:$K$483,0)))</f>
        <v>46331</v>
      </c>
      <c r="D624" s="89" t="str">
        <f aca="false">IF($B624="","",INDEX(Schedule!$D$4:$D$483,MATCH(12005,Schedule!$K$4:$K$483,0)))</f>
        <v>Expense</v>
      </c>
      <c r="E624" s="90" t="n">
        <f aca="false">IF($B624="","",INDEX(Schedule!$E$4:$E$483,MATCH(12005,Schedule!$K$4:$K$483,0)))</f>
        <v>10</v>
      </c>
      <c r="F624" s="91"/>
      <c r="G624" s="92" t="str">
        <f aca="false">IF($B624="","",IF($D624="Income",IF($F624&lt;&gt;"",$F624,IF(COUNTIFS('Paid Log'!$B$9:$B$308,$C624,'Paid Log'!$C$9:$C$308,$B624)&gt;0,SUMIFS('Paid Log'!$D$9:$D$308,'Paid Log'!$B$9:$B$308,$C624,'Paid Log'!$C$9:$C$308,$B624),$E624)),""))</f>
        <v/>
      </c>
      <c r="H624" s="93" t="n">
        <f aca="false">IF($B624="","",IF($D624="Income","",IF($F624&lt;&gt;"",$F624,IF(COUNTIFS('Paid Log'!$B$9:$B$308,$C624,'Paid Log'!$C$9:$C$308,$B624)&gt;0,SUMIFS('Paid Log'!$D$9:$D$308,'Paid Log'!$B$9:$B$308,$C624,'Paid Log'!$C$9:$C$308,$B624),$E624))))</f>
        <v>10</v>
      </c>
      <c r="I624" s="94" t="n">
        <f aca="false">IF($B624="","",$I$618+SUMIFS($G$620:$G$670,$M$620:$M$670,"&lt;="&amp;$M624)-SUMIFS($H$620:$H$670,$M$620:$M$670,"&lt;="&amp;$M624))</f>
        <v>32.8000000000002</v>
      </c>
      <c r="J624" s="95" t="str">
        <f aca="true">IF($B624="","",IF(OR($F624&lt;&gt;"",COUNTIFS('Paid Log'!$B$9:$B$308,$C624,'Paid Log'!$C$9:$C$308,$B624)&gt;0),IF($C624&gt;TODAY(),"ADJUSTED","PAID"),IF($C624&lt;TODAY(),"PAST DUE",IF($C624&lt;=TODAY()+7,"DUE","Upcoming"))))</f>
        <v>Upcoming</v>
      </c>
      <c r="K624" s="96" t="str">
        <f aca="false">IF($B624="","",IF(OR($F624&lt;&gt;"",COUNTIFS('Paid Log'!$B$9:$B$308,$C624,'Paid Log'!$C$9:$C$308,$B624)&gt;0),"ACTUAL","FORECAST"))</f>
        <v>FORECAST</v>
      </c>
      <c r="L624" s="97" t="n">
        <f aca="false">IF($B624="","",$C624)</f>
        <v>46331</v>
      </c>
      <c r="M624" s="0" t="n">
        <f aca="false">IF($L624="","",COUNTIFS($L$620:$L$670,"&lt;"&amp;$L624)+COUNTIFS($L$620:$L624,$L624))</f>
        <v>5</v>
      </c>
    </row>
    <row r="625" customFormat="false" ht="15" hidden="false" customHeight="true" outlineLevel="0" collapsed="false">
      <c r="B625" s="7" t="str">
        <f aca="false">IFERROR(INDEX(Schedule!$C$4:$C$483,MATCH(12006,Schedule!$K$4:$K$483,0)),"")</f>
        <v>Compunnel Software (paycheck)</v>
      </c>
      <c r="C625" s="88" t="n">
        <f aca="false">IF($B625="","",INDEX(Schedule!$G$4:$G$483,MATCH(12006,Schedule!$K$4:$K$483,0)))</f>
        <v>46332</v>
      </c>
      <c r="D625" s="89" t="str">
        <f aca="false">IF($B625="","",INDEX(Schedule!$D$4:$D$483,MATCH(12006,Schedule!$K$4:$K$483,0)))</f>
        <v>Income</v>
      </c>
      <c r="E625" s="90" t="n">
        <f aca="false">IF($B625="","",INDEX(Schedule!$E$4:$E$483,MATCH(12006,Schedule!$K$4:$K$483,0)))</f>
        <v>745</v>
      </c>
      <c r="F625" s="91"/>
      <c r="G625" s="92" t="n">
        <f aca="false">IF($B625="","",IF($D625="Income",IF($F625&lt;&gt;"",$F625,IF(COUNTIFS('Paid Log'!$B$9:$B$308,$C625,'Paid Log'!$C$9:$C$308,$B625)&gt;0,SUMIFS('Paid Log'!$D$9:$D$308,'Paid Log'!$B$9:$B$308,$C625,'Paid Log'!$C$9:$C$308,$B625),$E625)),""))</f>
        <v>745</v>
      </c>
      <c r="H625" s="93" t="str">
        <f aca="false">IF($B625="","",IF($D625="Income","",IF($F625&lt;&gt;"",$F625,IF(COUNTIFS('Paid Log'!$B$9:$B$308,$C625,'Paid Log'!$C$9:$C$308,$B625)&gt;0,SUMIFS('Paid Log'!$D$9:$D$308,'Paid Log'!$B$9:$B$308,$C625,'Paid Log'!$C$9:$C$308,$B625),$E625))))</f>
        <v/>
      </c>
      <c r="I625" s="94" t="n">
        <f aca="false">IF($B625="","",$I$618+SUMIFS($G$620:$G$670,$M$620:$M$670,"&lt;="&amp;$M625)-SUMIFS($H$620:$H$670,$M$620:$M$670,"&lt;="&amp;$M625))</f>
        <v>777.8</v>
      </c>
      <c r="J625" s="95" t="str">
        <f aca="true">IF($B625="","",IF(OR($F625&lt;&gt;"",COUNTIFS('Paid Log'!$B$9:$B$308,$C625,'Paid Log'!$C$9:$C$308,$B625)&gt;0),IF($C625&gt;TODAY(),"ADJUSTED","PAID"),IF($C625&lt;TODAY(),"PAST DUE",IF($C625&lt;=TODAY()+7,"DUE","Upcoming"))))</f>
        <v>Upcoming</v>
      </c>
      <c r="K625" s="96" t="str">
        <f aca="false">IF($B625="","",IF(OR($F625&lt;&gt;"",COUNTIFS('Paid Log'!$B$9:$B$308,$C625,'Paid Log'!$C$9:$C$308,$B625)&gt;0),"ACTUAL","FORECAST"))</f>
        <v>FORECAST</v>
      </c>
      <c r="L625" s="97" t="n">
        <f aca="false">IF($B625="","",$C625)</f>
        <v>46332</v>
      </c>
      <c r="M625" s="0" t="n">
        <f aca="false">IF($L625="","",COUNTIFS($L$620:$L$670,"&lt;"&amp;$L625)+COUNTIFS($L$620:$L625,$L625))</f>
        <v>6</v>
      </c>
    </row>
    <row r="626" customFormat="false" ht="15" hidden="false" customHeight="true" outlineLevel="0" collapsed="false">
      <c r="B626" s="7" t="str">
        <f aca="false">IFERROR(INDEX(Schedule!$C$4:$C$483,MATCH(12007,Schedule!$K$4:$K$483,0)),"")</f>
        <v/>
      </c>
      <c r="C626" s="88" t="str">
        <f aca="false">IF($B626="","",INDEX(Schedule!$G$4:$G$483,MATCH(12007,Schedule!$K$4:$K$483,0)))</f>
        <v/>
      </c>
      <c r="D626" s="89" t="str">
        <f aca="false">IF($B626="","",INDEX(Schedule!$D$4:$D$483,MATCH(12007,Schedule!$K$4:$K$483,0)))</f>
        <v/>
      </c>
      <c r="E626" s="90" t="str">
        <f aca="false">IF($B626="","",INDEX(Schedule!$E$4:$E$483,MATCH(12007,Schedule!$K$4:$K$483,0)))</f>
        <v/>
      </c>
      <c r="F626" s="91"/>
      <c r="G626" s="92" t="str">
        <f aca="false">IF($B626="","",IF($D626="Income",IF($F626&lt;&gt;"",$F626,IF(COUNTIFS('Paid Log'!$B$9:$B$308,$C626,'Paid Log'!$C$9:$C$308,$B626)&gt;0,SUMIFS('Paid Log'!$D$9:$D$308,'Paid Log'!$B$9:$B$308,$C626,'Paid Log'!$C$9:$C$308,$B626),$E626)),""))</f>
        <v/>
      </c>
      <c r="H626" s="93" t="str">
        <f aca="false">IF($B626="","",IF($D626="Income","",IF($F626&lt;&gt;"",$F626,IF(COUNTIFS('Paid Log'!$B$9:$B$308,$C626,'Paid Log'!$C$9:$C$308,$B626)&gt;0,SUMIFS('Paid Log'!$D$9:$D$308,'Paid Log'!$B$9:$B$308,$C626,'Paid Log'!$C$9:$C$308,$B626),$E626))))</f>
        <v/>
      </c>
      <c r="I626" s="94" t="str">
        <f aca="false">IF($B626="","",$I$618+SUMIFS($G$620:$G$670,$M$620:$M$670,"&lt;="&amp;$M626)-SUMIFS($H$620:$H$670,$M$620:$M$670,"&lt;="&amp;$M626))</f>
        <v/>
      </c>
      <c r="J626" s="95" t="str">
        <f aca="true">IF($B626="","",IF(OR($F626&lt;&gt;"",COUNTIFS('Paid Log'!$B$9:$B$308,$C626,'Paid Log'!$C$9:$C$308,$B626)&gt;0),IF($C626&gt;TODAY(),"ADJUSTED","PAID"),IF($C626&lt;TODAY(),"PAST DUE",IF($C626&lt;=TODAY()+7,"DUE","Upcoming"))))</f>
        <v/>
      </c>
      <c r="K626" s="96" t="str">
        <f aca="false">IF($B626="","",IF(OR($F626&lt;&gt;"",COUNTIFS('Paid Log'!$B$9:$B$308,$C626,'Paid Log'!$C$9:$C$308,$B626)&gt;0),"ACTUAL","FORECAST"))</f>
        <v/>
      </c>
      <c r="L626" s="0" t="str">
        <f aca="false">IF($B626="","",$C626)</f>
        <v/>
      </c>
      <c r="M626" s="0" t="str">
        <f aca="false">IF($L626="","",COUNTIFS($L$620:$L$670,"&lt;"&amp;$L626)+COUNTIFS($L$620:$L626,$L626))</f>
        <v/>
      </c>
    </row>
    <row r="627" customFormat="false" ht="15" hidden="false" customHeight="true" outlineLevel="0" collapsed="false">
      <c r="B627" s="7" t="str">
        <f aca="false">IFERROR(INDEX(Schedule!$C$4:$C$483,MATCH(12008,Schedule!$K$4:$K$483,0)),"")</f>
        <v/>
      </c>
      <c r="C627" s="88" t="str">
        <f aca="false">IF($B627="","",INDEX(Schedule!$G$4:$G$483,MATCH(12008,Schedule!$K$4:$K$483,0)))</f>
        <v/>
      </c>
      <c r="D627" s="89" t="str">
        <f aca="false">IF($B627="","",INDEX(Schedule!$D$4:$D$483,MATCH(12008,Schedule!$K$4:$K$483,0)))</f>
        <v/>
      </c>
      <c r="E627" s="90" t="str">
        <f aca="false">IF($B627="","",INDEX(Schedule!$E$4:$E$483,MATCH(12008,Schedule!$K$4:$K$483,0)))</f>
        <v/>
      </c>
      <c r="F627" s="91"/>
      <c r="G627" s="92" t="str">
        <f aca="false">IF($B627="","",IF($D627="Income",IF($F627&lt;&gt;"",$F627,IF(COUNTIFS('Paid Log'!$B$9:$B$308,$C627,'Paid Log'!$C$9:$C$308,$B627)&gt;0,SUMIFS('Paid Log'!$D$9:$D$308,'Paid Log'!$B$9:$B$308,$C627,'Paid Log'!$C$9:$C$308,$B627),$E627)),""))</f>
        <v/>
      </c>
      <c r="H627" s="93" t="str">
        <f aca="false">IF($B627="","",IF($D627="Income","",IF($F627&lt;&gt;"",$F627,IF(COUNTIFS('Paid Log'!$B$9:$B$308,$C627,'Paid Log'!$C$9:$C$308,$B627)&gt;0,SUMIFS('Paid Log'!$D$9:$D$308,'Paid Log'!$B$9:$B$308,$C627,'Paid Log'!$C$9:$C$308,$B627),$E627))))</f>
        <v/>
      </c>
      <c r="I627" s="94" t="str">
        <f aca="false">IF($B627="","",$I$618+SUMIFS($G$620:$G$670,$M$620:$M$670,"&lt;="&amp;$M627)-SUMIFS($H$620:$H$670,$M$620:$M$670,"&lt;="&amp;$M627))</f>
        <v/>
      </c>
      <c r="J627" s="95" t="str">
        <f aca="true">IF($B627="","",IF(OR($F627&lt;&gt;"",COUNTIFS('Paid Log'!$B$9:$B$308,$C627,'Paid Log'!$C$9:$C$308,$B627)&gt;0),IF($C627&gt;TODAY(),"ADJUSTED","PAID"),IF($C627&lt;TODAY(),"PAST DUE",IF($C627&lt;=TODAY()+7,"DUE","Upcoming"))))</f>
        <v/>
      </c>
      <c r="K627" s="96" t="str">
        <f aca="false">IF($B627="","",IF(OR($F627&lt;&gt;"",COUNTIFS('Paid Log'!$B$9:$B$308,$C627,'Paid Log'!$C$9:$C$308,$B627)&gt;0),"ACTUAL","FORECAST"))</f>
        <v/>
      </c>
      <c r="L627" s="0" t="str">
        <f aca="false">IF($B627="","",$C627)</f>
        <v/>
      </c>
      <c r="M627" s="0" t="str">
        <f aca="false">IF($L627="","",COUNTIFS($L$620:$L$670,"&lt;"&amp;$L627)+COUNTIFS($L$620:$L627,$L627))</f>
        <v/>
      </c>
    </row>
    <row r="628" customFormat="false" ht="15" hidden="false" customHeight="true" outlineLevel="0" collapsed="false">
      <c r="B628" s="7" t="str">
        <f aca="false">IFERROR(INDEX(Schedule!$C$4:$C$483,MATCH(12009,Schedule!$K$4:$K$483,0)),"")</f>
        <v/>
      </c>
      <c r="C628" s="88" t="str">
        <f aca="false">IF($B628="","",INDEX(Schedule!$G$4:$G$483,MATCH(12009,Schedule!$K$4:$K$483,0)))</f>
        <v/>
      </c>
      <c r="D628" s="89" t="str">
        <f aca="false">IF($B628="","",INDEX(Schedule!$D$4:$D$483,MATCH(12009,Schedule!$K$4:$K$483,0)))</f>
        <v/>
      </c>
      <c r="E628" s="90" t="str">
        <f aca="false">IF($B628="","",INDEX(Schedule!$E$4:$E$483,MATCH(12009,Schedule!$K$4:$K$483,0)))</f>
        <v/>
      </c>
      <c r="F628" s="91"/>
      <c r="G628" s="92" t="str">
        <f aca="false">IF($B628="","",IF($D628="Income",IF($F628&lt;&gt;"",$F628,IF(COUNTIFS('Paid Log'!$B$9:$B$308,$C628,'Paid Log'!$C$9:$C$308,$B628)&gt;0,SUMIFS('Paid Log'!$D$9:$D$308,'Paid Log'!$B$9:$B$308,$C628,'Paid Log'!$C$9:$C$308,$B628),$E628)),""))</f>
        <v/>
      </c>
      <c r="H628" s="93" t="str">
        <f aca="false">IF($B628="","",IF($D628="Income","",IF($F628&lt;&gt;"",$F628,IF(COUNTIFS('Paid Log'!$B$9:$B$308,$C628,'Paid Log'!$C$9:$C$308,$B628)&gt;0,SUMIFS('Paid Log'!$D$9:$D$308,'Paid Log'!$B$9:$B$308,$C628,'Paid Log'!$C$9:$C$308,$B628),$E628))))</f>
        <v/>
      </c>
      <c r="I628" s="94" t="str">
        <f aca="false">IF($B628="","",$I$618+SUMIFS($G$620:$G$670,$M$620:$M$670,"&lt;="&amp;$M628)-SUMIFS($H$620:$H$670,$M$620:$M$670,"&lt;="&amp;$M628))</f>
        <v/>
      </c>
      <c r="J628" s="95" t="str">
        <f aca="true">IF($B628="","",IF(OR($F628&lt;&gt;"",COUNTIFS('Paid Log'!$B$9:$B$308,$C628,'Paid Log'!$C$9:$C$308,$B628)&gt;0),IF($C628&gt;TODAY(),"ADJUSTED","PAID"),IF($C628&lt;TODAY(),"PAST DUE",IF($C628&lt;=TODAY()+7,"DUE","Upcoming"))))</f>
        <v/>
      </c>
      <c r="K628" s="96" t="str">
        <f aca="false">IF($B628="","",IF(OR($F628&lt;&gt;"",COUNTIFS('Paid Log'!$B$9:$B$308,$C628,'Paid Log'!$C$9:$C$308,$B628)&gt;0),"ACTUAL","FORECAST"))</f>
        <v/>
      </c>
      <c r="L628" s="0" t="str">
        <f aca="false">IF($B628="","",$C628)</f>
        <v/>
      </c>
      <c r="M628" s="0" t="str">
        <f aca="false">IF($L628="","",COUNTIFS($L$620:$L$670,"&lt;"&amp;$L628)+COUNTIFS($L$620:$L628,$L628))</f>
        <v/>
      </c>
    </row>
    <row r="629" customFormat="false" ht="15" hidden="false" customHeight="true" outlineLevel="0" collapsed="false">
      <c r="B629" s="7" t="str">
        <f aca="false">IFERROR(INDEX(Schedule!$C$4:$C$483,MATCH(12010,Schedule!$K$4:$K$483,0)),"")</f>
        <v/>
      </c>
      <c r="C629" s="88" t="str">
        <f aca="false">IF($B629="","",INDEX(Schedule!$G$4:$G$483,MATCH(12010,Schedule!$K$4:$K$483,0)))</f>
        <v/>
      </c>
      <c r="D629" s="89" t="str">
        <f aca="false">IF($B629="","",INDEX(Schedule!$D$4:$D$483,MATCH(12010,Schedule!$K$4:$K$483,0)))</f>
        <v/>
      </c>
      <c r="E629" s="90" t="str">
        <f aca="false">IF($B629="","",INDEX(Schedule!$E$4:$E$483,MATCH(12010,Schedule!$K$4:$K$483,0)))</f>
        <v/>
      </c>
      <c r="F629" s="91"/>
      <c r="G629" s="92" t="str">
        <f aca="false">IF($B629="","",IF($D629="Income",IF($F629&lt;&gt;"",$F629,IF(COUNTIFS('Paid Log'!$B$9:$B$308,$C629,'Paid Log'!$C$9:$C$308,$B629)&gt;0,SUMIFS('Paid Log'!$D$9:$D$308,'Paid Log'!$B$9:$B$308,$C629,'Paid Log'!$C$9:$C$308,$B629),$E629)),""))</f>
        <v/>
      </c>
      <c r="H629" s="93" t="str">
        <f aca="false">IF($B629="","",IF($D629="Income","",IF($F629&lt;&gt;"",$F629,IF(COUNTIFS('Paid Log'!$B$9:$B$308,$C629,'Paid Log'!$C$9:$C$308,$B629)&gt;0,SUMIFS('Paid Log'!$D$9:$D$308,'Paid Log'!$B$9:$B$308,$C629,'Paid Log'!$C$9:$C$308,$B629),$E629))))</f>
        <v/>
      </c>
      <c r="I629" s="94" t="str">
        <f aca="false">IF($B629="","",$I$618+SUMIFS($G$620:$G$670,$M$620:$M$670,"&lt;="&amp;$M629)-SUMIFS($H$620:$H$670,$M$620:$M$670,"&lt;="&amp;$M629))</f>
        <v/>
      </c>
      <c r="J629" s="95" t="str">
        <f aca="true">IF($B629="","",IF(OR($F629&lt;&gt;"",COUNTIFS('Paid Log'!$B$9:$B$308,$C629,'Paid Log'!$C$9:$C$308,$B629)&gt;0),IF($C629&gt;TODAY(),"ADJUSTED","PAID"),IF($C629&lt;TODAY(),"PAST DUE",IF($C629&lt;=TODAY()+7,"DUE","Upcoming"))))</f>
        <v/>
      </c>
      <c r="K629" s="96" t="str">
        <f aca="false">IF($B629="","",IF(OR($F629&lt;&gt;"",COUNTIFS('Paid Log'!$B$9:$B$308,$C629,'Paid Log'!$C$9:$C$308,$B629)&gt;0),"ACTUAL","FORECAST"))</f>
        <v/>
      </c>
      <c r="L629" s="0" t="str">
        <f aca="false">IF($B629="","",$C629)</f>
        <v/>
      </c>
      <c r="M629" s="0" t="str">
        <f aca="false">IF($L629="","",COUNTIFS($L$620:$L$670,"&lt;"&amp;$L629)+COUNTIFS($L$620:$L629,$L629))</f>
        <v/>
      </c>
    </row>
    <row r="630" customFormat="false" ht="15" hidden="false" customHeight="true" outlineLevel="0" collapsed="false">
      <c r="B630" s="98" t="s">
        <v>148</v>
      </c>
      <c r="C630" s="99"/>
      <c r="D630" s="99"/>
      <c r="E630" s="99"/>
      <c r="F630" s="99"/>
      <c r="G630" s="99"/>
      <c r="H630" s="99"/>
      <c r="I630" s="99"/>
      <c r="J630" s="99"/>
    </row>
    <row r="631" customFormat="false" ht="15" hidden="false" customHeight="true" outlineLevel="0" collapsed="false">
      <c r="B631" s="12"/>
      <c r="C631" s="100"/>
      <c r="D631" s="101" t="str">
        <f aca="false">IF($B631="","","Expense")</f>
        <v/>
      </c>
      <c r="E631" s="14"/>
      <c r="F631" s="102"/>
      <c r="G631" s="102"/>
      <c r="H631" s="103" t="str">
        <f aca="false">IF($B631="","",N($E631))</f>
        <v/>
      </c>
      <c r="I631" s="104" t="str">
        <f aca="false">IF($B631="","",$I$618+SUMIFS($G$620:$G$670,$M$620:$M$670,"&lt;="&amp;$M631)-SUMIFS($H$620:$H$670,$M$620:$M$670,"&lt;="&amp;$M631))</f>
        <v/>
      </c>
      <c r="J631" s="102"/>
      <c r="K631" s="96" t="str">
        <f aca="false">IF($B631="","","ACTUAL")</f>
        <v/>
      </c>
      <c r="L631" s="0" t="str">
        <f aca="false">IF($B631="","",IF($C631="",$E$6+83,$C631))</f>
        <v/>
      </c>
      <c r="M631" s="0" t="str">
        <f aca="false">IF($L631="","",COUNTIFS($L$620:$L$670,"&lt;"&amp;$L631)+COUNTIFS($L$620:$L631,$L631))</f>
        <v/>
      </c>
    </row>
    <row r="632" customFormat="false" ht="15" hidden="false" customHeight="true" outlineLevel="0" collapsed="false">
      <c r="B632" s="12"/>
      <c r="C632" s="100"/>
      <c r="D632" s="101" t="str">
        <f aca="false">IF($B632="","","Expense")</f>
        <v/>
      </c>
      <c r="E632" s="14"/>
      <c r="F632" s="102"/>
      <c r="G632" s="102"/>
      <c r="H632" s="103" t="str">
        <f aca="false">IF($B632="","",N($E632))</f>
        <v/>
      </c>
      <c r="I632" s="104" t="str">
        <f aca="false">IF($B632="","",$I$618+SUMIFS($G$620:$G$670,$M$620:$M$670,"&lt;="&amp;$M632)-SUMIFS($H$620:$H$670,$M$620:$M$670,"&lt;="&amp;$M632))</f>
        <v/>
      </c>
      <c r="J632" s="102"/>
      <c r="K632" s="96" t="str">
        <f aca="false">IF($B632="","","ACTUAL")</f>
        <v/>
      </c>
      <c r="L632" s="0" t="str">
        <f aca="false">IF($B632="","",IF($C632="",$E$6+83,$C632))</f>
        <v/>
      </c>
      <c r="M632" s="0" t="str">
        <f aca="false">IF($L632="","",COUNTIFS($L$620:$L$670,"&lt;"&amp;$L632)+COUNTIFS($L$620:$L632,$L632))</f>
        <v/>
      </c>
    </row>
    <row r="633" customFormat="false" ht="15" hidden="false" customHeight="true" outlineLevel="0" collapsed="false">
      <c r="B633" s="12"/>
      <c r="C633" s="100"/>
      <c r="D633" s="101" t="str">
        <f aca="false">IF($B633="","","Expense")</f>
        <v/>
      </c>
      <c r="E633" s="14"/>
      <c r="F633" s="102"/>
      <c r="G633" s="102"/>
      <c r="H633" s="103" t="str">
        <f aca="false">IF($B633="","",N($E633))</f>
        <v/>
      </c>
      <c r="I633" s="104" t="str">
        <f aca="false">IF($B633="","",$I$618+SUMIFS($G$620:$G$670,$M$620:$M$670,"&lt;="&amp;$M633)-SUMIFS($H$620:$H$670,$M$620:$M$670,"&lt;="&amp;$M633))</f>
        <v/>
      </c>
      <c r="J633" s="102"/>
      <c r="K633" s="96" t="str">
        <f aca="false">IF($B633="","","ACTUAL")</f>
        <v/>
      </c>
      <c r="L633" s="0" t="str">
        <f aca="false">IF($B633="","",IF($C633="",$E$6+83,$C633))</f>
        <v/>
      </c>
      <c r="M633" s="0" t="str">
        <f aca="false">IF($L633="","",COUNTIFS($L$620:$L$670,"&lt;"&amp;$L633)+COUNTIFS($L$620:$L633,$L633))</f>
        <v/>
      </c>
    </row>
    <row r="634" customFormat="false" ht="15" hidden="false" customHeight="true" outlineLevel="0" collapsed="false">
      <c r="B634" s="12"/>
      <c r="C634" s="100"/>
      <c r="D634" s="101" t="str">
        <f aca="false">IF($B634="","","Expense")</f>
        <v/>
      </c>
      <c r="E634" s="14"/>
      <c r="F634" s="102"/>
      <c r="G634" s="102"/>
      <c r="H634" s="103" t="str">
        <f aca="false">IF($B634="","",N($E634))</f>
        <v/>
      </c>
      <c r="I634" s="104" t="str">
        <f aca="false">IF($B634="","",$I$618+SUMIFS($G$620:$G$670,$M$620:$M$670,"&lt;="&amp;$M634)-SUMIFS($H$620:$H$670,$M$620:$M$670,"&lt;="&amp;$M634))</f>
        <v/>
      </c>
      <c r="J634" s="102"/>
      <c r="K634" s="96" t="str">
        <f aca="false">IF($B634="","","ACTUAL")</f>
        <v/>
      </c>
      <c r="L634" s="0" t="str">
        <f aca="false">IF($B634="","",IF($C634="",$E$6+83,$C634))</f>
        <v/>
      </c>
      <c r="M634" s="0" t="str">
        <f aca="false">IF($L634="","",COUNTIFS($L$620:$L$670,"&lt;"&amp;$L634)+COUNTIFS($L$620:$L634,$L634))</f>
        <v/>
      </c>
    </row>
    <row r="635" customFormat="false" ht="15" hidden="false" customHeight="true" outlineLevel="0" collapsed="false">
      <c r="B635" s="12"/>
      <c r="C635" s="100"/>
      <c r="D635" s="101" t="str">
        <f aca="false">IF($B635="","","Expense")</f>
        <v/>
      </c>
      <c r="E635" s="14"/>
      <c r="F635" s="102"/>
      <c r="G635" s="102"/>
      <c r="H635" s="103" t="str">
        <f aca="false">IF($B635="","",N($E635))</f>
        <v/>
      </c>
      <c r="I635" s="104" t="str">
        <f aca="false">IF($B635="","",$I$618+SUMIFS($G$620:$G$670,$M$620:$M$670,"&lt;="&amp;$M635)-SUMIFS($H$620:$H$670,$M$620:$M$670,"&lt;="&amp;$M635))</f>
        <v/>
      </c>
      <c r="J635" s="102"/>
      <c r="K635" s="96" t="str">
        <f aca="false">IF($B635="","","ACTUAL")</f>
        <v/>
      </c>
      <c r="L635" s="0" t="str">
        <f aca="false">IF($B635="","",IF($C635="",$E$6+83,$C635))</f>
        <v/>
      </c>
      <c r="M635" s="0" t="str">
        <f aca="false">IF($L635="","",COUNTIFS($L$620:$L$670,"&lt;"&amp;$L635)+COUNTIFS($L$620:$L635,$L635))</f>
        <v/>
      </c>
    </row>
    <row r="636" customFormat="false" ht="15" hidden="false" customHeight="true" outlineLevel="0" collapsed="false">
      <c r="B636" s="12"/>
      <c r="C636" s="100"/>
      <c r="D636" s="101" t="str">
        <f aca="false">IF($B636="","","Expense")</f>
        <v/>
      </c>
      <c r="E636" s="14"/>
      <c r="F636" s="102"/>
      <c r="G636" s="102"/>
      <c r="H636" s="103" t="str">
        <f aca="false">IF($B636="","",N($E636))</f>
        <v/>
      </c>
      <c r="I636" s="104" t="str">
        <f aca="false">IF($B636="","",$I$618+SUMIFS($G$620:$G$670,$M$620:$M$670,"&lt;="&amp;$M636)-SUMIFS($H$620:$H$670,$M$620:$M$670,"&lt;="&amp;$M636))</f>
        <v/>
      </c>
      <c r="J636" s="102"/>
      <c r="K636" s="96" t="str">
        <f aca="false">IF($B636="","","ACTUAL")</f>
        <v/>
      </c>
      <c r="L636" s="0" t="str">
        <f aca="false">IF($B636="","",IF($C636="",$E$6+83,$C636))</f>
        <v/>
      </c>
      <c r="M636" s="0" t="str">
        <f aca="false">IF($L636="","",COUNTIFS($L$620:$L$670,"&lt;"&amp;$L636)+COUNTIFS($L$620:$L636,$L636))</f>
        <v/>
      </c>
    </row>
    <row r="637" customFormat="false" ht="15" hidden="false" customHeight="true" outlineLevel="0" collapsed="false">
      <c r="B637" s="12"/>
      <c r="C637" s="100"/>
      <c r="D637" s="101" t="str">
        <f aca="false">IF($B637="","","Expense")</f>
        <v/>
      </c>
      <c r="E637" s="14"/>
      <c r="F637" s="102"/>
      <c r="G637" s="102"/>
      <c r="H637" s="103" t="str">
        <f aca="false">IF($B637="","",N($E637))</f>
        <v/>
      </c>
      <c r="I637" s="104" t="str">
        <f aca="false">IF($B637="","",$I$618+SUMIFS($G$620:$G$670,$M$620:$M$670,"&lt;="&amp;$M637)-SUMIFS($H$620:$H$670,$M$620:$M$670,"&lt;="&amp;$M637))</f>
        <v/>
      </c>
      <c r="J637" s="102"/>
      <c r="K637" s="96" t="str">
        <f aca="false">IF($B637="","","ACTUAL")</f>
        <v/>
      </c>
      <c r="L637" s="0" t="str">
        <f aca="false">IF($B637="","",IF($C637="",$E$6+83,$C637))</f>
        <v/>
      </c>
      <c r="M637" s="0" t="str">
        <f aca="false">IF($L637="","",COUNTIFS($L$620:$L$670,"&lt;"&amp;$L637)+COUNTIFS($L$620:$L637,$L637))</f>
        <v/>
      </c>
    </row>
    <row r="638" customFormat="false" ht="15" hidden="false" customHeight="true" outlineLevel="0" collapsed="false">
      <c r="B638" s="12"/>
      <c r="C638" s="100"/>
      <c r="D638" s="101" t="str">
        <f aca="false">IF($B638="","","Expense")</f>
        <v/>
      </c>
      <c r="E638" s="14"/>
      <c r="F638" s="102"/>
      <c r="G638" s="102"/>
      <c r="H638" s="103" t="str">
        <f aca="false">IF($B638="","",N($E638))</f>
        <v/>
      </c>
      <c r="I638" s="104" t="str">
        <f aca="false">IF($B638="","",$I$618+SUMIFS($G$620:$G$670,$M$620:$M$670,"&lt;="&amp;$M638)-SUMIFS($H$620:$H$670,$M$620:$M$670,"&lt;="&amp;$M638))</f>
        <v/>
      </c>
      <c r="J638" s="102"/>
      <c r="K638" s="96" t="str">
        <f aca="false">IF($B638="","","ACTUAL")</f>
        <v/>
      </c>
      <c r="L638" s="0" t="str">
        <f aca="false">IF($B638="","",IF($C638="",$E$6+83,$C638))</f>
        <v/>
      </c>
      <c r="M638" s="0" t="str">
        <f aca="false">IF($L638="","",COUNTIFS($L$620:$L$670,"&lt;"&amp;$L638)+COUNTIFS($L$620:$L638,$L638))</f>
        <v/>
      </c>
    </row>
    <row r="639" customFormat="false" ht="15" hidden="false" customHeight="true" outlineLevel="0" collapsed="false">
      <c r="B639" s="12"/>
      <c r="C639" s="100"/>
      <c r="D639" s="101" t="str">
        <f aca="false">IF($B639="","","Expense")</f>
        <v/>
      </c>
      <c r="E639" s="14"/>
      <c r="F639" s="102"/>
      <c r="G639" s="102"/>
      <c r="H639" s="103" t="str">
        <f aca="false">IF($B639="","",N($E639))</f>
        <v/>
      </c>
      <c r="I639" s="104" t="str">
        <f aca="false">IF($B639="","",$I$618+SUMIFS($G$620:$G$670,$M$620:$M$670,"&lt;="&amp;$M639)-SUMIFS($H$620:$H$670,$M$620:$M$670,"&lt;="&amp;$M639))</f>
        <v/>
      </c>
      <c r="J639" s="102"/>
      <c r="K639" s="96" t="str">
        <f aca="false">IF($B639="","","ACTUAL")</f>
        <v/>
      </c>
      <c r="L639" s="0" t="str">
        <f aca="false">IF($B639="","",IF($C639="",$E$6+83,$C639))</f>
        <v/>
      </c>
      <c r="M639" s="0" t="str">
        <f aca="false">IF($L639="","",COUNTIFS($L$620:$L$670,"&lt;"&amp;$L639)+COUNTIFS($L$620:$L639,$L639))</f>
        <v/>
      </c>
    </row>
    <row r="640" customFormat="false" ht="15" hidden="false" customHeight="true" outlineLevel="0" collapsed="false">
      <c r="B640" s="12"/>
      <c r="C640" s="100"/>
      <c r="D640" s="101" t="str">
        <f aca="false">IF($B640="","","Expense")</f>
        <v/>
      </c>
      <c r="E640" s="14"/>
      <c r="F640" s="102"/>
      <c r="G640" s="102"/>
      <c r="H640" s="103" t="str">
        <f aca="false">IF($B640="","",N($E640))</f>
        <v/>
      </c>
      <c r="I640" s="104" t="str">
        <f aca="false">IF($B640="","",$I$618+SUMIFS($G$620:$G$670,$M$620:$M$670,"&lt;="&amp;$M640)-SUMIFS($H$620:$H$670,$M$620:$M$670,"&lt;="&amp;$M640))</f>
        <v/>
      </c>
      <c r="J640" s="102"/>
      <c r="K640" s="96" t="str">
        <f aca="false">IF($B640="","","ACTUAL")</f>
        <v/>
      </c>
      <c r="L640" s="0" t="str">
        <f aca="false">IF($B640="","",IF($C640="",$E$6+83,$C640))</f>
        <v/>
      </c>
      <c r="M640" s="0" t="str">
        <f aca="false">IF($L640="","",COUNTIFS($L$620:$L$670,"&lt;"&amp;$L640)+COUNTIFS($L$620:$L640,$L640))</f>
        <v/>
      </c>
    </row>
    <row r="641" customFormat="false" ht="15" hidden="false" customHeight="true" outlineLevel="0" collapsed="false">
      <c r="B641" s="12"/>
      <c r="C641" s="100"/>
      <c r="D641" s="101" t="str">
        <f aca="false">IF($B641="","","Expense")</f>
        <v/>
      </c>
      <c r="E641" s="14"/>
      <c r="F641" s="102"/>
      <c r="G641" s="102"/>
      <c r="H641" s="103" t="str">
        <f aca="false">IF($B641="","",N($E641))</f>
        <v/>
      </c>
      <c r="I641" s="104" t="str">
        <f aca="false">IF($B641="","",$I$618+SUMIFS($G$620:$G$670,$M$620:$M$670,"&lt;="&amp;$M641)-SUMIFS($H$620:$H$670,$M$620:$M$670,"&lt;="&amp;$M641))</f>
        <v/>
      </c>
      <c r="J641" s="102"/>
      <c r="K641" s="96" t="str">
        <f aca="false">IF($B641="","","ACTUAL")</f>
        <v/>
      </c>
      <c r="L641" s="0" t="str">
        <f aca="false">IF($B641="","",IF($C641="",$E$6+83,$C641))</f>
        <v/>
      </c>
      <c r="M641" s="0" t="str">
        <f aca="false">IF($L641="","",COUNTIFS($L$620:$L$670,"&lt;"&amp;$L641)+COUNTIFS($L$620:$L641,$L641))</f>
        <v/>
      </c>
    </row>
    <row r="642" customFormat="false" ht="15" hidden="false" customHeight="true" outlineLevel="0" collapsed="false">
      <c r="B642" s="12"/>
      <c r="C642" s="100"/>
      <c r="D642" s="101" t="str">
        <f aca="false">IF($B642="","","Expense")</f>
        <v/>
      </c>
      <c r="E642" s="14"/>
      <c r="F642" s="102"/>
      <c r="G642" s="102"/>
      <c r="H642" s="103" t="str">
        <f aca="false">IF($B642="","",N($E642))</f>
        <v/>
      </c>
      <c r="I642" s="104" t="str">
        <f aca="false">IF($B642="","",$I$618+SUMIFS($G$620:$G$670,$M$620:$M$670,"&lt;="&amp;$M642)-SUMIFS($H$620:$H$670,$M$620:$M$670,"&lt;="&amp;$M642))</f>
        <v/>
      </c>
      <c r="J642" s="102"/>
      <c r="K642" s="96" t="str">
        <f aca="false">IF($B642="","","ACTUAL")</f>
        <v/>
      </c>
      <c r="L642" s="0" t="str">
        <f aca="false">IF($B642="","",IF($C642="",$E$6+83,$C642))</f>
        <v/>
      </c>
      <c r="M642" s="0" t="str">
        <f aca="false">IF($L642="","",COUNTIFS($L$620:$L$670,"&lt;"&amp;$L642)+COUNTIFS($L$620:$L642,$L642))</f>
        <v/>
      </c>
    </row>
    <row r="643" customFormat="false" ht="15" hidden="false" customHeight="true" outlineLevel="0" collapsed="false">
      <c r="B643" s="12"/>
      <c r="C643" s="100"/>
      <c r="D643" s="101" t="str">
        <f aca="false">IF($B643="","","Expense")</f>
        <v/>
      </c>
      <c r="E643" s="14"/>
      <c r="F643" s="102"/>
      <c r="G643" s="102"/>
      <c r="H643" s="103" t="str">
        <f aca="false">IF($B643="","",N($E643))</f>
        <v/>
      </c>
      <c r="I643" s="104" t="str">
        <f aca="false">IF($B643="","",$I$618+SUMIFS($G$620:$G$670,$M$620:$M$670,"&lt;="&amp;$M643)-SUMIFS($H$620:$H$670,$M$620:$M$670,"&lt;="&amp;$M643))</f>
        <v/>
      </c>
      <c r="J643" s="102"/>
      <c r="K643" s="96" t="str">
        <f aca="false">IF($B643="","","ACTUAL")</f>
        <v/>
      </c>
      <c r="L643" s="0" t="str">
        <f aca="false">IF($B643="","",IF($C643="",$E$6+83,$C643))</f>
        <v/>
      </c>
      <c r="M643" s="0" t="str">
        <f aca="false">IF($L643="","",COUNTIFS($L$620:$L$670,"&lt;"&amp;$L643)+COUNTIFS($L$620:$L643,$L643))</f>
        <v/>
      </c>
    </row>
    <row r="644" customFormat="false" ht="15" hidden="false" customHeight="true" outlineLevel="0" collapsed="false">
      <c r="B644" s="12"/>
      <c r="C644" s="100"/>
      <c r="D644" s="101" t="str">
        <f aca="false">IF($B644="","","Expense")</f>
        <v/>
      </c>
      <c r="E644" s="14"/>
      <c r="F644" s="102"/>
      <c r="G644" s="102"/>
      <c r="H644" s="103" t="str">
        <f aca="false">IF($B644="","",N($E644))</f>
        <v/>
      </c>
      <c r="I644" s="104" t="str">
        <f aca="false">IF($B644="","",$I$618+SUMIFS($G$620:$G$670,$M$620:$M$670,"&lt;="&amp;$M644)-SUMIFS($H$620:$H$670,$M$620:$M$670,"&lt;="&amp;$M644))</f>
        <v/>
      </c>
      <c r="J644" s="102"/>
      <c r="K644" s="96" t="str">
        <f aca="false">IF($B644="","","ACTUAL")</f>
        <v/>
      </c>
      <c r="L644" s="0" t="str">
        <f aca="false">IF($B644="","",IF($C644="",$E$6+83,$C644))</f>
        <v/>
      </c>
      <c r="M644" s="0" t="str">
        <f aca="false">IF($L644="","",COUNTIFS($L$620:$L$670,"&lt;"&amp;$L644)+COUNTIFS($L$620:$L644,$L644))</f>
        <v/>
      </c>
    </row>
    <row r="645" customFormat="false" ht="15" hidden="false" customHeight="true" outlineLevel="0" collapsed="false">
      <c r="B645" s="12"/>
      <c r="C645" s="100"/>
      <c r="D645" s="101" t="str">
        <f aca="false">IF($B645="","","Expense")</f>
        <v/>
      </c>
      <c r="E645" s="14"/>
      <c r="F645" s="102"/>
      <c r="G645" s="102"/>
      <c r="H645" s="103" t="str">
        <f aca="false">IF($B645="","",N($E645))</f>
        <v/>
      </c>
      <c r="I645" s="104" t="str">
        <f aca="false">IF($B645="","",$I$618+SUMIFS($G$620:$G$670,$M$620:$M$670,"&lt;="&amp;$M645)-SUMIFS($H$620:$H$670,$M$620:$M$670,"&lt;="&amp;$M645))</f>
        <v/>
      </c>
      <c r="J645" s="102"/>
      <c r="K645" s="96" t="str">
        <f aca="false">IF($B645="","","ACTUAL")</f>
        <v/>
      </c>
      <c r="L645" s="0" t="str">
        <f aca="false">IF($B645="","",IF($C645="",$E$6+83,$C645))</f>
        <v/>
      </c>
      <c r="M645" s="0" t="str">
        <f aca="false">IF($L645="","",COUNTIFS($L$620:$L$670,"&lt;"&amp;$L645)+COUNTIFS($L$620:$L645,$L645))</f>
        <v/>
      </c>
    </row>
    <row r="646" customFormat="false" ht="15" hidden="false" customHeight="true" outlineLevel="0" collapsed="false">
      <c r="B646" s="12"/>
      <c r="C646" s="100"/>
      <c r="D646" s="101" t="str">
        <f aca="false">IF($B646="","","Expense")</f>
        <v/>
      </c>
      <c r="E646" s="14"/>
      <c r="F646" s="102"/>
      <c r="G646" s="102"/>
      <c r="H646" s="103" t="str">
        <f aca="false">IF($B646="","",N($E646))</f>
        <v/>
      </c>
      <c r="I646" s="104" t="str">
        <f aca="false">IF($B646="","",$I$618+SUMIFS($G$620:$G$670,$M$620:$M$670,"&lt;="&amp;$M646)-SUMIFS($H$620:$H$670,$M$620:$M$670,"&lt;="&amp;$M646))</f>
        <v/>
      </c>
      <c r="J646" s="102"/>
      <c r="K646" s="96" t="str">
        <f aca="false">IF($B646="","","ACTUAL")</f>
        <v/>
      </c>
      <c r="L646" s="0" t="str">
        <f aca="false">IF($B646="","",IF($C646="",$E$6+83,$C646))</f>
        <v/>
      </c>
      <c r="M646" s="0" t="str">
        <f aca="false">IF($L646="","",COUNTIFS($L$620:$L$670,"&lt;"&amp;$L646)+COUNTIFS($L$620:$L646,$L646))</f>
        <v/>
      </c>
    </row>
    <row r="647" customFormat="false" ht="15" hidden="false" customHeight="true" outlineLevel="0" collapsed="false">
      <c r="B647" s="12"/>
      <c r="C647" s="100"/>
      <c r="D647" s="101" t="str">
        <f aca="false">IF($B647="","","Expense")</f>
        <v/>
      </c>
      <c r="E647" s="14"/>
      <c r="F647" s="102"/>
      <c r="G647" s="102"/>
      <c r="H647" s="103" t="str">
        <f aca="false">IF($B647="","",N($E647))</f>
        <v/>
      </c>
      <c r="I647" s="104" t="str">
        <f aca="false">IF($B647="","",$I$618+SUMIFS($G$620:$G$670,$M$620:$M$670,"&lt;="&amp;$M647)-SUMIFS($H$620:$H$670,$M$620:$M$670,"&lt;="&amp;$M647))</f>
        <v/>
      </c>
      <c r="J647" s="102"/>
      <c r="K647" s="96" t="str">
        <f aca="false">IF($B647="","","ACTUAL")</f>
        <v/>
      </c>
      <c r="L647" s="0" t="str">
        <f aca="false">IF($B647="","",IF($C647="",$E$6+83,$C647))</f>
        <v/>
      </c>
      <c r="M647" s="0" t="str">
        <f aca="false">IF($L647="","",COUNTIFS($L$620:$L$670,"&lt;"&amp;$L647)+COUNTIFS($L$620:$L647,$L647))</f>
        <v/>
      </c>
    </row>
    <row r="648" customFormat="false" ht="15" hidden="false" customHeight="true" outlineLevel="0" collapsed="false">
      <c r="B648" s="12"/>
      <c r="C648" s="100"/>
      <c r="D648" s="101" t="str">
        <f aca="false">IF($B648="","","Expense")</f>
        <v/>
      </c>
      <c r="E648" s="14"/>
      <c r="F648" s="102"/>
      <c r="G648" s="102"/>
      <c r="H648" s="103" t="str">
        <f aca="false">IF($B648="","",N($E648))</f>
        <v/>
      </c>
      <c r="I648" s="104" t="str">
        <f aca="false">IF($B648="","",$I$618+SUMIFS($G$620:$G$670,$M$620:$M$670,"&lt;="&amp;$M648)-SUMIFS($H$620:$H$670,$M$620:$M$670,"&lt;="&amp;$M648))</f>
        <v/>
      </c>
      <c r="J648" s="102"/>
      <c r="K648" s="96" t="str">
        <f aca="false">IF($B648="","","ACTUAL")</f>
        <v/>
      </c>
      <c r="L648" s="0" t="str">
        <f aca="false">IF($B648="","",IF($C648="",$E$6+83,$C648))</f>
        <v/>
      </c>
      <c r="M648" s="0" t="str">
        <f aca="false">IF($L648="","",COUNTIFS($L$620:$L$670,"&lt;"&amp;$L648)+COUNTIFS($L$620:$L648,$L648))</f>
        <v/>
      </c>
    </row>
    <row r="649" customFormat="false" ht="15" hidden="false" customHeight="true" outlineLevel="0" collapsed="false">
      <c r="B649" s="12"/>
      <c r="C649" s="100"/>
      <c r="D649" s="101" t="str">
        <f aca="false">IF($B649="","","Expense")</f>
        <v/>
      </c>
      <c r="E649" s="14"/>
      <c r="F649" s="102"/>
      <c r="G649" s="102"/>
      <c r="H649" s="103" t="str">
        <f aca="false">IF($B649="","",N($E649))</f>
        <v/>
      </c>
      <c r="I649" s="104" t="str">
        <f aca="false">IF($B649="","",$I$618+SUMIFS($G$620:$G$670,$M$620:$M$670,"&lt;="&amp;$M649)-SUMIFS($H$620:$H$670,$M$620:$M$670,"&lt;="&amp;$M649))</f>
        <v/>
      </c>
      <c r="J649" s="102"/>
      <c r="K649" s="96" t="str">
        <f aca="false">IF($B649="","","ACTUAL")</f>
        <v/>
      </c>
      <c r="L649" s="0" t="str">
        <f aca="false">IF($B649="","",IF($C649="",$E$6+83,$C649))</f>
        <v/>
      </c>
      <c r="M649" s="0" t="str">
        <f aca="false">IF($L649="","",COUNTIFS($L$620:$L$670,"&lt;"&amp;$L649)+COUNTIFS($L$620:$L649,$L649))</f>
        <v/>
      </c>
    </row>
    <row r="650" customFormat="false" ht="15" hidden="false" customHeight="true" outlineLevel="0" collapsed="false">
      <c r="B650" s="12"/>
      <c r="C650" s="100"/>
      <c r="D650" s="101" t="str">
        <f aca="false">IF($B650="","","Expense")</f>
        <v/>
      </c>
      <c r="E650" s="14"/>
      <c r="F650" s="102"/>
      <c r="G650" s="102"/>
      <c r="H650" s="103" t="str">
        <f aca="false">IF($B650="","",N($E650))</f>
        <v/>
      </c>
      <c r="I650" s="104" t="str">
        <f aca="false">IF($B650="","",$I$618+SUMIFS($G$620:$G$670,$M$620:$M$670,"&lt;="&amp;$M650)-SUMIFS($H$620:$H$670,$M$620:$M$670,"&lt;="&amp;$M650))</f>
        <v/>
      </c>
      <c r="J650" s="102"/>
      <c r="K650" s="96" t="str">
        <f aca="false">IF($B650="","","ACTUAL")</f>
        <v/>
      </c>
      <c r="L650" s="0" t="str">
        <f aca="false">IF($B650="","",IF($C650="",$E$6+83,$C650))</f>
        <v/>
      </c>
      <c r="M650" s="0" t="str">
        <f aca="false">IF($L650="","",COUNTIFS($L$620:$L$670,"&lt;"&amp;$L650)+COUNTIFS($L$620:$L650,$L650))</f>
        <v/>
      </c>
    </row>
    <row r="651" customFormat="false" ht="15" hidden="false" customHeight="true" outlineLevel="0" collapsed="false">
      <c r="B651" s="12"/>
      <c r="C651" s="100"/>
      <c r="D651" s="101" t="str">
        <f aca="false">IF($B651="","","Expense")</f>
        <v/>
      </c>
      <c r="E651" s="14"/>
      <c r="F651" s="102"/>
      <c r="G651" s="102"/>
      <c r="H651" s="103" t="str">
        <f aca="false">IF($B651="","",N($E651))</f>
        <v/>
      </c>
      <c r="I651" s="104" t="str">
        <f aca="false">IF($B651="","",$I$618+SUMIFS($G$620:$G$670,$M$620:$M$670,"&lt;="&amp;$M651)-SUMIFS($H$620:$H$670,$M$620:$M$670,"&lt;="&amp;$M651))</f>
        <v/>
      </c>
      <c r="J651" s="102"/>
      <c r="K651" s="96" t="str">
        <f aca="false">IF($B651="","","ACTUAL")</f>
        <v/>
      </c>
      <c r="L651" s="0" t="str">
        <f aca="false">IF($B651="","",IF($C651="",$E$6+83,$C651))</f>
        <v/>
      </c>
      <c r="M651" s="0" t="str">
        <f aca="false">IF($L651="","",COUNTIFS($L$620:$L$670,"&lt;"&amp;$L651)+COUNTIFS($L$620:$L651,$L651))</f>
        <v/>
      </c>
    </row>
    <row r="652" customFormat="false" ht="15" hidden="false" customHeight="true" outlineLevel="0" collapsed="false">
      <c r="B652" s="12"/>
      <c r="C652" s="100"/>
      <c r="D652" s="101" t="str">
        <f aca="false">IF($B652="","","Expense")</f>
        <v/>
      </c>
      <c r="E652" s="14"/>
      <c r="F652" s="102"/>
      <c r="G652" s="102"/>
      <c r="H652" s="103" t="str">
        <f aca="false">IF($B652="","",N($E652))</f>
        <v/>
      </c>
      <c r="I652" s="104" t="str">
        <f aca="false">IF($B652="","",$I$618+SUMIFS($G$620:$G$670,$M$620:$M$670,"&lt;="&amp;$M652)-SUMIFS($H$620:$H$670,$M$620:$M$670,"&lt;="&amp;$M652))</f>
        <v/>
      </c>
      <c r="J652" s="102"/>
      <c r="K652" s="96" t="str">
        <f aca="false">IF($B652="","","ACTUAL")</f>
        <v/>
      </c>
      <c r="L652" s="0" t="str">
        <f aca="false">IF($B652="","",IF($C652="",$E$6+83,$C652))</f>
        <v/>
      </c>
      <c r="M652" s="0" t="str">
        <f aca="false">IF($L652="","",COUNTIFS($L$620:$L$670,"&lt;"&amp;$L652)+COUNTIFS($L$620:$L652,$L652))</f>
        <v/>
      </c>
    </row>
    <row r="653" customFormat="false" ht="15" hidden="false" customHeight="true" outlineLevel="0" collapsed="false">
      <c r="B653" s="12"/>
      <c r="C653" s="100"/>
      <c r="D653" s="101" t="str">
        <f aca="false">IF($B653="","","Expense")</f>
        <v/>
      </c>
      <c r="E653" s="14"/>
      <c r="F653" s="102"/>
      <c r="G653" s="102"/>
      <c r="H653" s="103" t="str">
        <f aca="false">IF($B653="","",N($E653))</f>
        <v/>
      </c>
      <c r="I653" s="104" t="str">
        <f aca="false">IF($B653="","",$I$618+SUMIFS($G$620:$G$670,$M$620:$M$670,"&lt;="&amp;$M653)-SUMIFS($H$620:$H$670,$M$620:$M$670,"&lt;="&amp;$M653))</f>
        <v/>
      </c>
      <c r="J653" s="102"/>
      <c r="K653" s="96" t="str">
        <f aca="false">IF($B653="","","ACTUAL")</f>
        <v/>
      </c>
      <c r="L653" s="0" t="str">
        <f aca="false">IF($B653="","",IF($C653="",$E$6+83,$C653))</f>
        <v/>
      </c>
      <c r="M653" s="0" t="str">
        <f aca="false">IF($L653="","",COUNTIFS($L$620:$L$670,"&lt;"&amp;$L653)+COUNTIFS($L$620:$L653,$L653))</f>
        <v/>
      </c>
    </row>
    <row r="654" customFormat="false" ht="15" hidden="false" customHeight="true" outlineLevel="0" collapsed="false">
      <c r="B654" s="12"/>
      <c r="C654" s="100"/>
      <c r="D654" s="101" t="str">
        <f aca="false">IF($B654="","","Expense")</f>
        <v/>
      </c>
      <c r="E654" s="14"/>
      <c r="F654" s="102"/>
      <c r="G654" s="102"/>
      <c r="H654" s="103" t="str">
        <f aca="false">IF($B654="","",N($E654))</f>
        <v/>
      </c>
      <c r="I654" s="104" t="str">
        <f aca="false">IF($B654="","",$I$618+SUMIFS($G$620:$G$670,$M$620:$M$670,"&lt;="&amp;$M654)-SUMIFS($H$620:$H$670,$M$620:$M$670,"&lt;="&amp;$M654))</f>
        <v/>
      </c>
      <c r="J654" s="102"/>
      <c r="K654" s="96" t="str">
        <f aca="false">IF($B654="","","ACTUAL")</f>
        <v/>
      </c>
      <c r="L654" s="0" t="str">
        <f aca="false">IF($B654="","",IF($C654="",$E$6+83,$C654))</f>
        <v/>
      </c>
      <c r="M654" s="0" t="str">
        <f aca="false">IF($L654="","",COUNTIFS($L$620:$L$670,"&lt;"&amp;$L654)+COUNTIFS($L$620:$L654,$L654))</f>
        <v/>
      </c>
    </row>
    <row r="655" customFormat="false" ht="15" hidden="false" customHeight="true" outlineLevel="0" collapsed="false">
      <c r="B655" s="12"/>
      <c r="C655" s="100"/>
      <c r="D655" s="101" t="str">
        <f aca="false">IF($B655="","","Expense")</f>
        <v/>
      </c>
      <c r="E655" s="14"/>
      <c r="F655" s="102"/>
      <c r="G655" s="102"/>
      <c r="H655" s="103" t="str">
        <f aca="false">IF($B655="","",N($E655))</f>
        <v/>
      </c>
      <c r="I655" s="104" t="str">
        <f aca="false">IF($B655="","",$I$618+SUMIFS($G$620:$G$670,$M$620:$M$670,"&lt;="&amp;$M655)-SUMIFS($H$620:$H$670,$M$620:$M$670,"&lt;="&amp;$M655))</f>
        <v/>
      </c>
      <c r="J655" s="102"/>
      <c r="K655" s="96" t="str">
        <f aca="false">IF($B655="","","ACTUAL")</f>
        <v/>
      </c>
      <c r="L655" s="0" t="str">
        <f aca="false">IF($B655="","",IF($C655="",$E$6+83,$C655))</f>
        <v/>
      </c>
      <c r="M655" s="0" t="str">
        <f aca="false">IF($L655="","",COUNTIFS($L$620:$L$670,"&lt;"&amp;$L655)+COUNTIFS($L$620:$L655,$L655))</f>
        <v/>
      </c>
    </row>
    <row r="656" customFormat="false" ht="15" hidden="false" customHeight="true" outlineLevel="0" collapsed="false">
      <c r="B656" s="12"/>
      <c r="C656" s="100"/>
      <c r="D656" s="101" t="str">
        <f aca="false">IF($B656="","","Expense")</f>
        <v/>
      </c>
      <c r="E656" s="14"/>
      <c r="F656" s="102"/>
      <c r="G656" s="102"/>
      <c r="H656" s="103" t="str">
        <f aca="false">IF($B656="","",N($E656))</f>
        <v/>
      </c>
      <c r="I656" s="104" t="str">
        <f aca="false">IF($B656="","",$I$618+SUMIFS($G$620:$G$670,$M$620:$M$670,"&lt;="&amp;$M656)-SUMIFS($H$620:$H$670,$M$620:$M$670,"&lt;="&amp;$M656))</f>
        <v/>
      </c>
      <c r="J656" s="102"/>
      <c r="K656" s="96" t="str">
        <f aca="false">IF($B656="","","ACTUAL")</f>
        <v/>
      </c>
      <c r="L656" s="0" t="str">
        <f aca="false">IF($B656="","",IF($C656="",$E$6+83,$C656))</f>
        <v/>
      </c>
      <c r="M656" s="0" t="str">
        <f aca="false">IF($L656="","",COUNTIFS($L$620:$L$670,"&lt;"&amp;$L656)+COUNTIFS($L$620:$L656,$L656))</f>
        <v/>
      </c>
    </row>
    <row r="657" customFormat="false" ht="15" hidden="false" customHeight="true" outlineLevel="0" collapsed="false">
      <c r="B657" s="12"/>
      <c r="C657" s="100"/>
      <c r="D657" s="101" t="str">
        <f aca="false">IF($B657="","","Expense")</f>
        <v/>
      </c>
      <c r="E657" s="14"/>
      <c r="F657" s="102"/>
      <c r="G657" s="102"/>
      <c r="H657" s="103" t="str">
        <f aca="false">IF($B657="","",N($E657))</f>
        <v/>
      </c>
      <c r="I657" s="104" t="str">
        <f aca="false">IF($B657="","",$I$618+SUMIFS($G$620:$G$670,$M$620:$M$670,"&lt;="&amp;$M657)-SUMIFS($H$620:$H$670,$M$620:$M$670,"&lt;="&amp;$M657))</f>
        <v/>
      </c>
      <c r="J657" s="102"/>
      <c r="K657" s="96" t="str">
        <f aca="false">IF($B657="","","ACTUAL")</f>
        <v/>
      </c>
      <c r="L657" s="0" t="str">
        <f aca="false">IF($B657="","",IF($C657="",$E$6+83,$C657))</f>
        <v/>
      </c>
      <c r="M657" s="0" t="str">
        <f aca="false">IF($L657="","",COUNTIFS($L$620:$L$670,"&lt;"&amp;$L657)+COUNTIFS($L$620:$L657,$L657))</f>
        <v/>
      </c>
    </row>
    <row r="658" customFormat="false" ht="15" hidden="false" customHeight="true" outlineLevel="0" collapsed="false">
      <c r="B658" s="12"/>
      <c r="C658" s="100"/>
      <c r="D658" s="101" t="str">
        <f aca="false">IF($B658="","","Expense")</f>
        <v/>
      </c>
      <c r="E658" s="14"/>
      <c r="F658" s="102"/>
      <c r="G658" s="102"/>
      <c r="H658" s="103" t="str">
        <f aca="false">IF($B658="","",N($E658))</f>
        <v/>
      </c>
      <c r="I658" s="104" t="str">
        <f aca="false">IF($B658="","",$I$618+SUMIFS($G$620:$G$670,$M$620:$M$670,"&lt;="&amp;$M658)-SUMIFS($H$620:$H$670,$M$620:$M$670,"&lt;="&amp;$M658))</f>
        <v/>
      </c>
      <c r="J658" s="102"/>
      <c r="K658" s="96" t="str">
        <f aca="false">IF($B658="","","ACTUAL")</f>
        <v/>
      </c>
      <c r="L658" s="0" t="str">
        <f aca="false">IF($B658="","",IF($C658="",$E$6+83,$C658))</f>
        <v/>
      </c>
      <c r="M658" s="0" t="str">
        <f aca="false">IF($L658="","",COUNTIFS($L$620:$L$670,"&lt;"&amp;$L658)+COUNTIFS($L$620:$L658,$L658))</f>
        <v/>
      </c>
    </row>
    <row r="659" customFormat="false" ht="15" hidden="false" customHeight="true" outlineLevel="0" collapsed="false">
      <c r="B659" s="12"/>
      <c r="C659" s="100"/>
      <c r="D659" s="101" t="str">
        <f aca="false">IF($B659="","","Expense")</f>
        <v/>
      </c>
      <c r="E659" s="14"/>
      <c r="F659" s="102"/>
      <c r="G659" s="102"/>
      <c r="H659" s="103" t="str">
        <f aca="false">IF($B659="","",N($E659))</f>
        <v/>
      </c>
      <c r="I659" s="104" t="str">
        <f aca="false">IF($B659="","",$I$618+SUMIFS($G$620:$G$670,$M$620:$M$670,"&lt;="&amp;$M659)-SUMIFS($H$620:$H$670,$M$620:$M$670,"&lt;="&amp;$M659))</f>
        <v/>
      </c>
      <c r="J659" s="102"/>
      <c r="K659" s="96" t="str">
        <f aca="false">IF($B659="","","ACTUAL")</f>
        <v/>
      </c>
      <c r="L659" s="0" t="str">
        <f aca="false">IF($B659="","",IF($C659="",$E$6+83,$C659))</f>
        <v/>
      </c>
      <c r="M659" s="0" t="str">
        <f aca="false">IF($L659="","",COUNTIFS($L$620:$L$670,"&lt;"&amp;$L659)+COUNTIFS($L$620:$L659,$L659))</f>
        <v/>
      </c>
    </row>
    <row r="660" customFormat="false" ht="15" hidden="false" customHeight="true" outlineLevel="0" collapsed="false">
      <c r="B660" s="12"/>
      <c r="C660" s="100"/>
      <c r="D660" s="101" t="str">
        <f aca="false">IF($B660="","","Expense")</f>
        <v/>
      </c>
      <c r="E660" s="14"/>
      <c r="F660" s="102"/>
      <c r="G660" s="102"/>
      <c r="H660" s="103" t="str">
        <f aca="false">IF($B660="","",N($E660))</f>
        <v/>
      </c>
      <c r="I660" s="104" t="str">
        <f aca="false">IF($B660="","",$I$618+SUMIFS($G$620:$G$670,$M$620:$M$670,"&lt;="&amp;$M660)-SUMIFS($H$620:$H$670,$M$620:$M$670,"&lt;="&amp;$M660))</f>
        <v/>
      </c>
      <c r="J660" s="102"/>
      <c r="K660" s="96" t="str">
        <f aca="false">IF($B660="","","ACTUAL")</f>
        <v/>
      </c>
      <c r="L660" s="0" t="str">
        <f aca="false">IF($B660="","",IF($C660="",$E$6+83,$C660))</f>
        <v/>
      </c>
      <c r="M660" s="0" t="str">
        <f aca="false">IF($L660="","",COUNTIFS($L$620:$L$670,"&lt;"&amp;$L660)+COUNTIFS($L$620:$L660,$L660))</f>
        <v/>
      </c>
    </row>
    <row r="661" customFormat="false" ht="15" hidden="false" customHeight="true" outlineLevel="0" collapsed="false">
      <c r="B661" s="12"/>
      <c r="C661" s="100"/>
      <c r="D661" s="101" t="str">
        <f aca="false">IF($B661="","","Expense")</f>
        <v/>
      </c>
      <c r="E661" s="14"/>
      <c r="F661" s="102"/>
      <c r="G661" s="102"/>
      <c r="H661" s="103" t="str">
        <f aca="false">IF($B661="","",N($E661))</f>
        <v/>
      </c>
      <c r="I661" s="104" t="str">
        <f aca="false">IF($B661="","",$I$618+SUMIFS($G$620:$G$670,$M$620:$M$670,"&lt;="&amp;$M661)-SUMIFS($H$620:$H$670,$M$620:$M$670,"&lt;="&amp;$M661))</f>
        <v/>
      </c>
      <c r="J661" s="102"/>
      <c r="K661" s="96" t="str">
        <f aca="false">IF($B661="","","ACTUAL")</f>
        <v/>
      </c>
      <c r="L661" s="0" t="str">
        <f aca="false">IF($B661="","",IF($C661="",$E$6+83,$C661))</f>
        <v/>
      </c>
      <c r="M661" s="0" t="str">
        <f aca="false">IF($L661="","",COUNTIFS($L$620:$L$670,"&lt;"&amp;$L661)+COUNTIFS($L$620:$L661,$L661))</f>
        <v/>
      </c>
    </row>
    <row r="662" customFormat="false" ht="15" hidden="false" customHeight="true" outlineLevel="0" collapsed="false">
      <c r="B662" s="12"/>
      <c r="C662" s="100"/>
      <c r="D662" s="101" t="str">
        <f aca="false">IF($B662="","","Expense")</f>
        <v/>
      </c>
      <c r="E662" s="14"/>
      <c r="F662" s="102"/>
      <c r="G662" s="102"/>
      <c r="H662" s="103" t="str">
        <f aca="false">IF($B662="","",N($E662))</f>
        <v/>
      </c>
      <c r="I662" s="104" t="str">
        <f aca="false">IF($B662="","",$I$618+SUMIFS($G$620:$G$670,$M$620:$M$670,"&lt;="&amp;$M662)-SUMIFS($H$620:$H$670,$M$620:$M$670,"&lt;="&amp;$M662))</f>
        <v/>
      </c>
      <c r="J662" s="102"/>
      <c r="K662" s="96" t="str">
        <f aca="false">IF($B662="","","ACTUAL")</f>
        <v/>
      </c>
      <c r="L662" s="0" t="str">
        <f aca="false">IF($B662="","",IF($C662="",$E$6+83,$C662))</f>
        <v/>
      </c>
      <c r="M662" s="0" t="str">
        <f aca="false">IF($L662="","",COUNTIFS($L$620:$L$670,"&lt;"&amp;$L662)+COUNTIFS($L$620:$L662,$L662))</f>
        <v/>
      </c>
    </row>
    <row r="663" customFormat="false" ht="15" hidden="false" customHeight="true" outlineLevel="0" collapsed="false">
      <c r="B663" s="12"/>
      <c r="C663" s="100"/>
      <c r="D663" s="101" t="str">
        <f aca="false">IF($B663="","","Expense")</f>
        <v/>
      </c>
      <c r="E663" s="14"/>
      <c r="F663" s="102"/>
      <c r="G663" s="102"/>
      <c r="H663" s="103" t="str">
        <f aca="false">IF($B663="","",N($E663))</f>
        <v/>
      </c>
      <c r="I663" s="104" t="str">
        <f aca="false">IF($B663="","",$I$618+SUMIFS($G$620:$G$670,$M$620:$M$670,"&lt;="&amp;$M663)-SUMIFS($H$620:$H$670,$M$620:$M$670,"&lt;="&amp;$M663))</f>
        <v/>
      </c>
      <c r="J663" s="102"/>
      <c r="K663" s="96" t="str">
        <f aca="false">IF($B663="","","ACTUAL")</f>
        <v/>
      </c>
      <c r="L663" s="0" t="str">
        <f aca="false">IF($B663="","",IF($C663="",$E$6+83,$C663))</f>
        <v/>
      </c>
      <c r="M663" s="0" t="str">
        <f aca="false">IF($L663="","",COUNTIFS($L$620:$L$670,"&lt;"&amp;$L663)+COUNTIFS($L$620:$L663,$L663))</f>
        <v/>
      </c>
    </row>
    <row r="664" customFormat="false" ht="15" hidden="false" customHeight="true" outlineLevel="0" collapsed="false">
      <c r="B664" s="12"/>
      <c r="C664" s="100"/>
      <c r="D664" s="101" t="str">
        <f aca="false">IF($B664="","","Expense")</f>
        <v/>
      </c>
      <c r="E664" s="14"/>
      <c r="F664" s="102"/>
      <c r="G664" s="102"/>
      <c r="H664" s="103" t="str">
        <f aca="false">IF($B664="","",N($E664))</f>
        <v/>
      </c>
      <c r="I664" s="104" t="str">
        <f aca="false">IF($B664="","",$I$618+SUMIFS($G$620:$G$670,$M$620:$M$670,"&lt;="&amp;$M664)-SUMIFS($H$620:$H$670,$M$620:$M$670,"&lt;="&amp;$M664))</f>
        <v/>
      </c>
      <c r="J664" s="102"/>
      <c r="K664" s="96" t="str">
        <f aca="false">IF($B664="","","ACTUAL")</f>
        <v/>
      </c>
      <c r="L664" s="0" t="str">
        <f aca="false">IF($B664="","",IF($C664="",$E$6+83,$C664))</f>
        <v/>
      </c>
      <c r="M664" s="0" t="str">
        <f aca="false">IF($L664="","",COUNTIFS($L$620:$L$670,"&lt;"&amp;$L664)+COUNTIFS($L$620:$L664,$L664))</f>
        <v/>
      </c>
    </row>
    <row r="665" customFormat="false" ht="15" hidden="false" customHeight="true" outlineLevel="0" collapsed="false">
      <c r="B665" s="12"/>
      <c r="C665" s="100"/>
      <c r="D665" s="101" t="str">
        <f aca="false">IF($B665="","","Expense")</f>
        <v/>
      </c>
      <c r="E665" s="14"/>
      <c r="F665" s="102"/>
      <c r="G665" s="102"/>
      <c r="H665" s="103" t="str">
        <f aca="false">IF($B665="","",N($E665))</f>
        <v/>
      </c>
      <c r="I665" s="104" t="str">
        <f aca="false">IF($B665="","",$I$618+SUMIFS($G$620:$G$670,$M$620:$M$670,"&lt;="&amp;$M665)-SUMIFS($H$620:$H$670,$M$620:$M$670,"&lt;="&amp;$M665))</f>
        <v/>
      </c>
      <c r="J665" s="102"/>
      <c r="K665" s="96" t="str">
        <f aca="false">IF($B665="","","ACTUAL")</f>
        <v/>
      </c>
      <c r="L665" s="0" t="str">
        <f aca="false">IF($B665="","",IF($C665="",$E$6+83,$C665))</f>
        <v/>
      </c>
      <c r="M665" s="0" t="str">
        <f aca="false">IF($L665="","",COUNTIFS($L$620:$L$670,"&lt;"&amp;$L665)+COUNTIFS($L$620:$L665,$L665))</f>
        <v/>
      </c>
    </row>
    <row r="666" customFormat="false" ht="15" hidden="false" customHeight="true" outlineLevel="0" collapsed="false">
      <c r="B666" s="12"/>
      <c r="C666" s="100"/>
      <c r="D666" s="101" t="str">
        <f aca="false">IF($B666="","","Expense")</f>
        <v/>
      </c>
      <c r="E666" s="14"/>
      <c r="F666" s="102"/>
      <c r="G666" s="102"/>
      <c r="H666" s="103" t="str">
        <f aca="false">IF($B666="","",N($E666))</f>
        <v/>
      </c>
      <c r="I666" s="104" t="str">
        <f aca="false">IF($B666="","",$I$618+SUMIFS($G$620:$G$670,$M$620:$M$670,"&lt;="&amp;$M666)-SUMIFS($H$620:$H$670,$M$620:$M$670,"&lt;="&amp;$M666))</f>
        <v/>
      </c>
      <c r="J666" s="102"/>
      <c r="K666" s="96" t="str">
        <f aca="false">IF($B666="","","ACTUAL")</f>
        <v/>
      </c>
      <c r="L666" s="0" t="str">
        <f aca="false">IF($B666="","",IF($C666="",$E$6+83,$C666))</f>
        <v/>
      </c>
      <c r="M666" s="0" t="str">
        <f aca="false">IF($L666="","",COUNTIFS($L$620:$L$670,"&lt;"&amp;$L666)+COUNTIFS($L$620:$L666,$L666))</f>
        <v/>
      </c>
    </row>
    <row r="667" customFormat="false" ht="15" hidden="false" customHeight="true" outlineLevel="0" collapsed="false">
      <c r="B667" s="12"/>
      <c r="C667" s="100"/>
      <c r="D667" s="101" t="str">
        <f aca="false">IF($B667="","","Expense")</f>
        <v/>
      </c>
      <c r="E667" s="14"/>
      <c r="F667" s="102"/>
      <c r="G667" s="102"/>
      <c r="H667" s="103" t="str">
        <f aca="false">IF($B667="","",N($E667))</f>
        <v/>
      </c>
      <c r="I667" s="104" t="str">
        <f aca="false">IF($B667="","",$I$618+SUMIFS($G$620:$G$670,$M$620:$M$670,"&lt;="&amp;$M667)-SUMIFS($H$620:$H$670,$M$620:$M$670,"&lt;="&amp;$M667))</f>
        <v/>
      </c>
      <c r="J667" s="102"/>
      <c r="K667" s="96" t="str">
        <f aca="false">IF($B667="","","ACTUAL")</f>
        <v/>
      </c>
      <c r="L667" s="0" t="str">
        <f aca="false">IF($B667="","",IF($C667="",$E$6+83,$C667))</f>
        <v/>
      </c>
      <c r="M667" s="0" t="str">
        <f aca="false">IF($L667="","",COUNTIFS($L$620:$L$670,"&lt;"&amp;$L667)+COUNTIFS($L$620:$L667,$L667))</f>
        <v/>
      </c>
    </row>
    <row r="668" customFormat="false" ht="15" hidden="false" customHeight="true" outlineLevel="0" collapsed="false">
      <c r="B668" s="12"/>
      <c r="C668" s="100"/>
      <c r="D668" s="101" t="str">
        <f aca="false">IF($B668="","","Expense")</f>
        <v/>
      </c>
      <c r="E668" s="14"/>
      <c r="F668" s="102"/>
      <c r="G668" s="102"/>
      <c r="H668" s="103" t="str">
        <f aca="false">IF($B668="","",N($E668))</f>
        <v/>
      </c>
      <c r="I668" s="104" t="str">
        <f aca="false">IF($B668="","",$I$618+SUMIFS($G$620:$G$670,$M$620:$M$670,"&lt;="&amp;$M668)-SUMIFS($H$620:$H$670,$M$620:$M$670,"&lt;="&amp;$M668))</f>
        <v/>
      </c>
      <c r="J668" s="102"/>
      <c r="K668" s="96" t="str">
        <f aca="false">IF($B668="","","ACTUAL")</f>
        <v/>
      </c>
      <c r="L668" s="0" t="str">
        <f aca="false">IF($B668="","",IF($C668="",$E$6+83,$C668))</f>
        <v/>
      </c>
      <c r="M668" s="0" t="str">
        <f aca="false">IF($L668="","",COUNTIFS($L$620:$L$670,"&lt;"&amp;$L668)+COUNTIFS($L$620:$L668,$L668))</f>
        <v/>
      </c>
    </row>
    <row r="669" customFormat="false" ht="15" hidden="false" customHeight="true" outlineLevel="0" collapsed="false">
      <c r="B669" s="12"/>
      <c r="C669" s="100"/>
      <c r="D669" s="101" t="str">
        <f aca="false">IF($B669="","","Expense")</f>
        <v/>
      </c>
      <c r="E669" s="14"/>
      <c r="F669" s="102"/>
      <c r="G669" s="102"/>
      <c r="H669" s="103" t="str">
        <f aca="false">IF($B669="","",N($E669))</f>
        <v/>
      </c>
      <c r="I669" s="104" t="str">
        <f aca="false">IF($B669="","",$I$618+SUMIFS($G$620:$G$670,$M$620:$M$670,"&lt;="&amp;$M669)-SUMIFS($H$620:$H$670,$M$620:$M$670,"&lt;="&amp;$M669))</f>
        <v/>
      </c>
      <c r="J669" s="102"/>
      <c r="K669" s="96" t="str">
        <f aca="false">IF($B669="","","ACTUAL")</f>
        <v/>
      </c>
      <c r="L669" s="0" t="str">
        <f aca="false">IF($B669="","",IF($C669="",$E$6+83,$C669))</f>
        <v/>
      </c>
      <c r="M669" s="0" t="str">
        <f aca="false">IF($L669="","",COUNTIFS($L$620:$L$670,"&lt;"&amp;$L669)+COUNTIFS($L$620:$L669,$L669))</f>
        <v/>
      </c>
    </row>
    <row r="670" customFormat="false" ht="15" hidden="false" customHeight="true" outlineLevel="0" collapsed="false">
      <c r="B670" s="105" t="str">
        <f aca="false">"Everyday spending still expected this week"</f>
        <v>Everyday spending still expected this week</v>
      </c>
      <c r="C670" s="106" t="n">
        <f aca="false">$E$6+83</f>
        <v>46332</v>
      </c>
      <c r="D670" s="101" t="str">
        <f aca="false">IF($B670="","","Expense")</f>
        <v>Expense</v>
      </c>
      <c r="E670" s="107" t="n">
        <f aca="false">MAX(0,$E$8-SUM($E$631:$E$669))</f>
        <v>400</v>
      </c>
      <c r="F670" s="102"/>
      <c r="G670" s="102"/>
      <c r="H670" s="103" t="n">
        <f aca="false">IF($B670="","",N($E670))</f>
        <v>400</v>
      </c>
      <c r="I670" s="104" t="n">
        <f aca="false">IF($B670="","",$I$618+SUMIFS($G$620:$G$670,$M$620:$M$670,"&lt;="&amp;$M670)-SUMIFS($H$620:$H$670,$M$620:$M$670,"&lt;="&amp;$M670))</f>
        <v>377.8</v>
      </c>
      <c r="J670" s="102"/>
      <c r="K670" s="96" t="str">
        <f aca="false">"FORECAST"</f>
        <v>FORECAST</v>
      </c>
      <c r="L670" s="97" t="n">
        <f aca="false">IF($B670="","",IF($C670="",$E$6+83,$C670))</f>
        <v>46332</v>
      </c>
      <c r="M670" s="0" t="n">
        <f aca="false">IF($L670="","",COUNTIFS($L$620:$L$670,"&lt;"&amp;$L670)+COUNTIFS($L$620:$L670,$L670))</f>
        <v>7</v>
      </c>
    </row>
    <row r="671" customFormat="false" ht="15" hidden="false" customHeight="true" outlineLevel="0" collapsed="false">
      <c r="B671" s="108" t="s">
        <v>180</v>
      </c>
      <c r="C671" s="57"/>
      <c r="D671" s="57"/>
      <c r="E671" s="57"/>
      <c r="F671" s="57"/>
      <c r="G671" s="56" t="n">
        <f aca="false">SUM($G$620:$G$670)</f>
        <v>835</v>
      </c>
      <c r="H671" s="56" t="n">
        <f aca="false">SUM($H$620:$H$670)</f>
        <v>594.47</v>
      </c>
      <c r="I671" s="109" t="n">
        <f aca="false">$I$618+$G$671-$H$671</f>
        <v>377.8</v>
      </c>
      <c r="J671" s="110" t="str">
        <f aca="false">IF($I$671&lt;0,"SHORTFALL",IF($I$671&lt;$E$7,"TIGHT","OK"))</f>
        <v>OK</v>
      </c>
      <c r="K671" s="111"/>
      <c r="N671" s="111" t="str">
        <f aca="false">IF(COUNT($I$620:$I$670)=0,"","Lowest point this week: "&amp;TEXT(MIN($I$620:$I$670),"$#,##0.00;-$#,##0.00")&amp;" on "&amp;TEXT(INDEX($C$620:$C$670,MATCH(MIN($I$620:$I$670),$I$620:$I$670,0)),"ddd mmm d")&amp;"     (in "&amp;TEXT($G$671,"$#,##0.00")&amp;", out "&amp;TEXT($H$671,"$#,##0.00")&amp;")")</f>
        <v>Lowest point this week: -$6.10 on Sat Oct 31     (in $835.00, out $594.47)</v>
      </c>
    </row>
    <row r="673" customFormat="false" ht="21.75" hidden="false" customHeight="true" outlineLevel="0" collapsed="false">
      <c r="B673" s="82" t="str">
        <f aca="false">"WEEK 13     "&amp;TEXT($E$6+84,"ddd, mmm d")&amp;"   through   "&amp;TEXT($E$6+84+6,"ddd, mmm d, yyyy")</f>
        <v>WEEK 13     Sat, Nov 7   through   Fri, Nov 13, 2026</v>
      </c>
      <c r="C673" s="83"/>
      <c r="D673" s="83"/>
      <c r="E673" s="83"/>
      <c r="F673" s="83"/>
      <c r="G673" s="84" t="s">
        <v>139</v>
      </c>
      <c r="H673" s="83"/>
      <c r="I673" s="85" t="n">
        <f aca="false">$I$671</f>
        <v>377.8</v>
      </c>
      <c r="J673" s="83"/>
      <c r="K673" s="86"/>
      <c r="N673" s="86" t="str">
        <f aca="false">IF(COUNTIF(Schedule!$I$4:$I$483,13)&gt;10,"! "&amp;COUNTIF(Schedule!$I$4:$I$483,13)-10&amp;" more transaction(s) fall in this week than there are rows to show them.","")</f>
        <v/>
      </c>
    </row>
    <row r="674" customFormat="false" ht="25.5" hidden="false" customHeight="true" outlineLevel="0" collapsed="false">
      <c r="B674" s="87" t="s">
        <v>140</v>
      </c>
      <c r="C674" s="87" t="s">
        <v>141</v>
      </c>
      <c r="D674" s="87" t="s">
        <v>42</v>
      </c>
      <c r="E674" s="87" t="s">
        <v>142</v>
      </c>
      <c r="F674" s="87" t="s">
        <v>143</v>
      </c>
      <c r="G674" s="36" t="s">
        <v>144</v>
      </c>
      <c r="H674" s="37" t="s">
        <v>145</v>
      </c>
      <c r="I674" s="87" t="s">
        <v>146</v>
      </c>
      <c r="J674" s="87" t="s">
        <v>14</v>
      </c>
      <c r="K674" s="87" t="s">
        <v>147</v>
      </c>
    </row>
    <row r="675" customFormat="false" ht="15" hidden="false" customHeight="true" outlineLevel="0" collapsed="false">
      <c r="B675" s="7" t="str">
        <f aca="false">IFERROR(INDEX(Schedule!$C$4:$C$483,MATCH(13001,Schedule!$K$4:$K$483,0)),"")</f>
        <v>Google One</v>
      </c>
      <c r="C675" s="88" t="n">
        <f aca="false">IF($B675="","",INDEX(Schedule!$G$4:$G$483,MATCH(13001,Schedule!$K$4:$K$483,0)))</f>
        <v>46333</v>
      </c>
      <c r="D675" s="89" t="str">
        <f aca="false">IF($B675="","",INDEX(Schedule!$D$4:$D$483,MATCH(13001,Schedule!$K$4:$K$483,0)))</f>
        <v>Expense</v>
      </c>
      <c r="E675" s="90" t="n">
        <f aca="false">IF($B675="","",INDEX(Schedule!$E$4:$E$483,MATCH(13001,Schedule!$K$4:$K$483,0)))</f>
        <v>4.99</v>
      </c>
      <c r="F675" s="91"/>
      <c r="G675" s="92" t="str">
        <f aca="false">IF($B675="","",IF($D675="Income",IF($F675&lt;&gt;"",$F675,IF(COUNTIFS('Paid Log'!$B$9:$B$308,$C675,'Paid Log'!$C$9:$C$308,$B675)&gt;0,SUMIFS('Paid Log'!$D$9:$D$308,'Paid Log'!$B$9:$B$308,$C675,'Paid Log'!$C$9:$C$308,$B675),$E675)),""))</f>
        <v/>
      </c>
      <c r="H675" s="93" t="n">
        <f aca="false">IF($B675="","",IF($D675="Income","",IF($F675&lt;&gt;"",$F675,IF(COUNTIFS('Paid Log'!$B$9:$B$308,$C675,'Paid Log'!$C$9:$C$308,$B675)&gt;0,SUMIFS('Paid Log'!$D$9:$D$308,'Paid Log'!$B$9:$B$308,$C675,'Paid Log'!$C$9:$C$308,$B675),$E675))))</f>
        <v>4.99</v>
      </c>
      <c r="I675" s="94" t="n">
        <f aca="false">IF($B675="","",$I$673+SUMIFS($G$675:$G$725,$M$675:$M$725,"&lt;="&amp;$M675)-SUMIFS($H$675:$H$725,$M$675:$M$725,"&lt;="&amp;$M675))</f>
        <v>372.81</v>
      </c>
      <c r="J675" s="95" t="str">
        <f aca="true">IF($B675="","",IF(OR($F675&lt;&gt;"",COUNTIFS('Paid Log'!$B$9:$B$308,$C675,'Paid Log'!$C$9:$C$308,$B675)&gt;0),IF($C675&gt;TODAY(),"ADJUSTED","PAID"),IF($C675&lt;TODAY(),"PAST DUE",IF($C675&lt;=TODAY()+7,"DUE","Upcoming"))))</f>
        <v>Upcoming</v>
      </c>
      <c r="K675" s="96" t="str">
        <f aca="false">IF($B675="","",IF(OR($F675&lt;&gt;"",COUNTIFS('Paid Log'!$B$9:$B$308,$C675,'Paid Log'!$C$9:$C$308,$B675)&gt;0),"ACTUAL","FORECAST"))</f>
        <v>FORECAST</v>
      </c>
      <c r="L675" s="97" t="n">
        <f aca="false">IF($B675="","",$C675)</f>
        <v>46333</v>
      </c>
      <c r="M675" s="0" t="n">
        <f aca="false">IF($L675="","",COUNTIFS($L$675:$L$725,"&lt;"&amp;$L675)+COUNTIFS($L$675:$L675,$L675))</f>
        <v>1</v>
      </c>
    </row>
    <row r="676" customFormat="false" ht="15" hidden="false" customHeight="true" outlineLevel="0" collapsed="false">
      <c r="B676" s="7" t="str">
        <f aca="false">IFERROR(INDEX(Schedule!$C$4:$C$483,MATCH(13002,Schedule!$K$4:$K$483,0)),"")</f>
        <v>Upstart (loan)</v>
      </c>
      <c r="C676" s="88" t="n">
        <f aca="false">IF($B676="","",INDEX(Schedule!$G$4:$G$483,MATCH(13002,Schedule!$K$4:$K$483,0)))</f>
        <v>46333</v>
      </c>
      <c r="D676" s="89" t="str">
        <f aca="false">IF($B676="","",INDEX(Schedule!$D$4:$D$483,MATCH(13002,Schedule!$K$4:$K$483,0)))</f>
        <v>Expense</v>
      </c>
      <c r="E676" s="90" t="n">
        <f aca="false">IF($B676="","",INDEX(Schedule!$E$4:$E$483,MATCH(13002,Schedule!$K$4:$K$483,0)))</f>
        <v>500</v>
      </c>
      <c r="F676" s="91"/>
      <c r="G676" s="92" t="str">
        <f aca="false">IF($B676="","",IF($D676="Income",IF($F676&lt;&gt;"",$F676,IF(COUNTIFS('Paid Log'!$B$9:$B$308,$C676,'Paid Log'!$C$9:$C$308,$B676)&gt;0,SUMIFS('Paid Log'!$D$9:$D$308,'Paid Log'!$B$9:$B$308,$C676,'Paid Log'!$C$9:$C$308,$B676),$E676)),""))</f>
        <v/>
      </c>
      <c r="H676" s="93" t="n">
        <f aca="false">IF($B676="","",IF($D676="Income","",IF($F676&lt;&gt;"",$F676,IF(COUNTIFS('Paid Log'!$B$9:$B$308,$C676,'Paid Log'!$C$9:$C$308,$B676)&gt;0,SUMIFS('Paid Log'!$D$9:$D$308,'Paid Log'!$B$9:$B$308,$C676,'Paid Log'!$C$9:$C$308,$B676),$E676))))</f>
        <v>500</v>
      </c>
      <c r="I676" s="94" t="n">
        <f aca="false">IF($B676="","",$I$673+SUMIFS($G$675:$G$725,$M$675:$M$725,"&lt;="&amp;$M676)-SUMIFS($H$675:$H$725,$M$675:$M$725,"&lt;="&amp;$M676))</f>
        <v>-127.19</v>
      </c>
      <c r="J676" s="95" t="str">
        <f aca="true">IF($B676="","",IF(OR($F676&lt;&gt;"",COUNTIFS('Paid Log'!$B$9:$B$308,$C676,'Paid Log'!$C$9:$C$308,$B676)&gt;0),IF($C676&gt;TODAY(),"ADJUSTED","PAID"),IF($C676&lt;TODAY(),"PAST DUE",IF($C676&lt;=TODAY()+7,"DUE","Upcoming"))))</f>
        <v>Upcoming</v>
      </c>
      <c r="K676" s="96" t="str">
        <f aca="false">IF($B676="","",IF(OR($F676&lt;&gt;"",COUNTIFS('Paid Log'!$B$9:$B$308,$C676,'Paid Log'!$C$9:$C$308,$B676)&gt;0),"ACTUAL","FORECAST"))</f>
        <v>FORECAST</v>
      </c>
      <c r="L676" s="97" t="n">
        <f aca="false">IF($B676="","",$C676)</f>
        <v>46333</v>
      </c>
      <c r="M676" s="0" t="n">
        <f aca="false">IF($L676="","",COUNTIFS($L$675:$L$725,"&lt;"&amp;$L676)+COUNTIFS($L$675:$L676,$L676))</f>
        <v>2</v>
      </c>
    </row>
    <row r="677" customFormat="false" ht="15" hidden="false" customHeight="true" outlineLevel="0" collapsed="false">
      <c r="B677" s="7" t="str">
        <f aca="false">IFERROR(INDEX(Schedule!$C$4:$C$483,MATCH(13003,Schedule!$K$4:$K$483,0)),"")</f>
        <v>Central Maine Power Co.</v>
      </c>
      <c r="C677" s="88" t="n">
        <f aca="false">IF($B677="","",INDEX(Schedule!$G$4:$G$483,MATCH(13003,Schedule!$K$4:$K$483,0)))</f>
        <v>46334</v>
      </c>
      <c r="D677" s="89" t="str">
        <f aca="false">IF($B677="","",INDEX(Schedule!$D$4:$D$483,MATCH(13003,Schedule!$K$4:$K$483,0)))</f>
        <v>Expense</v>
      </c>
      <c r="E677" s="90" t="n">
        <f aca="false">IF($B677="","",INDEX(Schedule!$E$4:$E$483,MATCH(13003,Schedule!$K$4:$K$483,0)))</f>
        <v>163.5</v>
      </c>
      <c r="F677" s="91"/>
      <c r="G677" s="92" t="str">
        <f aca="false">IF($B677="","",IF($D677="Income",IF($F677&lt;&gt;"",$F677,IF(COUNTIFS('Paid Log'!$B$9:$B$308,$C677,'Paid Log'!$C$9:$C$308,$B677)&gt;0,SUMIFS('Paid Log'!$D$9:$D$308,'Paid Log'!$B$9:$B$308,$C677,'Paid Log'!$C$9:$C$308,$B677),$E677)),""))</f>
        <v/>
      </c>
      <c r="H677" s="93" t="n">
        <f aca="false">IF($B677="","",IF($D677="Income","",IF($F677&lt;&gt;"",$F677,IF(COUNTIFS('Paid Log'!$B$9:$B$308,$C677,'Paid Log'!$C$9:$C$308,$B677)&gt;0,SUMIFS('Paid Log'!$D$9:$D$308,'Paid Log'!$B$9:$B$308,$C677,'Paid Log'!$C$9:$C$308,$B677),$E677))))</f>
        <v>163.5</v>
      </c>
      <c r="I677" s="94" t="n">
        <f aca="false">IF($B677="","",$I$673+SUMIFS($G$675:$G$725,$M$675:$M$725,"&lt;="&amp;$M677)-SUMIFS($H$675:$H$725,$M$675:$M$725,"&lt;="&amp;$M677))</f>
        <v>-290.69</v>
      </c>
      <c r="J677" s="95" t="str">
        <f aca="true">IF($B677="","",IF(OR($F677&lt;&gt;"",COUNTIFS('Paid Log'!$B$9:$B$308,$C677,'Paid Log'!$C$9:$C$308,$B677)&gt;0),IF($C677&gt;TODAY(),"ADJUSTED","PAID"),IF($C677&lt;TODAY(),"PAST DUE",IF($C677&lt;=TODAY()+7,"DUE","Upcoming"))))</f>
        <v>Upcoming</v>
      </c>
      <c r="K677" s="96" t="str">
        <f aca="false">IF($B677="","",IF(OR($F677&lt;&gt;"",COUNTIFS('Paid Log'!$B$9:$B$308,$C677,'Paid Log'!$C$9:$C$308,$B677)&gt;0),"ACTUAL","FORECAST"))</f>
        <v>FORECAST</v>
      </c>
      <c r="L677" s="97" t="n">
        <f aca="false">IF($B677="","",$C677)</f>
        <v>46334</v>
      </c>
      <c r="M677" s="0" t="n">
        <f aca="false">IF($L677="","",COUNTIFS($L$675:$L$725,"&lt;"&amp;$L677)+COUNTIFS($L$675:$L677,$L677))</f>
        <v>3</v>
      </c>
    </row>
    <row r="678" customFormat="false" ht="15" hidden="false" customHeight="true" outlineLevel="0" collapsed="false">
      <c r="B678" s="7" t="str">
        <f aca="false">IFERROR(INDEX(Schedule!$C$4:$C$483,MATCH(13004,Schedule!$K$4:$K$483,0)),"")</f>
        <v>Bruno's Restaurant (paycheck)</v>
      </c>
      <c r="C678" s="88" t="n">
        <f aca="false">IF($B678="","",INDEX(Schedule!$G$4:$G$483,MATCH(13004,Schedule!$K$4:$K$483,0)))</f>
        <v>46337</v>
      </c>
      <c r="D678" s="89" t="str">
        <f aca="false">IF($B678="","",INDEX(Schedule!$D$4:$D$483,MATCH(13004,Schedule!$K$4:$K$483,0)))</f>
        <v>Income</v>
      </c>
      <c r="E678" s="90" t="n">
        <f aca="false">IF($B678="","",INDEX(Schedule!$E$4:$E$483,MATCH(13004,Schedule!$K$4:$K$483,0)))</f>
        <v>90</v>
      </c>
      <c r="F678" s="91"/>
      <c r="G678" s="92" t="n">
        <f aca="false">IF($B678="","",IF($D678="Income",IF($F678&lt;&gt;"",$F678,IF(COUNTIFS('Paid Log'!$B$9:$B$308,$C678,'Paid Log'!$C$9:$C$308,$B678)&gt;0,SUMIFS('Paid Log'!$D$9:$D$308,'Paid Log'!$B$9:$B$308,$C678,'Paid Log'!$C$9:$C$308,$B678),$E678)),""))</f>
        <v>90</v>
      </c>
      <c r="H678" s="93" t="str">
        <f aca="false">IF($B678="","",IF($D678="Income","",IF($F678&lt;&gt;"",$F678,IF(COUNTIFS('Paid Log'!$B$9:$B$308,$C678,'Paid Log'!$C$9:$C$308,$B678)&gt;0,SUMIFS('Paid Log'!$D$9:$D$308,'Paid Log'!$B$9:$B$308,$C678,'Paid Log'!$C$9:$C$308,$B678),$E678))))</f>
        <v/>
      </c>
      <c r="I678" s="94" t="n">
        <f aca="false">IF($B678="","",$I$673+SUMIFS($G$675:$G$725,$M$675:$M$725,"&lt;="&amp;$M678)-SUMIFS($H$675:$H$725,$M$675:$M$725,"&lt;="&amp;$M678))</f>
        <v>-200.69</v>
      </c>
      <c r="J678" s="95" t="str">
        <f aca="true">IF($B678="","",IF(OR($F678&lt;&gt;"",COUNTIFS('Paid Log'!$B$9:$B$308,$C678,'Paid Log'!$C$9:$C$308,$B678)&gt;0),IF($C678&gt;TODAY(),"ADJUSTED","PAID"),IF($C678&lt;TODAY(),"PAST DUE",IF($C678&lt;=TODAY()+7,"DUE","Upcoming"))))</f>
        <v>Upcoming</v>
      </c>
      <c r="K678" s="96" t="str">
        <f aca="false">IF($B678="","",IF(OR($F678&lt;&gt;"",COUNTIFS('Paid Log'!$B$9:$B$308,$C678,'Paid Log'!$C$9:$C$308,$B678)&gt;0),"ACTUAL","FORECAST"))</f>
        <v>FORECAST</v>
      </c>
      <c r="L678" s="97" t="n">
        <f aca="false">IF($B678="","",$C678)</f>
        <v>46337</v>
      </c>
      <c r="M678" s="0" t="n">
        <f aca="false">IF($L678="","",COUNTIFS($L$675:$L$725,"&lt;"&amp;$L678)+COUNTIFS($L$675:$L678,$L678))</f>
        <v>4</v>
      </c>
    </row>
    <row r="679" customFormat="false" ht="15" hidden="false" customHeight="true" outlineLevel="0" collapsed="false">
      <c r="B679" s="7" t="str">
        <f aca="false">IFERROR(INDEX(Schedule!$C$4:$C$483,MATCH(13005,Schedule!$K$4:$K$483,0)),"")</f>
        <v>Compunnel Software (paycheck)</v>
      </c>
      <c r="C679" s="88" t="n">
        <f aca="false">IF($B679="","",INDEX(Schedule!$G$4:$G$483,MATCH(13005,Schedule!$K$4:$K$483,0)))</f>
        <v>46339</v>
      </c>
      <c r="D679" s="89" t="str">
        <f aca="false">IF($B679="","",INDEX(Schedule!$D$4:$D$483,MATCH(13005,Schedule!$K$4:$K$483,0)))</f>
        <v>Income</v>
      </c>
      <c r="E679" s="90" t="n">
        <f aca="false">IF($B679="","",INDEX(Schedule!$E$4:$E$483,MATCH(13005,Schedule!$K$4:$K$483,0)))</f>
        <v>745</v>
      </c>
      <c r="F679" s="91"/>
      <c r="G679" s="92" t="n">
        <f aca="false">IF($B679="","",IF($D679="Income",IF($F679&lt;&gt;"",$F679,IF(COUNTIFS('Paid Log'!$B$9:$B$308,$C679,'Paid Log'!$C$9:$C$308,$B679)&gt;0,SUMIFS('Paid Log'!$D$9:$D$308,'Paid Log'!$B$9:$B$308,$C679,'Paid Log'!$C$9:$C$308,$B679),$E679)),""))</f>
        <v>745</v>
      </c>
      <c r="H679" s="93" t="str">
        <f aca="false">IF($B679="","",IF($D679="Income","",IF($F679&lt;&gt;"",$F679,IF(COUNTIFS('Paid Log'!$B$9:$B$308,$C679,'Paid Log'!$C$9:$C$308,$B679)&gt;0,SUMIFS('Paid Log'!$D$9:$D$308,'Paid Log'!$B$9:$B$308,$C679,'Paid Log'!$C$9:$C$308,$B679),$E679))))</f>
        <v/>
      </c>
      <c r="I679" s="94" t="n">
        <f aca="false">IF($B679="","",$I$673+SUMIFS($G$675:$G$725,$M$675:$M$725,"&lt;="&amp;$M679)-SUMIFS($H$675:$H$725,$M$675:$M$725,"&lt;="&amp;$M679))</f>
        <v>544.31</v>
      </c>
      <c r="J679" s="95" t="str">
        <f aca="true">IF($B679="","",IF(OR($F679&lt;&gt;"",COUNTIFS('Paid Log'!$B$9:$B$308,$C679,'Paid Log'!$C$9:$C$308,$B679)&gt;0),IF($C679&gt;TODAY(),"ADJUSTED","PAID"),IF($C679&lt;TODAY(),"PAST DUE",IF($C679&lt;=TODAY()+7,"DUE","Upcoming"))))</f>
        <v>Upcoming</v>
      </c>
      <c r="K679" s="96" t="str">
        <f aca="false">IF($B679="","",IF(OR($F679&lt;&gt;"",COUNTIFS('Paid Log'!$B$9:$B$308,$C679,'Paid Log'!$C$9:$C$308,$B679)&gt;0),"ACTUAL","FORECAST"))</f>
        <v>FORECAST</v>
      </c>
      <c r="L679" s="97" t="n">
        <f aca="false">IF($B679="","",$C679)</f>
        <v>46339</v>
      </c>
      <c r="M679" s="0" t="n">
        <f aca="false">IF($L679="","",COUNTIFS($L$675:$L$725,"&lt;"&amp;$L679)+COUNTIFS($L$675:$L679,$L679))</f>
        <v>5</v>
      </c>
    </row>
    <row r="680" customFormat="false" ht="15" hidden="false" customHeight="true" outlineLevel="0" collapsed="false">
      <c r="B680" s="7" t="str">
        <f aca="false">IFERROR(INDEX(Schedule!$C$4:$C$483,MATCH(13006,Schedule!$K$4:$K$483,0)),"")</f>
        <v>Apple: iCloud</v>
      </c>
      <c r="C680" s="88" t="n">
        <f aca="false">IF($B680="","",INDEX(Schedule!$G$4:$G$483,MATCH(13006,Schedule!$K$4:$K$483,0)))</f>
        <v>46339</v>
      </c>
      <c r="D680" s="89" t="str">
        <f aca="false">IF($B680="","",INDEX(Schedule!$D$4:$D$483,MATCH(13006,Schedule!$K$4:$K$483,0)))</f>
        <v>Expense</v>
      </c>
      <c r="E680" s="90" t="n">
        <f aca="false">IF($B680="","",INDEX(Schedule!$E$4:$E$483,MATCH(13006,Schedule!$K$4:$K$483,0)))</f>
        <v>2.99</v>
      </c>
      <c r="F680" s="91"/>
      <c r="G680" s="92" t="str">
        <f aca="false">IF($B680="","",IF($D680="Income",IF($F680&lt;&gt;"",$F680,IF(COUNTIFS('Paid Log'!$B$9:$B$308,$C680,'Paid Log'!$C$9:$C$308,$B680)&gt;0,SUMIFS('Paid Log'!$D$9:$D$308,'Paid Log'!$B$9:$B$308,$C680,'Paid Log'!$C$9:$C$308,$B680),$E680)),""))</f>
        <v/>
      </c>
      <c r="H680" s="93" t="n">
        <f aca="false">IF($B680="","",IF($D680="Income","",IF($F680&lt;&gt;"",$F680,IF(COUNTIFS('Paid Log'!$B$9:$B$308,$C680,'Paid Log'!$C$9:$C$308,$B680)&gt;0,SUMIFS('Paid Log'!$D$9:$D$308,'Paid Log'!$B$9:$B$308,$C680,'Paid Log'!$C$9:$C$308,$B680),$E680))))</f>
        <v>2.99</v>
      </c>
      <c r="I680" s="94" t="n">
        <f aca="false">IF($B680="","",$I$673+SUMIFS($G$675:$G$725,$M$675:$M$725,"&lt;="&amp;$M680)-SUMIFS($H$675:$H$725,$M$675:$M$725,"&lt;="&amp;$M680))</f>
        <v>541.32</v>
      </c>
      <c r="J680" s="95" t="str">
        <f aca="true">IF($B680="","",IF(OR($F680&lt;&gt;"",COUNTIFS('Paid Log'!$B$9:$B$308,$C680,'Paid Log'!$C$9:$C$308,$B680)&gt;0),IF($C680&gt;TODAY(),"ADJUSTED","PAID"),IF($C680&lt;TODAY(),"PAST DUE",IF($C680&lt;=TODAY()+7,"DUE","Upcoming"))))</f>
        <v>Upcoming</v>
      </c>
      <c r="K680" s="96" t="str">
        <f aca="false">IF($B680="","",IF(OR($F680&lt;&gt;"",COUNTIFS('Paid Log'!$B$9:$B$308,$C680,'Paid Log'!$C$9:$C$308,$B680)&gt;0),"ACTUAL","FORECAST"))</f>
        <v>FORECAST</v>
      </c>
      <c r="L680" s="97" t="n">
        <f aca="false">IF($B680="","",$C680)</f>
        <v>46339</v>
      </c>
      <c r="M680" s="0" t="n">
        <f aca="false">IF($L680="","",COUNTIFS($L$675:$L$725,"&lt;"&amp;$L680)+COUNTIFS($L$675:$L680,$L680))</f>
        <v>6</v>
      </c>
    </row>
    <row r="681" customFormat="false" ht="15" hidden="false" customHeight="true" outlineLevel="0" collapsed="false">
      <c r="B681" s="7" t="str">
        <f aca="false">IFERROR(INDEX(Schedule!$C$4:$C$483,MATCH(13007,Schedule!$K$4:$K$483,0)),"")</f>
        <v>Patrick Rombalski (rent)</v>
      </c>
      <c r="C681" s="88" t="n">
        <f aca="false">IF($B681="","",INDEX(Schedule!$G$4:$G$483,MATCH(13007,Schedule!$K$4:$K$483,0)))</f>
        <v>46339</v>
      </c>
      <c r="D681" s="89" t="str">
        <f aca="false">IF($B681="","",INDEX(Schedule!$D$4:$D$483,MATCH(13007,Schedule!$K$4:$K$483,0)))</f>
        <v>Expense</v>
      </c>
      <c r="E681" s="90" t="n">
        <f aca="false">IF($B681="","",INDEX(Schedule!$E$4:$E$483,MATCH(13007,Schedule!$K$4:$K$483,0)))</f>
        <v>350</v>
      </c>
      <c r="F681" s="91"/>
      <c r="G681" s="92" t="str">
        <f aca="false">IF($B681="","",IF($D681="Income",IF($F681&lt;&gt;"",$F681,IF(COUNTIFS('Paid Log'!$B$9:$B$308,$C681,'Paid Log'!$C$9:$C$308,$B681)&gt;0,SUMIFS('Paid Log'!$D$9:$D$308,'Paid Log'!$B$9:$B$308,$C681,'Paid Log'!$C$9:$C$308,$B681),$E681)),""))</f>
        <v/>
      </c>
      <c r="H681" s="93" t="n">
        <f aca="false">IF($B681="","",IF($D681="Income","",IF($F681&lt;&gt;"",$F681,IF(COUNTIFS('Paid Log'!$B$9:$B$308,$C681,'Paid Log'!$C$9:$C$308,$B681)&gt;0,SUMIFS('Paid Log'!$D$9:$D$308,'Paid Log'!$B$9:$B$308,$C681,'Paid Log'!$C$9:$C$308,$B681),$E681))))</f>
        <v>350</v>
      </c>
      <c r="I681" s="94" t="n">
        <f aca="false">IF($B681="","",$I$673+SUMIFS($G$675:$G$725,$M$675:$M$725,"&lt;="&amp;$M681)-SUMIFS($H$675:$H$725,$M$675:$M$725,"&lt;="&amp;$M681))</f>
        <v>191.32</v>
      </c>
      <c r="J681" s="95" t="str">
        <f aca="true">IF($B681="","",IF(OR($F681&lt;&gt;"",COUNTIFS('Paid Log'!$B$9:$B$308,$C681,'Paid Log'!$C$9:$C$308,$B681)&gt;0),IF($C681&gt;TODAY(),"ADJUSTED","PAID"),IF($C681&lt;TODAY(),"PAST DUE",IF($C681&lt;=TODAY()+7,"DUE","Upcoming"))))</f>
        <v>Upcoming</v>
      </c>
      <c r="K681" s="96" t="str">
        <f aca="false">IF($B681="","",IF(OR($F681&lt;&gt;"",COUNTIFS('Paid Log'!$B$9:$B$308,$C681,'Paid Log'!$C$9:$C$308,$B681)&gt;0),"ACTUAL","FORECAST"))</f>
        <v>FORECAST</v>
      </c>
      <c r="L681" s="97" t="n">
        <f aca="false">IF($B681="","",$C681)</f>
        <v>46339</v>
      </c>
      <c r="M681" s="0" t="n">
        <f aca="false">IF($L681="","",COUNTIFS($L$675:$L$725,"&lt;"&amp;$L681)+COUNTIFS($L$675:$L681,$L681))</f>
        <v>7</v>
      </c>
    </row>
    <row r="682" customFormat="false" ht="15" hidden="false" customHeight="true" outlineLevel="0" collapsed="false">
      <c r="B682" s="7" t="str">
        <f aca="false">IFERROR(INDEX(Schedule!$C$4:$C$483,MATCH(13008,Schedule!$K$4:$K$483,0)),"")</f>
        <v/>
      </c>
      <c r="C682" s="88" t="str">
        <f aca="false">IF($B682="","",INDEX(Schedule!$G$4:$G$483,MATCH(13008,Schedule!$K$4:$K$483,0)))</f>
        <v/>
      </c>
      <c r="D682" s="89" t="str">
        <f aca="false">IF($B682="","",INDEX(Schedule!$D$4:$D$483,MATCH(13008,Schedule!$K$4:$K$483,0)))</f>
        <v/>
      </c>
      <c r="E682" s="90" t="str">
        <f aca="false">IF($B682="","",INDEX(Schedule!$E$4:$E$483,MATCH(13008,Schedule!$K$4:$K$483,0)))</f>
        <v/>
      </c>
      <c r="F682" s="91"/>
      <c r="G682" s="92" t="str">
        <f aca="false">IF($B682="","",IF($D682="Income",IF($F682&lt;&gt;"",$F682,IF(COUNTIFS('Paid Log'!$B$9:$B$308,$C682,'Paid Log'!$C$9:$C$308,$B682)&gt;0,SUMIFS('Paid Log'!$D$9:$D$308,'Paid Log'!$B$9:$B$308,$C682,'Paid Log'!$C$9:$C$308,$B682),$E682)),""))</f>
        <v/>
      </c>
      <c r="H682" s="93" t="str">
        <f aca="false">IF($B682="","",IF($D682="Income","",IF($F682&lt;&gt;"",$F682,IF(COUNTIFS('Paid Log'!$B$9:$B$308,$C682,'Paid Log'!$C$9:$C$308,$B682)&gt;0,SUMIFS('Paid Log'!$D$9:$D$308,'Paid Log'!$B$9:$B$308,$C682,'Paid Log'!$C$9:$C$308,$B682),$E682))))</f>
        <v/>
      </c>
      <c r="I682" s="94" t="str">
        <f aca="false">IF($B682="","",$I$673+SUMIFS($G$675:$G$725,$M$675:$M$725,"&lt;="&amp;$M682)-SUMIFS($H$675:$H$725,$M$675:$M$725,"&lt;="&amp;$M682))</f>
        <v/>
      </c>
      <c r="J682" s="95" t="str">
        <f aca="true">IF($B682="","",IF(OR($F682&lt;&gt;"",COUNTIFS('Paid Log'!$B$9:$B$308,$C682,'Paid Log'!$C$9:$C$308,$B682)&gt;0),IF($C682&gt;TODAY(),"ADJUSTED","PAID"),IF($C682&lt;TODAY(),"PAST DUE",IF($C682&lt;=TODAY()+7,"DUE","Upcoming"))))</f>
        <v/>
      </c>
      <c r="K682" s="96" t="str">
        <f aca="false">IF($B682="","",IF(OR($F682&lt;&gt;"",COUNTIFS('Paid Log'!$B$9:$B$308,$C682,'Paid Log'!$C$9:$C$308,$B682)&gt;0),"ACTUAL","FORECAST"))</f>
        <v/>
      </c>
      <c r="L682" s="0" t="str">
        <f aca="false">IF($B682="","",$C682)</f>
        <v/>
      </c>
      <c r="M682" s="0" t="str">
        <f aca="false">IF($L682="","",COUNTIFS($L$675:$L$725,"&lt;"&amp;$L682)+COUNTIFS($L$675:$L682,$L682))</f>
        <v/>
      </c>
    </row>
    <row r="683" customFormat="false" ht="15" hidden="false" customHeight="true" outlineLevel="0" collapsed="false">
      <c r="B683" s="7" t="str">
        <f aca="false">IFERROR(INDEX(Schedule!$C$4:$C$483,MATCH(13009,Schedule!$K$4:$K$483,0)),"")</f>
        <v/>
      </c>
      <c r="C683" s="88" t="str">
        <f aca="false">IF($B683="","",INDEX(Schedule!$G$4:$G$483,MATCH(13009,Schedule!$K$4:$K$483,0)))</f>
        <v/>
      </c>
      <c r="D683" s="89" t="str">
        <f aca="false">IF($B683="","",INDEX(Schedule!$D$4:$D$483,MATCH(13009,Schedule!$K$4:$K$483,0)))</f>
        <v/>
      </c>
      <c r="E683" s="90" t="str">
        <f aca="false">IF($B683="","",INDEX(Schedule!$E$4:$E$483,MATCH(13009,Schedule!$K$4:$K$483,0)))</f>
        <v/>
      </c>
      <c r="F683" s="91"/>
      <c r="G683" s="92" t="str">
        <f aca="false">IF($B683="","",IF($D683="Income",IF($F683&lt;&gt;"",$F683,IF(COUNTIFS('Paid Log'!$B$9:$B$308,$C683,'Paid Log'!$C$9:$C$308,$B683)&gt;0,SUMIFS('Paid Log'!$D$9:$D$308,'Paid Log'!$B$9:$B$308,$C683,'Paid Log'!$C$9:$C$308,$B683),$E683)),""))</f>
        <v/>
      </c>
      <c r="H683" s="93" t="str">
        <f aca="false">IF($B683="","",IF($D683="Income","",IF($F683&lt;&gt;"",$F683,IF(COUNTIFS('Paid Log'!$B$9:$B$308,$C683,'Paid Log'!$C$9:$C$308,$B683)&gt;0,SUMIFS('Paid Log'!$D$9:$D$308,'Paid Log'!$B$9:$B$308,$C683,'Paid Log'!$C$9:$C$308,$B683),$E683))))</f>
        <v/>
      </c>
      <c r="I683" s="94" t="str">
        <f aca="false">IF($B683="","",$I$673+SUMIFS($G$675:$G$725,$M$675:$M$725,"&lt;="&amp;$M683)-SUMIFS($H$675:$H$725,$M$675:$M$725,"&lt;="&amp;$M683))</f>
        <v/>
      </c>
      <c r="J683" s="95" t="str">
        <f aca="true">IF($B683="","",IF(OR($F683&lt;&gt;"",COUNTIFS('Paid Log'!$B$9:$B$308,$C683,'Paid Log'!$C$9:$C$308,$B683)&gt;0),IF($C683&gt;TODAY(),"ADJUSTED","PAID"),IF($C683&lt;TODAY(),"PAST DUE",IF($C683&lt;=TODAY()+7,"DUE","Upcoming"))))</f>
        <v/>
      </c>
      <c r="K683" s="96" t="str">
        <f aca="false">IF($B683="","",IF(OR($F683&lt;&gt;"",COUNTIFS('Paid Log'!$B$9:$B$308,$C683,'Paid Log'!$C$9:$C$308,$B683)&gt;0),"ACTUAL","FORECAST"))</f>
        <v/>
      </c>
      <c r="L683" s="0" t="str">
        <f aca="false">IF($B683="","",$C683)</f>
        <v/>
      </c>
      <c r="M683" s="0" t="str">
        <f aca="false">IF($L683="","",COUNTIFS($L$675:$L$725,"&lt;"&amp;$L683)+COUNTIFS($L$675:$L683,$L683))</f>
        <v/>
      </c>
    </row>
    <row r="684" customFormat="false" ht="15" hidden="false" customHeight="true" outlineLevel="0" collapsed="false">
      <c r="B684" s="7" t="str">
        <f aca="false">IFERROR(INDEX(Schedule!$C$4:$C$483,MATCH(13010,Schedule!$K$4:$K$483,0)),"")</f>
        <v/>
      </c>
      <c r="C684" s="88" t="str">
        <f aca="false">IF($B684="","",INDEX(Schedule!$G$4:$G$483,MATCH(13010,Schedule!$K$4:$K$483,0)))</f>
        <v/>
      </c>
      <c r="D684" s="89" t="str">
        <f aca="false">IF($B684="","",INDEX(Schedule!$D$4:$D$483,MATCH(13010,Schedule!$K$4:$K$483,0)))</f>
        <v/>
      </c>
      <c r="E684" s="90" t="str">
        <f aca="false">IF($B684="","",INDEX(Schedule!$E$4:$E$483,MATCH(13010,Schedule!$K$4:$K$483,0)))</f>
        <v/>
      </c>
      <c r="F684" s="91"/>
      <c r="G684" s="92" t="str">
        <f aca="false">IF($B684="","",IF($D684="Income",IF($F684&lt;&gt;"",$F684,IF(COUNTIFS('Paid Log'!$B$9:$B$308,$C684,'Paid Log'!$C$9:$C$308,$B684)&gt;0,SUMIFS('Paid Log'!$D$9:$D$308,'Paid Log'!$B$9:$B$308,$C684,'Paid Log'!$C$9:$C$308,$B684),$E684)),""))</f>
        <v/>
      </c>
      <c r="H684" s="93" t="str">
        <f aca="false">IF($B684="","",IF($D684="Income","",IF($F684&lt;&gt;"",$F684,IF(COUNTIFS('Paid Log'!$B$9:$B$308,$C684,'Paid Log'!$C$9:$C$308,$B684)&gt;0,SUMIFS('Paid Log'!$D$9:$D$308,'Paid Log'!$B$9:$B$308,$C684,'Paid Log'!$C$9:$C$308,$B684),$E684))))</f>
        <v/>
      </c>
      <c r="I684" s="94" t="str">
        <f aca="false">IF($B684="","",$I$673+SUMIFS($G$675:$G$725,$M$675:$M$725,"&lt;="&amp;$M684)-SUMIFS($H$675:$H$725,$M$675:$M$725,"&lt;="&amp;$M684))</f>
        <v/>
      </c>
      <c r="J684" s="95" t="str">
        <f aca="true">IF($B684="","",IF(OR($F684&lt;&gt;"",COUNTIFS('Paid Log'!$B$9:$B$308,$C684,'Paid Log'!$C$9:$C$308,$B684)&gt;0),IF($C684&gt;TODAY(),"ADJUSTED","PAID"),IF($C684&lt;TODAY(),"PAST DUE",IF($C684&lt;=TODAY()+7,"DUE","Upcoming"))))</f>
        <v/>
      </c>
      <c r="K684" s="96" t="str">
        <f aca="false">IF($B684="","",IF(OR($F684&lt;&gt;"",COUNTIFS('Paid Log'!$B$9:$B$308,$C684,'Paid Log'!$C$9:$C$308,$B684)&gt;0),"ACTUAL","FORECAST"))</f>
        <v/>
      </c>
      <c r="L684" s="0" t="str">
        <f aca="false">IF($B684="","",$C684)</f>
        <v/>
      </c>
      <c r="M684" s="0" t="str">
        <f aca="false">IF($L684="","",COUNTIFS($L$675:$L$725,"&lt;"&amp;$L684)+COUNTIFS($L$675:$L684,$L684))</f>
        <v/>
      </c>
    </row>
    <row r="685" customFormat="false" ht="15" hidden="false" customHeight="true" outlineLevel="0" collapsed="false">
      <c r="B685" s="98" t="s">
        <v>148</v>
      </c>
      <c r="C685" s="99"/>
      <c r="D685" s="99"/>
      <c r="E685" s="99"/>
      <c r="F685" s="99"/>
      <c r="G685" s="99"/>
      <c r="H685" s="99"/>
      <c r="I685" s="99"/>
      <c r="J685" s="99"/>
    </row>
    <row r="686" customFormat="false" ht="15" hidden="false" customHeight="true" outlineLevel="0" collapsed="false">
      <c r="B686" s="12"/>
      <c r="C686" s="100"/>
      <c r="D686" s="101" t="str">
        <f aca="false">IF($B686="","","Expense")</f>
        <v/>
      </c>
      <c r="E686" s="14"/>
      <c r="F686" s="102"/>
      <c r="G686" s="102"/>
      <c r="H686" s="103" t="str">
        <f aca="false">IF($B686="","",N($E686))</f>
        <v/>
      </c>
      <c r="I686" s="104" t="str">
        <f aca="false">IF($B686="","",$I$673+SUMIFS($G$675:$G$725,$M$675:$M$725,"&lt;="&amp;$M686)-SUMIFS($H$675:$H$725,$M$675:$M$725,"&lt;="&amp;$M686))</f>
        <v/>
      </c>
      <c r="J686" s="102"/>
      <c r="K686" s="96" t="str">
        <f aca="false">IF($B686="","","ACTUAL")</f>
        <v/>
      </c>
      <c r="L686" s="0" t="str">
        <f aca="false">IF($B686="","",IF($C686="",$E$6+90,$C686))</f>
        <v/>
      </c>
      <c r="M686" s="0" t="str">
        <f aca="false">IF($L686="","",COUNTIFS($L$675:$L$725,"&lt;"&amp;$L686)+COUNTIFS($L$675:$L686,$L686))</f>
        <v/>
      </c>
    </row>
    <row r="687" customFormat="false" ht="15" hidden="false" customHeight="true" outlineLevel="0" collapsed="false">
      <c r="B687" s="12"/>
      <c r="C687" s="100"/>
      <c r="D687" s="101" t="str">
        <f aca="false">IF($B687="","","Expense")</f>
        <v/>
      </c>
      <c r="E687" s="14"/>
      <c r="F687" s="102"/>
      <c r="G687" s="102"/>
      <c r="H687" s="103" t="str">
        <f aca="false">IF($B687="","",N($E687))</f>
        <v/>
      </c>
      <c r="I687" s="104" t="str">
        <f aca="false">IF($B687="","",$I$673+SUMIFS($G$675:$G$725,$M$675:$M$725,"&lt;="&amp;$M687)-SUMIFS($H$675:$H$725,$M$675:$M$725,"&lt;="&amp;$M687))</f>
        <v/>
      </c>
      <c r="J687" s="102"/>
      <c r="K687" s="96" t="str">
        <f aca="false">IF($B687="","","ACTUAL")</f>
        <v/>
      </c>
      <c r="L687" s="0" t="str">
        <f aca="false">IF($B687="","",IF($C687="",$E$6+90,$C687))</f>
        <v/>
      </c>
      <c r="M687" s="0" t="str">
        <f aca="false">IF($L687="","",COUNTIFS($L$675:$L$725,"&lt;"&amp;$L687)+COUNTIFS($L$675:$L687,$L687))</f>
        <v/>
      </c>
    </row>
    <row r="688" customFormat="false" ht="15" hidden="false" customHeight="true" outlineLevel="0" collapsed="false">
      <c r="B688" s="12"/>
      <c r="C688" s="100"/>
      <c r="D688" s="101" t="str">
        <f aca="false">IF($B688="","","Expense")</f>
        <v/>
      </c>
      <c r="E688" s="14"/>
      <c r="F688" s="102"/>
      <c r="G688" s="102"/>
      <c r="H688" s="103" t="str">
        <f aca="false">IF($B688="","",N($E688))</f>
        <v/>
      </c>
      <c r="I688" s="104" t="str">
        <f aca="false">IF($B688="","",$I$673+SUMIFS($G$675:$G$725,$M$675:$M$725,"&lt;="&amp;$M688)-SUMIFS($H$675:$H$725,$M$675:$M$725,"&lt;="&amp;$M688))</f>
        <v/>
      </c>
      <c r="J688" s="102"/>
      <c r="K688" s="96" t="str">
        <f aca="false">IF($B688="","","ACTUAL")</f>
        <v/>
      </c>
      <c r="L688" s="0" t="str">
        <f aca="false">IF($B688="","",IF($C688="",$E$6+90,$C688))</f>
        <v/>
      </c>
      <c r="M688" s="0" t="str">
        <f aca="false">IF($L688="","",COUNTIFS($L$675:$L$725,"&lt;"&amp;$L688)+COUNTIFS($L$675:$L688,$L688))</f>
        <v/>
      </c>
    </row>
    <row r="689" customFormat="false" ht="15" hidden="false" customHeight="true" outlineLevel="0" collapsed="false">
      <c r="B689" s="12"/>
      <c r="C689" s="100"/>
      <c r="D689" s="101" t="str">
        <f aca="false">IF($B689="","","Expense")</f>
        <v/>
      </c>
      <c r="E689" s="14"/>
      <c r="F689" s="102"/>
      <c r="G689" s="102"/>
      <c r="H689" s="103" t="str">
        <f aca="false">IF($B689="","",N($E689))</f>
        <v/>
      </c>
      <c r="I689" s="104" t="str">
        <f aca="false">IF($B689="","",$I$673+SUMIFS($G$675:$G$725,$M$675:$M$725,"&lt;="&amp;$M689)-SUMIFS($H$675:$H$725,$M$675:$M$725,"&lt;="&amp;$M689))</f>
        <v/>
      </c>
      <c r="J689" s="102"/>
      <c r="K689" s="96" t="str">
        <f aca="false">IF($B689="","","ACTUAL")</f>
        <v/>
      </c>
      <c r="L689" s="0" t="str">
        <f aca="false">IF($B689="","",IF($C689="",$E$6+90,$C689))</f>
        <v/>
      </c>
      <c r="M689" s="0" t="str">
        <f aca="false">IF($L689="","",COUNTIFS($L$675:$L$725,"&lt;"&amp;$L689)+COUNTIFS($L$675:$L689,$L689))</f>
        <v/>
      </c>
    </row>
    <row r="690" customFormat="false" ht="15" hidden="false" customHeight="true" outlineLevel="0" collapsed="false">
      <c r="B690" s="12"/>
      <c r="C690" s="100"/>
      <c r="D690" s="101" t="str">
        <f aca="false">IF($B690="","","Expense")</f>
        <v/>
      </c>
      <c r="E690" s="14"/>
      <c r="F690" s="102"/>
      <c r="G690" s="102"/>
      <c r="H690" s="103" t="str">
        <f aca="false">IF($B690="","",N($E690))</f>
        <v/>
      </c>
      <c r="I690" s="104" t="str">
        <f aca="false">IF($B690="","",$I$673+SUMIFS($G$675:$G$725,$M$675:$M$725,"&lt;="&amp;$M690)-SUMIFS($H$675:$H$725,$M$675:$M$725,"&lt;="&amp;$M690))</f>
        <v/>
      </c>
      <c r="J690" s="102"/>
      <c r="K690" s="96" t="str">
        <f aca="false">IF($B690="","","ACTUAL")</f>
        <v/>
      </c>
      <c r="L690" s="0" t="str">
        <f aca="false">IF($B690="","",IF($C690="",$E$6+90,$C690))</f>
        <v/>
      </c>
      <c r="M690" s="0" t="str">
        <f aca="false">IF($L690="","",COUNTIFS($L$675:$L$725,"&lt;"&amp;$L690)+COUNTIFS($L$675:$L690,$L690))</f>
        <v/>
      </c>
    </row>
    <row r="691" customFormat="false" ht="15" hidden="false" customHeight="true" outlineLevel="0" collapsed="false">
      <c r="B691" s="12"/>
      <c r="C691" s="100"/>
      <c r="D691" s="101" t="str">
        <f aca="false">IF($B691="","","Expense")</f>
        <v/>
      </c>
      <c r="E691" s="14"/>
      <c r="F691" s="102"/>
      <c r="G691" s="102"/>
      <c r="H691" s="103" t="str">
        <f aca="false">IF($B691="","",N($E691))</f>
        <v/>
      </c>
      <c r="I691" s="104" t="str">
        <f aca="false">IF($B691="","",$I$673+SUMIFS($G$675:$G$725,$M$675:$M$725,"&lt;="&amp;$M691)-SUMIFS($H$675:$H$725,$M$675:$M$725,"&lt;="&amp;$M691))</f>
        <v/>
      </c>
      <c r="J691" s="102"/>
      <c r="K691" s="96" t="str">
        <f aca="false">IF($B691="","","ACTUAL")</f>
        <v/>
      </c>
      <c r="L691" s="0" t="str">
        <f aca="false">IF($B691="","",IF($C691="",$E$6+90,$C691))</f>
        <v/>
      </c>
      <c r="M691" s="0" t="str">
        <f aca="false">IF($L691="","",COUNTIFS($L$675:$L$725,"&lt;"&amp;$L691)+COUNTIFS($L$675:$L691,$L691))</f>
        <v/>
      </c>
    </row>
    <row r="692" customFormat="false" ht="15" hidden="false" customHeight="true" outlineLevel="0" collapsed="false">
      <c r="B692" s="12"/>
      <c r="C692" s="100"/>
      <c r="D692" s="101" t="str">
        <f aca="false">IF($B692="","","Expense")</f>
        <v/>
      </c>
      <c r="E692" s="14"/>
      <c r="F692" s="102"/>
      <c r="G692" s="102"/>
      <c r="H692" s="103" t="str">
        <f aca="false">IF($B692="","",N($E692))</f>
        <v/>
      </c>
      <c r="I692" s="104" t="str">
        <f aca="false">IF($B692="","",$I$673+SUMIFS($G$675:$G$725,$M$675:$M$725,"&lt;="&amp;$M692)-SUMIFS($H$675:$H$725,$M$675:$M$725,"&lt;="&amp;$M692))</f>
        <v/>
      </c>
      <c r="J692" s="102"/>
      <c r="K692" s="96" t="str">
        <f aca="false">IF($B692="","","ACTUAL")</f>
        <v/>
      </c>
      <c r="L692" s="0" t="str">
        <f aca="false">IF($B692="","",IF($C692="",$E$6+90,$C692))</f>
        <v/>
      </c>
      <c r="M692" s="0" t="str">
        <f aca="false">IF($L692="","",COUNTIFS($L$675:$L$725,"&lt;"&amp;$L692)+COUNTIFS($L$675:$L692,$L692))</f>
        <v/>
      </c>
    </row>
    <row r="693" customFormat="false" ht="15" hidden="false" customHeight="true" outlineLevel="0" collapsed="false">
      <c r="B693" s="12"/>
      <c r="C693" s="100"/>
      <c r="D693" s="101" t="str">
        <f aca="false">IF($B693="","","Expense")</f>
        <v/>
      </c>
      <c r="E693" s="14"/>
      <c r="F693" s="102"/>
      <c r="G693" s="102"/>
      <c r="H693" s="103" t="str">
        <f aca="false">IF($B693="","",N($E693))</f>
        <v/>
      </c>
      <c r="I693" s="104" t="str">
        <f aca="false">IF($B693="","",$I$673+SUMIFS($G$675:$G$725,$M$675:$M$725,"&lt;="&amp;$M693)-SUMIFS($H$675:$H$725,$M$675:$M$725,"&lt;="&amp;$M693))</f>
        <v/>
      </c>
      <c r="J693" s="102"/>
      <c r="K693" s="96" t="str">
        <f aca="false">IF($B693="","","ACTUAL")</f>
        <v/>
      </c>
      <c r="L693" s="0" t="str">
        <f aca="false">IF($B693="","",IF($C693="",$E$6+90,$C693))</f>
        <v/>
      </c>
      <c r="M693" s="0" t="str">
        <f aca="false">IF($L693="","",COUNTIFS($L$675:$L$725,"&lt;"&amp;$L693)+COUNTIFS($L$675:$L693,$L693))</f>
        <v/>
      </c>
    </row>
    <row r="694" customFormat="false" ht="15" hidden="false" customHeight="true" outlineLevel="0" collapsed="false">
      <c r="B694" s="12"/>
      <c r="C694" s="100"/>
      <c r="D694" s="101" t="str">
        <f aca="false">IF($B694="","","Expense")</f>
        <v/>
      </c>
      <c r="E694" s="14"/>
      <c r="F694" s="102"/>
      <c r="G694" s="102"/>
      <c r="H694" s="103" t="str">
        <f aca="false">IF($B694="","",N($E694))</f>
        <v/>
      </c>
      <c r="I694" s="104" t="str">
        <f aca="false">IF($B694="","",$I$673+SUMIFS($G$675:$G$725,$M$675:$M$725,"&lt;="&amp;$M694)-SUMIFS($H$675:$H$725,$M$675:$M$725,"&lt;="&amp;$M694))</f>
        <v/>
      </c>
      <c r="J694" s="102"/>
      <c r="K694" s="96" t="str">
        <f aca="false">IF($B694="","","ACTUAL")</f>
        <v/>
      </c>
      <c r="L694" s="0" t="str">
        <f aca="false">IF($B694="","",IF($C694="",$E$6+90,$C694))</f>
        <v/>
      </c>
      <c r="M694" s="0" t="str">
        <f aca="false">IF($L694="","",COUNTIFS($L$675:$L$725,"&lt;"&amp;$L694)+COUNTIFS($L$675:$L694,$L694))</f>
        <v/>
      </c>
    </row>
    <row r="695" customFormat="false" ht="15" hidden="false" customHeight="true" outlineLevel="0" collapsed="false">
      <c r="B695" s="12"/>
      <c r="C695" s="100"/>
      <c r="D695" s="101" t="str">
        <f aca="false">IF($B695="","","Expense")</f>
        <v/>
      </c>
      <c r="E695" s="14"/>
      <c r="F695" s="102"/>
      <c r="G695" s="102"/>
      <c r="H695" s="103" t="str">
        <f aca="false">IF($B695="","",N($E695))</f>
        <v/>
      </c>
      <c r="I695" s="104" t="str">
        <f aca="false">IF($B695="","",$I$673+SUMIFS($G$675:$G$725,$M$675:$M$725,"&lt;="&amp;$M695)-SUMIFS($H$675:$H$725,$M$675:$M$725,"&lt;="&amp;$M695))</f>
        <v/>
      </c>
      <c r="J695" s="102"/>
      <c r="K695" s="96" t="str">
        <f aca="false">IF($B695="","","ACTUAL")</f>
        <v/>
      </c>
      <c r="L695" s="0" t="str">
        <f aca="false">IF($B695="","",IF($C695="",$E$6+90,$C695))</f>
        <v/>
      </c>
      <c r="M695" s="0" t="str">
        <f aca="false">IF($L695="","",COUNTIFS($L$675:$L$725,"&lt;"&amp;$L695)+COUNTIFS($L$675:$L695,$L695))</f>
        <v/>
      </c>
    </row>
    <row r="696" customFormat="false" ht="15" hidden="false" customHeight="true" outlineLevel="0" collapsed="false">
      <c r="B696" s="12"/>
      <c r="C696" s="100"/>
      <c r="D696" s="101" t="str">
        <f aca="false">IF($B696="","","Expense")</f>
        <v/>
      </c>
      <c r="E696" s="14"/>
      <c r="F696" s="102"/>
      <c r="G696" s="102"/>
      <c r="H696" s="103" t="str">
        <f aca="false">IF($B696="","",N($E696))</f>
        <v/>
      </c>
      <c r="I696" s="104" t="str">
        <f aca="false">IF($B696="","",$I$673+SUMIFS($G$675:$G$725,$M$675:$M$725,"&lt;="&amp;$M696)-SUMIFS($H$675:$H$725,$M$675:$M$725,"&lt;="&amp;$M696))</f>
        <v/>
      </c>
      <c r="J696" s="102"/>
      <c r="K696" s="96" t="str">
        <f aca="false">IF($B696="","","ACTUAL")</f>
        <v/>
      </c>
      <c r="L696" s="0" t="str">
        <f aca="false">IF($B696="","",IF($C696="",$E$6+90,$C696))</f>
        <v/>
      </c>
      <c r="M696" s="0" t="str">
        <f aca="false">IF($L696="","",COUNTIFS($L$675:$L$725,"&lt;"&amp;$L696)+COUNTIFS($L$675:$L696,$L696))</f>
        <v/>
      </c>
    </row>
    <row r="697" customFormat="false" ht="15" hidden="false" customHeight="true" outlineLevel="0" collapsed="false">
      <c r="B697" s="12"/>
      <c r="C697" s="100"/>
      <c r="D697" s="101" t="str">
        <f aca="false">IF($B697="","","Expense")</f>
        <v/>
      </c>
      <c r="E697" s="14"/>
      <c r="F697" s="102"/>
      <c r="G697" s="102"/>
      <c r="H697" s="103" t="str">
        <f aca="false">IF($B697="","",N($E697))</f>
        <v/>
      </c>
      <c r="I697" s="104" t="str">
        <f aca="false">IF($B697="","",$I$673+SUMIFS($G$675:$G$725,$M$675:$M$725,"&lt;="&amp;$M697)-SUMIFS($H$675:$H$725,$M$675:$M$725,"&lt;="&amp;$M697))</f>
        <v/>
      </c>
      <c r="J697" s="102"/>
      <c r="K697" s="96" t="str">
        <f aca="false">IF($B697="","","ACTUAL")</f>
        <v/>
      </c>
      <c r="L697" s="0" t="str">
        <f aca="false">IF($B697="","",IF($C697="",$E$6+90,$C697))</f>
        <v/>
      </c>
      <c r="M697" s="0" t="str">
        <f aca="false">IF($L697="","",COUNTIFS($L$675:$L$725,"&lt;"&amp;$L697)+COUNTIFS($L$675:$L697,$L697))</f>
        <v/>
      </c>
    </row>
    <row r="698" customFormat="false" ht="15" hidden="false" customHeight="true" outlineLevel="0" collapsed="false">
      <c r="B698" s="12"/>
      <c r="C698" s="100"/>
      <c r="D698" s="101" t="str">
        <f aca="false">IF($B698="","","Expense")</f>
        <v/>
      </c>
      <c r="E698" s="14"/>
      <c r="F698" s="102"/>
      <c r="G698" s="102"/>
      <c r="H698" s="103" t="str">
        <f aca="false">IF($B698="","",N($E698))</f>
        <v/>
      </c>
      <c r="I698" s="104" t="str">
        <f aca="false">IF($B698="","",$I$673+SUMIFS($G$675:$G$725,$M$675:$M$725,"&lt;="&amp;$M698)-SUMIFS($H$675:$H$725,$M$675:$M$725,"&lt;="&amp;$M698))</f>
        <v/>
      </c>
      <c r="J698" s="102"/>
      <c r="K698" s="96" t="str">
        <f aca="false">IF($B698="","","ACTUAL")</f>
        <v/>
      </c>
      <c r="L698" s="0" t="str">
        <f aca="false">IF($B698="","",IF($C698="",$E$6+90,$C698))</f>
        <v/>
      </c>
      <c r="M698" s="0" t="str">
        <f aca="false">IF($L698="","",COUNTIFS($L$675:$L$725,"&lt;"&amp;$L698)+COUNTIFS($L$675:$L698,$L698))</f>
        <v/>
      </c>
    </row>
    <row r="699" customFormat="false" ht="15" hidden="false" customHeight="true" outlineLevel="0" collapsed="false">
      <c r="B699" s="12"/>
      <c r="C699" s="100"/>
      <c r="D699" s="101" t="str">
        <f aca="false">IF($B699="","","Expense")</f>
        <v/>
      </c>
      <c r="E699" s="14"/>
      <c r="F699" s="102"/>
      <c r="G699" s="102"/>
      <c r="H699" s="103" t="str">
        <f aca="false">IF($B699="","",N($E699))</f>
        <v/>
      </c>
      <c r="I699" s="104" t="str">
        <f aca="false">IF($B699="","",$I$673+SUMIFS($G$675:$G$725,$M$675:$M$725,"&lt;="&amp;$M699)-SUMIFS($H$675:$H$725,$M$675:$M$725,"&lt;="&amp;$M699))</f>
        <v/>
      </c>
      <c r="J699" s="102"/>
      <c r="K699" s="96" t="str">
        <f aca="false">IF($B699="","","ACTUAL")</f>
        <v/>
      </c>
      <c r="L699" s="0" t="str">
        <f aca="false">IF($B699="","",IF($C699="",$E$6+90,$C699))</f>
        <v/>
      </c>
      <c r="M699" s="0" t="str">
        <f aca="false">IF($L699="","",COUNTIFS($L$675:$L$725,"&lt;"&amp;$L699)+COUNTIFS($L$675:$L699,$L699))</f>
        <v/>
      </c>
    </row>
    <row r="700" customFormat="false" ht="15" hidden="false" customHeight="true" outlineLevel="0" collapsed="false">
      <c r="B700" s="12"/>
      <c r="C700" s="100"/>
      <c r="D700" s="101" t="str">
        <f aca="false">IF($B700="","","Expense")</f>
        <v/>
      </c>
      <c r="E700" s="14"/>
      <c r="F700" s="102"/>
      <c r="G700" s="102"/>
      <c r="H700" s="103" t="str">
        <f aca="false">IF($B700="","",N($E700))</f>
        <v/>
      </c>
      <c r="I700" s="104" t="str">
        <f aca="false">IF($B700="","",$I$673+SUMIFS($G$675:$G$725,$M$675:$M$725,"&lt;="&amp;$M700)-SUMIFS($H$675:$H$725,$M$675:$M$725,"&lt;="&amp;$M700))</f>
        <v/>
      </c>
      <c r="J700" s="102"/>
      <c r="K700" s="96" t="str">
        <f aca="false">IF($B700="","","ACTUAL")</f>
        <v/>
      </c>
      <c r="L700" s="0" t="str">
        <f aca="false">IF($B700="","",IF($C700="",$E$6+90,$C700))</f>
        <v/>
      </c>
      <c r="M700" s="0" t="str">
        <f aca="false">IF($L700="","",COUNTIFS($L$675:$L$725,"&lt;"&amp;$L700)+COUNTIFS($L$675:$L700,$L700))</f>
        <v/>
      </c>
    </row>
    <row r="701" customFormat="false" ht="15" hidden="false" customHeight="true" outlineLevel="0" collapsed="false">
      <c r="B701" s="12"/>
      <c r="C701" s="100"/>
      <c r="D701" s="101" t="str">
        <f aca="false">IF($B701="","","Expense")</f>
        <v/>
      </c>
      <c r="E701" s="14"/>
      <c r="F701" s="102"/>
      <c r="G701" s="102"/>
      <c r="H701" s="103" t="str">
        <f aca="false">IF($B701="","",N($E701))</f>
        <v/>
      </c>
      <c r="I701" s="104" t="str">
        <f aca="false">IF($B701="","",$I$673+SUMIFS($G$675:$G$725,$M$675:$M$725,"&lt;="&amp;$M701)-SUMIFS($H$675:$H$725,$M$675:$M$725,"&lt;="&amp;$M701))</f>
        <v/>
      </c>
      <c r="J701" s="102"/>
      <c r="K701" s="96" t="str">
        <f aca="false">IF($B701="","","ACTUAL")</f>
        <v/>
      </c>
      <c r="L701" s="0" t="str">
        <f aca="false">IF($B701="","",IF($C701="",$E$6+90,$C701))</f>
        <v/>
      </c>
      <c r="M701" s="0" t="str">
        <f aca="false">IF($L701="","",COUNTIFS($L$675:$L$725,"&lt;"&amp;$L701)+COUNTIFS($L$675:$L701,$L701))</f>
        <v/>
      </c>
    </row>
    <row r="702" customFormat="false" ht="15" hidden="false" customHeight="true" outlineLevel="0" collapsed="false">
      <c r="B702" s="12"/>
      <c r="C702" s="100"/>
      <c r="D702" s="101" t="str">
        <f aca="false">IF($B702="","","Expense")</f>
        <v/>
      </c>
      <c r="E702" s="14"/>
      <c r="F702" s="102"/>
      <c r="G702" s="102"/>
      <c r="H702" s="103" t="str">
        <f aca="false">IF($B702="","",N($E702))</f>
        <v/>
      </c>
      <c r="I702" s="104" t="str">
        <f aca="false">IF($B702="","",$I$673+SUMIFS($G$675:$G$725,$M$675:$M$725,"&lt;="&amp;$M702)-SUMIFS($H$675:$H$725,$M$675:$M$725,"&lt;="&amp;$M702))</f>
        <v/>
      </c>
      <c r="J702" s="102"/>
      <c r="K702" s="96" t="str">
        <f aca="false">IF($B702="","","ACTUAL")</f>
        <v/>
      </c>
      <c r="L702" s="0" t="str">
        <f aca="false">IF($B702="","",IF($C702="",$E$6+90,$C702))</f>
        <v/>
      </c>
      <c r="M702" s="0" t="str">
        <f aca="false">IF($L702="","",COUNTIFS($L$675:$L$725,"&lt;"&amp;$L702)+COUNTIFS($L$675:$L702,$L702))</f>
        <v/>
      </c>
    </row>
    <row r="703" customFormat="false" ht="15" hidden="false" customHeight="true" outlineLevel="0" collapsed="false">
      <c r="B703" s="12"/>
      <c r="C703" s="100"/>
      <c r="D703" s="101" t="str">
        <f aca="false">IF($B703="","","Expense")</f>
        <v/>
      </c>
      <c r="E703" s="14"/>
      <c r="F703" s="102"/>
      <c r="G703" s="102"/>
      <c r="H703" s="103" t="str">
        <f aca="false">IF($B703="","",N($E703))</f>
        <v/>
      </c>
      <c r="I703" s="104" t="str">
        <f aca="false">IF($B703="","",$I$673+SUMIFS($G$675:$G$725,$M$675:$M$725,"&lt;="&amp;$M703)-SUMIFS($H$675:$H$725,$M$675:$M$725,"&lt;="&amp;$M703))</f>
        <v/>
      </c>
      <c r="J703" s="102"/>
      <c r="K703" s="96" t="str">
        <f aca="false">IF($B703="","","ACTUAL")</f>
        <v/>
      </c>
      <c r="L703" s="0" t="str">
        <f aca="false">IF($B703="","",IF($C703="",$E$6+90,$C703))</f>
        <v/>
      </c>
      <c r="M703" s="0" t="str">
        <f aca="false">IF($L703="","",COUNTIFS($L$675:$L$725,"&lt;"&amp;$L703)+COUNTIFS($L$675:$L703,$L703))</f>
        <v/>
      </c>
    </row>
    <row r="704" customFormat="false" ht="15" hidden="false" customHeight="true" outlineLevel="0" collapsed="false">
      <c r="B704" s="12"/>
      <c r="C704" s="100"/>
      <c r="D704" s="101" t="str">
        <f aca="false">IF($B704="","","Expense")</f>
        <v/>
      </c>
      <c r="E704" s="14"/>
      <c r="F704" s="102"/>
      <c r="G704" s="102"/>
      <c r="H704" s="103" t="str">
        <f aca="false">IF($B704="","",N($E704))</f>
        <v/>
      </c>
      <c r="I704" s="104" t="str">
        <f aca="false">IF($B704="","",$I$673+SUMIFS($G$675:$G$725,$M$675:$M$725,"&lt;="&amp;$M704)-SUMIFS($H$675:$H$725,$M$675:$M$725,"&lt;="&amp;$M704))</f>
        <v/>
      </c>
      <c r="J704" s="102"/>
      <c r="K704" s="96" t="str">
        <f aca="false">IF($B704="","","ACTUAL")</f>
        <v/>
      </c>
      <c r="L704" s="0" t="str">
        <f aca="false">IF($B704="","",IF($C704="",$E$6+90,$C704))</f>
        <v/>
      </c>
      <c r="M704" s="0" t="str">
        <f aca="false">IF($L704="","",COUNTIFS($L$675:$L$725,"&lt;"&amp;$L704)+COUNTIFS($L$675:$L704,$L704))</f>
        <v/>
      </c>
    </row>
    <row r="705" customFormat="false" ht="15" hidden="false" customHeight="true" outlineLevel="0" collapsed="false">
      <c r="B705" s="12"/>
      <c r="C705" s="100"/>
      <c r="D705" s="101" t="str">
        <f aca="false">IF($B705="","","Expense")</f>
        <v/>
      </c>
      <c r="E705" s="14"/>
      <c r="F705" s="102"/>
      <c r="G705" s="102"/>
      <c r="H705" s="103" t="str">
        <f aca="false">IF($B705="","",N($E705))</f>
        <v/>
      </c>
      <c r="I705" s="104" t="str">
        <f aca="false">IF($B705="","",$I$673+SUMIFS($G$675:$G$725,$M$675:$M$725,"&lt;="&amp;$M705)-SUMIFS($H$675:$H$725,$M$675:$M$725,"&lt;="&amp;$M705))</f>
        <v/>
      </c>
      <c r="J705" s="102"/>
      <c r="K705" s="96" t="str">
        <f aca="false">IF($B705="","","ACTUAL")</f>
        <v/>
      </c>
      <c r="L705" s="0" t="str">
        <f aca="false">IF($B705="","",IF($C705="",$E$6+90,$C705))</f>
        <v/>
      </c>
      <c r="M705" s="0" t="str">
        <f aca="false">IF($L705="","",COUNTIFS($L$675:$L$725,"&lt;"&amp;$L705)+COUNTIFS($L$675:$L705,$L705))</f>
        <v/>
      </c>
    </row>
    <row r="706" customFormat="false" ht="15" hidden="false" customHeight="true" outlineLevel="0" collapsed="false">
      <c r="B706" s="12"/>
      <c r="C706" s="100"/>
      <c r="D706" s="101" t="str">
        <f aca="false">IF($B706="","","Expense")</f>
        <v/>
      </c>
      <c r="E706" s="14"/>
      <c r="F706" s="102"/>
      <c r="G706" s="102"/>
      <c r="H706" s="103" t="str">
        <f aca="false">IF($B706="","",N($E706))</f>
        <v/>
      </c>
      <c r="I706" s="104" t="str">
        <f aca="false">IF($B706="","",$I$673+SUMIFS($G$675:$G$725,$M$675:$M$725,"&lt;="&amp;$M706)-SUMIFS($H$675:$H$725,$M$675:$M$725,"&lt;="&amp;$M706))</f>
        <v/>
      </c>
      <c r="J706" s="102"/>
      <c r="K706" s="96" t="str">
        <f aca="false">IF($B706="","","ACTUAL")</f>
        <v/>
      </c>
      <c r="L706" s="0" t="str">
        <f aca="false">IF($B706="","",IF($C706="",$E$6+90,$C706))</f>
        <v/>
      </c>
      <c r="M706" s="0" t="str">
        <f aca="false">IF($L706="","",COUNTIFS($L$675:$L$725,"&lt;"&amp;$L706)+COUNTIFS($L$675:$L706,$L706))</f>
        <v/>
      </c>
    </row>
    <row r="707" customFormat="false" ht="15" hidden="false" customHeight="true" outlineLevel="0" collapsed="false">
      <c r="B707" s="12"/>
      <c r="C707" s="100"/>
      <c r="D707" s="101" t="str">
        <f aca="false">IF($B707="","","Expense")</f>
        <v/>
      </c>
      <c r="E707" s="14"/>
      <c r="F707" s="102"/>
      <c r="G707" s="102"/>
      <c r="H707" s="103" t="str">
        <f aca="false">IF($B707="","",N($E707))</f>
        <v/>
      </c>
      <c r="I707" s="104" t="str">
        <f aca="false">IF($B707="","",$I$673+SUMIFS($G$675:$G$725,$M$675:$M$725,"&lt;="&amp;$M707)-SUMIFS($H$675:$H$725,$M$675:$M$725,"&lt;="&amp;$M707))</f>
        <v/>
      </c>
      <c r="J707" s="102"/>
      <c r="K707" s="96" t="str">
        <f aca="false">IF($B707="","","ACTUAL")</f>
        <v/>
      </c>
      <c r="L707" s="0" t="str">
        <f aca="false">IF($B707="","",IF($C707="",$E$6+90,$C707))</f>
        <v/>
      </c>
      <c r="M707" s="0" t="str">
        <f aca="false">IF($L707="","",COUNTIFS($L$675:$L$725,"&lt;"&amp;$L707)+COUNTIFS($L$675:$L707,$L707))</f>
        <v/>
      </c>
    </row>
    <row r="708" customFormat="false" ht="15" hidden="false" customHeight="true" outlineLevel="0" collapsed="false">
      <c r="B708" s="12"/>
      <c r="C708" s="100"/>
      <c r="D708" s="101" t="str">
        <f aca="false">IF($B708="","","Expense")</f>
        <v/>
      </c>
      <c r="E708" s="14"/>
      <c r="F708" s="102"/>
      <c r="G708" s="102"/>
      <c r="H708" s="103" t="str">
        <f aca="false">IF($B708="","",N($E708))</f>
        <v/>
      </c>
      <c r="I708" s="104" t="str">
        <f aca="false">IF($B708="","",$I$673+SUMIFS($G$675:$G$725,$M$675:$M$725,"&lt;="&amp;$M708)-SUMIFS($H$675:$H$725,$M$675:$M$725,"&lt;="&amp;$M708))</f>
        <v/>
      </c>
      <c r="J708" s="102"/>
      <c r="K708" s="96" t="str">
        <f aca="false">IF($B708="","","ACTUAL")</f>
        <v/>
      </c>
      <c r="L708" s="0" t="str">
        <f aca="false">IF($B708="","",IF($C708="",$E$6+90,$C708))</f>
        <v/>
      </c>
      <c r="M708" s="0" t="str">
        <f aca="false">IF($L708="","",COUNTIFS($L$675:$L$725,"&lt;"&amp;$L708)+COUNTIFS($L$675:$L708,$L708))</f>
        <v/>
      </c>
    </row>
    <row r="709" customFormat="false" ht="15" hidden="false" customHeight="true" outlineLevel="0" collapsed="false">
      <c r="B709" s="12"/>
      <c r="C709" s="100"/>
      <c r="D709" s="101" t="str">
        <f aca="false">IF($B709="","","Expense")</f>
        <v/>
      </c>
      <c r="E709" s="14"/>
      <c r="F709" s="102"/>
      <c r="G709" s="102"/>
      <c r="H709" s="103" t="str">
        <f aca="false">IF($B709="","",N($E709))</f>
        <v/>
      </c>
      <c r="I709" s="104" t="str">
        <f aca="false">IF($B709="","",$I$673+SUMIFS($G$675:$G$725,$M$675:$M$725,"&lt;="&amp;$M709)-SUMIFS($H$675:$H$725,$M$675:$M$725,"&lt;="&amp;$M709))</f>
        <v/>
      </c>
      <c r="J709" s="102"/>
      <c r="K709" s="96" t="str">
        <f aca="false">IF($B709="","","ACTUAL")</f>
        <v/>
      </c>
      <c r="L709" s="0" t="str">
        <f aca="false">IF($B709="","",IF($C709="",$E$6+90,$C709))</f>
        <v/>
      </c>
      <c r="M709" s="0" t="str">
        <f aca="false">IF($L709="","",COUNTIFS($L$675:$L$725,"&lt;"&amp;$L709)+COUNTIFS($L$675:$L709,$L709))</f>
        <v/>
      </c>
    </row>
    <row r="710" customFormat="false" ht="15" hidden="false" customHeight="true" outlineLevel="0" collapsed="false">
      <c r="B710" s="12"/>
      <c r="C710" s="100"/>
      <c r="D710" s="101" t="str">
        <f aca="false">IF($B710="","","Expense")</f>
        <v/>
      </c>
      <c r="E710" s="14"/>
      <c r="F710" s="102"/>
      <c r="G710" s="102"/>
      <c r="H710" s="103" t="str">
        <f aca="false">IF($B710="","",N($E710))</f>
        <v/>
      </c>
      <c r="I710" s="104" t="str">
        <f aca="false">IF($B710="","",$I$673+SUMIFS($G$675:$G$725,$M$675:$M$725,"&lt;="&amp;$M710)-SUMIFS($H$675:$H$725,$M$675:$M$725,"&lt;="&amp;$M710))</f>
        <v/>
      </c>
      <c r="J710" s="102"/>
      <c r="K710" s="96" t="str">
        <f aca="false">IF($B710="","","ACTUAL")</f>
        <v/>
      </c>
      <c r="L710" s="0" t="str">
        <f aca="false">IF($B710="","",IF($C710="",$E$6+90,$C710))</f>
        <v/>
      </c>
      <c r="M710" s="0" t="str">
        <f aca="false">IF($L710="","",COUNTIFS($L$675:$L$725,"&lt;"&amp;$L710)+COUNTIFS($L$675:$L710,$L710))</f>
        <v/>
      </c>
    </row>
    <row r="711" customFormat="false" ht="15" hidden="false" customHeight="true" outlineLevel="0" collapsed="false">
      <c r="B711" s="12"/>
      <c r="C711" s="100"/>
      <c r="D711" s="101" t="str">
        <f aca="false">IF($B711="","","Expense")</f>
        <v/>
      </c>
      <c r="E711" s="14"/>
      <c r="F711" s="102"/>
      <c r="G711" s="102"/>
      <c r="H711" s="103" t="str">
        <f aca="false">IF($B711="","",N($E711))</f>
        <v/>
      </c>
      <c r="I711" s="104" t="str">
        <f aca="false">IF($B711="","",$I$673+SUMIFS($G$675:$G$725,$M$675:$M$725,"&lt;="&amp;$M711)-SUMIFS($H$675:$H$725,$M$675:$M$725,"&lt;="&amp;$M711))</f>
        <v/>
      </c>
      <c r="J711" s="102"/>
      <c r="K711" s="96" t="str">
        <f aca="false">IF($B711="","","ACTUAL")</f>
        <v/>
      </c>
      <c r="L711" s="0" t="str">
        <f aca="false">IF($B711="","",IF($C711="",$E$6+90,$C711))</f>
        <v/>
      </c>
      <c r="M711" s="0" t="str">
        <f aca="false">IF($L711="","",COUNTIFS($L$675:$L$725,"&lt;"&amp;$L711)+COUNTIFS($L$675:$L711,$L711))</f>
        <v/>
      </c>
    </row>
    <row r="712" customFormat="false" ht="15" hidden="false" customHeight="true" outlineLevel="0" collapsed="false">
      <c r="B712" s="12"/>
      <c r="C712" s="100"/>
      <c r="D712" s="101" t="str">
        <f aca="false">IF($B712="","","Expense")</f>
        <v/>
      </c>
      <c r="E712" s="14"/>
      <c r="F712" s="102"/>
      <c r="G712" s="102"/>
      <c r="H712" s="103" t="str">
        <f aca="false">IF($B712="","",N($E712))</f>
        <v/>
      </c>
      <c r="I712" s="104" t="str">
        <f aca="false">IF($B712="","",$I$673+SUMIFS($G$675:$G$725,$M$675:$M$725,"&lt;="&amp;$M712)-SUMIFS($H$675:$H$725,$M$675:$M$725,"&lt;="&amp;$M712))</f>
        <v/>
      </c>
      <c r="J712" s="102"/>
      <c r="K712" s="96" t="str">
        <f aca="false">IF($B712="","","ACTUAL")</f>
        <v/>
      </c>
      <c r="L712" s="0" t="str">
        <f aca="false">IF($B712="","",IF($C712="",$E$6+90,$C712))</f>
        <v/>
      </c>
      <c r="M712" s="0" t="str">
        <f aca="false">IF($L712="","",COUNTIFS($L$675:$L$725,"&lt;"&amp;$L712)+COUNTIFS($L$675:$L712,$L712))</f>
        <v/>
      </c>
    </row>
    <row r="713" customFormat="false" ht="15" hidden="false" customHeight="true" outlineLevel="0" collapsed="false">
      <c r="B713" s="12"/>
      <c r="C713" s="100"/>
      <c r="D713" s="101" t="str">
        <f aca="false">IF($B713="","","Expense")</f>
        <v/>
      </c>
      <c r="E713" s="14"/>
      <c r="F713" s="102"/>
      <c r="G713" s="102"/>
      <c r="H713" s="103" t="str">
        <f aca="false">IF($B713="","",N($E713))</f>
        <v/>
      </c>
      <c r="I713" s="104" t="str">
        <f aca="false">IF($B713="","",$I$673+SUMIFS($G$675:$G$725,$M$675:$M$725,"&lt;="&amp;$M713)-SUMIFS($H$675:$H$725,$M$675:$M$725,"&lt;="&amp;$M713))</f>
        <v/>
      </c>
      <c r="J713" s="102"/>
      <c r="K713" s="96" t="str">
        <f aca="false">IF($B713="","","ACTUAL")</f>
        <v/>
      </c>
      <c r="L713" s="0" t="str">
        <f aca="false">IF($B713="","",IF($C713="",$E$6+90,$C713))</f>
        <v/>
      </c>
      <c r="M713" s="0" t="str">
        <f aca="false">IF($L713="","",COUNTIFS($L$675:$L$725,"&lt;"&amp;$L713)+COUNTIFS($L$675:$L713,$L713))</f>
        <v/>
      </c>
    </row>
    <row r="714" customFormat="false" ht="15" hidden="false" customHeight="true" outlineLevel="0" collapsed="false">
      <c r="B714" s="12"/>
      <c r="C714" s="100"/>
      <c r="D714" s="101" t="str">
        <f aca="false">IF($B714="","","Expense")</f>
        <v/>
      </c>
      <c r="E714" s="14"/>
      <c r="F714" s="102"/>
      <c r="G714" s="102"/>
      <c r="H714" s="103" t="str">
        <f aca="false">IF($B714="","",N($E714))</f>
        <v/>
      </c>
      <c r="I714" s="104" t="str">
        <f aca="false">IF($B714="","",$I$673+SUMIFS($G$675:$G$725,$M$675:$M$725,"&lt;="&amp;$M714)-SUMIFS($H$675:$H$725,$M$675:$M$725,"&lt;="&amp;$M714))</f>
        <v/>
      </c>
      <c r="J714" s="102"/>
      <c r="K714" s="96" t="str">
        <f aca="false">IF($B714="","","ACTUAL")</f>
        <v/>
      </c>
      <c r="L714" s="0" t="str">
        <f aca="false">IF($B714="","",IF($C714="",$E$6+90,$C714))</f>
        <v/>
      </c>
      <c r="M714" s="0" t="str">
        <f aca="false">IF($L714="","",COUNTIFS($L$675:$L$725,"&lt;"&amp;$L714)+COUNTIFS($L$675:$L714,$L714))</f>
        <v/>
      </c>
    </row>
    <row r="715" customFormat="false" ht="15" hidden="false" customHeight="true" outlineLevel="0" collapsed="false">
      <c r="B715" s="12"/>
      <c r="C715" s="100"/>
      <c r="D715" s="101" t="str">
        <f aca="false">IF($B715="","","Expense")</f>
        <v/>
      </c>
      <c r="E715" s="14"/>
      <c r="F715" s="102"/>
      <c r="G715" s="102"/>
      <c r="H715" s="103" t="str">
        <f aca="false">IF($B715="","",N($E715))</f>
        <v/>
      </c>
      <c r="I715" s="104" t="str">
        <f aca="false">IF($B715="","",$I$673+SUMIFS($G$675:$G$725,$M$675:$M$725,"&lt;="&amp;$M715)-SUMIFS($H$675:$H$725,$M$675:$M$725,"&lt;="&amp;$M715))</f>
        <v/>
      </c>
      <c r="J715" s="102"/>
      <c r="K715" s="96" t="str">
        <f aca="false">IF($B715="","","ACTUAL")</f>
        <v/>
      </c>
      <c r="L715" s="0" t="str">
        <f aca="false">IF($B715="","",IF($C715="",$E$6+90,$C715))</f>
        <v/>
      </c>
      <c r="M715" s="0" t="str">
        <f aca="false">IF($L715="","",COUNTIFS($L$675:$L$725,"&lt;"&amp;$L715)+COUNTIFS($L$675:$L715,$L715))</f>
        <v/>
      </c>
    </row>
    <row r="716" customFormat="false" ht="15" hidden="false" customHeight="true" outlineLevel="0" collapsed="false">
      <c r="B716" s="12"/>
      <c r="C716" s="100"/>
      <c r="D716" s="101" t="str">
        <f aca="false">IF($B716="","","Expense")</f>
        <v/>
      </c>
      <c r="E716" s="14"/>
      <c r="F716" s="102"/>
      <c r="G716" s="102"/>
      <c r="H716" s="103" t="str">
        <f aca="false">IF($B716="","",N($E716))</f>
        <v/>
      </c>
      <c r="I716" s="104" t="str">
        <f aca="false">IF($B716="","",$I$673+SUMIFS($G$675:$G$725,$M$675:$M$725,"&lt;="&amp;$M716)-SUMIFS($H$675:$H$725,$M$675:$M$725,"&lt;="&amp;$M716))</f>
        <v/>
      </c>
      <c r="J716" s="102"/>
      <c r="K716" s="96" t="str">
        <f aca="false">IF($B716="","","ACTUAL")</f>
        <v/>
      </c>
      <c r="L716" s="0" t="str">
        <f aca="false">IF($B716="","",IF($C716="",$E$6+90,$C716))</f>
        <v/>
      </c>
      <c r="M716" s="0" t="str">
        <f aca="false">IF($L716="","",COUNTIFS($L$675:$L$725,"&lt;"&amp;$L716)+COUNTIFS($L$675:$L716,$L716))</f>
        <v/>
      </c>
    </row>
    <row r="717" customFormat="false" ht="15" hidden="false" customHeight="true" outlineLevel="0" collapsed="false">
      <c r="B717" s="12"/>
      <c r="C717" s="100"/>
      <c r="D717" s="101" t="str">
        <f aca="false">IF($B717="","","Expense")</f>
        <v/>
      </c>
      <c r="E717" s="14"/>
      <c r="F717" s="102"/>
      <c r="G717" s="102"/>
      <c r="H717" s="103" t="str">
        <f aca="false">IF($B717="","",N($E717))</f>
        <v/>
      </c>
      <c r="I717" s="104" t="str">
        <f aca="false">IF($B717="","",$I$673+SUMIFS($G$675:$G$725,$M$675:$M$725,"&lt;="&amp;$M717)-SUMIFS($H$675:$H$725,$M$675:$M$725,"&lt;="&amp;$M717))</f>
        <v/>
      </c>
      <c r="J717" s="102"/>
      <c r="K717" s="96" t="str">
        <f aca="false">IF($B717="","","ACTUAL")</f>
        <v/>
      </c>
      <c r="L717" s="0" t="str">
        <f aca="false">IF($B717="","",IF($C717="",$E$6+90,$C717))</f>
        <v/>
      </c>
      <c r="M717" s="0" t="str">
        <f aca="false">IF($L717="","",COUNTIFS($L$675:$L$725,"&lt;"&amp;$L717)+COUNTIFS($L$675:$L717,$L717))</f>
        <v/>
      </c>
    </row>
    <row r="718" customFormat="false" ht="15" hidden="false" customHeight="true" outlineLevel="0" collapsed="false">
      <c r="B718" s="12"/>
      <c r="C718" s="100"/>
      <c r="D718" s="101" t="str">
        <f aca="false">IF($B718="","","Expense")</f>
        <v/>
      </c>
      <c r="E718" s="14"/>
      <c r="F718" s="102"/>
      <c r="G718" s="102"/>
      <c r="H718" s="103" t="str">
        <f aca="false">IF($B718="","",N($E718))</f>
        <v/>
      </c>
      <c r="I718" s="104" t="str">
        <f aca="false">IF($B718="","",$I$673+SUMIFS($G$675:$G$725,$M$675:$M$725,"&lt;="&amp;$M718)-SUMIFS($H$675:$H$725,$M$675:$M$725,"&lt;="&amp;$M718))</f>
        <v/>
      </c>
      <c r="J718" s="102"/>
      <c r="K718" s="96" t="str">
        <f aca="false">IF($B718="","","ACTUAL")</f>
        <v/>
      </c>
      <c r="L718" s="0" t="str">
        <f aca="false">IF($B718="","",IF($C718="",$E$6+90,$C718))</f>
        <v/>
      </c>
      <c r="M718" s="0" t="str">
        <f aca="false">IF($L718="","",COUNTIFS($L$675:$L$725,"&lt;"&amp;$L718)+COUNTIFS($L$675:$L718,$L718))</f>
        <v/>
      </c>
    </row>
    <row r="719" customFormat="false" ht="15" hidden="false" customHeight="true" outlineLevel="0" collapsed="false">
      <c r="B719" s="12"/>
      <c r="C719" s="100"/>
      <c r="D719" s="101" t="str">
        <f aca="false">IF($B719="","","Expense")</f>
        <v/>
      </c>
      <c r="E719" s="14"/>
      <c r="F719" s="102"/>
      <c r="G719" s="102"/>
      <c r="H719" s="103" t="str">
        <f aca="false">IF($B719="","",N($E719))</f>
        <v/>
      </c>
      <c r="I719" s="104" t="str">
        <f aca="false">IF($B719="","",$I$673+SUMIFS($G$675:$G$725,$M$675:$M$725,"&lt;="&amp;$M719)-SUMIFS($H$675:$H$725,$M$675:$M$725,"&lt;="&amp;$M719))</f>
        <v/>
      </c>
      <c r="J719" s="102"/>
      <c r="K719" s="96" t="str">
        <f aca="false">IF($B719="","","ACTUAL")</f>
        <v/>
      </c>
      <c r="L719" s="0" t="str">
        <f aca="false">IF($B719="","",IF($C719="",$E$6+90,$C719))</f>
        <v/>
      </c>
      <c r="M719" s="0" t="str">
        <f aca="false">IF($L719="","",COUNTIFS($L$675:$L$725,"&lt;"&amp;$L719)+COUNTIFS($L$675:$L719,$L719))</f>
        <v/>
      </c>
    </row>
    <row r="720" customFormat="false" ht="15" hidden="false" customHeight="true" outlineLevel="0" collapsed="false">
      <c r="B720" s="12"/>
      <c r="C720" s="100"/>
      <c r="D720" s="101" t="str">
        <f aca="false">IF($B720="","","Expense")</f>
        <v/>
      </c>
      <c r="E720" s="14"/>
      <c r="F720" s="102"/>
      <c r="G720" s="102"/>
      <c r="H720" s="103" t="str">
        <f aca="false">IF($B720="","",N($E720))</f>
        <v/>
      </c>
      <c r="I720" s="104" t="str">
        <f aca="false">IF($B720="","",$I$673+SUMIFS($G$675:$G$725,$M$675:$M$725,"&lt;="&amp;$M720)-SUMIFS($H$675:$H$725,$M$675:$M$725,"&lt;="&amp;$M720))</f>
        <v/>
      </c>
      <c r="J720" s="102"/>
      <c r="K720" s="96" t="str">
        <f aca="false">IF($B720="","","ACTUAL")</f>
        <v/>
      </c>
      <c r="L720" s="0" t="str">
        <f aca="false">IF($B720="","",IF($C720="",$E$6+90,$C720))</f>
        <v/>
      </c>
      <c r="M720" s="0" t="str">
        <f aca="false">IF($L720="","",COUNTIFS($L$675:$L$725,"&lt;"&amp;$L720)+COUNTIFS($L$675:$L720,$L720))</f>
        <v/>
      </c>
    </row>
    <row r="721" customFormat="false" ht="15" hidden="false" customHeight="true" outlineLevel="0" collapsed="false">
      <c r="B721" s="12"/>
      <c r="C721" s="100"/>
      <c r="D721" s="101" t="str">
        <f aca="false">IF($B721="","","Expense")</f>
        <v/>
      </c>
      <c r="E721" s="14"/>
      <c r="F721" s="102"/>
      <c r="G721" s="102"/>
      <c r="H721" s="103" t="str">
        <f aca="false">IF($B721="","",N($E721))</f>
        <v/>
      </c>
      <c r="I721" s="104" t="str">
        <f aca="false">IF($B721="","",$I$673+SUMIFS($G$675:$G$725,$M$675:$M$725,"&lt;="&amp;$M721)-SUMIFS($H$675:$H$725,$M$675:$M$725,"&lt;="&amp;$M721))</f>
        <v/>
      </c>
      <c r="J721" s="102"/>
      <c r="K721" s="96" t="str">
        <f aca="false">IF($B721="","","ACTUAL")</f>
        <v/>
      </c>
      <c r="L721" s="0" t="str">
        <f aca="false">IF($B721="","",IF($C721="",$E$6+90,$C721))</f>
        <v/>
      </c>
      <c r="M721" s="0" t="str">
        <f aca="false">IF($L721="","",COUNTIFS($L$675:$L$725,"&lt;"&amp;$L721)+COUNTIFS($L$675:$L721,$L721))</f>
        <v/>
      </c>
    </row>
    <row r="722" customFormat="false" ht="15" hidden="false" customHeight="true" outlineLevel="0" collapsed="false">
      <c r="B722" s="12"/>
      <c r="C722" s="100"/>
      <c r="D722" s="101" t="str">
        <f aca="false">IF($B722="","","Expense")</f>
        <v/>
      </c>
      <c r="E722" s="14"/>
      <c r="F722" s="102"/>
      <c r="G722" s="102"/>
      <c r="H722" s="103" t="str">
        <f aca="false">IF($B722="","",N($E722))</f>
        <v/>
      </c>
      <c r="I722" s="104" t="str">
        <f aca="false">IF($B722="","",$I$673+SUMIFS($G$675:$G$725,$M$675:$M$725,"&lt;="&amp;$M722)-SUMIFS($H$675:$H$725,$M$675:$M$725,"&lt;="&amp;$M722))</f>
        <v/>
      </c>
      <c r="J722" s="102"/>
      <c r="K722" s="96" t="str">
        <f aca="false">IF($B722="","","ACTUAL")</f>
        <v/>
      </c>
      <c r="L722" s="0" t="str">
        <f aca="false">IF($B722="","",IF($C722="",$E$6+90,$C722))</f>
        <v/>
      </c>
      <c r="M722" s="0" t="str">
        <f aca="false">IF($L722="","",COUNTIFS($L$675:$L$725,"&lt;"&amp;$L722)+COUNTIFS($L$675:$L722,$L722))</f>
        <v/>
      </c>
    </row>
    <row r="723" customFormat="false" ht="15" hidden="false" customHeight="true" outlineLevel="0" collapsed="false">
      <c r="B723" s="12"/>
      <c r="C723" s="100"/>
      <c r="D723" s="101" t="str">
        <f aca="false">IF($B723="","","Expense")</f>
        <v/>
      </c>
      <c r="E723" s="14"/>
      <c r="F723" s="102"/>
      <c r="G723" s="102"/>
      <c r="H723" s="103" t="str">
        <f aca="false">IF($B723="","",N($E723))</f>
        <v/>
      </c>
      <c r="I723" s="104" t="str">
        <f aca="false">IF($B723="","",$I$673+SUMIFS($G$675:$G$725,$M$675:$M$725,"&lt;="&amp;$M723)-SUMIFS($H$675:$H$725,$M$675:$M$725,"&lt;="&amp;$M723))</f>
        <v/>
      </c>
      <c r="J723" s="102"/>
      <c r="K723" s="96" t="str">
        <f aca="false">IF($B723="","","ACTUAL")</f>
        <v/>
      </c>
      <c r="L723" s="0" t="str">
        <f aca="false">IF($B723="","",IF($C723="",$E$6+90,$C723))</f>
        <v/>
      </c>
      <c r="M723" s="0" t="str">
        <f aca="false">IF($L723="","",COUNTIFS($L$675:$L$725,"&lt;"&amp;$L723)+COUNTIFS($L$675:$L723,$L723))</f>
        <v/>
      </c>
    </row>
    <row r="724" customFormat="false" ht="15" hidden="false" customHeight="true" outlineLevel="0" collapsed="false">
      <c r="B724" s="12"/>
      <c r="C724" s="100"/>
      <c r="D724" s="101" t="str">
        <f aca="false">IF($B724="","","Expense")</f>
        <v/>
      </c>
      <c r="E724" s="14"/>
      <c r="F724" s="102"/>
      <c r="G724" s="102"/>
      <c r="H724" s="103" t="str">
        <f aca="false">IF($B724="","",N($E724))</f>
        <v/>
      </c>
      <c r="I724" s="104" t="str">
        <f aca="false">IF($B724="","",$I$673+SUMIFS($G$675:$G$725,$M$675:$M$725,"&lt;="&amp;$M724)-SUMIFS($H$675:$H$725,$M$675:$M$725,"&lt;="&amp;$M724))</f>
        <v/>
      </c>
      <c r="J724" s="102"/>
      <c r="K724" s="96" t="str">
        <f aca="false">IF($B724="","","ACTUAL")</f>
        <v/>
      </c>
      <c r="L724" s="0" t="str">
        <f aca="false">IF($B724="","",IF($C724="",$E$6+90,$C724))</f>
        <v/>
      </c>
      <c r="M724" s="0" t="str">
        <f aca="false">IF($L724="","",COUNTIFS($L$675:$L$725,"&lt;"&amp;$L724)+COUNTIFS($L$675:$L724,$L724))</f>
        <v/>
      </c>
    </row>
    <row r="725" customFormat="false" ht="15" hidden="false" customHeight="true" outlineLevel="0" collapsed="false">
      <c r="B725" s="105" t="str">
        <f aca="false">"Everyday spending still expected this week"</f>
        <v>Everyday spending still expected this week</v>
      </c>
      <c r="C725" s="106" t="n">
        <f aca="false">$E$6+90</f>
        <v>46339</v>
      </c>
      <c r="D725" s="101" t="str">
        <f aca="false">IF($B725="","","Expense")</f>
        <v>Expense</v>
      </c>
      <c r="E725" s="107" t="n">
        <f aca="false">MAX(0,$E$8-SUM($E$686:$E$724))</f>
        <v>400</v>
      </c>
      <c r="F725" s="102"/>
      <c r="G725" s="102"/>
      <c r="H725" s="103" t="n">
        <f aca="false">IF($B725="","",N($E725))</f>
        <v>400</v>
      </c>
      <c r="I725" s="104" t="n">
        <f aca="false">IF($B725="","",$I$673+SUMIFS($G$675:$G$725,$M$675:$M$725,"&lt;="&amp;$M725)-SUMIFS($H$675:$H$725,$M$675:$M$725,"&lt;="&amp;$M725))</f>
        <v>-208.68</v>
      </c>
      <c r="J725" s="102"/>
      <c r="K725" s="96" t="str">
        <f aca="false">"FORECAST"</f>
        <v>FORECAST</v>
      </c>
      <c r="L725" s="97" t="n">
        <f aca="false">IF($B725="","",IF($C725="",$E$6+90,$C725))</f>
        <v>46339</v>
      </c>
      <c r="M725" s="0" t="n">
        <f aca="false">IF($L725="","",COUNTIFS($L$675:$L$725,"&lt;"&amp;$L725)+COUNTIFS($L$675:$L725,$L725))</f>
        <v>8</v>
      </c>
    </row>
    <row r="726" customFormat="false" ht="15" hidden="false" customHeight="true" outlineLevel="0" collapsed="false">
      <c r="B726" s="108" t="s">
        <v>181</v>
      </c>
      <c r="C726" s="57"/>
      <c r="D726" s="57"/>
      <c r="E726" s="57"/>
      <c r="F726" s="57"/>
      <c r="G726" s="56" t="n">
        <f aca="false">SUM($G$675:$G$725)</f>
        <v>835</v>
      </c>
      <c r="H726" s="56" t="n">
        <f aca="false">SUM($H$675:$H$725)</f>
        <v>1421.48</v>
      </c>
      <c r="I726" s="109" t="n">
        <f aca="false">$I$673+$G$726-$H$726</f>
        <v>-208.68</v>
      </c>
      <c r="J726" s="110" t="str">
        <f aca="false">IF($I$726&lt;0,"SHORTFALL",IF($I$726&lt;$E$7,"TIGHT","OK"))</f>
        <v>SHORTFALL</v>
      </c>
      <c r="K726" s="111"/>
      <c r="N726" s="111" t="str">
        <f aca="false">IF(COUNT($I$675:$I$725)=0,"","Lowest point this week: "&amp;TEXT(MIN($I$675:$I$725),"$#,##0.00;-$#,##0.00")&amp;" on "&amp;TEXT(INDEX($C$675:$C$725,MATCH(MIN($I$675:$I$725),$I$675:$I$725,0)),"ddd mmm d")&amp;"     (in "&amp;TEXT($G$726,"$#,##0.00")&amp;", out "&amp;TEXT($H$726,"$#,##0.00")&amp;")")</f>
        <v>Lowest point this week: -$290.69 on Sun Nov 8     (in $835.00, out $1,421.48)</v>
      </c>
    </row>
  </sheetData>
  <conditionalFormatting sqref="B15:J24 B70:J79 B125:J134 B180:J189 B235:J244 B290:J299 B345:J354 B400:J409 B455:J464 B510:J519 B565:J574 B620:J629 B675:J684">
    <cfRule type="expression" priority="2" aboveAverage="0" equalAverage="0" bottom="0" percent="0" rank="0" text="" dxfId="23">
      <formula>$B15&lt;&gt;""</formula>
    </cfRule>
  </conditionalFormatting>
  <conditionalFormatting sqref="F15:F24 F70:F79 F125:F134 F180:F189 F235:F244 F290:F299 F345:F354 F400:F409 F455:F464 F510:F519 F565:F574 F620:F629 F675:F684">
    <cfRule type="expression" priority="3" aboveAverage="0" equalAverage="0" bottom="0" percent="0" rank="0" text="" dxfId="24">
      <formula>AND($B15&lt;&gt;"",$F15="",$C15&lt;=TODAY())</formula>
    </cfRule>
  </conditionalFormatting>
  <conditionalFormatting sqref="J15:J24 J66 J70:J79 J121 J125:J134 J176 J180:J189 J231 J235:J244 J286 J290:J299 J341 J345:J354 J396 J400:J409 J451 J455:J464 J506 J510:J519 J561 J565:J574 J616 J620:J629 J671 J675:J684 J726">
    <cfRule type="expression" priority="4" aboveAverage="0" equalAverage="0" bottom="0" percent="0" rank="0" text="" dxfId="11">
      <formula>OR($J15="PAST DUE",$J15="SHORTFALL")</formula>
    </cfRule>
    <cfRule type="expression" priority="5" aboveAverage="0" equalAverage="0" bottom="0" percent="0" rank="0" text="" dxfId="25">
      <formula>OR($J15="PAID",$J15="OK")</formula>
    </cfRule>
    <cfRule type="expression" priority="6" aboveAverage="0" equalAverage="0" bottom="0" percent="0" rank="0" text="" dxfId="12">
      <formula>OR($J15="DUE",$J15="TIGHT")</formula>
    </cfRule>
  </conditionalFormatting>
  <conditionalFormatting sqref="I15:I66 I70:I121 I125:I176 I180:I231 I235:I286 I290:I341 I345:I396 I400:I451 I455:I506 I510:I561 I565:I616 I620:I671 I675:I726">
    <cfRule type="expression" priority="7" aboveAverage="0" equalAverage="0" bottom="0" percent="0" rank="0" text="" dxfId="16">
      <formula>AND($I15&lt;&gt;"",$I15&lt;0)</formula>
    </cfRule>
  </conditionalFormatting>
  <conditionalFormatting sqref="J15:J66">
    <cfRule type="expression" priority="8" aboveAverage="0" equalAverage="0" bottom="0" percent="0" rank="0" text="" dxfId="13">
      <formula>$J15="PAID"</formula>
    </cfRule>
    <cfRule type="expression" priority="9" aboveAverage="0" equalAverage="0" bottom="0" percent="0" rank="0" text="" dxfId="13">
      <formula>$J15="OK"</formula>
    </cfRule>
    <cfRule type="expression" priority="10" aboveAverage="0" equalAverage="0" bottom="0" percent="0" rank="0" text="" dxfId="26">
      <formula>$J15="ADJUSTED"</formula>
    </cfRule>
    <cfRule type="expression" priority="11" aboveAverage="0" equalAverage="0" bottom="0" percent="0" rank="0" text="" dxfId="14">
      <formula>$J15="DUE"</formula>
    </cfRule>
    <cfRule type="expression" priority="12" aboveAverage="0" equalAverage="0" bottom="0" percent="0" rank="0" text="" dxfId="14">
      <formula>$J15="TIGHT"</formula>
    </cfRule>
    <cfRule type="expression" priority="13" aboveAverage="0" equalAverage="0" bottom="0" percent="0" rank="0" text="" dxfId="27">
      <formula>$J15="Upcoming"</formula>
    </cfRule>
    <cfRule type="expression" priority="14" aboveAverage="0" equalAverage="0" bottom="0" percent="0" rank="0" text="" dxfId="15">
      <formula>$J15="PAST DUE"</formula>
    </cfRule>
    <cfRule type="expression" priority="15" aboveAverage="0" equalAverage="0" bottom="0" percent="0" rank="0" text="" dxfId="15">
      <formula>$J15="SHORTFALL"</formula>
    </cfRule>
  </conditionalFormatting>
  <conditionalFormatting sqref="J70:J121">
    <cfRule type="expression" priority="16" aboveAverage="0" equalAverage="0" bottom="0" percent="0" rank="0" text="" dxfId="13">
      <formula>$J70="PAID"</formula>
    </cfRule>
    <cfRule type="expression" priority="17" aboveAverage="0" equalAverage="0" bottom="0" percent="0" rank="0" text="" dxfId="13">
      <formula>$J70="OK"</formula>
    </cfRule>
    <cfRule type="expression" priority="18" aboveAverage="0" equalAverage="0" bottom="0" percent="0" rank="0" text="" dxfId="26">
      <formula>$J70="ADJUSTED"</formula>
    </cfRule>
    <cfRule type="expression" priority="19" aboveAverage="0" equalAverage="0" bottom="0" percent="0" rank="0" text="" dxfId="14">
      <formula>$J70="DUE"</formula>
    </cfRule>
    <cfRule type="expression" priority="20" aboveAverage="0" equalAverage="0" bottom="0" percent="0" rank="0" text="" dxfId="14">
      <formula>$J70="TIGHT"</formula>
    </cfRule>
    <cfRule type="expression" priority="21" aboveAverage="0" equalAverage="0" bottom="0" percent="0" rank="0" text="" dxfId="27">
      <formula>$J70="Upcoming"</formula>
    </cfRule>
    <cfRule type="expression" priority="22" aboveAverage="0" equalAverage="0" bottom="0" percent="0" rank="0" text="" dxfId="15">
      <formula>$J70="PAST DUE"</formula>
    </cfRule>
    <cfRule type="expression" priority="23" aboveAverage="0" equalAverage="0" bottom="0" percent="0" rank="0" text="" dxfId="15">
      <formula>$J70="SHORTFALL"</formula>
    </cfRule>
  </conditionalFormatting>
  <conditionalFormatting sqref="J125:J176">
    <cfRule type="expression" priority="24" aboveAverage="0" equalAverage="0" bottom="0" percent="0" rank="0" text="" dxfId="13">
      <formula>$J125="PAID"</formula>
    </cfRule>
    <cfRule type="expression" priority="25" aboveAverage="0" equalAverage="0" bottom="0" percent="0" rank="0" text="" dxfId="13">
      <formula>$J125="OK"</formula>
    </cfRule>
    <cfRule type="expression" priority="26" aboveAverage="0" equalAverage="0" bottom="0" percent="0" rank="0" text="" dxfId="26">
      <formula>$J125="ADJUSTED"</formula>
    </cfRule>
    <cfRule type="expression" priority="27" aboveAverage="0" equalAverage="0" bottom="0" percent="0" rank="0" text="" dxfId="14">
      <formula>$J125="DUE"</formula>
    </cfRule>
    <cfRule type="expression" priority="28" aboveAverage="0" equalAverage="0" bottom="0" percent="0" rank="0" text="" dxfId="14">
      <formula>$J125="TIGHT"</formula>
    </cfRule>
    <cfRule type="expression" priority="29" aboveAverage="0" equalAverage="0" bottom="0" percent="0" rank="0" text="" dxfId="27">
      <formula>$J125="Upcoming"</formula>
    </cfRule>
    <cfRule type="expression" priority="30" aboveAverage="0" equalAverage="0" bottom="0" percent="0" rank="0" text="" dxfId="15">
      <formula>$J125="PAST DUE"</formula>
    </cfRule>
    <cfRule type="expression" priority="31" aboveAverage="0" equalAverage="0" bottom="0" percent="0" rank="0" text="" dxfId="15">
      <formula>$J125="SHORTFALL"</formula>
    </cfRule>
  </conditionalFormatting>
  <conditionalFormatting sqref="J180:J231">
    <cfRule type="expression" priority="32" aboveAverage="0" equalAverage="0" bottom="0" percent="0" rank="0" text="" dxfId="13">
      <formula>$J180="PAID"</formula>
    </cfRule>
    <cfRule type="expression" priority="33" aboveAverage="0" equalAverage="0" bottom="0" percent="0" rank="0" text="" dxfId="13">
      <formula>$J180="OK"</formula>
    </cfRule>
    <cfRule type="expression" priority="34" aboveAverage="0" equalAverage="0" bottom="0" percent="0" rank="0" text="" dxfId="26">
      <formula>$J180="ADJUSTED"</formula>
    </cfRule>
    <cfRule type="expression" priority="35" aboveAverage="0" equalAverage="0" bottom="0" percent="0" rank="0" text="" dxfId="14">
      <formula>$J180="DUE"</formula>
    </cfRule>
    <cfRule type="expression" priority="36" aboveAverage="0" equalAverage="0" bottom="0" percent="0" rank="0" text="" dxfId="14">
      <formula>$J180="TIGHT"</formula>
    </cfRule>
    <cfRule type="expression" priority="37" aboveAverage="0" equalAverage="0" bottom="0" percent="0" rank="0" text="" dxfId="27">
      <formula>$J180="Upcoming"</formula>
    </cfRule>
    <cfRule type="expression" priority="38" aboveAverage="0" equalAverage="0" bottom="0" percent="0" rank="0" text="" dxfId="15">
      <formula>$J180="PAST DUE"</formula>
    </cfRule>
    <cfRule type="expression" priority="39" aboveAverage="0" equalAverage="0" bottom="0" percent="0" rank="0" text="" dxfId="15">
      <formula>$J180="SHORTFALL"</formula>
    </cfRule>
  </conditionalFormatting>
  <conditionalFormatting sqref="J235:J286">
    <cfRule type="expression" priority="40" aboveAverage="0" equalAverage="0" bottom="0" percent="0" rank="0" text="" dxfId="13">
      <formula>$J235="PAID"</formula>
    </cfRule>
    <cfRule type="expression" priority="41" aboveAverage="0" equalAverage="0" bottom="0" percent="0" rank="0" text="" dxfId="13">
      <formula>$J235="OK"</formula>
    </cfRule>
    <cfRule type="expression" priority="42" aboveAverage="0" equalAverage="0" bottom="0" percent="0" rank="0" text="" dxfId="26">
      <formula>$J235="ADJUSTED"</formula>
    </cfRule>
    <cfRule type="expression" priority="43" aboveAverage="0" equalAverage="0" bottom="0" percent="0" rank="0" text="" dxfId="14">
      <formula>$J235="DUE"</formula>
    </cfRule>
    <cfRule type="expression" priority="44" aboveAverage="0" equalAverage="0" bottom="0" percent="0" rank="0" text="" dxfId="14">
      <formula>$J235="TIGHT"</formula>
    </cfRule>
    <cfRule type="expression" priority="45" aboveAverage="0" equalAverage="0" bottom="0" percent="0" rank="0" text="" dxfId="27">
      <formula>$J235="Upcoming"</formula>
    </cfRule>
    <cfRule type="expression" priority="46" aboveAverage="0" equalAverage="0" bottom="0" percent="0" rank="0" text="" dxfId="15">
      <formula>$J235="PAST DUE"</formula>
    </cfRule>
    <cfRule type="expression" priority="47" aboveAverage="0" equalAverage="0" bottom="0" percent="0" rank="0" text="" dxfId="15">
      <formula>$J235="SHORTFALL"</formula>
    </cfRule>
  </conditionalFormatting>
  <conditionalFormatting sqref="J290:J341">
    <cfRule type="expression" priority="48" aboveAverage="0" equalAverage="0" bottom="0" percent="0" rank="0" text="" dxfId="13">
      <formula>$J290="PAID"</formula>
    </cfRule>
    <cfRule type="expression" priority="49" aboveAverage="0" equalAverage="0" bottom="0" percent="0" rank="0" text="" dxfId="13">
      <formula>$J290="OK"</formula>
    </cfRule>
    <cfRule type="expression" priority="50" aboveAverage="0" equalAverage="0" bottom="0" percent="0" rank="0" text="" dxfId="26">
      <formula>$J290="ADJUSTED"</formula>
    </cfRule>
    <cfRule type="expression" priority="51" aboveAverage="0" equalAverage="0" bottom="0" percent="0" rank="0" text="" dxfId="14">
      <formula>$J290="DUE"</formula>
    </cfRule>
    <cfRule type="expression" priority="52" aboveAverage="0" equalAverage="0" bottom="0" percent="0" rank="0" text="" dxfId="14">
      <formula>$J290="TIGHT"</formula>
    </cfRule>
    <cfRule type="expression" priority="53" aboveAverage="0" equalAverage="0" bottom="0" percent="0" rank="0" text="" dxfId="27">
      <formula>$J290="Upcoming"</formula>
    </cfRule>
    <cfRule type="expression" priority="54" aboveAverage="0" equalAverage="0" bottom="0" percent="0" rank="0" text="" dxfId="15">
      <formula>$J290="PAST DUE"</formula>
    </cfRule>
    <cfRule type="expression" priority="55" aboveAverage="0" equalAverage="0" bottom="0" percent="0" rank="0" text="" dxfId="15">
      <formula>$J290="SHORTFALL"</formula>
    </cfRule>
  </conditionalFormatting>
  <conditionalFormatting sqref="J345:J396">
    <cfRule type="expression" priority="56" aboveAverage="0" equalAverage="0" bottom="0" percent="0" rank="0" text="" dxfId="13">
      <formula>$J345="PAID"</formula>
    </cfRule>
    <cfRule type="expression" priority="57" aboveAverage="0" equalAverage="0" bottom="0" percent="0" rank="0" text="" dxfId="13">
      <formula>$J345="OK"</formula>
    </cfRule>
    <cfRule type="expression" priority="58" aboveAverage="0" equalAverage="0" bottom="0" percent="0" rank="0" text="" dxfId="26">
      <formula>$J345="ADJUSTED"</formula>
    </cfRule>
    <cfRule type="expression" priority="59" aboveAverage="0" equalAverage="0" bottom="0" percent="0" rank="0" text="" dxfId="14">
      <formula>$J345="DUE"</formula>
    </cfRule>
    <cfRule type="expression" priority="60" aboveAverage="0" equalAverage="0" bottom="0" percent="0" rank="0" text="" dxfId="14">
      <formula>$J345="TIGHT"</formula>
    </cfRule>
    <cfRule type="expression" priority="61" aboveAverage="0" equalAverage="0" bottom="0" percent="0" rank="0" text="" dxfId="27">
      <formula>$J345="Upcoming"</formula>
    </cfRule>
    <cfRule type="expression" priority="62" aboveAverage="0" equalAverage="0" bottom="0" percent="0" rank="0" text="" dxfId="15">
      <formula>$J345="PAST DUE"</formula>
    </cfRule>
    <cfRule type="expression" priority="63" aboveAverage="0" equalAverage="0" bottom="0" percent="0" rank="0" text="" dxfId="15">
      <formula>$J345="SHORTFALL"</formula>
    </cfRule>
  </conditionalFormatting>
  <conditionalFormatting sqref="J400:J451">
    <cfRule type="expression" priority="64" aboveAverage="0" equalAverage="0" bottom="0" percent="0" rank="0" text="" dxfId="13">
      <formula>$J400="PAID"</formula>
    </cfRule>
    <cfRule type="expression" priority="65" aboveAverage="0" equalAverage="0" bottom="0" percent="0" rank="0" text="" dxfId="13">
      <formula>$J400="OK"</formula>
    </cfRule>
    <cfRule type="expression" priority="66" aboveAverage="0" equalAverage="0" bottom="0" percent="0" rank="0" text="" dxfId="26">
      <formula>$J400="ADJUSTED"</formula>
    </cfRule>
    <cfRule type="expression" priority="67" aboveAverage="0" equalAverage="0" bottom="0" percent="0" rank="0" text="" dxfId="14">
      <formula>$J400="DUE"</formula>
    </cfRule>
    <cfRule type="expression" priority="68" aboveAverage="0" equalAverage="0" bottom="0" percent="0" rank="0" text="" dxfId="14">
      <formula>$J400="TIGHT"</formula>
    </cfRule>
    <cfRule type="expression" priority="69" aboveAverage="0" equalAverage="0" bottom="0" percent="0" rank="0" text="" dxfId="27">
      <formula>$J400="Upcoming"</formula>
    </cfRule>
    <cfRule type="expression" priority="70" aboveAverage="0" equalAverage="0" bottom="0" percent="0" rank="0" text="" dxfId="15">
      <formula>$J400="PAST DUE"</formula>
    </cfRule>
    <cfRule type="expression" priority="71" aboveAverage="0" equalAverage="0" bottom="0" percent="0" rank="0" text="" dxfId="15">
      <formula>$J400="SHORTFALL"</formula>
    </cfRule>
  </conditionalFormatting>
  <conditionalFormatting sqref="J455:J506">
    <cfRule type="expression" priority="72" aboveAverage="0" equalAverage="0" bottom="0" percent="0" rank="0" text="" dxfId="13">
      <formula>$J455="PAID"</formula>
    </cfRule>
    <cfRule type="expression" priority="73" aboveAverage="0" equalAverage="0" bottom="0" percent="0" rank="0" text="" dxfId="13">
      <formula>$J455="OK"</formula>
    </cfRule>
    <cfRule type="expression" priority="74" aboveAverage="0" equalAverage="0" bottom="0" percent="0" rank="0" text="" dxfId="26">
      <formula>$J455="ADJUSTED"</formula>
    </cfRule>
    <cfRule type="expression" priority="75" aboveAverage="0" equalAverage="0" bottom="0" percent="0" rank="0" text="" dxfId="14">
      <formula>$J455="DUE"</formula>
    </cfRule>
    <cfRule type="expression" priority="76" aboveAverage="0" equalAverage="0" bottom="0" percent="0" rank="0" text="" dxfId="14">
      <formula>$J455="TIGHT"</formula>
    </cfRule>
    <cfRule type="expression" priority="77" aboveAverage="0" equalAverage="0" bottom="0" percent="0" rank="0" text="" dxfId="27">
      <formula>$J455="Upcoming"</formula>
    </cfRule>
    <cfRule type="expression" priority="78" aboveAverage="0" equalAverage="0" bottom="0" percent="0" rank="0" text="" dxfId="15">
      <formula>$J455="PAST DUE"</formula>
    </cfRule>
    <cfRule type="expression" priority="79" aboveAverage="0" equalAverage="0" bottom="0" percent="0" rank="0" text="" dxfId="15">
      <formula>$J455="SHORTFALL"</formula>
    </cfRule>
  </conditionalFormatting>
  <conditionalFormatting sqref="J510:J561">
    <cfRule type="expression" priority="80" aboveAverage="0" equalAverage="0" bottom="0" percent="0" rank="0" text="" dxfId="13">
      <formula>$J510="PAID"</formula>
    </cfRule>
    <cfRule type="expression" priority="81" aboveAverage="0" equalAverage="0" bottom="0" percent="0" rank="0" text="" dxfId="13">
      <formula>$J510="OK"</formula>
    </cfRule>
    <cfRule type="expression" priority="82" aboveAverage="0" equalAverage="0" bottom="0" percent="0" rank="0" text="" dxfId="26">
      <formula>$J510="ADJUSTED"</formula>
    </cfRule>
    <cfRule type="expression" priority="83" aboveAverage="0" equalAverage="0" bottom="0" percent="0" rank="0" text="" dxfId="14">
      <formula>$J510="DUE"</formula>
    </cfRule>
    <cfRule type="expression" priority="84" aboveAverage="0" equalAverage="0" bottom="0" percent="0" rank="0" text="" dxfId="14">
      <formula>$J510="TIGHT"</formula>
    </cfRule>
    <cfRule type="expression" priority="85" aboveAverage="0" equalAverage="0" bottom="0" percent="0" rank="0" text="" dxfId="27">
      <formula>$J510="Upcoming"</formula>
    </cfRule>
    <cfRule type="expression" priority="86" aboveAverage="0" equalAverage="0" bottom="0" percent="0" rank="0" text="" dxfId="15">
      <formula>$J510="PAST DUE"</formula>
    </cfRule>
    <cfRule type="expression" priority="87" aboveAverage="0" equalAverage="0" bottom="0" percent="0" rank="0" text="" dxfId="15">
      <formula>$J510="SHORTFALL"</formula>
    </cfRule>
  </conditionalFormatting>
  <conditionalFormatting sqref="J565:J616">
    <cfRule type="expression" priority="88" aboveAverage="0" equalAverage="0" bottom="0" percent="0" rank="0" text="" dxfId="13">
      <formula>$J565="PAID"</formula>
    </cfRule>
    <cfRule type="expression" priority="89" aboveAverage="0" equalAverage="0" bottom="0" percent="0" rank="0" text="" dxfId="13">
      <formula>$J565="OK"</formula>
    </cfRule>
    <cfRule type="expression" priority="90" aboveAverage="0" equalAverage="0" bottom="0" percent="0" rank="0" text="" dxfId="26">
      <formula>$J565="ADJUSTED"</formula>
    </cfRule>
    <cfRule type="expression" priority="91" aboveAverage="0" equalAverage="0" bottom="0" percent="0" rank="0" text="" dxfId="14">
      <formula>$J565="DUE"</formula>
    </cfRule>
    <cfRule type="expression" priority="92" aboveAverage="0" equalAverage="0" bottom="0" percent="0" rank="0" text="" dxfId="14">
      <formula>$J565="TIGHT"</formula>
    </cfRule>
    <cfRule type="expression" priority="93" aboveAverage="0" equalAverage="0" bottom="0" percent="0" rank="0" text="" dxfId="27">
      <formula>$J565="Upcoming"</formula>
    </cfRule>
    <cfRule type="expression" priority="94" aboveAverage="0" equalAverage="0" bottom="0" percent="0" rank="0" text="" dxfId="15">
      <formula>$J565="PAST DUE"</formula>
    </cfRule>
    <cfRule type="expression" priority="95" aboveAverage="0" equalAverage="0" bottom="0" percent="0" rank="0" text="" dxfId="15">
      <formula>$J565="SHORTFALL"</formula>
    </cfRule>
  </conditionalFormatting>
  <conditionalFormatting sqref="J620:J671">
    <cfRule type="expression" priority="96" aboveAverage="0" equalAverage="0" bottom="0" percent="0" rank="0" text="" dxfId="13">
      <formula>$J620="PAID"</formula>
    </cfRule>
    <cfRule type="expression" priority="97" aboveAverage="0" equalAverage="0" bottom="0" percent="0" rank="0" text="" dxfId="13">
      <formula>$J620="OK"</formula>
    </cfRule>
    <cfRule type="expression" priority="98" aboveAverage="0" equalAverage="0" bottom="0" percent="0" rank="0" text="" dxfId="26">
      <formula>$J620="ADJUSTED"</formula>
    </cfRule>
    <cfRule type="expression" priority="99" aboveAverage="0" equalAverage="0" bottom="0" percent="0" rank="0" text="" dxfId="14">
      <formula>$J620="DUE"</formula>
    </cfRule>
    <cfRule type="expression" priority="100" aboveAverage="0" equalAverage="0" bottom="0" percent="0" rank="0" text="" dxfId="14">
      <formula>$J620="TIGHT"</formula>
    </cfRule>
    <cfRule type="expression" priority="101" aboveAverage="0" equalAverage="0" bottom="0" percent="0" rank="0" text="" dxfId="27">
      <formula>$J620="Upcoming"</formula>
    </cfRule>
    <cfRule type="expression" priority="102" aboveAverage="0" equalAverage="0" bottom="0" percent="0" rank="0" text="" dxfId="15">
      <formula>$J620="PAST DUE"</formula>
    </cfRule>
    <cfRule type="expression" priority="103" aboveAverage="0" equalAverage="0" bottom="0" percent="0" rank="0" text="" dxfId="15">
      <formula>$J620="SHORTFALL"</formula>
    </cfRule>
  </conditionalFormatting>
  <conditionalFormatting sqref="J675:J726">
    <cfRule type="expression" priority="104" aboveAverage="0" equalAverage="0" bottom="0" percent="0" rank="0" text="" dxfId="13">
      <formula>$J675="PAID"</formula>
    </cfRule>
    <cfRule type="expression" priority="105" aboveAverage="0" equalAverage="0" bottom="0" percent="0" rank="0" text="" dxfId="13">
      <formula>$J675="OK"</formula>
    </cfRule>
    <cfRule type="expression" priority="106" aboveAverage="0" equalAverage="0" bottom="0" percent="0" rank="0" text="" dxfId="26">
      <formula>$J675="ADJUSTED"</formula>
    </cfRule>
    <cfRule type="expression" priority="107" aboveAverage="0" equalAverage="0" bottom="0" percent="0" rank="0" text="" dxfId="14">
      <formula>$J675="DUE"</formula>
    </cfRule>
    <cfRule type="expression" priority="108" aboveAverage="0" equalAverage="0" bottom="0" percent="0" rank="0" text="" dxfId="14">
      <formula>$J675="TIGHT"</formula>
    </cfRule>
    <cfRule type="expression" priority="109" aboveAverage="0" equalAverage="0" bottom="0" percent="0" rank="0" text="" dxfId="27">
      <formula>$J675="Upcoming"</formula>
    </cfRule>
    <cfRule type="expression" priority="110" aboveAverage="0" equalAverage="0" bottom="0" percent="0" rank="0" text="" dxfId="15">
      <formula>$J675="PAST DUE"</formula>
    </cfRule>
    <cfRule type="expression" priority="111" aboveAverage="0" equalAverage="0" bottom="0" percent="0" rank="0" text="" dxfId="15">
      <formula>$J675="SHORTFALL"</formula>
    </cfRule>
  </conditionalFormatting>
  <conditionalFormatting sqref="K15:K65">
    <cfRule type="expression" priority="112" aboveAverage="0" equalAverage="0" bottom="0" percent="0" rank="0" text="" dxfId="26">
      <formula>$K15="ACTUAL"</formula>
    </cfRule>
    <cfRule type="expression" priority="113" aboveAverage="0" equalAverage="0" bottom="0" percent="0" rank="0" text="" dxfId="27">
      <formula>$K15="FORECAST"</formula>
    </cfRule>
  </conditionalFormatting>
  <conditionalFormatting sqref="K70:K120">
    <cfRule type="expression" priority="114" aboveAverage="0" equalAverage="0" bottom="0" percent="0" rank="0" text="" dxfId="26">
      <formula>$K70="ACTUAL"</formula>
    </cfRule>
    <cfRule type="expression" priority="115" aboveAverage="0" equalAverage="0" bottom="0" percent="0" rank="0" text="" dxfId="27">
      <formula>$K70="FORECAST"</formula>
    </cfRule>
  </conditionalFormatting>
  <conditionalFormatting sqref="K125:K175">
    <cfRule type="expression" priority="116" aboveAverage="0" equalAverage="0" bottom="0" percent="0" rank="0" text="" dxfId="26">
      <formula>$K125="ACTUAL"</formula>
    </cfRule>
    <cfRule type="expression" priority="117" aboveAverage="0" equalAverage="0" bottom="0" percent="0" rank="0" text="" dxfId="27">
      <formula>$K125="FORECAST"</formula>
    </cfRule>
  </conditionalFormatting>
  <conditionalFormatting sqref="K180:K230">
    <cfRule type="expression" priority="118" aboveAverage="0" equalAverage="0" bottom="0" percent="0" rank="0" text="" dxfId="26">
      <formula>$K180="ACTUAL"</formula>
    </cfRule>
    <cfRule type="expression" priority="119" aboveAverage="0" equalAverage="0" bottom="0" percent="0" rank="0" text="" dxfId="27">
      <formula>$K180="FORECAST"</formula>
    </cfRule>
  </conditionalFormatting>
  <conditionalFormatting sqref="K235:K285">
    <cfRule type="expression" priority="120" aboveAverage="0" equalAverage="0" bottom="0" percent="0" rank="0" text="" dxfId="26">
      <formula>$K235="ACTUAL"</formula>
    </cfRule>
    <cfRule type="expression" priority="121" aboveAverage="0" equalAverage="0" bottom="0" percent="0" rank="0" text="" dxfId="27">
      <formula>$K235="FORECAST"</formula>
    </cfRule>
  </conditionalFormatting>
  <conditionalFormatting sqref="K290:K340">
    <cfRule type="expression" priority="122" aboveAverage="0" equalAverage="0" bottom="0" percent="0" rank="0" text="" dxfId="26">
      <formula>$K290="ACTUAL"</formula>
    </cfRule>
    <cfRule type="expression" priority="123" aboveAverage="0" equalAverage="0" bottom="0" percent="0" rank="0" text="" dxfId="27">
      <formula>$K290="FORECAST"</formula>
    </cfRule>
  </conditionalFormatting>
  <conditionalFormatting sqref="K345:K395">
    <cfRule type="expression" priority="124" aboveAverage="0" equalAverage="0" bottom="0" percent="0" rank="0" text="" dxfId="26">
      <formula>$K345="ACTUAL"</formula>
    </cfRule>
    <cfRule type="expression" priority="125" aboveAverage="0" equalAverage="0" bottom="0" percent="0" rank="0" text="" dxfId="27">
      <formula>$K345="FORECAST"</formula>
    </cfRule>
  </conditionalFormatting>
  <conditionalFormatting sqref="K400:K450">
    <cfRule type="expression" priority="126" aboveAverage="0" equalAverage="0" bottom="0" percent="0" rank="0" text="" dxfId="26">
      <formula>$K400="ACTUAL"</formula>
    </cfRule>
    <cfRule type="expression" priority="127" aboveAverage="0" equalAverage="0" bottom="0" percent="0" rank="0" text="" dxfId="27">
      <formula>$K400="FORECAST"</formula>
    </cfRule>
  </conditionalFormatting>
  <conditionalFormatting sqref="K455:K505">
    <cfRule type="expression" priority="128" aboveAverage="0" equalAverage="0" bottom="0" percent="0" rank="0" text="" dxfId="26">
      <formula>$K455="ACTUAL"</formula>
    </cfRule>
    <cfRule type="expression" priority="129" aboveAverage="0" equalAverage="0" bottom="0" percent="0" rank="0" text="" dxfId="27">
      <formula>$K455="FORECAST"</formula>
    </cfRule>
  </conditionalFormatting>
  <conditionalFormatting sqref="K510:K560">
    <cfRule type="expression" priority="130" aboveAverage="0" equalAverage="0" bottom="0" percent="0" rank="0" text="" dxfId="26">
      <formula>$K510="ACTUAL"</formula>
    </cfRule>
    <cfRule type="expression" priority="131" aboveAverage="0" equalAverage="0" bottom="0" percent="0" rank="0" text="" dxfId="27">
      <formula>$K510="FORECAST"</formula>
    </cfRule>
  </conditionalFormatting>
  <conditionalFormatting sqref="K565:K615">
    <cfRule type="expression" priority="132" aboveAverage="0" equalAverage="0" bottom="0" percent="0" rank="0" text="" dxfId="26">
      <formula>$K565="ACTUAL"</formula>
    </cfRule>
    <cfRule type="expression" priority="133" aboveAverage="0" equalAverage="0" bottom="0" percent="0" rank="0" text="" dxfId="27">
      <formula>$K565="FORECAST"</formula>
    </cfRule>
  </conditionalFormatting>
  <conditionalFormatting sqref="K620:K670">
    <cfRule type="expression" priority="134" aboveAverage="0" equalAverage="0" bottom="0" percent="0" rank="0" text="" dxfId="26">
      <formula>$K620="ACTUAL"</formula>
    </cfRule>
    <cfRule type="expression" priority="135" aboveAverage="0" equalAverage="0" bottom="0" percent="0" rank="0" text="" dxfId="27">
      <formula>$K620="FORECAST"</formula>
    </cfRule>
  </conditionalFormatting>
  <conditionalFormatting sqref="K675:K725">
    <cfRule type="expression" priority="136" aboveAverage="0" equalAverage="0" bottom="0" percent="0" rank="0" text="" dxfId="26">
      <formula>$K675="ACTUAL"</formula>
    </cfRule>
    <cfRule type="expression" priority="137" aboveAverage="0" equalAverage="0" bottom="0" percent="0" rank="0" text="" dxfId="27">
      <formula>$K675="FORECAST"</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3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C13" activeCellId="0" sqref="C13"/>
    </sheetView>
  </sheetViews>
  <sheetFormatPr defaultColWidth="8.57421875" defaultRowHeight="15" zeroHeight="false" outlineLevelRow="0" outlineLevelCol="0"/>
  <cols>
    <col collapsed="false" customWidth="true" hidden="false" outlineLevel="0" max="1" min="1" style="0" width="3"/>
    <col collapsed="false" customWidth="true" hidden="false" outlineLevel="0" max="2" min="2" style="0" width="46.14"/>
    <col collapsed="false" customWidth="true" hidden="false" outlineLevel="0" max="3" min="3" style="0" width="34"/>
    <col collapsed="false" customWidth="true" hidden="false" outlineLevel="0" max="4" min="4" style="0" width="15"/>
    <col collapsed="false" customWidth="true" hidden="false" outlineLevel="0" max="5" min="5" style="0" width="34"/>
    <col collapsed="false" customWidth="true" hidden="false" outlineLevel="0" max="6" min="6" style="0" width="40"/>
  </cols>
  <sheetData>
    <row r="1" customFormat="false" ht="19.5" hidden="false" customHeight="true" outlineLevel="0" collapsed="false">
      <c r="B1" s="1" t="s">
        <v>182</v>
      </c>
    </row>
    <row r="2" customFormat="false" ht="15" hidden="false" customHeight="true" outlineLevel="0" collapsed="false">
      <c r="B2" s="2" t="s">
        <v>183</v>
      </c>
    </row>
    <row r="4" customFormat="false" ht="25.5" hidden="false" customHeight="true" outlineLevel="0" collapsed="false">
      <c r="B4" s="35" t="s">
        <v>184</v>
      </c>
      <c r="C4" s="35"/>
      <c r="D4" s="35"/>
      <c r="E4" s="35"/>
    </row>
    <row r="5" customFormat="false" ht="25.5" hidden="false" customHeight="true" outlineLevel="0" collapsed="false">
      <c r="B5" s="35" t="s">
        <v>185</v>
      </c>
      <c r="C5" s="35"/>
      <c r="D5" s="35"/>
      <c r="E5" s="35"/>
    </row>
    <row r="6" customFormat="false" ht="25.5" hidden="false" customHeight="true" outlineLevel="0" collapsed="false">
      <c r="B6" s="35" t="s">
        <v>186</v>
      </c>
      <c r="C6" s="35"/>
      <c r="D6" s="35"/>
      <c r="E6" s="35"/>
    </row>
    <row r="7" customFormat="false" ht="24" hidden="false" customHeight="true" outlineLevel="0" collapsed="false">
      <c r="B7" s="35" t="s">
        <v>187</v>
      </c>
      <c r="C7" s="35"/>
      <c r="D7" s="35"/>
      <c r="E7" s="35"/>
      <c r="F7" s="35"/>
    </row>
    <row r="8" customFormat="false" ht="15" hidden="false" customHeight="true" outlineLevel="0" collapsed="false">
      <c r="B8" s="112" t="s">
        <v>141</v>
      </c>
      <c r="C8" s="112" t="s">
        <v>41</v>
      </c>
      <c r="D8" s="112" t="s">
        <v>188</v>
      </c>
      <c r="E8" s="112" t="s">
        <v>189</v>
      </c>
      <c r="F8" s="112" t="s">
        <v>190</v>
      </c>
    </row>
    <row r="9" customFormat="false" ht="15" hidden="false" customHeight="true" outlineLevel="0" collapsed="false">
      <c r="B9" s="113" t="n">
        <v>46250</v>
      </c>
      <c r="C9" s="12" t="s">
        <v>74</v>
      </c>
      <c r="D9" s="14" t="n">
        <v>45</v>
      </c>
      <c r="E9" s="12" t="s">
        <v>191</v>
      </c>
      <c r="F9" s="114" t="str">
        <f aca="false">IF($C9="","",$C9&amp;"  |  "&amp;TEXT($B9,"yyyy-mm-dd"))</f>
        <v>Maine Revenue Services  |  2026-08-16</v>
      </c>
    </row>
    <row r="10" customFormat="false" ht="15" hidden="false" customHeight="true" outlineLevel="0" collapsed="false">
      <c r="B10" s="115" t="n">
        <v>46253</v>
      </c>
      <c r="C10" s="18" t="s">
        <v>50</v>
      </c>
      <c r="D10" s="20" t="n">
        <v>148.34</v>
      </c>
      <c r="E10" s="18" t="s">
        <v>192</v>
      </c>
      <c r="F10" s="114" t="str">
        <f aca="false">IF($C10="","",$C10&amp;"  |  "&amp;TEXT($B10,"yyyy-mm-dd"))</f>
        <v>Bruno's Restaurant (paycheck)  |  2026-08-19</v>
      </c>
    </row>
    <row r="11" customFormat="false" ht="15" hidden="false" customHeight="true" outlineLevel="0" collapsed="false">
      <c r="B11" s="113" t="n">
        <v>46255</v>
      </c>
      <c r="C11" s="12" t="s">
        <v>56</v>
      </c>
      <c r="D11" s="14" t="n">
        <v>802.65</v>
      </c>
      <c r="E11" s="12" t="s">
        <v>193</v>
      </c>
      <c r="F11" s="114" t="str">
        <f aca="false">IF($C11="","",$C11&amp;"  |  "&amp;TEXT($B11,"yyyy-mm-dd"))</f>
        <v>Compunnel Software (paycheck)  |  2026-08-21</v>
      </c>
    </row>
    <row r="12" customFormat="false" ht="15" hidden="false" customHeight="true" outlineLevel="0" collapsed="false">
      <c r="B12" s="115" t="n">
        <v>46255</v>
      </c>
      <c r="C12" s="18" t="s">
        <v>73</v>
      </c>
      <c r="D12" s="20" t="n">
        <v>0</v>
      </c>
      <c r="E12" s="18" t="s">
        <v>194</v>
      </c>
      <c r="F12" s="114" t="str">
        <f aca="false">IF($C12="","",$C12&amp;"  |  "&amp;TEXT($B12,"yyyy-mm-dd"))</f>
        <v>Spectrum  |  2026-08-21</v>
      </c>
    </row>
    <row r="13" customFormat="false" ht="15" hidden="false" customHeight="true" outlineLevel="0" collapsed="false">
      <c r="B13" s="113"/>
      <c r="C13" s="12"/>
      <c r="D13" s="14"/>
      <c r="E13" s="12"/>
      <c r="F13" s="114" t="str">
        <f aca="false">IF($C13="","",$C13&amp;"  |  "&amp;TEXT($B13,"yyyy-mm-dd"))</f>
        <v/>
      </c>
    </row>
    <row r="14" customFormat="false" ht="15" hidden="false" customHeight="true" outlineLevel="0" collapsed="false">
      <c r="B14" s="115"/>
      <c r="C14" s="18"/>
      <c r="D14" s="20"/>
      <c r="E14" s="18"/>
      <c r="F14" s="114" t="str">
        <f aca="false">IF($C14="","",$C14&amp;"  |  "&amp;TEXT($B14,"yyyy-mm-dd"))</f>
        <v/>
      </c>
    </row>
    <row r="15" customFormat="false" ht="15" hidden="false" customHeight="true" outlineLevel="0" collapsed="false">
      <c r="B15" s="113"/>
      <c r="C15" s="12"/>
      <c r="D15" s="14"/>
      <c r="E15" s="12"/>
      <c r="F15" s="114" t="str">
        <f aca="false">IF($C15="","",$C15&amp;"  |  "&amp;TEXT($B15,"yyyy-mm-dd"))</f>
        <v/>
      </c>
    </row>
    <row r="16" customFormat="false" ht="15" hidden="false" customHeight="true" outlineLevel="0" collapsed="false">
      <c r="B16" s="115"/>
      <c r="C16" s="18"/>
      <c r="D16" s="20"/>
      <c r="E16" s="18"/>
      <c r="F16" s="114" t="str">
        <f aca="false">IF($C16="","",$C16&amp;"  |  "&amp;TEXT($B16,"yyyy-mm-dd"))</f>
        <v/>
      </c>
    </row>
    <row r="17" customFormat="false" ht="15" hidden="false" customHeight="true" outlineLevel="0" collapsed="false">
      <c r="B17" s="113"/>
      <c r="C17" s="12"/>
      <c r="D17" s="14"/>
      <c r="E17" s="12"/>
      <c r="F17" s="114" t="str">
        <f aca="false">IF($C17="","",$C17&amp;"  |  "&amp;TEXT($B17,"yyyy-mm-dd"))</f>
        <v/>
      </c>
    </row>
    <row r="18" customFormat="false" ht="15" hidden="false" customHeight="true" outlineLevel="0" collapsed="false">
      <c r="B18" s="115"/>
      <c r="C18" s="18"/>
      <c r="D18" s="20"/>
      <c r="E18" s="18"/>
      <c r="F18" s="114" t="str">
        <f aca="false">IF($C18="","",$C18&amp;"  |  "&amp;TEXT($B18,"yyyy-mm-dd"))</f>
        <v/>
      </c>
    </row>
    <row r="19" customFormat="false" ht="15" hidden="false" customHeight="true" outlineLevel="0" collapsed="false">
      <c r="B19" s="113"/>
      <c r="C19" s="12"/>
      <c r="D19" s="14"/>
      <c r="E19" s="12"/>
      <c r="F19" s="114" t="str">
        <f aca="false">IF($C19="","",$C19&amp;"  |  "&amp;TEXT($B19,"yyyy-mm-dd"))</f>
        <v/>
      </c>
    </row>
    <row r="20" customFormat="false" ht="15" hidden="false" customHeight="true" outlineLevel="0" collapsed="false">
      <c r="B20" s="115"/>
      <c r="C20" s="18"/>
      <c r="D20" s="20"/>
      <c r="E20" s="18"/>
      <c r="F20" s="114" t="str">
        <f aca="false">IF($C20="","",$C20&amp;"  |  "&amp;TEXT($B20,"yyyy-mm-dd"))</f>
        <v/>
      </c>
    </row>
    <row r="21" customFormat="false" ht="15" hidden="false" customHeight="true" outlineLevel="0" collapsed="false">
      <c r="B21" s="113"/>
      <c r="C21" s="12"/>
      <c r="D21" s="14"/>
      <c r="E21" s="12"/>
      <c r="F21" s="114" t="str">
        <f aca="false">IF($C21="","",$C21&amp;"  |  "&amp;TEXT($B21,"yyyy-mm-dd"))</f>
        <v/>
      </c>
    </row>
    <row r="22" customFormat="false" ht="15" hidden="false" customHeight="true" outlineLevel="0" collapsed="false">
      <c r="B22" s="115"/>
      <c r="C22" s="18"/>
      <c r="D22" s="20"/>
      <c r="E22" s="18"/>
      <c r="F22" s="114" t="str">
        <f aca="false">IF($C22="","",$C22&amp;"  |  "&amp;TEXT($B22,"yyyy-mm-dd"))</f>
        <v/>
      </c>
    </row>
    <row r="23" customFormat="false" ht="15" hidden="false" customHeight="true" outlineLevel="0" collapsed="false">
      <c r="B23" s="113"/>
      <c r="C23" s="12"/>
      <c r="D23" s="14"/>
      <c r="E23" s="12"/>
      <c r="F23" s="114" t="str">
        <f aca="false">IF($C23="","",$C23&amp;"  |  "&amp;TEXT($B23,"yyyy-mm-dd"))</f>
        <v/>
      </c>
    </row>
    <row r="24" customFormat="false" ht="15" hidden="false" customHeight="true" outlineLevel="0" collapsed="false">
      <c r="B24" s="115"/>
      <c r="C24" s="18"/>
      <c r="D24" s="20"/>
      <c r="E24" s="18"/>
      <c r="F24" s="114" t="str">
        <f aca="false">IF($C24="","",$C24&amp;"  |  "&amp;TEXT($B24,"yyyy-mm-dd"))</f>
        <v/>
      </c>
    </row>
    <row r="25" customFormat="false" ht="15" hidden="false" customHeight="true" outlineLevel="0" collapsed="false">
      <c r="B25" s="113"/>
      <c r="C25" s="12"/>
      <c r="D25" s="14"/>
      <c r="E25" s="12"/>
      <c r="F25" s="114" t="str">
        <f aca="false">IF($C25="","",$C25&amp;"  |  "&amp;TEXT($B25,"yyyy-mm-dd"))</f>
        <v/>
      </c>
    </row>
    <row r="26" customFormat="false" ht="15" hidden="false" customHeight="true" outlineLevel="0" collapsed="false">
      <c r="B26" s="115"/>
      <c r="C26" s="18"/>
      <c r="D26" s="20"/>
      <c r="E26" s="18"/>
      <c r="F26" s="114" t="str">
        <f aca="false">IF($C26="","",$C26&amp;"  |  "&amp;TEXT($B26,"yyyy-mm-dd"))</f>
        <v/>
      </c>
    </row>
    <row r="27" customFormat="false" ht="15" hidden="false" customHeight="true" outlineLevel="0" collapsed="false">
      <c r="B27" s="113"/>
      <c r="C27" s="12"/>
      <c r="D27" s="14"/>
      <c r="E27" s="12"/>
      <c r="F27" s="114" t="str">
        <f aca="false">IF($C27="","",$C27&amp;"  |  "&amp;TEXT($B27,"yyyy-mm-dd"))</f>
        <v/>
      </c>
    </row>
    <row r="28" customFormat="false" ht="15" hidden="false" customHeight="true" outlineLevel="0" collapsed="false">
      <c r="B28" s="115"/>
      <c r="C28" s="18"/>
      <c r="D28" s="20"/>
      <c r="E28" s="18"/>
      <c r="F28" s="114" t="str">
        <f aca="false">IF($C28="","",$C28&amp;"  |  "&amp;TEXT($B28,"yyyy-mm-dd"))</f>
        <v/>
      </c>
    </row>
    <row r="29" customFormat="false" ht="15" hidden="false" customHeight="true" outlineLevel="0" collapsed="false">
      <c r="B29" s="113"/>
      <c r="C29" s="12"/>
      <c r="D29" s="14"/>
      <c r="E29" s="12"/>
      <c r="F29" s="114" t="str">
        <f aca="false">IF($C29="","",$C29&amp;"  |  "&amp;TEXT($B29,"yyyy-mm-dd"))</f>
        <v/>
      </c>
    </row>
    <row r="30" customFormat="false" ht="15" hidden="false" customHeight="true" outlineLevel="0" collapsed="false">
      <c r="B30" s="115"/>
      <c r="C30" s="18"/>
      <c r="D30" s="20"/>
      <c r="E30" s="18"/>
      <c r="F30" s="114" t="str">
        <f aca="false">IF($C30="","",$C30&amp;"  |  "&amp;TEXT($B30,"yyyy-mm-dd"))</f>
        <v/>
      </c>
    </row>
    <row r="31" customFormat="false" ht="15" hidden="false" customHeight="true" outlineLevel="0" collapsed="false">
      <c r="B31" s="113"/>
      <c r="C31" s="12"/>
      <c r="D31" s="14"/>
      <c r="E31" s="12"/>
      <c r="F31" s="114" t="str">
        <f aca="false">IF($C31="","",$C31&amp;"  |  "&amp;TEXT($B31,"yyyy-mm-dd"))</f>
        <v/>
      </c>
    </row>
    <row r="32" customFormat="false" ht="15" hidden="false" customHeight="true" outlineLevel="0" collapsed="false">
      <c r="B32" s="115"/>
      <c r="C32" s="18"/>
      <c r="D32" s="20"/>
      <c r="E32" s="18"/>
      <c r="F32" s="114" t="str">
        <f aca="false">IF($C32="","",$C32&amp;"  |  "&amp;TEXT($B32,"yyyy-mm-dd"))</f>
        <v/>
      </c>
    </row>
    <row r="33" customFormat="false" ht="15" hidden="false" customHeight="true" outlineLevel="0" collapsed="false">
      <c r="B33" s="113"/>
      <c r="C33" s="12"/>
      <c r="D33" s="14"/>
      <c r="E33" s="12"/>
      <c r="F33" s="114" t="str">
        <f aca="false">IF($C33="","",$C33&amp;"  |  "&amp;TEXT($B33,"yyyy-mm-dd"))</f>
        <v/>
      </c>
    </row>
    <row r="34" customFormat="false" ht="15" hidden="false" customHeight="true" outlineLevel="0" collapsed="false">
      <c r="B34" s="115"/>
      <c r="C34" s="18"/>
      <c r="D34" s="20"/>
      <c r="E34" s="18"/>
      <c r="F34" s="114" t="str">
        <f aca="false">IF($C34="","",$C34&amp;"  |  "&amp;TEXT($B34,"yyyy-mm-dd"))</f>
        <v/>
      </c>
    </row>
    <row r="35" customFormat="false" ht="15" hidden="false" customHeight="true" outlineLevel="0" collapsed="false">
      <c r="B35" s="113"/>
      <c r="C35" s="12"/>
      <c r="D35" s="14"/>
      <c r="E35" s="12"/>
      <c r="F35" s="114" t="str">
        <f aca="false">IF($C35="","",$C35&amp;"  |  "&amp;TEXT($B35,"yyyy-mm-dd"))</f>
        <v/>
      </c>
    </row>
    <row r="36" customFormat="false" ht="15" hidden="false" customHeight="true" outlineLevel="0" collapsed="false">
      <c r="B36" s="115"/>
      <c r="C36" s="18"/>
      <c r="D36" s="20"/>
      <c r="E36" s="18"/>
      <c r="F36" s="114" t="str">
        <f aca="false">IF($C36="","",$C36&amp;"  |  "&amp;TEXT($B36,"yyyy-mm-dd"))</f>
        <v/>
      </c>
    </row>
    <row r="37" customFormat="false" ht="15" hidden="false" customHeight="true" outlineLevel="0" collapsed="false">
      <c r="B37" s="113"/>
      <c r="C37" s="12"/>
      <c r="D37" s="14"/>
      <c r="E37" s="12"/>
      <c r="F37" s="114" t="str">
        <f aca="false">IF($C37="","",$C37&amp;"  |  "&amp;TEXT($B37,"yyyy-mm-dd"))</f>
        <v/>
      </c>
    </row>
    <row r="38" customFormat="false" ht="15" hidden="false" customHeight="true" outlineLevel="0" collapsed="false">
      <c r="B38" s="115"/>
      <c r="C38" s="18"/>
      <c r="D38" s="20"/>
      <c r="E38" s="18"/>
      <c r="F38" s="114" t="str">
        <f aca="false">IF($C38="","",$C38&amp;"  |  "&amp;TEXT($B38,"yyyy-mm-dd"))</f>
        <v/>
      </c>
    </row>
    <row r="39" customFormat="false" ht="15" hidden="false" customHeight="true" outlineLevel="0" collapsed="false">
      <c r="B39" s="113"/>
      <c r="C39" s="12"/>
      <c r="D39" s="14"/>
      <c r="E39" s="12"/>
      <c r="F39" s="114" t="str">
        <f aca="false">IF($C39="","",$C39&amp;"  |  "&amp;TEXT($B39,"yyyy-mm-dd"))</f>
        <v/>
      </c>
    </row>
    <row r="40" customFormat="false" ht="15" hidden="false" customHeight="true" outlineLevel="0" collapsed="false">
      <c r="B40" s="115"/>
      <c r="C40" s="18"/>
      <c r="D40" s="20"/>
      <c r="E40" s="18"/>
      <c r="F40" s="114" t="str">
        <f aca="false">IF($C40="","",$C40&amp;"  |  "&amp;TEXT($B40,"yyyy-mm-dd"))</f>
        <v/>
      </c>
    </row>
    <row r="41" customFormat="false" ht="15" hidden="false" customHeight="true" outlineLevel="0" collapsed="false">
      <c r="B41" s="113"/>
      <c r="C41" s="12"/>
      <c r="D41" s="14"/>
      <c r="E41" s="12"/>
      <c r="F41" s="114" t="str">
        <f aca="false">IF($C41="","",$C41&amp;"  |  "&amp;TEXT($B41,"yyyy-mm-dd"))</f>
        <v/>
      </c>
    </row>
    <row r="42" customFormat="false" ht="15" hidden="false" customHeight="true" outlineLevel="0" collapsed="false">
      <c r="B42" s="115"/>
      <c r="C42" s="18"/>
      <c r="D42" s="20"/>
      <c r="E42" s="18"/>
      <c r="F42" s="114" t="str">
        <f aca="false">IF($C42="","",$C42&amp;"  |  "&amp;TEXT($B42,"yyyy-mm-dd"))</f>
        <v/>
      </c>
    </row>
    <row r="43" customFormat="false" ht="15" hidden="false" customHeight="true" outlineLevel="0" collapsed="false">
      <c r="B43" s="113"/>
      <c r="C43" s="12"/>
      <c r="D43" s="14"/>
      <c r="E43" s="12"/>
      <c r="F43" s="114" t="str">
        <f aca="false">IF($C43="","",$C43&amp;"  |  "&amp;TEXT($B43,"yyyy-mm-dd"))</f>
        <v/>
      </c>
    </row>
    <row r="44" customFormat="false" ht="15" hidden="false" customHeight="true" outlineLevel="0" collapsed="false">
      <c r="B44" s="115"/>
      <c r="C44" s="18"/>
      <c r="D44" s="20"/>
      <c r="E44" s="18"/>
      <c r="F44" s="114" t="str">
        <f aca="false">IF($C44="","",$C44&amp;"  |  "&amp;TEXT($B44,"yyyy-mm-dd"))</f>
        <v/>
      </c>
    </row>
    <row r="45" customFormat="false" ht="15" hidden="false" customHeight="true" outlineLevel="0" collapsed="false">
      <c r="B45" s="113"/>
      <c r="C45" s="12"/>
      <c r="D45" s="14"/>
      <c r="E45" s="12"/>
      <c r="F45" s="114" t="str">
        <f aca="false">IF($C45="","",$C45&amp;"  |  "&amp;TEXT($B45,"yyyy-mm-dd"))</f>
        <v/>
      </c>
    </row>
    <row r="46" customFormat="false" ht="15" hidden="false" customHeight="true" outlineLevel="0" collapsed="false">
      <c r="B46" s="115"/>
      <c r="C46" s="18"/>
      <c r="D46" s="20"/>
      <c r="E46" s="18"/>
      <c r="F46" s="114" t="str">
        <f aca="false">IF($C46="","",$C46&amp;"  |  "&amp;TEXT($B46,"yyyy-mm-dd"))</f>
        <v/>
      </c>
    </row>
    <row r="47" customFormat="false" ht="15" hidden="false" customHeight="true" outlineLevel="0" collapsed="false">
      <c r="B47" s="113"/>
      <c r="C47" s="12"/>
      <c r="D47" s="14"/>
      <c r="E47" s="12"/>
      <c r="F47" s="114" t="str">
        <f aca="false">IF($C47="","",$C47&amp;"  |  "&amp;TEXT($B47,"yyyy-mm-dd"))</f>
        <v/>
      </c>
    </row>
    <row r="48" customFormat="false" ht="15" hidden="false" customHeight="true" outlineLevel="0" collapsed="false">
      <c r="B48" s="115"/>
      <c r="C48" s="18"/>
      <c r="D48" s="20"/>
      <c r="E48" s="18"/>
      <c r="F48" s="114" t="str">
        <f aca="false">IF($C48="","",$C48&amp;"  |  "&amp;TEXT($B48,"yyyy-mm-dd"))</f>
        <v/>
      </c>
    </row>
    <row r="49" customFormat="false" ht="15" hidden="false" customHeight="true" outlineLevel="0" collapsed="false">
      <c r="B49" s="113"/>
      <c r="C49" s="12"/>
      <c r="D49" s="14"/>
      <c r="E49" s="12"/>
      <c r="F49" s="114" t="str">
        <f aca="false">IF($C49="","",$C49&amp;"  |  "&amp;TEXT($B49,"yyyy-mm-dd"))</f>
        <v/>
      </c>
    </row>
    <row r="50" customFormat="false" ht="15" hidden="false" customHeight="true" outlineLevel="0" collapsed="false">
      <c r="B50" s="115"/>
      <c r="C50" s="18"/>
      <c r="D50" s="20"/>
      <c r="E50" s="18"/>
      <c r="F50" s="114" t="str">
        <f aca="false">IF($C50="","",$C50&amp;"  |  "&amp;TEXT($B50,"yyyy-mm-dd"))</f>
        <v/>
      </c>
    </row>
    <row r="51" customFormat="false" ht="15" hidden="false" customHeight="true" outlineLevel="0" collapsed="false">
      <c r="B51" s="113"/>
      <c r="C51" s="12"/>
      <c r="D51" s="14"/>
      <c r="E51" s="12"/>
      <c r="F51" s="114" t="str">
        <f aca="false">IF($C51="","",$C51&amp;"  |  "&amp;TEXT($B51,"yyyy-mm-dd"))</f>
        <v/>
      </c>
    </row>
    <row r="52" customFormat="false" ht="15" hidden="false" customHeight="true" outlineLevel="0" collapsed="false">
      <c r="B52" s="115"/>
      <c r="C52" s="18"/>
      <c r="D52" s="20"/>
      <c r="E52" s="18"/>
      <c r="F52" s="114" t="str">
        <f aca="false">IF($C52="","",$C52&amp;"  |  "&amp;TEXT($B52,"yyyy-mm-dd"))</f>
        <v/>
      </c>
    </row>
    <row r="53" customFormat="false" ht="15" hidden="false" customHeight="true" outlineLevel="0" collapsed="false">
      <c r="B53" s="113"/>
      <c r="C53" s="12"/>
      <c r="D53" s="14"/>
      <c r="E53" s="12"/>
      <c r="F53" s="114" t="str">
        <f aca="false">IF($C53="","",$C53&amp;"  |  "&amp;TEXT($B53,"yyyy-mm-dd"))</f>
        <v/>
      </c>
    </row>
    <row r="54" customFormat="false" ht="15" hidden="false" customHeight="true" outlineLevel="0" collapsed="false">
      <c r="B54" s="115"/>
      <c r="C54" s="18"/>
      <c r="D54" s="20"/>
      <c r="E54" s="18"/>
      <c r="F54" s="114" t="str">
        <f aca="false">IF($C54="","",$C54&amp;"  |  "&amp;TEXT($B54,"yyyy-mm-dd"))</f>
        <v/>
      </c>
    </row>
    <row r="55" customFormat="false" ht="15" hidden="false" customHeight="true" outlineLevel="0" collapsed="false">
      <c r="B55" s="113"/>
      <c r="C55" s="12"/>
      <c r="D55" s="14"/>
      <c r="E55" s="12"/>
      <c r="F55" s="114" t="str">
        <f aca="false">IF($C55="","",$C55&amp;"  |  "&amp;TEXT($B55,"yyyy-mm-dd"))</f>
        <v/>
      </c>
    </row>
    <row r="56" customFormat="false" ht="15" hidden="false" customHeight="true" outlineLevel="0" collapsed="false">
      <c r="B56" s="115"/>
      <c r="C56" s="18"/>
      <c r="D56" s="20"/>
      <c r="E56" s="18"/>
      <c r="F56" s="114" t="str">
        <f aca="false">IF($C56="","",$C56&amp;"  |  "&amp;TEXT($B56,"yyyy-mm-dd"))</f>
        <v/>
      </c>
    </row>
    <row r="57" customFormat="false" ht="15" hidden="false" customHeight="true" outlineLevel="0" collapsed="false">
      <c r="B57" s="113"/>
      <c r="C57" s="12"/>
      <c r="D57" s="14"/>
      <c r="E57" s="12"/>
      <c r="F57" s="114" t="str">
        <f aca="false">IF($C57="","",$C57&amp;"  |  "&amp;TEXT($B57,"yyyy-mm-dd"))</f>
        <v/>
      </c>
    </row>
    <row r="58" customFormat="false" ht="15" hidden="false" customHeight="true" outlineLevel="0" collapsed="false">
      <c r="B58" s="115"/>
      <c r="C58" s="18"/>
      <c r="D58" s="20"/>
      <c r="E58" s="18"/>
      <c r="F58" s="114" t="str">
        <f aca="false">IF($C58="","",$C58&amp;"  |  "&amp;TEXT($B58,"yyyy-mm-dd"))</f>
        <v/>
      </c>
    </row>
    <row r="59" customFormat="false" ht="15" hidden="false" customHeight="true" outlineLevel="0" collapsed="false">
      <c r="B59" s="113"/>
      <c r="C59" s="12"/>
      <c r="D59" s="14"/>
      <c r="E59" s="12"/>
      <c r="F59" s="114" t="str">
        <f aca="false">IF($C59="","",$C59&amp;"  |  "&amp;TEXT($B59,"yyyy-mm-dd"))</f>
        <v/>
      </c>
    </row>
    <row r="60" customFormat="false" ht="15" hidden="false" customHeight="true" outlineLevel="0" collapsed="false">
      <c r="B60" s="115"/>
      <c r="C60" s="18"/>
      <c r="D60" s="20"/>
      <c r="E60" s="18"/>
      <c r="F60" s="114" t="str">
        <f aca="false">IF($C60="","",$C60&amp;"  |  "&amp;TEXT($B60,"yyyy-mm-dd"))</f>
        <v/>
      </c>
    </row>
    <row r="61" customFormat="false" ht="15" hidden="false" customHeight="true" outlineLevel="0" collapsed="false">
      <c r="B61" s="113"/>
      <c r="C61" s="12"/>
      <c r="D61" s="14"/>
      <c r="E61" s="12"/>
      <c r="F61" s="114" t="str">
        <f aca="false">IF($C61="","",$C61&amp;"  |  "&amp;TEXT($B61,"yyyy-mm-dd"))</f>
        <v/>
      </c>
    </row>
    <row r="62" customFormat="false" ht="15" hidden="false" customHeight="true" outlineLevel="0" collapsed="false">
      <c r="B62" s="115"/>
      <c r="C62" s="18"/>
      <c r="D62" s="20"/>
      <c r="E62" s="18"/>
      <c r="F62" s="114" t="str">
        <f aca="false">IF($C62="","",$C62&amp;"  |  "&amp;TEXT($B62,"yyyy-mm-dd"))</f>
        <v/>
      </c>
    </row>
    <row r="63" customFormat="false" ht="15" hidden="false" customHeight="true" outlineLevel="0" collapsed="false">
      <c r="B63" s="113"/>
      <c r="C63" s="12"/>
      <c r="D63" s="14"/>
      <c r="E63" s="12"/>
      <c r="F63" s="114" t="str">
        <f aca="false">IF($C63="","",$C63&amp;"  |  "&amp;TEXT($B63,"yyyy-mm-dd"))</f>
        <v/>
      </c>
    </row>
    <row r="64" customFormat="false" ht="15" hidden="false" customHeight="true" outlineLevel="0" collapsed="false">
      <c r="B64" s="115"/>
      <c r="C64" s="18"/>
      <c r="D64" s="20"/>
      <c r="E64" s="18"/>
      <c r="F64" s="114" t="str">
        <f aca="false">IF($C64="","",$C64&amp;"  |  "&amp;TEXT($B64,"yyyy-mm-dd"))</f>
        <v/>
      </c>
    </row>
    <row r="65" customFormat="false" ht="15" hidden="false" customHeight="true" outlineLevel="0" collapsed="false">
      <c r="B65" s="113"/>
      <c r="C65" s="12"/>
      <c r="D65" s="14"/>
      <c r="E65" s="12"/>
      <c r="F65" s="114" t="str">
        <f aca="false">IF($C65="","",$C65&amp;"  |  "&amp;TEXT($B65,"yyyy-mm-dd"))</f>
        <v/>
      </c>
    </row>
    <row r="66" customFormat="false" ht="15" hidden="false" customHeight="true" outlineLevel="0" collapsed="false">
      <c r="B66" s="115"/>
      <c r="C66" s="18"/>
      <c r="D66" s="20"/>
      <c r="E66" s="18"/>
      <c r="F66" s="114" t="str">
        <f aca="false">IF($C66="","",$C66&amp;"  |  "&amp;TEXT($B66,"yyyy-mm-dd"))</f>
        <v/>
      </c>
    </row>
    <row r="67" customFormat="false" ht="15" hidden="false" customHeight="true" outlineLevel="0" collapsed="false">
      <c r="B67" s="113"/>
      <c r="C67" s="12"/>
      <c r="D67" s="14"/>
      <c r="E67" s="12"/>
      <c r="F67" s="114" t="str">
        <f aca="false">IF($C67="","",$C67&amp;"  |  "&amp;TEXT($B67,"yyyy-mm-dd"))</f>
        <v/>
      </c>
    </row>
    <row r="68" customFormat="false" ht="15" hidden="false" customHeight="true" outlineLevel="0" collapsed="false">
      <c r="B68" s="115"/>
      <c r="C68" s="18"/>
      <c r="D68" s="20"/>
      <c r="E68" s="18"/>
      <c r="F68" s="114" t="str">
        <f aca="false">IF($C68="","",$C68&amp;"  |  "&amp;TEXT($B68,"yyyy-mm-dd"))</f>
        <v/>
      </c>
    </row>
    <row r="69" customFormat="false" ht="15" hidden="false" customHeight="true" outlineLevel="0" collapsed="false">
      <c r="B69" s="113"/>
      <c r="C69" s="12"/>
      <c r="D69" s="14"/>
      <c r="E69" s="12"/>
      <c r="F69" s="114" t="str">
        <f aca="false">IF($C69="","",$C69&amp;"  |  "&amp;TEXT($B69,"yyyy-mm-dd"))</f>
        <v/>
      </c>
    </row>
    <row r="70" customFormat="false" ht="15" hidden="false" customHeight="true" outlineLevel="0" collapsed="false">
      <c r="B70" s="115"/>
      <c r="C70" s="18"/>
      <c r="D70" s="20"/>
      <c r="E70" s="18"/>
      <c r="F70" s="114" t="str">
        <f aca="false">IF($C70="","",$C70&amp;"  |  "&amp;TEXT($B70,"yyyy-mm-dd"))</f>
        <v/>
      </c>
    </row>
    <row r="71" customFormat="false" ht="15" hidden="false" customHeight="true" outlineLevel="0" collapsed="false">
      <c r="B71" s="113"/>
      <c r="C71" s="12"/>
      <c r="D71" s="14"/>
      <c r="E71" s="12"/>
      <c r="F71" s="114" t="str">
        <f aca="false">IF($C71="","",$C71&amp;"  |  "&amp;TEXT($B71,"yyyy-mm-dd"))</f>
        <v/>
      </c>
    </row>
    <row r="72" customFormat="false" ht="15" hidden="false" customHeight="true" outlineLevel="0" collapsed="false">
      <c r="B72" s="115"/>
      <c r="C72" s="18"/>
      <c r="D72" s="20"/>
      <c r="E72" s="18"/>
      <c r="F72" s="114" t="str">
        <f aca="false">IF($C72="","",$C72&amp;"  |  "&amp;TEXT($B72,"yyyy-mm-dd"))</f>
        <v/>
      </c>
    </row>
    <row r="73" customFormat="false" ht="15" hidden="false" customHeight="true" outlineLevel="0" collapsed="false">
      <c r="B73" s="113"/>
      <c r="C73" s="12"/>
      <c r="D73" s="14"/>
      <c r="E73" s="12"/>
      <c r="F73" s="114" t="str">
        <f aca="false">IF($C73="","",$C73&amp;"  |  "&amp;TEXT($B73,"yyyy-mm-dd"))</f>
        <v/>
      </c>
    </row>
    <row r="74" customFormat="false" ht="15" hidden="false" customHeight="true" outlineLevel="0" collapsed="false">
      <c r="B74" s="115"/>
      <c r="C74" s="18"/>
      <c r="D74" s="20"/>
      <c r="E74" s="18"/>
      <c r="F74" s="114" t="str">
        <f aca="false">IF($C74="","",$C74&amp;"  |  "&amp;TEXT($B74,"yyyy-mm-dd"))</f>
        <v/>
      </c>
    </row>
    <row r="75" customFormat="false" ht="15" hidden="false" customHeight="true" outlineLevel="0" collapsed="false">
      <c r="B75" s="113"/>
      <c r="C75" s="12"/>
      <c r="D75" s="14"/>
      <c r="E75" s="12"/>
      <c r="F75" s="114" t="str">
        <f aca="false">IF($C75="","",$C75&amp;"  |  "&amp;TEXT($B75,"yyyy-mm-dd"))</f>
        <v/>
      </c>
    </row>
    <row r="76" customFormat="false" ht="15" hidden="false" customHeight="true" outlineLevel="0" collapsed="false">
      <c r="B76" s="115"/>
      <c r="C76" s="18"/>
      <c r="D76" s="20"/>
      <c r="E76" s="18"/>
      <c r="F76" s="114" t="str">
        <f aca="false">IF($C76="","",$C76&amp;"  |  "&amp;TEXT($B76,"yyyy-mm-dd"))</f>
        <v/>
      </c>
    </row>
    <row r="77" customFormat="false" ht="15" hidden="false" customHeight="true" outlineLevel="0" collapsed="false">
      <c r="B77" s="113"/>
      <c r="C77" s="12"/>
      <c r="D77" s="14"/>
      <c r="E77" s="12"/>
      <c r="F77" s="114" t="str">
        <f aca="false">IF($C77="","",$C77&amp;"  |  "&amp;TEXT($B77,"yyyy-mm-dd"))</f>
        <v/>
      </c>
    </row>
    <row r="78" customFormat="false" ht="15" hidden="false" customHeight="true" outlineLevel="0" collapsed="false">
      <c r="B78" s="115"/>
      <c r="C78" s="18"/>
      <c r="D78" s="20"/>
      <c r="E78" s="18"/>
      <c r="F78" s="114" t="str">
        <f aca="false">IF($C78="","",$C78&amp;"  |  "&amp;TEXT($B78,"yyyy-mm-dd"))</f>
        <v/>
      </c>
    </row>
    <row r="79" customFormat="false" ht="15" hidden="false" customHeight="true" outlineLevel="0" collapsed="false">
      <c r="B79" s="113"/>
      <c r="C79" s="12"/>
      <c r="D79" s="14"/>
      <c r="E79" s="12"/>
      <c r="F79" s="114" t="str">
        <f aca="false">IF($C79="","",$C79&amp;"  |  "&amp;TEXT($B79,"yyyy-mm-dd"))</f>
        <v/>
      </c>
    </row>
    <row r="80" customFormat="false" ht="15" hidden="false" customHeight="true" outlineLevel="0" collapsed="false">
      <c r="B80" s="115"/>
      <c r="C80" s="18"/>
      <c r="D80" s="20"/>
      <c r="E80" s="18"/>
      <c r="F80" s="114" t="str">
        <f aca="false">IF($C80="","",$C80&amp;"  |  "&amp;TEXT($B80,"yyyy-mm-dd"))</f>
        <v/>
      </c>
    </row>
    <row r="81" customFormat="false" ht="15" hidden="false" customHeight="true" outlineLevel="0" collapsed="false">
      <c r="B81" s="113"/>
      <c r="C81" s="12"/>
      <c r="D81" s="14"/>
      <c r="E81" s="12"/>
      <c r="F81" s="114" t="str">
        <f aca="false">IF($C81="","",$C81&amp;"  |  "&amp;TEXT($B81,"yyyy-mm-dd"))</f>
        <v/>
      </c>
    </row>
    <row r="82" customFormat="false" ht="15" hidden="false" customHeight="true" outlineLevel="0" collapsed="false">
      <c r="B82" s="115"/>
      <c r="C82" s="18"/>
      <c r="D82" s="20"/>
      <c r="E82" s="18"/>
      <c r="F82" s="114" t="str">
        <f aca="false">IF($C82="","",$C82&amp;"  |  "&amp;TEXT($B82,"yyyy-mm-dd"))</f>
        <v/>
      </c>
    </row>
    <row r="83" customFormat="false" ht="15" hidden="false" customHeight="true" outlineLevel="0" collapsed="false">
      <c r="B83" s="113"/>
      <c r="C83" s="12"/>
      <c r="D83" s="14"/>
      <c r="E83" s="12"/>
      <c r="F83" s="114" t="str">
        <f aca="false">IF($C83="","",$C83&amp;"  |  "&amp;TEXT($B83,"yyyy-mm-dd"))</f>
        <v/>
      </c>
    </row>
    <row r="84" customFormat="false" ht="15" hidden="false" customHeight="true" outlineLevel="0" collapsed="false">
      <c r="B84" s="115"/>
      <c r="C84" s="18"/>
      <c r="D84" s="20"/>
      <c r="E84" s="18"/>
      <c r="F84" s="114" t="str">
        <f aca="false">IF($C84="","",$C84&amp;"  |  "&amp;TEXT($B84,"yyyy-mm-dd"))</f>
        <v/>
      </c>
    </row>
    <row r="85" customFormat="false" ht="15" hidden="false" customHeight="true" outlineLevel="0" collapsed="false">
      <c r="B85" s="113"/>
      <c r="C85" s="12"/>
      <c r="D85" s="14"/>
      <c r="E85" s="12"/>
      <c r="F85" s="114" t="str">
        <f aca="false">IF($C85="","",$C85&amp;"  |  "&amp;TEXT($B85,"yyyy-mm-dd"))</f>
        <v/>
      </c>
    </row>
    <row r="86" customFormat="false" ht="15" hidden="false" customHeight="true" outlineLevel="0" collapsed="false">
      <c r="B86" s="115"/>
      <c r="C86" s="18"/>
      <c r="D86" s="20"/>
      <c r="E86" s="18"/>
      <c r="F86" s="114" t="str">
        <f aca="false">IF($C86="","",$C86&amp;"  |  "&amp;TEXT($B86,"yyyy-mm-dd"))</f>
        <v/>
      </c>
    </row>
    <row r="87" customFormat="false" ht="15" hidden="false" customHeight="true" outlineLevel="0" collapsed="false">
      <c r="B87" s="113"/>
      <c r="C87" s="12"/>
      <c r="D87" s="14"/>
      <c r="E87" s="12"/>
      <c r="F87" s="114" t="str">
        <f aca="false">IF($C87="","",$C87&amp;"  |  "&amp;TEXT($B87,"yyyy-mm-dd"))</f>
        <v/>
      </c>
    </row>
    <row r="88" customFormat="false" ht="15" hidden="false" customHeight="true" outlineLevel="0" collapsed="false">
      <c r="B88" s="115"/>
      <c r="C88" s="18"/>
      <c r="D88" s="20"/>
      <c r="E88" s="18"/>
      <c r="F88" s="114" t="str">
        <f aca="false">IF($C88="","",$C88&amp;"  |  "&amp;TEXT($B88,"yyyy-mm-dd"))</f>
        <v/>
      </c>
    </row>
    <row r="89" customFormat="false" ht="15" hidden="false" customHeight="true" outlineLevel="0" collapsed="false">
      <c r="B89" s="113"/>
      <c r="C89" s="12"/>
      <c r="D89" s="14"/>
      <c r="E89" s="12"/>
      <c r="F89" s="114" t="str">
        <f aca="false">IF($C89="","",$C89&amp;"  |  "&amp;TEXT($B89,"yyyy-mm-dd"))</f>
        <v/>
      </c>
    </row>
    <row r="90" customFormat="false" ht="15" hidden="false" customHeight="true" outlineLevel="0" collapsed="false">
      <c r="B90" s="115"/>
      <c r="C90" s="18"/>
      <c r="D90" s="20"/>
      <c r="E90" s="18"/>
      <c r="F90" s="114" t="str">
        <f aca="false">IF($C90="","",$C90&amp;"  |  "&amp;TEXT($B90,"yyyy-mm-dd"))</f>
        <v/>
      </c>
    </row>
    <row r="91" customFormat="false" ht="15" hidden="false" customHeight="true" outlineLevel="0" collapsed="false">
      <c r="B91" s="113"/>
      <c r="C91" s="12"/>
      <c r="D91" s="14"/>
      <c r="E91" s="12"/>
      <c r="F91" s="114" t="str">
        <f aca="false">IF($C91="","",$C91&amp;"  |  "&amp;TEXT($B91,"yyyy-mm-dd"))</f>
        <v/>
      </c>
    </row>
    <row r="92" customFormat="false" ht="15" hidden="false" customHeight="true" outlineLevel="0" collapsed="false">
      <c r="B92" s="115"/>
      <c r="C92" s="18"/>
      <c r="D92" s="20"/>
      <c r="E92" s="18"/>
      <c r="F92" s="114" t="str">
        <f aca="false">IF($C92="","",$C92&amp;"  |  "&amp;TEXT($B92,"yyyy-mm-dd"))</f>
        <v/>
      </c>
    </row>
    <row r="93" customFormat="false" ht="15" hidden="false" customHeight="true" outlineLevel="0" collapsed="false">
      <c r="B93" s="113"/>
      <c r="C93" s="12"/>
      <c r="D93" s="14"/>
      <c r="E93" s="12"/>
      <c r="F93" s="114" t="str">
        <f aca="false">IF($C93="","",$C93&amp;"  |  "&amp;TEXT($B93,"yyyy-mm-dd"))</f>
        <v/>
      </c>
    </row>
    <row r="94" customFormat="false" ht="15" hidden="false" customHeight="true" outlineLevel="0" collapsed="false">
      <c r="B94" s="115"/>
      <c r="C94" s="18"/>
      <c r="D94" s="20"/>
      <c r="E94" s="18"/>
      <c r="F94" s="114" t="str">
        <f aca="false">IF($C94="","",$C94&amp;"  |  "&amp;TEXT($B94,"yyyy-mm-dd"))</f>
        <v/>
      </c>
    </row>
    <row r="95" customFormat="false" ht="15" hidden="false" customHeight="true" outlineLevel="0" collapsed="false">
      <c r="B95" s="113"/>
      <c r="C95" s="12"/>
      <c r="D95" s="14"/>
      <c r="E95" s="12"/>
      <c r="F95" s="114" t="str">
        <f aca="false">IF($C95="","",$C95&amp;"  |  "&amp;TEXT($B95,"yyyy-mm-dd"))</f>
        <v/>
      </c>
    </row>
    <row r="96" customFormat="false" ht="15" hidden="false" customHeight="true" outlineLevel="0" collapsed="false">
      <c r="B96" s="115"/>
      <c r="C96" s="18"/>
      <c r="D96" s="20"/>
      <c r="E96" s="18"/>
      <c r="F96" s="114" t="str">
        <f aca="false">IF($C96="","",$C96&amp;"  |  "&amp;TEXT($B96,"yyyy-mm-dd"))</f>
        <v/>
      </c>
    </row>
    <row r="97" customFormat="false" ht="15" hidden="false" customHeight="true" outlineLevel="0" collapsed="false">
      <c r="B97" s="113"/>
      <c r="C97" s="12"/>
      <c r="D97" s="14"/>
      <c r="E97" s="12"/>
      <c r="F97" s="114" t="str">
        <f aca="false">IF($C97="","",$C97&amp;"  |  "&amp;TEXT($B97,"yyyy-mm-dd"))</f>
        <v/>
      </c>
    </row>
    <row r="98" customFormat="false" ht="15" hidden="false" customHeight="true" outlineLevel="0" collapsed="false">
      <c r="B98" s="115"/>
      <c r="C98" s="18"/>
      <c r="D98" s="20"/>
      <c r="E98" s="18"/>
      <c r="F98" s="114" t="str">
        <f aca="false">IF($C98="","",$C98&amp;"  |  "&amp;TEXT($B98,"yyyy-mm-dd"))</f>
        <v/>
      </c>
    </row>
    <row r="99" customFormat="false" ht="15" hidden="false" customHeight="true" outlineLevel="0" collapsed="false">
      <c r="B99" s="113"/>
      <c r="C99" s="12"/>
      <c r="D99" s="14"/>
      <c r="E99" s="12"/>
      <c r="F99" s="114" t="str">
        <f aca="false">IF($C99="","",$C99&amp;"  |  "&amp;TEXT($B99,"yyyy-mm-dd"))</f>
        <v/>
      </c>
    </row>
    <row r="100" customFormat="false" ht="15" hidden="false" customHeight="true" outlineLevel="0" collapsed="false">
      <c r="B100" s="115"/>
      <c r="C100" s="18"/>
      <c r="D100" s="20"/>
      <c r="E100" s="18"/>
      <c r="F100" s="114" t="str">
        <f aca="false">IF($C100="","",$C100&amp;"  |  "&amp;TEXT($B100,"yyyy-mm-dd"))</f>
        <v/>
      </c>
    </row>
    <row r="101" customFormat="false" ht="15" hidden="false" customHeight="true" outlineLevel="0" collapsed="false">
      <c r="B101" s="113"/>
      <c r="C101" s="12"/>
      <c r="D101" s="14"/>
      <c r="E101" s="12"/>
      <c r="F101" s="114" t="str">
        <f aca="false">IF($C101="","",$C101&amp;"  |  "&amp;TEXT($B101,"yyyy-mm-dd"))</f>
        <v/>
      </c>
    </row>
    <row r="102" customFormat="false" ht="15" hidden="false" customHeight="true" outlineLevel="0" collapsed="false">
      <c r="B102" s="115"/>
      <c r="C102" s="18"/>
      <c r="D102" s="20"/>
      <c r="E102" s="18"/>
      <c r="F102" s="114" t="str">
        <f aca="false">IF($C102="","",$C102&amp;"  |  "&amp;TEXT($B102,"yyyy-mm-dd"))</f>
        <v/>
      </c>
    </row>
    <row r="103" customFormat="false" ht="15" hidden="false" customHeight="true" outlineLevel="0" collapsed="false">
      <c r="B103" s="113"/>
      <c r="C103" s="12"/>
      <c r="D103" s="14"/>
      <c r="E103" s="12"/>
      <c r="F103" s="114" t="str">
        <f aca="false">IF($C103="","",$C103&amp;"  |  "&amp;TEXT($B103,"yyyy-mm-dd"))</f>
        <v/>
      </c>
    </row>
    <row r="104" customFormat="false" ht="15" hidden="false" customHeight="true" outlineLevel="0" collapsed="false">
      <c r="B104" s="115"/>
      <c r="C104" s="18"/>
      <c r="D104" s="20"/>
      <c r="E104" s="18"/>
      <c r="F104" s="114" t="str">
        <f aca="false">IF($C104="","",$C104&amp;"  |  "&amp;TEXT($B104,"yyyy-mm-dd"))</f>
        <v/>
      </c>
    </row>
    <row r="105" customFormat="false" ht="15" hidden="false" customHeight="true" outlineLevel="0" collapsed="false">
      <c r="B105" s="113"/>
      <c r="C105" s="12"/>
      <c r="D105" s="14"/>
      <c r="E105" s="12"/>
      <c r="F105" s="114" t="str">
        <f aca="false">IF($C105="","",$C105&amp;"  |  "&amp;TEXT($B105,"yyyy-mm-dd"))</f>
        <v/>
      </c>
    </row>
    <row r="106" customFormat="false" ht="15" hidden="false" customHeight="true" outlineLevel="0" collapsed="false">
      <c r="B106" s="115"/>
      <c r="C106" s="18"/>
      <c r="D106" s="20"/>
      <c r="E106" s="18"/>
      <c r="F106" s="114" t="str">
        <f aca="false">IF($C106="","",$C106&amp;"  |  "&amp;TEXT($B106,"yyyy-mm-dd"))</f>
        <v/>
      </c>
    </row>
    <row r="107" customFormat="false" ht="15" hidden="false" customHeight="true" outlineLevel="0" collapsed="false">
      <c r="B107" s="113"/>
      <c r="C107" s="12"/>
      <c r="D107" s="14"/>
      <c r="E107" s="12"/>
      <c r="F107" s="114" t="str">
        <f aca="false">IF($C107="","",$C107&amp;"  |  "&amp;TEXT($B107,"yyyy-mm-dd"))</f>
        <v/>
      </c>
    </row>
    <row r="108" customFormat="false" ht="15" hidden="false" customHeight="true" outlineLevel="0" collapsed="false">
      <c r="B108" s="115"/>
      <c r="C108" s="18"/>
      <c r="D108" s="20"/>
      <c r="E108" s="18"/>
      <c r="F108" s="114" t="str">
        <f aca="false">IF($C108="","",$C108&amp;"  |  "&amp;TEXT($B108,"yyyy-mm-dd"))</f>
        <v/>
      </c>
    </row>
    <row r="109" customFormat="false" ht="15" hidden="false" customHeight="true" outlineLevel="0" collapsed="false">
      <c r="B109" s="113"/>
      <c r="C109" s="12"/>
      <c r="D109" s="14"/>
      <c r="E109" s="12"/>
      <c r="F109" s="114" t="str">
        <f aca="false">IF($C109="","",$C109&amp;"  |  "&amp;TEXT($B109,"yyyy-mm-dd"))</f>
        <v/>
      </c>
    </row>
    <row r="110" customFormat="false" ht="15" hidden="false" customHeight="true" outlineLevel="0" collapsed="false">
      <c r="B110" s="115"/>
      <c r="C110" s="18"/>
      <c r="D110" s="20"/>
      <c r="E110" s="18"/>
      <c r="F110" s="114" t="str">
        <f aca="false">IF($C110="","",$C110&amp;"  |  "&amp;TEXT($B110,"yyyy-mm-dd"))</f>
        <v/>
      </c>
    </row>
    <row r="111" customFormat="false" ht="15" hidden="false" customHeight="true" outlineLevel="0" collapsed="false">
      <c r="B111" s="113"/>
      <c r="C111" s="12"/>
      <c r="D111" s="14"/>
      <c r="E111" s="12"/>
      <c r="F111" s="114" t="str">
        <f aca="false">IF($C111="","",$C111&amp;"  |  "&amp;TEXT($B111,"yyyy-mm-dd"))</f>
        <v/>
      </c>
    </row>
    <row r="112" customFormat="false" ht="15" hidden="false" customHeight="true" outlineLevel="0" collapsed="false">
      <c r="B112" s="115"/>
      <c r="C112" s="18"/>
      <c r="D112" s="20"/>
      <c r="E112" s="18"/>
      <c r="F112" s="114" t="str">
        <f aca="false">IF($C112="","",$C112&amp;"  |  "&amp;TEXT($B112,"yyyy-mm-dd"))</f>
        <v/>
      </c>
    </row>
    <row r="113" customFormat="false" ht="15" hidden="false" customHeight="true" outlineLevel="0" collapsed="false">
      <c r="B113" s="113"/>
      <c r="C113" s="12"/>
      <c r="D113" s="14"/>
      <c r="E113" s="12"/>
      <c r="F113" s="114" t="str">
        <f aca="false">IF($C113="","",$C113&amp;"  |  "&amp;TEXT($B113,"yyyy-mm-dd"))</f>
        <v/>
      </c>
    </row>
    <row r="114" customFormat="false" ht="15" hidden="false" customHeight="true" outlineLevel="0" collapsed="false">
      <c r="B114" s="115"/>
      <c r="C114" s="18"/>
      <c r="D114" s="20"/>
      <c r="E114" s="18"/>
      <c r="F114" s="114" t="str">
        <f aca="false">IF($C114="","",$C114&amp;"  |  "&amp;TEXT($B114,"yyyy-mm-dd"))</f>
        <v/>
      </c>
    </row>
    <row r="115" customFormat="false" ht="15" hidden="false" customHeight="true" outlineLevel="0" collapsed="false">
      <c r="B115" s="113"/>
      <c r="C115" s="12"/>
      <c r="D115" s="14"/>
      <c r="E115" s="12"/>
      <c r="F115" s="114" t="str">
        <f aca="false">IF($C115="","",$C115&amp;"  |  "&amp;TEXT($B115,"yyyy-mm-dd"))</f>
        <v/>
      </c>
    </row>
    <row r="116" customFormat="false" ht="15" hidden="false" customHeight="true" outlineLevel="0" collapsed="false">
      <c r="B116" s="115"/>
      <c r="C116" s="18"/>
      <c r="D116" s="20"/>
      <c r="E116" s="18"/>
      <c r="F116" s="114" t="str">
        <f aca="false">IF($C116="","",$C116&amp;"  |  "&amp;TEXT($B116,"yyyy-mm-dd"))</f>
        <v/>
      </c>
    </row>
    <row r="117" customFormat="false" ht="15" hidden="false" customHeight="true" outlineLevel="0" collapsed="false">
      <c r="B117" s="113"/>
      <c r="C117" s="12"/>
      <c r="D117" s="14"/>
      <c r="E117" s="12"/>
      <c r="F117" s="114" t="str">
        <f aca="false">IF($C117="","",$C117&amp;"  |  "&amp;TEXT($B117,"yyyy-mm-dd"))</f>
        <v/>
      </c>
    </row>
    <row r="118" customFormat="false" ht="15" hidden="false" customHeight="true" outlineLevel="0" collapsed="false">
      <c r="B118" s="115"/>
      <c r="C118" s="18"/>
      <c r="D118" s="20"/>
      <c r="E118" s="18"/>
      <c r="F118" s="114" t="str">
        <f aca="false">IF($C118="","",$C118&amp;"  |  "&amp;TEXT($B118,"yyyy-mm-dd"))</f>
        <v/>
      </c>
    </row>
    <row r="119" customFormat="false" ht="15" hidden="false" customHeight="true" outlineLevel="0" collapsed="false">
      <c r="B119" s="113"/>
      <c r="C119" s="12"/>
      <c r="D119" s="14"/>
      <c r="E119" s="12"/>
      <c r="F119" s="114" t="str">
        <f aca="false">IF($C119="","",$C119&amp;"  |  "&amp;TEXT($B119,"yyyy-mm-dd"))</f>
        <v/>
      </c>
    </row>
    <row r="120" customFormat="false" ht="15" hidden="false" customHeight="true" outlineLevel="0" collapsed="false">
      <c r="B120" s="115"/>
      <c r="C120" s="18"/>
      <c r="D120" s="20"/>
      <c r="E120" s="18"/>
      <c r="F120" s="114" t="str">
        <f aca="false">IF($C120="","",$C120&amp;"  |  "&amp;TEXT($B120,"yyyy-mm-dd"))</f>
        <v/>
      </c>
    </row>
    <row r="121" customFormat="false" ht="15" hidden="false" customHeight="true" outlineLevel="0" collapsed="false">
      <c r="B121" s="113"/>
      <c r="C121" s="12"/>
      <c r="D121" s="14"/>
      <c r="E121" s="12"/>
      <c r="F121" s="114" t="str">
        <f aca="false">IF($C121="","",$C121&amp;"  |  "&amp;TEXT($B121,"yyyy-mm-dd"))</f>
        <v/>
      </c>
    </row>
    <row r="122" customFormat="false" ht="15" hidden="false" customHeight="true" outlineLevel="0" collapsed="false">
      <c r="B122" s="115"/>
      <c r="C122" s="18"/>
      <c r="D122" s="20"/>
      <c r="E122" s="18"/>
      <c r="F122" s="114" t="str">
        <f aca="false">IF($C122="","",$C122&amp;"  |  "&amp;TEXT($B122,"yyyy-mm-dd"))</f>
        <v/>
      </c>
    </row>
    <row r="123" customFormat="false" ht="15" hidden="false" customHeight="true" outlineLevel="0" collapsed="false">
      <c r="B123" s="113"/>
      <c r="C123" s="12"/>
      <c r="D123" s="14"/>
      <c r="E123" s="12"/>
      <c r="F123" s="114" t="str">
        <f aca="false">IF($C123="","",$C123&amp;"  |  "&amp;TEXT($B123,"yyyy-mm-dd"))</f>
        <v/>
      </c>
    </row>
    <row r="124" customFormat="false" ht="15" hidden="false" customHeight="true" outlineLevel="0" collapsed="false">
      <c r="B124" s="115"/>
      <c r="C124" s="18"/>
      <c r="D124" s="20"/>
      <c r="E124" s="18"/>
      <c r="F124" s="114" t="str">
        <f aca="false">IF($C124="","",$C124&amp;"  |  "&amp;TEXT($B124,"yyyy-mm-dd"))</f>
        <v/>
      </c>
    </row>
    <row r="125" customFormat="false" ht="15" hidden="false" customHeight="true" outlineLevel="0" collapsed="false">
      <c r="B125" s="113"/>
      <c r="C125" s="12"/>
      <c r="D125" s="14"/>
      <c r="E125" s="12"/>
      <c r="F125" s="114" t="str">
        <f aca="false">IF($C125="","",$C125&amp;"  |  "&amp;TEXT($B125,"yyyy-mm-dd"))</f>
        <v/>
      </c>
    </row>
    <row r="126" customFormat="false" ht="15" hidden="false" customHeight="true" outlineLevel="0" collapsed="false">
      <c r="B126" s="115"/>
      <c r="C126" s="18"/>
      <c r="D126" s="20"/>
      <c r="E126" s="18"/>
      <c r="F126" s="114" t="str">
        <f aca="false">IF($C126="","",$C126&amp;"  |  "&amp;TEXT($B126,"yyyy-mm-dd"))</f>
        <v/>
      </c>
    </row>
    <row r="127" customFormat="false" ht="15" hidden="false" customHeight="true" outlineLevel="0" collapsed="false">
      <c r="B127" s="113"/>
      <c r="C127" s="12"/>
      <c r="D127" s="14"/>
      <c r="E127" s="12"/>
      <c r="F127" s="114" t="str">
        <f aca="false">IF($C127="","",$C127&amp;"  |  "&amp;TEXT($B127,"yyyy-mm-dd"))</f>
        <v/>
      </c>
    </row>
    <row r="128" customFormat="false" ht="15" hidden="false" customHeight="true" outlineLevel="0" collapsed="false">
      <c r="B128" s="115"/>
      <c r="C128" s="18"/>
      <c r="D128" s="20"/>
      <c r="E128" s="18"/>
      <c r="F128" s="114" t="str">
        <f aca="false">IF($C128="","",$C128&amp;"  |  "&amp;TEXT($B128,"yyyy-mm-dd"))</f>
        <v/>
      </c>
    </row>
    <row r="129" customFormat="false" ht="15" hidden="false" customHeight="true" outlineLevel="0" collapsed="false">
      <c r="B129" s="113"/>
      <c r="C129" s="12"/>
      <c r="D129" s="14"/>
      <c r="E129" s="12"/>
      <c r="F129" s="114" t="str">
        <f aca="false">IF($C129="","",$C129&amp;"  |  "&amp;TEXT($B129,"yyyy-mm-dd"))</f>
        <v/>
      </c>
    </row>
    <row r="130" customFormat="false" ht="15" hidden="false" customHeight="true" outlineLevel="0" collapsed="false">
      <c r="B130" s="115"/>
      <c r="C130" s="18"/>
      <c r="D130" s="20"/>
      <c r="E130" s="18"/>
      <c r="F130" s="114" t="str">
        <f aca="false">IF($C130="","",$C130&amp;"  |  "&amp;TEXT($B130,"yyyy-mm-dd"))</f>
        <v/>
      </c>
    </row>
    <row r="131" customFormat="false" ht="15" hidden="false" customHeight="true" outlineLevel="0" collapsed="false">
      <c r="B131" s="113"/>
      <c r="C131" s="12"/>
      <c r="D131" s="14"/>
      <c r="E131" s="12"/>
      <c r="F131" s="114" t="str">
        <f aca="false">IF($C131="","",$C131&amp;"  |  "&amp;TEXT($B131,"yyyy-mm-dd"))</f>
        <v/>
      </c>
    </row>
    <row r="132" customFormat="false" ht="15" hidden="false" customHeight="true" outlineLevel="0" collapsed="false">
      <c r="B132" s="115"/>
      <c r="C132" s="18"/>
      <c r="D132" s="20"/>
      <c r="E132" s="18"/>
      <c r="F132" s="114" t="str">
        <f aca="false">IF($C132="","",$C132&amp;"  |  "&amp;TEXT($B132,"yyyy-mm-dd"))</f>
        <v/>
      </c>
    </row>
    <row r="133" customFormat="false" ht="15" hidden="false" customHeight="true" outlineLevel="0" collapsed="false">
      <c r="B133" s="113"/>
      <c r="C133" s="12"/>
      <c r="D133" s="14"/>
      <c r="E133" s="12"/>
      <c r="F133" s="114" t="str">
        <f aca="false">IF($C133="","",$C133&amp;"  |  "&amp;TEXT($B133,"yyyy-mm-dd"))</f>
        <v/>
      </c>
    </row>
    <row r="134" customFormat="false" ht="15" hidden="false" customHeight="true" outlineLevel="0" collapsed="false">
      <c r="B134" s="115"/>
      <c r="C134" s="18"/>
      <c r="D134" s="20"/>
      <c r="E134" s="18"/>
      <c r="F134" s="114" t="str">
        <f aca="false">IF($C134="","",$C134&amp;"  |  "&amp;TEXT($B134,"yyyy-mm-dd"))</f>
        <v/>
      </c>
    </row>
    <row r="135" customFormat="false" ht="15" hidden="false" customHeight="true" outlineLevel="0" collapsed="false">
      <c r="B135" s="113"/>
      <c r="C135" s="12"/>
      <c r="D135" s="14"/>
      <c r="E135" s="12"/>
      <c r="F135" s="114" t="str">
        <f aca="false">IF($C135="","",$C135&amp;"  |  "&amp;TEXT($B135,"yyyy-mm-dd"))</f>
        <v/>
      </c>
    </row>
    <row r="136" customFormat="false" ht="15" hidden="false" customHeight="true" outlineLevel="0" collapsed="false">
      <c r="B136" s="115"/>
      <c r="C136" s="18"/>
      <c r="D136" s="20"/>
      <c r="E136" s="18"/>
      <c r="F136" s="114" t="str">
        <f aca="false">IF($C136="","",$C136&amp;"  |  "&amp;TEXT($B136,"yyyy-mm-dd"))</f>
        <v/>
      </c>
    </row>
    <row r="137" customFormat="false" ht="15" hidden="false" customHeight="true" outlineLevel="0" collapsed="false">
      <c r="B137" s="113"/>
      <c r="C137" s="12"/>
      <c r="D137" s="14"/>
      <c r="E137" s="12"/>
      <c r="F137" s="114" t="str">
        <f aca="false">IF($C137="","",$C137&amp;"  |  "&amp;TEXT($B137,"yyyy-mm-dd"))</f>
        <v/>
      </c>
    </row>
    <row r="138" customFormat="false" ht="15" hidden="false" customHeight="true" outlineLevel="0" collapsed="false">
      <c r="B138" s="115"/>
      <c r="C138" s="18"/>
      <c r="D138" s="20"/>
      <c r="E138" s="18"/>
      <c r="F138" s="114" t="str">
        <f aca="false">IF($C138="","",$C138&amp;"  |  "&amp;TEXT($B138,"yyyy-mm-dd"))</f>
        <v/>
      </c>
    </row>
    <row r="139" customFormat="false" ht="15" hidden="false" customHeight="true" outlineLevel="0" collapsed="false">
      <c r="B139" s="113"/>
      <c r="C139" s="12"/>
      <c r="D139" s="14"/>
      <c r="E139" s="12"/>
      <c r="F139" s="114" t="str">
        <f aca="false">IF($C139="","",$C139&amp;"  |  "&amp;TEXT($B139,"yyyy-mm-dd"))</f>
        <v/>
      </c>
    </row>
    <row r="140" customFormat="false" ht="15" hidden="false" customHeight="true" outlineLevel="0" collapsed="false">
      <c r="B140" s="115"/>
      <c r="C140" s="18"/>
      <c r="D140" s="20"/>
      <c r="E140" s="18"/>
      <c r="F140" s="114" t="str">
        <f aca="false">IF($C140="","",$C140&amp;"  |  "&amp;TEXT($B140,"yyyy-mm-dd"))</f>
        <v/>
      </c>
    </row>
    <row r="141" customFormat="false" ht="15" hidden="false" customHeight="true" outlineLevel="0" collapsed="false">
      <c r="B141" s="113"/>
      <c r="C141" s="12"/>
      <c r="D141" s="14"/>
      <c r="E141" s="12"/>
      <c r="F141" s="114" t="str">
        <f aca="false">IF($C141="","",$C141&amp;"  |  "&amp;TEXT($B141,"yyyy-mm-dd"))</f>
        <v/>
      </c>
    </row>
    <row r="142" customFormat="false" ht="15" hidden="false" customHeight="true" outlineLevel="0" collapsed="false">
      <c r="B142" s="115"/>
      <c r="C142" s="18"/>
      <c r="D142" s="20"/>
      <c r="E142" s="18"/>
      <c r="F142" s="114" t="str">
        <f aca="false">IF($C142="","",$C142&amp;"  |  "&amp;TEXT($B142,"yyyy-mm-dd"))</f>
        <v/>
      </c>
    </row>
    <row r="143" customFormat="false" ht="15" hidden="false" customHeight="true" outlineLevel="0" collapsed="false">
      <c r="B143" s="113"/>
      <c r="C143" s="12"/>
      <c r="D143" s="14"/>
      <c r="E143" s="12"/>
      <c r="F143" s="114" t="str">
        <f aca="false">IF($C143="","",$C143&amp;"  |  "&amp;TEXT($B143,"yyyy-mm-dd"))</f>
        <v/>
      </c>
    </row>
    <row r="144" customFormat="false" ht="15" hidden="false" customHeight="true" outlineLevel="0" collapsed="false">
      <c r="B144" s="115"/>
      <c r="C144" s="18"/>
      <c r="D144" s="20"/>
      <c r="E144" s="18"/>
      <c r="F144" s="114" t="str">
        <f aca="false">IF($C144="","",$C144&amp;"  |  "&amp;TEXT($B144,"yyyy-mm-dd"))</f>
        <v/>
      </c>
    </row>
    <row r="145" customFormat="false" ht="15" hidden="false" customHeight="true" outlineLevel="0" collapsed="false">
      <c r="B145" s="113"/>
      <c r="C145" s="12"/>
      <c r="D145" s="14"/>
      <c r="E145" s="12"/>
      <c r="F145" s="114" t="str">
        <f aca="false">IF($C145="","",$C145&amp;"  |  "&amp;TEXT($B145,"yyyy-mm-dd"))</f>
        <v/>
      </c>
    </row>
    <row r="146" customFormat="false" ht="15" hidden="false" customHeight="true" outlineLevel="0" collapsed="false">
      <c r="B146" s="115"/>
      <c r="C146" s="18"/>
      <c r="D146" s="20"/>
      <c r="E146" s="18"/>
      <c r="F146" s="114" t="str">
        <f aca="false">IF($C146="","",$C146&amp;"  |  "&amp;TEXT($B146,"yyyy-mm-dd"))</f>
        <v/>
      </c>
    </row>
    <row r="147" customFormat="false" ht="15" hidden="false" customHeight="true" outlineLevel="0" collapsed="false">
      <c r="B147" s="113"/>
      <c r="C147" s="12"/>
      <c r="D147" s="14"/>
      <c r="E147" s="12"/>
      <c r="F147" s="114" t="str">
        <f aca="false">IF($C147="","",$C147&amp;"  |  "&amp;TEXT($B147,"yyyy-mm-dd"))</f>
        <v/>
      </c>
    </row>
    <row r="148" customFormat="false" ht="15" hidden="false" customHeight="true" outlineLevel="0" collapsed="false">
      <c r="B148" s="115"/>
      <c r="C148" s="18"/>
      <c r="D148" s="20"/>
      <c r="E148" s="18"/>
      <c r="F148" s="114" t="str">
        <f aca="false">IF($C148="","",$C148&amp;"  |  "&amp;TEXT($B148,"yyyy-mm-dd"))</f>
        <v/>
      </c>
    </row>
    <row r="149" customFormat="false" ht="15" hidden="false" customHeight="true" outlineLevel="0" collapsed="false">
      <c r="B149" s="113"/>
      <c r="C149" s="12"/>
      <c r="D149" s="14"/>
      <c r="E149" s="12"/>
      <c r="F149" s="114" t="str">
        <f aca="false">IF($C149="","",$C149&amp;"  |  "&amp;TEXT($B149,"yyyy-mm-dd"))</f>
        <v/>
      </c>
    </row>
    <row r="150" customFormat="false" ht="15" hidden="false" customHeight="true" outlineLevel="0" collapsed="false">
      <c r="B150" s="115"/>
      <c r="C150" s="18"/>
      <c r="D150" s="20"/>
      <c r="E150" s="18"/>
      <c r="F150" s="114" t="str">
        <f aca="false">IF($C150="","",$C150&amp;"  |  "&amp;TEXT($B150,"yyyy-mm-dd"))</f>
        <v/>
      </c>
    </row>
    <row r="151" customFormat="false" ht="15" hidden="false" customHeight="true" outlineLevel="0" collapsed="false">
      <c r="B151" s="113"/>
      <c r="C151" s="12"/>
      <c r="D151" s="14"/>
      <c r="E151" s="12"/>
      <c r="F151" s="114" t="str">
        <f aca="false">IF($C151="","",$C151&amp;"  |  "&amp;TEXT($B151,"yyyy-mm-dd"))</f>
        <v/>
      </c>
    </row>
    <row r="152" customFormat="false" ht="15" hidden="false" customHeight="true" outlineLevel="0" collapsed="false">
      <c r="B152" s="115"/>
      <c r="C152" s="18"/>
      <c r="D152" s="20"/>
      <c r="E152" s="18"/>
      <c r="F152" s="114" t="str">
        <f aca="false">IF($C152="","",$C152&amp;"  |  "&amp;TEXT($B152,"yyyy-mm-dd"))</f>
        <v/>
      </c>
    </row>
    <row r="153" customFormat="false" ht="15" hidden="false" customHeight="true" outlineLevel="0" collapsed="false">
      <c r="B153" s="113"/>
      <c r="C153" s="12"/>
      <c r="D153" s="14"/>
      <c r="E153" s="12"/>
      <c r="F153" s="114" t="str">
        <f aca="false">IF($C153="","",$C153&amp;"  |  "&amp;TEXT($B153,"yyyy-mm-dd"))</f>
        <v/>
      </c>
    </row>
    <row r="154" customFormat="false" ht="15" hidden="false" customHeight="true" outlineLevel="0" collapsed="false">
      <c r="B154" s="115"/>
      <c r="C154" s="18"/>
      <c r="D154" s="20"/>
      <c r="E154" s="18"/>
      <c r="F154" s="114" t="str">
        <f aca="false">IF($C154="","",$C154&amp;"  |  "&amp;TEXT($B154,"yyyy-mm-dd"))</f>
        <v/>
      </c>
    </row>
    <row r="155" customFormat="false" ht="15" hidden="false" customHeight="true" outlineLevel="0" collapsed="false">
      <c r="B155" s="113"/>
      <c r="C155" s="12"/>
      <c r="D155" s="14"/>
      <c r="E155" s="12"/>
      <c r="F155" s="114" t="str">
        <f aca="false">IF($C155="","",$C155&amp;"  |  "&amp;TEXT($B155,"yyyy-mm-dd"))</f>
        <v/>
      </c>
    </row>
    <row r="156" customFormat="false" ht="15" hidden="false" customHeight="true" outlineLevel="0" collapsed="false">
      <c r="B156" s="115"/>
      <c r="C156" s="18"/>
      <c r="D156" s="20"/>
      <c r="E156" s="18"/>
      <c r="F156" s="114" t="str">
        <f aca="false">IF($C156="","",$C156&amp;"  |  "&amp;TEXT($B156,"yyyy-mm-dd"))</f>
        <v/>
      </c>
    </row>
    <row r="157" customFormat="false" ht="15" hidden="false" customHeight="true" outlineLevel="0" collapsed="false">
      <c r="B157" s="113"/>
      <c r="C157" s="12"/>
      <c r="D157" s="14"/>
      <c r="E157" s="12"/>
      <c r="F157" s="114" t="str">
        <f aca="false">IF($C157="","",$C157&amp;"  |  "&amp;TEXT($B157,"yyyy-mm-dd"))</f>
        <v/>
      </c>
    </row>
    <row r="158" customFormat="false" ht="15" hidden="false" customHeight="true" outlineLevel="0" collapsed="false">
      <c r="B158" s="115"/>
      <c r="C158" s="18"/>
      <c r="D158" s="20"/>
      <c r="E158" s="18"/>
      <c r="F158" s="114" t="str">
        <f aca="false">IF($C158="","",$C158&amp;"  |  "&amp;TEXT($B158,"yyyy-mm-dd"))</f>
        <v/>
      </c>
    </row>
    <row r="159" customFormat="false" ht="15" hidden="false" customHeight="true" outlineLevel="0" collapsed="false">
      <c r="B159" s="113"/>
      <c r="C159" s="12"/>
      <c r="D159" s="14"/>
      <c r="E159" s="12"/>
      <c r="F159" s="114" t="str">
        <f aca="false">IF($C159="","",$C159&amp;"  |  "&amp;TEXT($B159,"yyyy-mm-dd"))</f>
        <v/>
      </c>
    </row>
    <row r="160" customFormat="false" ht="15" hidden="false" customHeight="true" outlineLevel="0" collapsed="false">
      <c r="B160" s="115"/>
      <c r="C160" s="18"/>
      <c r="D160" s="20"/>
      <c r="E160" s="18"/>
      <c r="F160" s="114" t="str">
        <f aca="false">IF($C160="","",$C160&amp;"  |  "&amp;TEXT($B160,"yyyy-mm-dd"))</f>
        <v/>
      </c>
    </row>
    <row r="161" customFormat="false" ht="15" hidden="false" customHeight="true" outlineLevel="0" collapsed="false">
      <c r="B161" s="113"/>
      <c r="C161" s="12"/>
      <c r="D161" s="14"/>
      <c r="E161" s="12"/>
      <c r="F161" s="114" t="str">
        <f aca="false">IF($C161="","",$C161&amp;"  |  "&amp;TEXT($B161,"yyyy-mm-dd"))</f>
        <v/>
      </c>
    </row>
    <row r="162" customFormat="false" ht="15" hidden="false" customHeight="true" outlineLevel="0" collapsed="false">
      <c r="B162" s="115"/>
      <c r="C162" s="18"/>
      <c r="D162" s="20"/>
      <c r="E162" s="18"/>
      <c r="F162" s="114" t="str">
        <f aca="false">IF($C162="","",$C162&amp;"  |  "&amp;TEXT($B162,"yyyy-mm-dd"))</f>
        <v/>
      </c>
    </row>
    <row r="163" customFormat="false" ht="15" hidden="false" customHeight="true" outlineLevel="0" collapsed="false">
      <c r="B163" s="113"/>
      <c r="C163" s="12"/>
      <c r="D163" s="14"/>
      <c r="E163" s="12"/>
      <c r="F163" s="114" t="str">
        <f aca="false">IF($C163="","",$C163&amp;"  |  "&amp;TEXT($B163,"yyyy-mm-dd"))</f>
        <v/>
      </c>
    </row>
    <row r="164" customFormat="false" ht="15" hidden="false" customHeight="true" outlineLevel="0" collapsed="false">
      <c r="B164" s="115"/>
      <c r="C164" s="18"/>
      <c r="D164" s="20"/>
      <c r="E164" s="18"/>
      <c r="F164" s="114" t="str">
        <f aca="false">IF($C164="","",$C164&amp;"  |  "&amp;TEXT($B164,"yyyy-mm-dd"))</f>
        <v/>
      </c>
    </row>
    <row r="165" customFormat="false" ht="15" hidden="false" customHeight="true" outlineLevel="0" collapsed="false">
      <c r="B165" s="113"/>
      <c r="C165" s="12"/>
      <c r="D165" s="14"/>
      <c r="E165" s="12"/>
      <c r="F165" s="114" t="str">
        <f aca="false">IF($C165="","",$C165&amp;"  |  "&amp;TEXT($B165,"yyyy-mm-dd"))</f>
        <v/>
      </c>
    </row>
    <row r="166" customFormat="false" ht="15" hidden="false" customHeight="true" outlineLevel="0" collapsed="false">
      <c r="B166" s="115"/>
      <c r="C166" s="18"/>
      <c r="D166" s="20"/>
      <c r="E166" s="18"/>
      <c r="F166" s="114" t="str">
        <f aca="false">IF($C166="","",$C166&amp;"  |  "&amp;TEXT($B166,"yyyy-mm-dd"))</f>
        <v/>
      </c>
    </row>
    <row r="167" customFormat="false" ht="15" hidden="false" customHeight="true" outlineLevel="0" collapsed="false">
      <c r="B167" s="113"/>
      <c r="C167" s="12"/>
      <c r="D167" s="14"/>
      <c r="E167" s="12"/>
      <c r="F167" s="114" t="str">
        <f aca="false">IF($C167="","",$C167&amp;"  |  "&amp;TEXT($B167,"yyyy-mm-dd"))</f>
        <v/>
      </c>
    </row>
    <row r="168" customFormat="false" ht="15" hidden="false" customHeight="true" outlineLevel="0" collapsed="false">
      <c r="B168" s="115"/>
      <c r="C168" s="18"/>
      <c r="D168" s="20"/>
      <c r="E168" s="18"/>
      <c r="F168" s="114" t="str">
        <f aca="false">IF($C168="","",$C168&amp;"  |  "&amp;TEXT($B168,"yyyy-mm-dd"))</f>
        <v/>
      </c>
    </row>
    <row r="169" customFormat="false" ht="15" hidden="false" customHeight="true" outlineLevel="0" collapsed="false">
      <c r="B169" s="113"/>
      <c r="C169" s="12"/>
      <c r="D169" s="14"/>
      <c r="E169" s="12"/>
      <c r="F169" s="114" t="str">
        <f aca="false">IF($C169="","",$C169&amp;"  |  "&amp;TEXT($B169,"yyyy-mm-dd"))</f>
        <v/>
      </c>
    </row>
    <row r="170" customFormat="false" ht="15" hidden="false" customHeight="true" outlineLevel="0" collapsed="false">
      <c r="B170" s="115"/>
      <c r="C170" s="18"/>
      <c r="D170" s="20"/>
      <c r="E170" s="18"/>
      <c r="F170" s="114" t="str">
        <f aca="false">IF($C170="","",$C170&amp;"  |  "&amp;TEXT($B170,"yyyy-mm-dd"))</f>
        <v/>
      </c>
    </row>
    <row r="171" customFormat="false" ht="15" hidden="false" customHeight="true" outlineLevel="0" collapsed="false">
      <c r="B171" s="113"/>
      <c r="C171" s="12"/>
      <c r="D171" s="14"/>
      <c r="E171" s="12"/>
      <c r="F171" s="114" t="str">
        <f aca="false">IF($C171="","",$C171&amp;"  |  "&amp;TEXT($B171,"yyyy-mm-dd"))</f>
        <v/>
      </c>
    </row>
    <row r="172" customFormat="false" ht="15" hidden="false" customHeight="true" outlineLevel="0" collapsed="false">
      <c r="B172" s="115"/>
      <c r="C172" s="18"/>
      <c r="D172" s="20"/>
      <c r="E172" s="18"/>
      <c r="F172" s="114" t="str">
        <f aca="false">IF($C172="","",$C172&amp;"  |  "&amp;TEXT($B172,"yyyy-mm-dd"))</f>
        <v/>
      </c>
    </row>
    <row r="173" customFormat="false" ht="15" hidden="false" customHeight="true" outlineLevel="0" collapsed="false">
      <c r="B173" s="113"/>
      <c r="C173" s="12"/>
      <c r="D173" s="14"/>
      <c r="E173" s="12"/>
      <c r="F173" s="114" t="str">
        <f aca="false">IF($C173="","",$C173&amp;"  |  "&amp;TEXT($B173,"yyyy-mm-dd"))</f>
        <v/>
      </c>
    </row>
    <row r="174" customFormat="false" ht="15" hidden="false" customHeight="true" outlineLevel="0" collapsed="false">
      <c r="B174" s="115"/>
      <c r="C174" s="18"/>
      <c r="D174" s="20"/>
      <c r="E174" s="18"/>
      <c r="F174" s="114" t="str">
        <f aca="false">IF($C174="","",$C174&amp;"  |  "&amp;TEXT($B174,"yyyy-mm-dd"))</f>
        <v/>
      </c>
    </row>
    <row r="175" customFormat="false" ht="15" hidden="false" customHeight="true" outlineLevel="0" collapsed="false">
      <c r="B175" s="113"/>
      <c r="C175" s="12"/>
      <c r="D175" s="14"/>
      <c r="E175" s="12"/>
      <c r="F175" s="114" t="str">
        <f aca="false">IF($C175="","",$C175&amp;"  |  "&amp;TEXT($B175,"yyyy-mm-dd"))</f>
        <v/>
      </c>
    </row>
    <row r="176" customFormat="false" ht="15" hidden="false" customHeight="true" outlineLevel="0" collapsed="false">
      <c r="B176" s="115"/>
      <c r="C176" s="18"/>
      <c r="D176" s="20"/>
      <c r="E176" s="18"/>
      <c r="F176" s="114" t="str">
        <f aca="false">IF($C176="","",$C176&amp;"  |  "&amp;TEXT($B176,"yyyy-mm-dd"))</f>
        <v/>
      </c>
    </row>
    <row r="177" customFormat="false" ht="15" hidden="false" customHeight="true" outlineLevel="0" collapsed="false">
      <c r="B177" s="113"/>
      <c r="C177" s="12"/>
      <c r="D177" s="14"/>
      <c r="E177" s="12"/>
      <c r="F177" s="114" t="str">
        <f aca="false">IF($C177="","",$C177&amp;"  |  "&amp;TEXT($B177,"yyyy-mm-dd"))</f>
        <v/>
      </c>
    </row>
    <row r="178" customFormat="false" ht="15" hidden="false" customHeight="true" outlineLevel="0" collapsed="false">
      <c r="B178" s="115"/>
      <c r="C178" s="18"/>
      <c r="D178" s="20"/>
      <c r="E178" s="18"/>
      <c r="F178" s="114" t="str">
        <f aca="false">IF($C178="","",$C178&amp;"  |  "&amp;TEXT($B178,"yyyy-mm-dd"))</f>
        <v/>
      </c>
    </row>
    <row r="179" customFormat="false" ht="15" hidden="false" customHeight="true" outlineLevel="0" collapsed="false">
      <c r="B179" s="113"/>
      <c r="C179" s="12"/>
      <c r="D179" s="14"/>
      <c r="E179" s="12"/>
      <c r="F179" s="114" t="str">
        <f aca="false">IF($C179="","",$C179&amp;"  |  "&amp;TEXT($B179,"yyyy-mm-dd"))</f>
        <v/>
      </c>
    </row>
    <row r="180" customFormat="false" ht="15" hidden="false" customHeight="true" outlineLevel="0" collapsed="false">
      <c r="B180" s="115"/>
      <c r="C180" s="18"/>
      <c r="D180" s="20"/>
      <c r="E180" s="18"/>
      <c r="F180" s="114" t="str">
        <f aca="false">IF($C180="","",$C180&amp;"  |  "&amp;TEXT($B180,"yyyy-mm-dd"))</f>
        <v/>
      </c>
    </row>
    <row r="181" customFormat="false" ht="15" hidden="false" customHeight="true" outlineLevel="0" collapsed="false">
      <c r="B181" s="113"/>
      <c r="C181" s="12"/>
      <c r="D181" s="14"/>
      <c r="E181" s="12"/>
      <c r="F181" s="114" t="str">
        <f aca="false">IF($C181="","",$C181&amp;"  |  "&amp;TEXT($B181,"yyyy-mm-dd"))</f>
        <v/>
      </c>
    </row>
    <row r="182" customFormat="false" ht="15" hidden="false" customHeight="true" outlineLevel="0" collapsed="false">
      <c r="B182" s="115"/>
      <c r="C182" s="18"/>
      <c r="D182" s="20"/>
      <c r="E182" s="18"/>
      <c r="F182" s="114" t="str">
        <f aca="false">IF($C182="","",$C182&amp;"  |  "&amp;TEXT($B182,"yyyy-mm-dd"))</f>
        <v/>
      </c>
    </row>
    <row r="183" customFormat="false" ht="15" hidden="false" customHeight="true" outlineLevel="0" collapsed="false">
      <c r="B183" s="113"/>
      <c r="C183" s="12"/>
      <c r="D183" s="14"/>
      <c r="E183" s="12"/>
      <c r="F183" s="114" t="str">
        <f aca="false">IF($C183="","",$C183&amp;"  |  "&amp;TEXT($B183,"yyyy-mm-dd"))</f>
        <v/>
      </c>
    </row>
    <row r="184" customFormat="false" ht="15" hidden="false" customHeight="true" outlineLevel="0" collapsed="false">
      <c r="B184" s="115"/>
      <c r="C184" s="18"/>
      <c r="D184" s="20"/>
      <c r="E184" s="18"/>
      <c r="F184" s="114" t="str">
        <f aca="false">IF($C184="","",$C184&amp;"  |  "&amp;TEXT($B184,"yyyy-mm-dd"))</f>
        <v/>
      </c>
    </row>
    <row r="185" customFormat="false" ht="15" hidden="false" customHeight="true" outlineLevel="0" collapsed="false">
      <c r="B185" s="113"/>
      <c r="C185" s="12"/>
      <c r="D185" s="14"/>
      <c r="E185" s="12"/>
      <c r="F185" s="114" t="str">
        <f aca="false">IF($C185="","",$C185&amp;"  |  "&amp;TEXT($B185,"yyyy-mm-dd"))</f>
        <v/>
      </c>
    </row>
    <row r="186" customFormat="false" ht="15" hidden="false" customHeight="true" outlineLevel="0" collapsed="false">
      <c r="B186" s="115"/>
      <c r="C186" s="18"/>
      <c r="D186" s="20"/>
      <c r="E186" s="18"/>
      <c r="F186" s="114" t="str">
        <f aca="false">IF($C186="","",$C186&amp;"  |  "&amp;TEXT($B186,"yyyy-mm-dd"))</f>
        <v/>
      </c>
    </row>
    <row r="187" customFormat="false" ht="15" hidden="false" customHeight="true" outlineLevel="0" collapsed="false">
      <c r="B187" s="113"/>
      <c r="C187" s="12"/>
      <c r="D187" s="14"/>
      <c r="E187" s="12"/>
      <c r="F187" s="114" t="str">
        <f aca="false">IF($C187="","",$C187&amp;"  |  "&amp;TEXT($B187,"yyyy-mm-dd"))</f>
        <v/>
      </c>
    </row>
    <row r="188" customFormat="false" ht="15" hidden="false" customHeight="true" outlineLevel="0" collapsed="false">
      <c r="B188" s="115"/>
      <c r="C188" s="18"/>
      <c r="D188" s="20"/>
      <c r="E188" s="18"/>
      <c r="F188" s="114" t="str">
        <f aca="false">IF($C188="","",$C188&amp;"  |  "&amp;TEXT($B188,"yyyy-mm-dd"))</f>
        <v/>
      </c>
    </row>
    <row r="189" customFormat="false" ht="15" hidden="false" customHeight="true" outlineLevel="0" collapsed="false">
      <c r="B189" s="113"/>
      <c r="C189" s="12"/>
      <c r="D189" s="14"/>
      <c r="E189" s="12"/>
      <c r="F189" s="114" t="str">
        <f aca="false">IF($C189="","",$C189&amp;"  |  "&amp;TEXT($B189,"yyyy-mm-dd"))</f>
        <v/>
      </c>
    </row>
    <row r="190" customFormat="false" ht="15" hidden="false" customHeight="true" outlineLevel="0" collapsed="false">
      <c r="B190" s="115"/>
      <c r="C190" s="18"/>
      <c r="D190" s="20"/>
      <c r="E190" s="18"/>
      <c r="F190" s="114" t="str">
        <f aca="false">IF($C190="","",$C190&amp;"  |  "&amp;TEXT($B190,"yyyy-mm-dd"))</f>
        <v/>
      </c>
    </row>
    <row r="191" customFormat="false" ht="15" hidden="false" customHeight="true" outlineLevel="0" collapsed="false">
      <c r="B191" s="113"/>
      <c r="C191" s="12"/>
      <c r="D191" s="14"/>
      <c r="E191" s="12"/>
      <c r="F191" s="114" t="str">
        <f aca="false">IF($C191="","",$C191&amp;"  |  "&amp;TEXT($B191,"yyyy-mm-dd"))</f>
        <v/>
      </c>
    </row>
    <row r="192" customFormat="false" ht="15" hidden="false" customHeight="true" outlineLevel="0" collapsed="false">
      <c r="B192" s="115"/>
      <c r="C192" s="18"/>
      <c r="D192" s="20"/>
      <c r="E192" s="18"/>
      <c r="F192" s="114" t="str">
        <f aca="false">IF($C192="","",$C192&amp;"  |  "&amp;TEXT($B192,"yyyy-mm-dd"))</f>
        <v/>
      </c>
    </row>
    <row r="193" customFormat="false" ht="15" hidden="false" customHeight="true" outlineLevel="0" collapsed="false">
      <c r="B193" s="113"/>
      <c r="C193" s="12"/>
      <c r="D193" s="14"/>
      <c r="E193" s="12"/>
      <c r="F193" s="114" t="str">
        <f aca="false">IF($C193="","",$C193&amp;"  |  "&amp;TEXT($B193,"yyyy-mm-dd"))</f>
        <v/>
      </c>
    </row>
    <row r="194" customFormat="false" ht="15" hidden="false" customHeight="true" outlineLevel="0" collapsed="false">
      <c r="B194" s="115"/>
      <c r="C194" s="18"/>
      <c r="D194" s="20"/>
      <c r="E194" s="18"/>
      <c r="F194" s="114" t="str">
        <f aca="false">IF($C194="","",$C194&amp;"  |  "&amp;TEXT($B194,"yyyy-mm-dd"))</f>
        <v/>
      </c>
    </row>
    <row r="195" customFormat="false" ht="15" hidden="false" customHeight="true" outlineLevel="0" collapsed="false">
      <c r="B195" s="113"/>
      <c r="C195" s="12"/>
      <c r="D195" s="14"/>
      <c r="E195" s="12"/>
      <c r="F195" s="114" t="str">
        <f aca="false">IF($C195="","",$C195&amp;"  |  "&amp;TEXT($B195,"yyyy-mm-dd"))</f>
        <v/>
      </c>
    </row>
    <row r="196" customFormat="false" ht="15" hidden="false" customHeight="true" outlineLevel="0" collapsed="false">
      <c r="B196" s="115"/>
      <c r="C196" s="18"/>
      <c r="D196" s="20"/>
      <c r="E196" s="18"/>
      <c r="F196" s="114" t="str">
        <f aca="false">IF($C196="","",$C196&amp;"  |  "&amp;TEXT($B196,"yyyy-mm-dd"))</f>
        <v/>
      </c>
    </row>
    <row r="197" customFormat="false" ht="15" hidden="false" customHeight="true" outlineLevel="0" collapsed="false">
      <c r="B197" s="113"/>
      <c r="C197" s="12"/>
      <c r="D197" s="14"/>
      <c r="E197" s="12"/>
      <c r="F197" s="114" t="str">
        <f aca="false">IF($C197="","",$C197&amp;"  |  "&amp;TEXT($B197,"yyyy-mm-dd"))</f>
        <v/>
      </c>
    </row>
    <row r="198" customFormat="false" ht="15" hidden="false" customHeight="true" outlineLevel="0" collapsed="false">
      <c r="B198" s="115"/>
      <c r="C198" s="18"/>
      <c r="D198" s="20"/>
      <c r="E198" s="18"/>
      <c r="F198" s="114" t="str">
        <f aca="false">IF($C198="","",$C198&amp;"  |  "&amp;TEXT($B198,"yyyy-mm-dd"))</f>
        <v/>
      </c>
    </row>
    <row r="199" customFormat="false" ht="15" hidden="false" customHeight="true" outlineLevel="0" collapsed="false">
      <c r="B199" s="113"/>
      <c r="C199" s="12"/>
      <c r="D199" s="14"/>
      <c r="E199" s="12"/>
      <c r="F199" s="114" t="str">
        <f aca="false">IF($C199="","",$C199&amp;"  |  "&amp;TEXT($B199,"yyyy-mm-dd"))</f>
        <v/>
      </c>
    </row>
    <row r="200" customFormat="false" ht="15" hidden="false" customHeight="true" outlineLevel="0" collapsed="false">
      <c r="B200" s="115"/>
      <c r="C200" s="18"/>
      <c r="D200" s="20"/>
      <c r="E200" s="18"/>
      <c r="F200" s="114" t="str">
        <f aca="false">IF($C200="","",$C200&amp;"  |  "&amp;TEXT($B200,"yyyy-mm-dd"))</f>
        <v/>
      </c>
    </row>
    <row r="201" customFormat="false" ht="15" hidden="false" customHeight="true" outlineLevel="0" collapsed="false">
      <c r="B201" s="113"/>
      <c r="C201" s="12"/>
      <c r="D201" s="14"/>
      <c r="E201" s="12"/>
      <c r="F201" s="114" t="str">
        <f aca="false">IF($C201="","",$C201&amp;"  |  "&amp;TEXT($B201,"yyyy-mm-dd"))</f>
        <v/>
      </c>
    </row>
    <row r="202" customFormat="false" ht="15" hidden="false" customHeight="true" outlineLevel="0" collapsed="false">
      <c r="B202" s="115"/>
      <c r="C202" s="18"/>
      <c r="D202" s="20"/>
      <c r="E202" s="18"/>
      <c r="F202" s="114" t="str">
        <f aca="false">IF($C202="","",$C202&amp;"  |  "&amp;TEXT($B202,"yyyy-mm-dd"))</f>
        <v/>
      </c>
    </row>
    <row r="203" customFormat="false" ht="15" hidden="false" customHeight="true" outlineLevel="0" collapsed="false">
      <c r="B203" s="113"/>
      <c r="C203" s="12"/>
      <c r="D203" s="14"/>
      <c r="E203" s="12"/>
      <c r="F203" s="114" t="str">
        <f aca="false">IF($C203="","",$C203&amp;"  |  "&amp;TEXT($B203,"yyyy-mm-dd"))</f>
        <v/>
      </c>
    </row>
    <row r="204" customFormat="false" ht="15" hidden="false" customHeight="true" outlineLevel="0" collapsed="false">
      <c r="B204" s="115"/>
      <c r="C204" s="18"/>
      <c r="D204" s="20"/>
      <c r="E204" s="18"/>
      <c r="F204" s="114" t="str">
        <f aca="false">IF($C204="","",$C204&amp;"  |  "&amp;TEXT($B204,"yyyy-mm-dd"))</f>
        <v/>
      </c>
    </row>
    <row r="205" customFormat="false" ht="15" hidden="false" customHeight="true" outlineLevel="0" collapsed="false">
      <c r="B205" s="113"/>
      <c r="C205" s="12"/>
      <c r="D205" s="14"/>
      <c r="E205" s="12"/>
      <c r="F205" s="114" t="str">
        <f aca="false">IF($C205="","",$C205&amp;"  |  "&amp;TEXT($B205,"yyyy-mm-dd"))</f>
        <v/>
      </c>
    </row>
    <row r="206" customFormat="false" ht="15" hidden="false" customHeight="true" outlineLevel="0" collapsed="false">
      <c r="B206" s="115"/>
      <c r="C206" s="18"/>
      <c r="D206" s="20"/>
      <c r="E206" s="18"/>
      <c r="F206" s="114" t="str">
        <f aca="false">IF($C206="","",$C206&amp;"  |  "&amp;TEXT($B206,"yyyy-mm-dd"))</f>
        <v/>
      </c>
    </row>
    <row r="207" customFormat="false" ht="15" hidden="false" customHeight="true" outlineLevel="0" collapsed="false">
      <c r="B207" s="113"/>
      <c r="C207" s="12"/>
      <c r="D207" s="14"/>
      <c r="E207" s="12"/>
      <c r="F207" s="114" t="str">
        <f aca="false">IF($C207="","",$C207&amp;"  |  "&amp;TEXT($B207,"yyyy-mm-dd"))</f>
        <v/>
      </c>
    </row>
    <row r="208" customFormat="false" ht="15" hidden="false" customHeight="true" outlineLevel="0" collapsed="false">
      <c r="B208" s="115"/>
      <c r="C208" s="18"/>
      <c r="D208" s="20"/>
      <c r="E208" s="18"/>
      <c r="F208" s="114" t="str">
        <f aca="false">IF($C208="","",$C208&amp;"  |  "&amp;TEXT($B208,"yyyy-mm-dd"))</f>
        <v/>
      </c>
    </row>
    <row r="209" customFormat="false" ht="15" hidden="false" customHeight="true" outlineLevel="0" collapsed="false">
      <c r="B209" s="113"/>
      <c r="C209" s="12"/>
      <c r="D209" s="14"/>
      <c r="E209" s="12"/>
      <c r="F209" s="114" t="str">
        <f aca="false">IF($C209="","",$C209&amp;"  |  "&amp;TEXT($B209,"yyyy-mm-dd"))</f>
        <v/>
      </c>
    </row>
    <row r="210" customFormat="false" ht="15" hidden="false" customHeight="true" outlineLevel="0" collapsed="false">
      <c r="B210" s="115"/>
      <c r="C210" s="18"/>
      <c r="D210" s="20"/>
      <c r="E210" s="18"/>
      <c r="F210" s="114" t="str">
        <f aca="false">IF($C210="","",$C210&amp;"  |  "&amp;TEXT($B210,"yyyy-mm-dd"))</f>
        <v/>
      </c>
    </row>
    <row r="211" customFormat="false" ht="15" hidden="false" customHeight="true" outlineLevel="0" collapsed="false">
      <c r="B211" s="113"/>
      <c r="C211" s="12"/>
      <c r="D211" s="14"/>
      <c r="E211" s="12"/>
      <c r="F211" s="114" t="str">
        <f aca="false">IF($C211="","",$C211&amp;"  |  "&amp;TEXT($B211,"yyyy-mm-dd"))</f>
        <v/>
      </c>
    </row>
    <row r="212" customFormat="false" ht="15" hidden="false" customHeight="true" outlineLevel="0" collapsed="false">
      <c r="B212" s="115"/>
      <c r="C212" s="18"/>
      <c r="D212" s="20"/>
      <c r="E212" s="18"/>
      <c r="F212" s="114" t="str">
        <f aca="false">IF($C212="","",$C212&amp;"  |  "&amp;TEXT($B212,"yyyy-mm-dd"))</f>
        <v/>
      </c>
    </row>
    <row r="213" customFormat="false" ht="15" hidden="false" customHeight="true" outlineLevel="0" collapsed="false">
      <c r="B213" s="113"/>
      <c r="C213" s="12"/>
      <c r="D213" s="14"/>
      <c r="E213" s="12"/>
      <c r="F213" s="114" t="str">
        <f aca="false">IF($C213="","",$C213&amp;"  |  "&amp;TEXT($B213,"yyyy-mm-dd"))</f>
        <v/>
      </c>
    </row>
    <row r="214" customFormat="false" ht="15" hidden="false" customHeight="true" outlineLevel="0" collapsed="false">
      <c r="B214" s="115"/>
      <c r="C214" s="18"/>
      <c r="D214" s="20"/>
      <c r="E214" s="18"/>
      <c r="F214" s="114" t="str">
        <f aca="false">IF($C214="","",$C214&amp;"  |  "&amp;TEXT($B214,"yyyy-mm-dd"))</f>
        <v/>
      </c>
    </row>
    <row r="215" customFormat="false" ht="15" hidden="false" customHeight="true" outlineLevel="0" collapsed="false">
      <c r="B215" s="113"/>
      <c r="C215" s="12"/>
      <c r="D215" s="14"/>
      <c r="E215" s="12"/>
      <c r="F215" s="114" t="str">
        <f aca="false">IF($C215="","",$C215&amp;"  |  "&amp;TEXT($B215,"yyyy-mm-dd"))</f>
        <v/>
      </c>
    </row>
    <row r="216" customFormat="false" ht="15" hidden="false" customHeight="true" outlineLevel="0" collapsed="false">
      <c r="B216" s="115"/>
      <c r="C216" s="18"/>
      <c r="D216" s="20"/>
      <c r="E216" s="18"/>
      <c r="F216" s="114" t="str">
        <f aca="false">IF($C216="","",$C216&amp;"  |  "&amp;TEXT($B216,"yyyy-mm-dd"))</f>
        <v/>
      </c>
    </row>
    <row r="217" customFormat="false" ht="15" hidden="false" customHeight="true" outlineLevel="0" collapsed="false">
      <c r="B217" s="113"/>
      <c r="C217" s="12"/>
      <c r="D217" s="14"/>
      <c r="E217" s="12"/>
      <c r="F217" s="114" t="str">
        <f aca="false">IF($C217="","",$C217&amp;"  |  "&amp;TEXT($B217,"yyyy-mm-dd"))</f>
        <v/>
      </c>
    </row>
    <row r="218" customFormat="false" ht="15" hidden="false" customHeight="true" outlineLevel="0" collapsed="false">
      <c r="B218" s="115"/>
      <c r="C218" s="18"/>
      <c r="D218" s="20"/>
      <c r="E218" s="18"/>
      <c r="F218" s="114" t="str">
        <f aca="false">IF($C218="","",$C218&amp;"  |  "&amp;TEXT($B218,"yyyy-mm-dd"))</f>
        <v/>
      </c>
    </row>
    <row r="219" customFormat="false" ht="15" hidden="false" customHeight="true" outlineLevel="0" collapsed="false">
      <c r="B219" s="113"/>
      <c r="C219" s="12"/>
      <c r="D219" s="14"/>
      <c r="E219" s="12"/>
      <c r="F219" s="114" t="str">
        <f aca="false">IF($C219="","",$C219&amp;"  |  "&amp;TEXT($B219,"yyyy-mm-dd"))</f>
        <v/>
      </c>
    </row>
    <row r="220" customFormat="false" ht="15" hidden="false" customHeight="true" outlineLevel="0" collapsed="false">
      <c r="B220" s="115"/>
      <c r="C220" s="18"/>
      <c r="D220" s="20"/>
      <c r="E220" s="18"/>
      <c r="F220" s="114" t="str">
        <f aca="false">IF($C220="","",$C220&amp;"  |  "&amp;TEXT($B220,"yyyy-mm-dd"))</f>
        <v/>
      </c>
    </row>
    <row r="221" customFormat="false" ht="15" hidden="false" customHeight="true" outlineLevel="0" collapsed="false">
      <c r="B221" s="113"/>
      <c r="C221" s="12"/>
      <c r="D221" s="14"/>
      <c r="E221" s="12"/>
      <c r="F221" s="114" t="str">
        <f aca="false">IF($C221="","",$C221&amp;"  |  "&amp;TEXT($B221,"yyyy-mm-dd"))</f>
        <v/>
      </c>
    </row>
    <row r="222" customFormat="false" ht="15" hidden="false" customHeight="true" outlineLevel="0" collapsed="false">
      <c r="B222" s="115"/>
      <c r="C222" s="18"/>
      <c r="D222" s="20"/>
      <c r="E222" s="18"/>
      <c r="F222" s="114" t="str">
        <f aca="false">IF($C222="","",$C222&amp;"  |  "&amp;TEXT($B222,"yyyy-mm-dd"))</f>
        <v/>
      </c>
    </row>
    <row r="223" customFormat="false" ht="15" hidden="false" customHeight="true" outlineLevel="0" collapsed="false">
      <c r="B223" s="113"/>
      <c r="C223" s="12"/>
      <c r="D223" s="14"/>
      <c r="E223" s="12"/>
      <c r="F223" s="114" t="str">
        <f aca="false">IF($C223="","",$C223&amp;"  |  "&amp;TEXT($B223,"yyyy-mm-dd"))</f>
        <v/>
      </c>
    </row>
    <row r="224" customFormat="false" ht="15" hidden="false" customHeight="true" outlineLevel="0" collapsed="false">
      <c r="B224" s="115"/>
      <c r="C224" s="18"/>
      <c r="D224" s="20"/>
      <c r="E224" s="18"/>
      <c r="F224" s="114" t="str">
        <f aca="false">IF($C224="","",$C224&amp;"  |  "&amp;TEXT($B224,"yyyy-mm-dd"))</f>
        <v/>
      </c>
    </row>
    <row r="225" customFormat="false" ht="15" hidden="false" customHeight="true" outlineLevel="0" collapsed="false">
      <c r="B225" s="113"/>
      <c r="C225" s="12"/>
      <c r="D225" s="14"/>
      <c r="E225" s="12"/>
      <c r="F225" s="114" t="str">
        <f aca="false">IF($C225="","",$C225&amp;"  |  "&amp;TEXT($B225,"yyyy-mm-dd"))</f>
        <v/>
      </c>
    </row>
    <row r="226" customFormat="false" ht="15" hidden="false" customHeight="true" outlineLevel="0" collapsed="false">
      <c r="B226" s="115"/>
      <c r="C226" s="18"/>
      <c r="D226" s="20"/>
      <c r="E226" s="18"/>
      <c r="F226" s="114" t="str">
        <f aca="false">IF($C226="","",$C226&amp;"  |  "&amp;TEXT($B226,"yyyy-mm-dd"))</f>
        <v/>
      </c>
    </row>
    <row r="227" customFormat="false" ht="15" hidden="false" customHeight="true" outlineLevel="0" collapsed="false">
      <c r="B227" s="113"/>
      <c r="C227" s="12"/>
      <c r="D227" s="14"/>
      <c r="E227" s="12"/>
      <c r="F227" s="114" t="str">
        <f aca="false">IF($C227="","",$C227&amp;"  |  "&amp;TEXT($B227,"yyyy-mm-dd"))</f>
        <v/>
      </c>
    </row>
    <row r="228" customFormat="false" ht="15" hidden="false" customHeight="true" outlineLevel="0" collapsed="false">
      <c r="B228" s="115"/>
      <c r="C228" s="18"/>
      <c r="D228" s="20"/>
      <c r="E228" s="18"/>
      <c r="F228" s="114" t="str">
        <f aca="false">IF($C228="","",$C228&amp;"  |  "&amp;TEXT($B228,"yyyy-mm-dd"))</f>
        <v/>
      </c>
    </row>
    <row r="229" customFormat="false" ht="15" hidden="false" customHeight="true" outlineLevel="0" collapsed="false">
      <c r="B229" s="113"/>
      <c r="C229" s="12"/>
      <c r="D229" s="14"/>
      <c r="E229" s="12"/>
      <c r="F229" s="114" t="str">
        <f aca="false">IF($C229="","",$C229&amp;"  |  "&amp;TEXT($B229,"yyyy-mm-dd"))</f>
        <v/>
      </c>
    </row>
    <row r="230" customFormat="false" ht="15" hidden="false" customHeight="true" outlineLevel="0" collapsed="false">
      <c r="B230" s="115"/>
      <c r="C230" s="18"/>
      <c r="D230" s="20"/>
      <c r="E230" s="18"/>
      <c r="F230" s="114" t="str">
        <f aca="false">IF($C230="","",$C230&amp;"  |  "&amp;TEXT($B230,"yyyy-mm-dd"))</f>
        <v/>
      </c>
    </row>
    <row r="231" customFormat="false" ht="15" hidden="false" customHeight="true" outlineLevel="0" collapsed="false">
      <c r="B231" s="113"/>
      <c r="C231" s="12"/>
      <c r="D231" s="14"/>
      <c r="E231" s="12"/>
      <c r="F231" s="114" t="str">
        <f aca="false">IF($C231="","",$C231&amp;"  |  "&amp;TEXT($B231,"yyyy-mm-dd"))</f>
        <v/>
      </c>
    </row>
    <row r="232" customFormat="false" ht="15" hidden="false" customHeight="true" outlineLevel="0" collapsed="false">
      <c r="B232" s="115"/>
      <c r="C232" s="18"/>
      <c r="D232" s="20"/>
      <c r="E232" s="18"/>
      <c r="F232" s="114" t="str">
        <f aca="false">IF($C232="","",$C232&amp;"  |  "&amp;TEXT($B232,"yyyy-mm-dd"))</f>
        <v/>
      </c>
    </row>
    <row r="233" customFormat="false" ht="15" hidden="false" customHeight="true" outlineLevel="0" collapsed="false">
      <c r="B233" s="113"/>
      <c r="C233" s="12"/>
      <c r="D233" s="14"/>
      <c r="E233" s="12"/>
      <c r="F233" s="114" t="str">
        <f aca="false">IF($C233="","",$C233&amp;"  |  "&amp;TEXT($B233,"yyyy-mm-dd"))</f>
        <v/>
      </c>
    </row>
    <row r="234" customFormat="false" ht="15" hidden="false" customHeight="true" outlineLevel="0" collapsed="false">
      <c r="B234" s="115"/>
      <c r="C234" s="18"/>
      <c r="D234" s="20"/>
      <c r="E234" s="18"/>
      <c r="F234" s="114" t="str">
        <f aca="false">IF($C234="","",$C234&amp;"  |  "&amp;TEXT($B234,"yyyy-mm-dd"))</f>
        <v/>
      </c>
    </row>
    <row r="235" customFormat="false" ht="15" hidden="false" customHeight="true" outlineLevel="0" collapsed="false">
      <c r="B235" s="113"/>
      <c r="C235" s="12"/>
      <c r="D235" s="14"/>
      <c r="E235" s="12"/>
      <c r="F235" s="114" t="str">
        <f aca="false">IF($C235="","",$C235&amp;"  |  "&amp;TEXT($B235,"yyyy-mm-dd"))</f>
        <v/>
      </c>
    </row>
    <row r="236" customFormat="false" ht="15" hidden="false" customHeight="true" outlineLevel="0" collapsed="false">
      <c r="B236" s="115"/>
      <c r="C236" s="18"/>
      <c r="D236" s="20"/>
      <c r="E236" s="18"/>
      <c r="F236" s="114" t="str">
        <f aca="false">IF($C236="","",$C236&amp;"  |  "&amp;TEXT($B236,"yyyy-mm-dd"))</f>
        <v/>
      </c>
    </row>
    <row r="237" customFormat="false" ht="15" hidden="false" customHeight="true" outlineLevel="0" collapsed="false">
      <c r="B237" s="113"/>
      <c r="C237" s="12"/>
      <c r="D237" s="14"/>
      <c r="E237" s="12"/>
      <c r="F237" s="114" t="str">
        <f aca="false">IF($C237="","",$C237&amp;"  |  "&amp;TEXT($B237,"yyyy-mm-dd"))</f>
        <v/>
      </c>
    </row>
    <row r="238" customFormat="false" ht="15" hidden="false" customHeight="true" outlineLevel="0" collapsed="false">
      <c r="B238" s="115"/>
      <c r="C238" s="18"/>
      <c r="D238" s="20"/>
      <c r="E238" s="18"/>
      <c r="F238" s="114" t="str">
        <f aca="false">IF($C238="","",$C238&amp;"  |  "&amp;TEXT($B238,"yyyy-mm-dd"))</f>
        <v/>
      </c>
    </row>
    <row r="239" customFormat="false" ht="15" hidden="false" customHeight="true" outlineLevel="0" collapsed="false">
      <c r="B239" s="113"/>
      <c r="C239" s="12"/>
      <c r="D239" s="14"/>
      <c r="E239" s="12"/>
      <c r="F239" s="114" t="str">
        <f aca="false">IF($C239="","",$C239&amp;"  |  "&amp;TEXT($B239,"yyyy-mm-dd"))</f>
        <v/>
      </c>
    </row>
    <row r="240" customFormat="false" ht="15" hidden="false" customHeight="true" outlineLevel="0" collapsed="false">
      <c r="B240" s="115"/>
      <c r="C240" s="18"/>
      <c r="D240" s="20"/>
      <c r="E240" s="18"/>
      <c r="F240" s="114" t="str">
        <f aca="false">IF($C240="","",$C240&amp;"  |  "&amp;TEXT($B240,"yyyy-mm-dd"))</f>
        <v/>
      </c>
    </row>
    <row r="241" customFormat="false" ht="15" hidden="false" customHeight="true" outlineLevel="0" collapsed="false">
      <c r="B241" s="113"/>
      <c r="C241" s="12"/>
      <c r="D241" s="14"/>
      <c r="E241" s="12"/>
      <c r="F241" s="114" t="str">
        <f aca="false">IF($C241="","",$C241&amp;"  |  "&amp;TEXT($B241,"yyyy-mm-dd"))</f>
        <v/>
      </c>
    </row>
    <row r="242" customFormat="false" ht="15" hidden="false" customHeight="true" outlineLevel="0" collapsed="false">
      <c r="B242" s="115"/>
      <c r="C242" s="18"/>
      <c r="D242" s="20"/>
      <c r="E242" s="18"/>
      <c r="F242" s="114" t="str">
        <f aca="false">IF($C242="","",$C242&amp;"  |  "&amp;TEXT($B242,"yyyy-mm-dd"))</f>
        <v/>
      </c>
    </row>
    <row r="243" customFormat="false" ht="15" hidden="false" customHeight="true" outlineLevel="0" collapsed="false">
      <c r="B243" s="113"/>
      <c r="C243" s="12"/>
      <c r="D243" s="14"/>
      <c r="E243" s="12"/>
      <c r="F243" s="114" t="str">
        <f aca="false">IF($C243="","",$C243&amp;"  |  "&amp;TEXT($B243,"yyyy-mm-dd"))</f>
        <v/>
      </c>
    </row>
    <row r="244" customFormat="false" ht="15" hidden="false" customHeight="true" outlineLevel="0" collapsed="false">
      <c r="B244" s="115"/>
      <c r="C244" s="18"/>
      <c r="D244" s="20"/>
      <c r="E244" s="18"/>
      <c r="F244" s="114" t="str">
        <f aca="false">IF($C244="","",$C244&amp;"  |  "&amp;TEXT($B244,"yyyy-mm-dd"))</f>
        <v/>
      </c>
    </row>
    <row r="245" customFormat="false" ht="15" hidden="false" customHeight="true" outlineLevel="0" collapsed="false">
      <c r="B245" s="113"/>
      <c r="C245" s="12"/>
      <c r="D245" s="14"/>
      <c r="E245" s="12"/>
      <c r="F245" s="114" t="str">
        <f aca="false">IF($C245="","",$C245&amp;"  |  "&amp;TEXT($B245,"yyyy-mm-dd"))</f>
        <v/>
      </c>
    </row>
    <row r="246" customFormat="false" ht="15" hidden="false" customHeight="true" outlineLevel="0" collapsed="false">
      <c r="B246" s="115"/>
      <c r="C246" s="18"/>
      <c r="D246" s="20"/>
      <c r="E246" s="18"/>
      <c r="F246" s="114" t="str">
        <f aca="false">IF($C246="","",$C246&amp;"  |  "&amp;TEXT($B246,"yyyy-mm-dd"))</f>
        <v/>
      </c>
    </row>
    <row r="247" customFormat="false" ht="15" hidden="false" customHeight="true" outlineLevel="0" collapsed="false">
      <c r="B247" s="113"/>
      <c r="C247" s="12"/>
      <c r="D247" s="14"/>
      <c r="E247" s="12"/>
      <c r="F247" s="114" t="str">
        <f aca="false">IF($C247="","",$C247&amp;"  |  "&amp;TEXT($B247,"yyyy-mm-dd"))</f>
        <v/>
      </c>
    </row>
    <row r="248" customFormat="false" ht="15" hidden="false" customHeight="true" outlineLevel="0" collapsed="false">
      <c r="B248" s="115"/>
      <c r="C248" s="18"/>
      <c r="D248" s="20"/>
      <c r="E248" s="18"/>
      <c r="F248" s="114" t="str">
        <f aca="false">IF($C248="","",$C248&amp;"  |  "&amp;TEXT($B248,"yyyy-mm-dd"))</f>
        <v/>
      </c>
    </row>
    <row r="249" customFormat="false" ht="15" hidden="false" customHeight="true" outlineLevel="0" collapsed="false">
      <c r="B249" s="113"/>
      <c r="C249" s="12"/>
      <c r="D249" s="14"/>
      <c r="E249" s="12"/>
      <c r="F249" s="114" t="str">
        <f aca="false">IF($C249="","",$C249&amp;"  |  "&amp;TEXT($B249,"yyyy-mm-dd"))</f>
        <v/>
      </c>
    </row>
    <row r="250" customFormat="false" ht="15" hidden="false" customHeight="true" outlineLevel="0" collapsed="false">
      <c r="B250" s="115"/>
      <c r="C250" s="18"/>
      <c r="D250" s="20"/>
      <c r="E250" s="18"/>
      <c r="F250" s="114" t="str">
        <f aca="false">IF($C250="","",$C250&amp;"  |  "&amp;TEXT($B250,"yyyy-mm-dd"))</f>
        <v/>
      </c>
    </row>
    <row r="251" customFormat="false" ht="15" hidden="false" customHeight="true" outlineLevel="0" collapsed="false">
      <c r="B251" s="113"/>
      <c r="C251" s="12"/>
      <c r="D251" s="14"/>
      <c r="E251" s="12"/>
      <c r="F251" s="114" t="str">
        <f aca="false">IF($C251="","",$C251&amp;"  |  "&amp;TEXT($B251,"yyyy-mm-dd"))</f>
        <v/>
      </c>
    </row>
    <row r="252" customFormat="false" ht="15" hidden="false" customHeight="true" outlineLevel="0" collapsed="false">
      <c r="B252" s="115"/>
      <c r="C252" s="18"/>
      <c r="D252" s="20"/>
      <c r="E252" s="18"/>
      <c r="F252" s="114" t="str">
        <f aca="false">IF($C252="","",$C252&amp;"  |  "&amp;TEXT($B252,"yyyy-mm-dd"))</f>
        <v/>
      </c>
    </row>
    <row r="253" customFormat="false" ht="15" hidden="false" customHeight="true" outlineLevel="0" collapsed="false">
      <c r="B253" s="113"/>
      <c r="C253" s="12"/>
      <c r="D253" s="14"/>
      <c r="E253" s="12"/>
      <c r="F253" s="114" t="str">
        <f aca="false">IF($C253="","",$C253&amp;"  |  "&amp;TEXT($B253,"yyyy-mm-dd"))</f>
        <v/>
      </c>
    </row>
    <row r="254" customFormat="false" ht="15" hidden="false" customHeight="true" outlineLevel="0" collapsed="false">
      <c r="B254" s="115"/>
      <c r="C254" s="18"/>
      <c r="D254" s="20"/>
      <c r="E254" s="18"/>
      <c r="F254" s="114" t="str">
        <f aca="false">IF($C254="","",$C254&amp;"  |  "&amp;TEXT($B254,"yyyy-mm-dd"))</f>
        <v/>
      </c>
    </row>
    <row r="255" customFormat="false" ht="15" hidden="false" customHeight="true" outlineLevel="0" collapsed="false">
      <c r="B255" s="113"/>
      <c r="C255" s="12"/>
      <c r="D255" s="14"/>
      <c r="E255" s="12"/>
      <c r="F255" s="114" t="str">
        <f aca="false">IF($C255="","",$C255&amp;"  |  "&amp;TEXT($B255,"yyyy-mm-dd"))</f>
        <v/>
      </c>
    </row>
    <row r="256" customFormat="false" ht="15" hidden="false" customHeight="true" outlineLevel="0" collapsed="false">
      <c r="B256" s="115"/>
      <c r="C256" s="18"/>
      <c r="D256" s="20"/>
      <c r="E256" s="18"/>
      <c r="F256" s="114" t="str">
        <f aca="false">IF($C256="","",$C256&amp;"  |  "&amp;TEXT($B256,"yyyy-mm-dd"))</f>
        <v/>
      </c>
    </row>
    <row r="257" customFormat="false" ht="15" hidden="false" customHeight="true" outlineLevel="0" collapsed="false">
      <c r="B257" s="113"/>
      <c r="C257" s="12"/>
      <c r="D257" s="14"/>
      <c r="E257" s="12"/>
      <c r="F257" s="114" t="str">
        <f aca="false">IF($C257="","",$C257&amp;"  |  "&amp;TEXT($B257,"yyyy-mm-dd"))</f>
        <v/>
      </c>
    </row>
    <row r="258" customFormat="false" ht="15" hidden="false" customHeight="true" outlineLevel="0" collapsed="false">
      <c r="B258" s="115"/>
      <c r="C258" s="18"/>
      <c r="D258" s="20"/>
      <c r="E258" s="18"/>
      <c r="F258" s="114" t="str">
        <f aca="false">IF($C258="","",$C258&amp;"  |  "&amp;TEXT($B258,"yyyy-mm-dd"))</f>
        <v/>
      </c>
    </row>
    <row r="259" customFormat="false" ht="15" hidden="false" customHeight="true" outlineLevel="0" collapsed="false">
      <c r="B259" s="113"/>
      <c r="C259" s="12"/>
      <c r="D259" s="14"/>
      <c r="E259" s="12"/>
      <c r="F259" s="114" t="str">
        <f aca="false">IF($C259="","",$C259&amp;"  |  "&amp;TEXT($B259,"yyyy-mm-dd"))</f>
        <v/>
      </c>
    </row>
    <row r="260" customFormat="false" ht="15" hidden="false" customHeight="true" outlineLevel="0" collapsed="false">
      <c r="B260" s="115"/>
      <c r="C260" s="18"/>
      <c r="D260" s="20"/>
      <c r="E260" s="18"/>
      <c r="F260" s="114" t="str">
        <f aca="false">IF($C260="","",$C260&amp;"  |  "&amp;TEXT($B260,"yyyy-mm-dd"))</f>
        <v/>
      </c>
    </row>
    <row r="261" customFormat="false" ht="15" hidden="false" customHeight="true" outlineLevel="0" collapsed="false">
      <c r="B261" s="113"/>
      <c r="C261" s="12"/>
      <c r="D261" s="14"/>
      <c r="E261" s="12"/>
      <c r="F261" s="114" t="str">
        <f aca="false">IF($C261="","",$C261&amp;"  |  "&amp;TEXT($B261,"yyyy-mm-dd"))</f>
        <v/>
      </c>
    </row>
    <row r="262" customFormat="false" ht="15" hidden="false" customHeight="true" outlineLevel="0" collapsed="false">
      <c r="B262" s="115"/>
      <c r="C262" s="18"/>
      <c r="D262" s="20"/>
      <c r="E262" s="18"/>
      <c r="F262" s="114" t="str">
        <f aca="false">IF($C262="","",$C262&amp;"  |  "&amp;TEXT($B262,"yyyy-mm-dd"))</f>
        <v/>
      </c>
    </row>
    <row r="263" customFormat="false" ht="15" hidden="false" customHeight="true" outlineLevel="0" collapsed="false">
      <c r="B263" s="113"/>
      <c r="C263" s="12"/>
      <c r="D263" s="14"/>
      <c r="E263" s="12"/>
      <c r="F263" s="114" t="str">
        <f aca="false">IF($C263="","",$C263&amp;"  |  "&amp;TEXT($B263,"yyyy-mm-dd"))</f>
        <v/>
      </c>
    </row>
    <row r="264" customFormat="false" ht="15" hidden="false" customHeight="true" outlineLevel="0" collapsed="false">
      <c r="B264" s="115"/>
      <c r="C264" s="18"/>
      <c r="D264" s="20"/>
      <c r="E264" s="18"/>
      <c r="F264" s="114" t="str">
        <f aca="false">IF($C264="","",$C264&amp;"  |  "&amp;TEXT($B264,"yyyy-mm-dd"))</f>
        <v/>
      </c>
    </row>
    <row r="265" customFormat="false" ht="15" hidden="false" customHeight="true" outlineLevel="0" collapsed="false">
      <c r="B265" s="113"/>
      <c r="C265" s="12"/>
      <c r="D265" s="14"/>
      <c r="E265" s="12"/>
      <c r="F265" s="114" t="str">
        <f aca="false">IF($C265="","",$C265&amp;"  |  "&amp;TEXT($B265,"yyyy-mm-dd"))</f>
        <v/>
      </c>
    </row>
    <row r="266" customFormat="false" ht="15" hidden="false" customHeight="true" outlineLevel="0" collapsed="false">
      <c r="B266" s="115"/>
      <c r="C266" s="18"/>
      <c r="D266" s="20"/>
      <c r="E266" s="18"/>
      <c r="F266" s="114" t="str">
        <f aca="false">IF($C266="","",$C266&amp;"  |  "&amp;TEXT($B266,"yyyy-mm-dd"))</f>
        <v/>
      </c>
    </row>
    <row r="267" customFormat="false" ht="15" hidden="false" customHeight="true" outlineLevel="0" collapsed="false">
      <c r="B267" s="113"/>
      <c r="C267" s="12"/>
      <c r="D267" s="14"/>
      <c r="E267" s="12"/>
      <c r="F267" s="114" t="str">
        <f aca="false">IF($C267="","",$C267&amp;"  |  "&amp;TEXT($B267,"yyyy-mm-dd"))</f>
        <v/>
      </c>
    </row>
    <row r="268" customFormat="false" ht="15" hidden="false" customHeight="true" outlineLevel="0" collapsed="false">
      <c r="B268" s="115"/>
      <c r="C268" s="18"/>
      <c r="D268" s="20"/>
      <c r="E268" s="18"/>
      <c r="F268" s="114" t="str">
        <f aca="false">IF($C268="","",$C268&amp;"  |  "&amp;TEXT($B268,"yyyy-mm-dd"))</f>
        <v/>
      </c>
    </row>
    <row r="269" customFormat="false" ht="15" hidden="false" customHeight="true" outlineLevel="0" collapsed="false">
      <c r="B269" s="113"/>
      <c r="C269" s="12"/>
      <c r="D269" s="14"/>
      <c r="E269" s="12"/>
      <c r="F269" s="114" t="str">
        <f aca="false">IF($C269="","",$C269&amp;"  |  "&amp;TEXT($B269,"yyyy-mm-dd"))</f>
        <v/>
      </c>
    </row>
    <row r="270" customFormat="false" ht="15" hidden="false" customHeight="true" outlineLevel="0" collapsed="false">
      <c r="B270" s="115"/>
      <c r="C270" s="18"/>
      <c r="D270" s="20"/>
      <c r="E270" s="18"/>
      <c r="F270" s="114" t="str">
        <f aca="false">IF($C270="","",$C270&amp;"  |  "&amp;TEXT($B270,"yyyy-mm-dd"))</f>
        <v/>
      </c>
    </row>
    <row r="271" customFormat="false" ht="15" hidden="false" customHeight="true" outlineLevel="0" collapsed="false">
      <c r="B271" s="113"/>
      <c r="C271" s="12"/>
      <c r="D271" s="14"/>
      <c r="E271" s="12"/>
      <c r="F271" s="114" t="str">
        <f aca="false">IF($C271="","",$C271&amp;"  |  "&amp;TEXT($B271,"yyyy-mm-dd"))</f>
        <v/>
      </c>
    </row>
    <row r="272" customFormat="false" ht="15" hidden="false" customHeight="true" outlineLevel="0" collapsed="false">
      <c r="B272" s="115"/>
      <c r="C272" s="18"/>
      <c r="D272" s="20"/>
      <c r="E272" s="18"/>
      <c r="F272" s="114" t="str">
        <f aca="false">IF($C272="","",$C272&amp;"  |  "&amp;TEXT($B272,"yyyy-mm-dd"))</f>
        <v/>
      </c>
    </row>
    <row r="273" customFormat="false" ht="15" hidden="false" customHeight="true" outlineLevel="0" collapsed="false">
      <c r="B273" s="113"/>
      <c r="C273" s="12"/>
      <c r="D273" s="14"/>
      <c r="E273" s="12"/>
      <c r="F273" s="114" t="str">
        <f aca="false">IF($C273="","",$C273&amp;"  |  "&amp;TEXT($B273,"yyyy-mm-dd"))</f>
        <v/>
      </c>
    </row>
    <row r="274" customFormat="false" ht="15" hidden="false" customHeight="true" outlineLevel="0" collapsed="false">
      <c r="B274" s="115"/>
      <c r="C274" s="18"/>
      <c r="D274" s="20"/>
      <c r="E274" s="18"/>
      <c r="F274" s="114" t="str">
        <f aca="false">IF($C274="","",$C274&amp;"  |  "&amp;TEXT($B274,"yyyy-mm-dd"))</f>
        <v/>
      </c>
    </row>
    <row r="275" customFormat="false" ht="15" hidden="false" customHeight="true" outlineLevel="0" collapsed="false">
      <c r="B275" s="113"/>
      <c r="C275" s="12"/>
      <c r="D275" s="14"/>
      <c r="E275" s="12"/>
      <c r="F275" s="114" t="str">
        <f aca="false">IF($C275="","",$C275&amp;"  |  "&amp;TEXT($B275,"yyyy-mm-dd"))</f>
        <v/>
      </c>
    </row>
    <row r="276" customFormat="false" ht="15" hidden="false" customHeight="true" outlineLevel="0" collapsed="false">
      <c r="B276" s="115"/>
      <c r="C276" s="18"/>
      <c r="D276" s="20"/>
      <c r="E276" s="18"/>
      <c r="F276" s="114" t="str">
        <f aca="false">IF($C276="","",$C276&amp;"  |  "&amp;TEXT($B276,"yyyy-mm-dd"))</f>
        <v/>
      </c>
    </row>
    <row r="277" customFormat="false" ht="15" hidden="false" customHeight="true" outlineLevel="0" collapsed="false">
      <c r="B277" s="113"/>
      <c r="C277" s="12"/>
      <c r="D277" s="14"/>
      <c r="E277" s="12"/>
      <c r="F277" s="114" t="str">
        <f aca="false">IF($C277="","",$C277&amp;"  |  "&amp;TEXT($B277,"yyyy-mm-dd"))</f>
        <v/>
      </c>
    </row>
    <row r="278" customFormat="false" ht="15" hidden="false" customHeight="true" outlineLevel="0" collapsed="false">
      <c r="B278" s="115"/>
      <c r="C278" s="18"/>
      <c r="D278" s="20"/>
      <c r="E278" s="18"/>
      <c r="F278" s="114" t="str">
        <f aca="false">IF($C278="","",$C278&amp;"  |  "&amp;TEXT($B278,"yyyy-mm-dd"))</f>
        <v/>
      </c>
    </row>
    <row r="279" customFormat="false" ht="15" hidden="false" customHeight="true" outlineLevel="0" collapsed="false">
      <c r="B279" s="113"/>
      <c r="C279" s="12"/>
      <c r="D279" s="14"/>
      <c r="E279" s="12"/>
      <c r="F279" s="114" t="str">
        <f aca="false">IF($C279="","",$C279&amp;"  |  "&amp;TEXT($B279,"yyyy-mm-dd"))</f>
        <v/>
      </c>
    </row>
    <row r="280" customFormat="false" ht="15" hidden="false" customHeight="true" outlineLevel="0" collapsed="false">
      <c r="B280" s="115"/>
      <c r="C280" s="18"/>
      <c r="D280" s="20"/>
      <c r="E280" s="18"/>
      <c r="F280" s="114" t="str">
        <f aca="false">IF($C280="","",$C280&amp;"  |  "&amp;TEXT($B280,"yyyy-mm-dd"))</f>
        <v/>
      </c>
    </row>
    <row r="281" customFormat="false" ht="15" hidden="false" customHeight="true" outlineLevel="0" collapsed="false">
      <c r="B281" s="113"/>
      <c r="C281" s="12"/>
      <c r="D281" s="14"/>
      <c r="E281" s="12"/>
      <c r="F281" s="114" t="str">
        <f aca="false">IF($C281="","",$C281&amp;"  |  "&amp;TEXT($B281,"yyyy-mm-dd"))</f>
        <v/>
      </c>
    </row>
    <row r="282" customFormat="false" ht="15" hidden="false" customHeight="true" outlineLevel="0" collapsed="false">
      <c r="B282" s="115"/>
      <c r="C282" s="18"/>
      <c r="D282" s="20"/>
      <c r="E282" s="18"/>
      <c r="F282" s="114" t="str">
        <f aca="false">IF($C282="","",$C282&amp;"  |  "&amp;TEXT($B282,"yyyy-mm-dd"))</f>
        <v/>
      </c>
    </row>
    <row r="283" customFormat="false" ht="15" hidden="false" customHeight="true" outlineLevel="0" collapsed="false">
      <c r="B283" s="113"/>
      <c r="C283" s="12"/>
      <c r="D283" s="14"/>
      <c r="E283" s="12"/>
      <c r="F283" s="114" t="str">
        <f aca="false">IF($C283="","",$C283&amp;"  |  "&amp;TEXT($B283,"yyyy-mm-dd"))</f>
        <v/>
      </c>
    </row>
    <row r="284" customFormat="false" ht="15" hidden="false" customHeight="true" outlineLevel="0" collapsed="false">
      <c r="B284" s="115"/>
      <c r="C284" s="18"/>
      <c r="D284" s="20"/>
      <c r="E284" s="18"/>
      <c r="F284" s="114" t="str">
        <f aca="false">IF($C284="","",$C284&amp;"  |  "&amp;TEXT($B284,"yyyy-mm-dd"))</f>
        <v/>
      </c>
    </row>
    <row r="285" customFormat="false" ht="15" hidden="false" customHeight="true" outlineLevel="0" collapsed="false">
      <c r="B285" s="113"/>
      <c r="C285" s="12"/>
      <c r="D285" s="14"/>
      <c r="E285" s="12"/>
      <c r="F285" s="114" t="str">
        <f aca="false">IF($C285="","",$C285&amp;"  |  "&amp;TEXT($B285,"yyyy-mm-dd"))</f>
        <v/>
      </c>
    </row>
    <row r="286" customFormat="false" ht="15" hidden="false" customHeight="true" outlineLevel="0" collapsed="false">
      <c r="B286" s="115"/>
      <c r="C286" s="18"/>
      <c r="D286" s="20"/>
      <c r="E286" s="18"/>
      <c r="F286" s="114" t="str">
        <f aca="false">IF($C286="","",$C286&amp;"  |  "&amp;TEXT($B286,"yyyy-mm-dd"))</f>
        <v/>
      </c>
    </row>
    <row r="287" customFormat="false" ht="15" hidden="false" customHeight="true" outlineLevel="0" collapsed="false">
      <c r="B287" s="113"/>
      <c r="C287" s="12"/>
      <c r="D287" s="14"/>
      <c r="E287" s="12"/>
      <c r="F287" s="114" t="str">
        <f aca="false">IF($C287="","",$C287&amp;"  |  "&amp;TEXT($B287,"yyyy-mm-dd"))</f>
        <v/>
      </c>
    </row>
    <row r="288" customFormat="false" ht="15" hidden="false" customHeight="true" outlineLevel="0" collapsed="false">
      <c r="B288" s="115"/>
      <c r="C288" s="18"/>
      <c r="D288" s="20"/>
      <c r="E288" s="18"/>
      <c r="F288" s="114" t="str">
        <f aca="false">IF($C288="","",$C288&amp;"  |  "&amp;TEXT($B288,"yyyy-mm-dd"))</f>
        <v/>
      </c>
    </row>
    <row r="289" customFormat="false" ht="15" hidden="false" customHeight="true" outlineLevel="0" collapsed="false">
      <c r="B289" s="113"/>
      <c r="C289" s="12"/>
      <c r="D289" s="14"/>
      <c r="E289" s="12"/>
      <c r="F289" s="114" t="str">
        <f aca="false">IF($C289="","",$C289&amp;"  |  "&amp;TEXT($B289,"yyyy-mm-dd"))</f>
        <v/>
      </c>
    </row>
    <row r="290" customFormat="false" ht="15" hidden="false" customHeight="true" outlineLevel="0" collapsed="false">
      <c r="B290" s="115"/>
      <c r="C290" s="18"/>
      <c r="D290" s="20"/>
      <c r="E290" s="18"/>
      <c r="F290" s="114" t="str">
        <f aca="false">IF($C290="","",$C290&amp;"  |  "&amp;TEXT($B290,"yyyy-mm-dd"))</f>
        <v/>
      </c>
    </row>
    <row r="291" customFormat="false" ht="15" hidden="false" customHeight="true" outlineLevel="0" collapsed="false">
      <c r="B291" s="113"/>
      <c r="C291" s="12"/>
      <c r="D291" s="14"/>
      <c r="E291" s="12"/>
      <c r="F291" s="114" t="str">
        <f aca="false">IF($C291="","",$C291&amp;"  |  "&amp;TEXT($B291,"yyyy-mm-dd"))</f>
        <v/>
      </c>
    </row>
    <row r="292" customFormat="false" ht="15" hidden="false" customHeight="true" outlineLevel="0" collapsed="false">
      <c r="B292" s="115"/>
      <c r="C292" s="18"/>
      <c r="D292" s="20"/>
      <c r="E292" s="18"/>
      <c r="F292" s="114" t="str">
        <f aca="false">IF($C292="","",$C292&amp;"  |  "&amp;TEXT($B292,"yyyy-mm-dd"))</f>
        <v/>
      </c>
    </row>
    <row r="293" customFormat="false" ht="15" hidden="false" customHeight="true" outlineLevel="0" collapsed="false">
      <c r="B293" s="113"/>
      <c r="C293" s="12"/>
      <c r="D293" s="14"/>
      <c r="E293" s="12"/>
      <c r="F293" s="114" t="str">
        <f aca="false">IF($C293="","",$C293&amp;"  |  "&amp;TEXT($B293,"yyyy-mm-dd"))</f>
        <v/>
      </c>
    </row>
    <row r="294" customFormat="false" ht="15" hidden="false" customHeight="true" outlineLevel="0" collapsed="false">
      <c r="B294" s="115"/>
      <c r="C294" s="18"/>
      <c r="D294" s="20"/>
      <c r="E294" s="18"/>
      <c r="F294" s="114" t="str">
        <f aca="false">IF($C294="","",$C294&amp;"  |  "&amp;TEXT($B294,"yyyy-mm-dd"))</f>
        <v/>
      </c>
    </row>
    <row r="295" customFormat="false" ht="15" hidden="false" customHeight="true" outlineLevel="0" collapsed="false">
      <c r="B295" s="113"/>
      <c r="C295" s="12"/>
      <c r="D295" s="14"/>
      <c r="E295" s="12"/>
      <c r="F295" s="114" t="str">
        <f aca="false">IF($C295="","",$C295&amp;"  |  "&amp;TEXT($B295,"yyyy-mm-dd"))</f>
        <v/>
      </c>
    </row>
    <row r="296" customFormat="false" ht="15" hidden="false" customHeight="true" outlineLevel="0" collapsed="false">
      <c r="B296" s="115"/>
      <c r="C296" s="18"/>
      <c r="D296" s="20"/>
      <c r="E296" s="18"/>
      <c r="F296" s="114" t="str">
        <f aca="false">IF($C296="","",$C296&amp;"  |  "&amp;TEXT($B296,"yyyy-mm-dd"))</f>
        <v/>
      </c>
    </row>
    <row r="297" customFormat="false" ht="15" hidden="false" customHeight="true" outlineLevel="0" collapsed="false">
      <c r="B297" s="113"/>
      <c r="C297" s="12"/>
      <c r="D297" s="14"/>
      <c r="E297" s="12"/>
      <c r="F297" s="114" t="str">
        <f aca="false">IF($C297="","",$C297&amp;"  |  "&amp;TEXT($B297,"yyyy-mm-dd"))</f>
        <v/>
      </c>
    </row>
    <row r="298" customFormat="false" ht="15" hidden="false" customHeight="true" outlineLevel="0" collapsed="false">
      <c r="B298" s="115"/>
      <c r="C298" s="18"/>
      <c r="D298" s="20"/>
      <c r="E298" s="18"/>
      <c r="F298" s="114" t="str">
        <f aca="false">IF($C298="","",$C298&amp;"  |  "&amp;TEXT($B298,"yyyy-mm-dd"))</f>
        <v/>
      </c>
    </row>
    <row r="299" customFormat="false" ht="15" hidden="false" customHeight="true" outlineLevel="0" collapsed="false">
      <c r="B299" s="113"/>
      <c r="C299" s="12"/>
      <c r="D299" s="14"/>
      <c r="E299" s="12"/>
      <c r="F299" s="114" t="str">
        <f aca="false">IF($C299="","",$C299&amp;"  |  "&amp;TEXT($B299,"yyyy-mm-dd"))</f>
        <v/>
      </c>
    </row>
    <row r="300" customFormat="false" ht="15" hidden="false" customHeight="true" outlineLevel="0" collapsed="false">
      <c r="B300" s="115"/>
      <c r="C300" s="18"/>
      <c r="D300" s="20"/>
      <c r="E300" s="18"/>
      <c r="F300" s="114" t="str">
        <f aca="false">IF($C300="","",$C300&amp;"  |  "&amp;TEXT($B300,"yyyy-mm-dd"))</f>
        <v/>
      </c>
    </row>
    <row r="301" customFormat="false" ht="15" hidden="false" customHeight="true" outlineLevel="0" collapsed="false">
      <c r="B301" s="113"/>
      <c r="C301" s="12"/>
      <c r="D301" s="14"/>
      <c r="E301" s="12"/>
      <c r="F301" s="114" t="str">
        <f aca="false">IF($C301="","",$C301&amp;"  |  "&amp;TEXT($B301,"yyyy-mm-dd"))</f>
        <v/>
      </c>
    </row>
    <row r="302" customFormat="false" ht="15" hidden="false" customHeight="true" outlineLevel="0" collapsed="false">
      <c r="B302" s="115"/>
      <c r="C302" s="18"/>
      <c r="D302" s="20"/>
      <c r="E302" s="18"/>
      <c r="F302" s="114" t="str">
        <f aca="false">IF($C302="","",$C302&amp;"  |  "&amp;TEXT($B302,"yyyy-mm-dd"))</f>
        <v/>
      </c>
    </row>
    <row r="303" customFormat="false" ht="15" hidden="false" customHeight="true" outlineLevel="0" collapsed="false">
      <c r="B303" s="113"/>
      <c r="C303" s="12"/>
      <c r="D303" s="14"/>
      <c r="E303" s="12"/>
      <c r="F303" s="114" t="str">
        <f aca="false">IF($C303="","",$C303&amp;"  |  "&amp;TEXT($B303,"yyyy-mm-dd"))</f>
        <v/>
      </c>
    </row>
    <row r="304" customFormat="false" ht="15" hidden="false" customHeight="true" outlineLevel="0" collapsed="false">
      <c r="B304" s="115"/>
      <c r="C304" s="18"/>
      <c r="D304" s="20"/>
      <c r="E304" s="18"/>
      <c r="F304" s="114" t="str">
        <f aca="false">IF($C304="","",$C304&amp;"  |  "&amp;TEXT($B304,"yyyy-mm-dd"))</f>
        <v/>
      </c>
    </row>
    <row r="305" customFormat="false" ht="15" hidden="false" customHeight="true" outlineLevel="0" collapsed="false">
      <c r="B305" s="113"/>
      <c r="C305" s="12"/>
      <c r="D305" s="14"/>
      <c r="E305" s="12"/>
      <c r="F305" s="114" t="str">
        <f aca="false">IF($C305="","",$C305&amp;"  |  "&amp;TEXT($B305,"yyyy-mm-dd"))</f>
        <v/>
      </c>
    </row>
    <row r="306" customFormat="false" ht="15" hidden="false" customHeight="true" outlineLevel="0" collapsed="false">
      <c r="B306" s="115"/>
      <c r="C306" s="18"/>
      <c r="D306" s="20"/>
      <c r="E306" s="18"/>
      <c r="F306" s="114" t="str">
        <f aca="false">IF($C306="","",$C306&amp;"  |  "&amp;TEXT($B306,"yyyy-mm-dd"))</f>
        <v/>
      </c>
    </row>
    <row r="307" customFormat="false" ht="15" hidden="false" customHeight="true" outlineLevel="0" collapsed="false">
      <c r="B307" s="113"/>
      <c r="C307" s="12"/>
      <c r="D307" s="14"/>
      <c r="E307" s="12"/>
      <c r="F307" s="114" t="str">
        <f aca="false">IF($C307="","",$C307&amp;"  |  "&amp;TEXT($B307,"yyyy-mm-dd"))</f>
        <v/>
      </c>
    </row>
    <row r="308" customFormat="false" ht="15" hidden="false" customHeight="true" outlineLevel="0" collapsed="false">
      <c r="B308" s="115"/>
      <c r="C308" s="18"/>
      <c r="D308" s="20"/>
      <c r="E308" s="18"/>
      <c r="F308" s="114" t="str">
        <f aca="false">IF($C308="","",$C308&amp;"  |  "&amp;TEXT($B308,"yyyy-mm-dd"))</f>
        <v/>
      </c>
    </row>
  </sheetData>
  <mergeCells count="4">
    <mergeCell ref="B4:E4"/>
    <mergeCell ref="B5:E5"/>
    <mergeCell ref="B6:E6"/>
    <mergeCell ref="B7:F7"/>
  </mergeCell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G9" activeCellId="0" sqref="G9"/>
    </sheetView>
  </sheetViews>
  <sheetFormatPr defaultColWidth="8.57421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7"/>
    <col collapsed="false" customWidth="true" hidden="false" outlineLevel="0" max="4" min="4" style="0" width="23.71"/>
    <col collapsed="false" customWidth="true" hidden="false" outlineLevel="0" max="5" min="5" style="0" width="18.43"/>
    <col collapsed="false" customWidth="true" hidden="false" outlineLevel="0" max="6" min="6" style="0" width="40"/>
  </cols>
  <sheetData>
    <row r="1" customFormat="false" ht="19.5" hidden="false" customHeight="true" outlineLevel="0" collapsed="false">
      <c r="B1" s="1" t="s">
        <v>195</v>
      </c>
    </row>
    <row r="2" customFormat="false" ht="15" hidden="false" customHeight="true" outlineLevel="0" collapsed="false">
      <c r="B2" s="2" t="s">
        <v>196</v>
      </c>
    </row>
    <row r="4" customFormat="false" ht="24" hidden="false" customHeight="true" outlineLevel="0" collapsed="false">
      <c r="B4" s="35" t="s">
        <v>197</v>
      </c>
      <c r="C4" s="35"/>
      <c r="D4" s="35"/>
      <c r="E4" s="35"/>
      <c r="F4" s="35"/>
    </row>
    <row r="5" customFormat="false" ht="24" hidden="false" customHeight="true" outlineLevel="0" collapsed="false">
      <c r="B5" s="35" t="s">
        <v>198</v>
      </c>
      <c r="C5" s="35"/>
      <c r="D5" s="35"/>
      <c r="E5" s="35"/>
      <c r="F5" s="35"/>
    </row>
    <row r="6" customFormat="false" ht="24" hidden="false" customHeight="true" outlineLevel="0" collapsed="false">
      <c r="B6" s="35" t="s">
        <v>199</v>
      </c>
      <c r="C6" s="35"/>
      <c r="D6" s="35"/>
      <c r="E6" s="35"/>
      <c r="F6" s="35"/>
    </row>
    <row r="8" customFormat="false" ht="15" hidden="false" customHeight="true" outlineLevel="0" collapsed="false">
      <c r="B8" s="112" t="s">
        <v>200</v>
      </c>
      <c r="C8" s="112" t="s">
        <v>141</v>
      </c>
      <c r="D8" s="112" t="s">
        <v>201</v>
      </c>
      <c r="E8" s="112" t="s">
        <v>202</v>
      </c>
      <c r="F8" s="112" t="s">
        <v>203</v>
      </c>
    </row>
    <row r="9" customFormat="false" ht="15" hidden="false" customHeight="true" outlineLevel="0" collapsed="false">
      <c r="B9" s="12" t="s">
        <v>66</v>
      </c>
      <c r="C9" s="113" t="n">
        <v>46273</v>
      </c>
      <c r="D9" s="113"/>
      <c r="E9" s="14" t="n">
        <v>183.69</v>
      </c>
      <c r="F9" s="12" t="s">
        <v>204</v>
      </c>
    </row>
    <row r="10" customFormat="false" ht="15" hidden="false" customHeight="true" outlineLevel="0" collapsed="false">
      <c r="B10" s="18"/>
      <c r="C10" s="115"/>
      <c r="D10" s="115"/>
      <c r="E10" s="20"/>
      <c r="F10" s="18"/>
    </row>
    <row r="11" customFormat="false" ht="15" hidden="false" customHeight="true" outlineLevel="0" collapsed="false">
      <c r="B11" s="12"/>
      <c r="C11" s="113"/>
      <c r="D11" s="113"/>
      <c r="E11" s="14"/>
      <c r="F11" s="12"/>
    </row>
    <row r="12" customFormat="false" ht="15" hidden="false" customHeight="true" outlineLevel="0" collapsed="false">
      <c r="B12" s="18"/>
      <c r="C12" s="115"/>
      <c r="D12" s="115"/>
      <c r="E12" s="20"/>
      <c r="F12" s="18"/>
    </row>
    <row r="13" customFormat="false" ht="15" hidden="false" customHeight="true" outlineLevel="0" collapsed="false">
      <c r="B13" s="12"/>
      <c r="C13" s="113"/>
      <c r="D13" s="113"/>
      <c r="E13" s="14"/>
      <c r="F13" s="12"/>
    </row>
    <row r="14" customFormat="false" ht="15" hidden="false" customHeight="true" outlineLevel="0" collapsed="false">
      <c r="B14" s="18"/>
      <c r="C14" s="115"/>
      <c r="D14" s="115"/>
      <c r="E14" s="20"/>
      <c r="F14" s="18"/>
    </row>
    <row r="15" customFormat="false" ht="15" hidden="false" customHeight="true" outlineLevel="0" collapsed="false">
      <c r="B15" s="12"/>
      <c r="C15" s="113"/>
      <c r="D15" s="113"/>
      <c r="E15" s="14"/>
      <c r="F15" s="12"/>
    </row>
    <row r="16" customFormat="false" ht="15" hidden="false" customHeight="true" outlineLevel="0" collapsed="false">
      <c r="B16" s="18"/>
      <c r="C16" s="115"/>
      <c r="D16" s="115"/>
      <c r="E16" s="20"/>
      <c r="F16" s="18"/>
    </row>
    <row r="17" customFormat="false" ht="15" hidden="false" customHeight="true" outlineLevel="0" collapsed="false">
      <c r="B17" s="12"/>
      <c r="C17" s="113"/>
      <c r="D17" s="113"/>
      <c r="E17" s="14"/>
      <c r="F17" s="12"/>
    </row>
    <row r="18" customFormat="false" ht="15" hidden="false" customHeight="true" outlineLevel="0" collapsed="false">
      <c r="B18" s="18"/>
      <c r="C18" s="115"/>
      <c r="D18" s="115"/>
      <c r="E18" s="20"/>
      <c r="F18" s="18"/>
    </row>
    <row r="19" customFormat="false" ht="15" hidden="false" customHeight="true" outlineLevel="0" collapsed="false">
      <c r="B19" s="12"/>
      <c r="C19" s="113"/>
      <c r="D19" s="113"/>
      <c r="E19" s="14"/>
      <c r="F19" s="12"/>
    </row>
    <row r="20" customFormat="false" ht="15" hidden="false" customHeight="true" outlineLevel="0" collapsed="false">
      <c r="B20" s="18"/>
      <c r="C20" s="115"/>
      <c r="D20" s="115"/>
      <c r="E20" s="20"/>
      <c r="F20" s="18"/>
    </row>
    <row r="21" customFormat="false" ht="15" hidden="false" customHeight="true" outlineLevel="0" collapsed="false">
      <c r="B21" s="12"/>
      <c r="C21" s="113"/>
      <c r="D21" s="113"/>
      <c r="E21" s="14"/>
      <c r="F21" s="12"/>
    </row>
    <row r="22" customFormat="false" ht="15" hidden="false" customHeight="true" outlineLevel="0" collapsed="false">
      <c r="B22" s="18"/>
      <c r="C22" s="115"/>
      <c r="D22" s="115"/>
      <c r="E22" s="20"/>
      <c r="F22" s="18"/>
    </row>
    <row r="23" customFormat="false" ht="15" hidden="false" customHeight="true" outlineLevel="0" collapsed="false">
      <c r="B23" s="12"/>
      <c r="C23" s="113"/>
      <c r="D23" s="113"/>
      <c r="E23" s="14"/>
      <c r="F23" s="12"/>
    </row>
    <row r="24" customFormat="false" ht="15" hidden="false" customHeight="true" outlineLevel="0" collapsed="false">
      <c r="B24" s="18"/>
      <c r="C24" s="115"/>
      <c r="D24" s="115"/>
      <c r="E24" s="20"/>
      <c r="F24" s="18"/>
    </row>
    <row r="25" customFormat="false" ht="15" hidden="false" customHeight="true" outlineLevel="0" collapsed="false">
      <c r="B25" s="12"/>
      <c r="C25" s="113"/>
      <c r="D25" s="113"/>
      <c r="E25" s="14"/>
      <c r="F25" s="12"/>
    </row>
    <row r="26" customFormat="false" ht="15" hidden="false" customHeight="true" outlineLevel="0" collapsed="false">
      <c r="B26" s="18"/>
      <c r="C26" s="115"/>
      <c r="D26" s="115"/>
      <c r="E26" s="20"/>
      <c r="F26" s="18"/>
    </row>
    <row r="27" customFormat="false" ht="15" hidden="false" customHeight="true" outlineLevel="0" collapsed="false">
      <c r="B27" s="12"/>
      <c r="C27" s="113"/>
      <c r="D27" s="113"/>
      <c r="E27" s="14"/>
      <c r="F27" s="12"/>
    </row>
    <row r="28" customFormat="false" ht="15" hidden="false" customHeight="true" outlineLevel="0" collapsed="false">
      <c r="B28" s="18"/>
      <c r="C28" s="115"/>
      <c r="D28" s="115"/>
      <c r="E28" s="20"/>
      <c r="F28" s="18"/>
    </row>
    <row r="29" customFormat="false" ht="15" hidden="false" customHeight="true" outlineLevel="0" collapsed="false">
      <c r="B29" s="12"/>
      <c r="C29" s="113"/>
      <c r="D29" s="113"/>
      <c r="E29" s="14"/>
      <c r="F29" s="12"/>
    </row>
    <row r="30" customFormat="false" ht="15" hidden="false" customHeight="true" outlineLevel="0" collapsed="false">
      <c r="B30" s="18"/>
      <c r="C30" s="115"/>
      <c r="D30" s="115"/>
      <c r="E30" s="20"/>
      <c r="F30" s="18"/>
    </row>
    <row r="31" customFormat="false" ht="15" hidden="false" customHeight="true" outlineLevel="0" collapsed="false">
      <c r="B31" s="12"/>
      <c r="C31" s="113"/>
      <c r="D31" s="113"/>
      <c r="E31" s="14"/>
      <c r="F31" s="12"/>
    </row>
    <row r="32" customFormat="false" ht="15" hidden="false" customHeight="true" outlineLevel="0" collapsed="false">
      <c r="B32" s="18"/>
      <c r="C32" s="115"/>
      <c r="D32" s="115"/>
      <c r="E32" s="20"/>
      <c r="F32" s="18"/>
    </row>
    <row r="33" customFormat="false" ht="15" hidden="false" customHeight="true" outlineLevel="0" collapsed="false">
      <c r="B33" s="12"/>
      <c r="C33" s="113"/>
      <c r="D33" s="113"/>
      <c r="E33" s="14"/>
      <c r="F33" s="12"/>
    </row>
    <row r="34" customFormat="false" ht="15" hidden="false" customHeight="true" outlineLevel="0" collapsed="false">
      <c r="B34" s="18"/>
      <c r="C34" s="115"/>
      <c r="D34" s="115"/>
      <c r="E34" s="20"/>
      <c r="F34" s="18"/>
    </row>
    <row r="35" customFormat="false" ht="15" hidden="false" customHeight="true" outlineLevel="0" collapsed="false">
      <c r="B35" s="12"/>
      <c r="C35" s="113"/>
      <c r="D35" s="113"/>
      <c r="E35" s="14"/>
      <c r="F35" s="12"/>
    </row>
    <row r="36" customFormat="false" ht="15" hidden="false" customHeight="true" outlineLevel="0" collapsed="false">
      <c r="B36" s="18"/>
      <c r="C36" s="115"/>
      <c r="D36" s="115"/>
      <c r="E36" s="20"/>
      <c r="F36" s="18"/>
    </row>
    <row r="37" customFormat="false" ht="15" hidden="false" customHeight="true" outlineLevel="0" collapsed="false">
      <c r="B37" s="12"/>
      <c r="C37" s="113"/>
      <c r="D37" s="113"/>
      <c r="E37" s="14"/>
      <c r="F37" s="12"/>
    </row>
    <row r="38" customFormat="false" ht="15" hidden="false" customHeight="true" outlineLevel="0" collapsed="false">
      <c r="B38" s="18"/>
      <c r="C38" s="115"/>
      <c r="D38" s="115"/>
      <c r="E38" s="20"/>
      <c r="F38" s="18"/>
    </row>
    <row r="39" customFormat="false" ht="15" hidden="false" customHeight="true" outlineLevel="0" collapsed="false">
      <c r="B39" s="12"/>
      <c r="C39" s="113"/>
      <c r="D39" s="113"/>
      <c r="E39" s="14"/>
      <c r="F39" s="12"/>
    </row>
    <row r="40" customFormat="false" ht="15" hidden="false" customHeight="true" outlineLevel="0" collapsed="false">
      <c r="B40" s="18"/>
      <c r="C40" s="115"/>
      <c r="D40" s="115"/>
      <c r="E40" s="20"/>
      <c r="F40" s="18"/>
    </row>
    <row r="41" customFormat="false" ht="15" hidden="false" customHeight="true" outlineLevel="0" collapsed="false">
      <c r="B41" s="12"/>
      <c r="C41" s="113"/>
      <c r="D41" s="113"/>
      <c r="E41" s="14"/>
      <c r="F41" s="12"/>
    </row>
    <row r="42" customFormat="false" ht="15" hidden="false" customHeight="true" outlineLevel="0" collapsed="false">
      <c r="B42" s="18"/>
      <c r="C42" s="115"/>
      <c r="D42" s="115"/>
      <c r="E42" s="20"/>
      <c r="F42" s="18"/>
    </row>
    <row r="43" customFormat="false" ht="15" hidden="false" customHeight="true" outlineLevel="0" collapsed="false">
      <c r="B43" s="12"/>
      <c r="C43" s="113"/>
      <c r="D43" s="113"/>
      <c r="E43" s="14"/>
      <c r="F43" s="12"/>
    </row>
    <row r="44" customFormat="false" ht="15" hidden="false" customHeight="true" outlineLevel="0" collapsed="false">
      <c r="B44" s="18"/>
      <c r="C44" s="115"/>
      <c r="D44" s="115"/>
      <c r="E44" s="20"/>
      <c r="F44" s="18"/>
    </row>
    <row r="45" customFormat="false" ht="15" hidden="false" customHeight="true" outlineLevel="0" collapsed="false">
      <c r="B45" s="12"/>
      <c r="C45" s="113"/>
      <c r="D45" s="113"/>
      <c r="E45" s="14"/>
      <c r="F45" s="12"/>
    </row>
    <row r="46" customFormat="false" ht="15" hidden="false" customHeight="true" outlineLevel="0" collapsed="false">
      <c r="B46" s="18"/>
      <c r="C46" s="115"/>
      <c r="D46" s="115"/>
      <c r="E46" s="20"/>
      <c r="F46" s="18"/>
    </row>
    <row r="47" customFormat="false" ht="15" hidden="false" customHeight="true" outlineLevel="0" collapsed="false">
      <c r="B47" s="12"/>
      <c r="C47" s="113"/>
      <c r="D47" s="113"/>
      <c r="E47" s="14"/>
      <c r="F47" s="12"/>
    </row>
    <row r="48" customFormat="false" ht="15" hidden="false" customHeight="true" outlineLevel="0" collapsed="false">
      <c r="B48" s="18"/>
      <c r="C48" s="115"/>
      <c r="D48" s="115"/>
      <c r="E48" s="20"/>
      <c r="F48" s="18"/>
    </row>
    <row r="49" customFormat="false" ht="15" hidden="false" customHeight="true" outlineLevel="0" collapsed="false">
      <c r="B49" s="12"/>
      <c r="C49" s="113"/>
      <c r="D49" s="113"/>
      <c r="E49" s="14"/>
      <c r="F49" s="12"/>
    </row>
    <row r="50" customFormat="false" ht="15" hidden="false" customHeight="true" outlineLevel="0" collapsed="false">
      <c r="B50" s="18"/>
      <c r="C50" s="115"/>
      <c r="D50" s="115"/>
      <c r="E50" s="20"/>
      <c r="F50" s="18"/>
    </row>
    <row r="51" customFormat="false" ht="15" hidden="false" customHeight="true" outlineLevel="0" collapsed="false">
      <c r="B51" s="12"/>
      <c r="C51" s="113"/>
      <c r="D51" s="113"/>
      <c r="E51" s="14"/>
      <c r="F51" s="12"/>
    </row>
    <row r="52" customFormat="false" ht="15" hidden="false" customHeight="true" outlineLevel="0" collapsed="false">
      <c r="B52" s="18"/>
      <c r="C52" s="115"/>
      <c r="D52" s="115"/>
      <c r="E52" s="20"/>
      <c r="F52" s="18"/>
    </row>
    <row r="53" customFormat="false" ht="15" hidden="false" customHeight="true" outlineLevel="0" collapsed="false">
      <c r="B53" s="12"/>
      <c r="C53" s="113"/>
      <c r="D53" s="113"/>
      <c r="E53" s="14"/>
      <c r="F53" s="12"/>
    </row>
    <row r="54" customFormat="false" ht="15" hidden="false" customHeight="true" outlineLevel="0" collapsed="false">
      <c r="B54" s="18"/>
      <c r="C54" s="115"/>
      <c r="D54" s="115"/>
      <c r="E54" s="20"/>
      <c r="F54" s="18"/>
    </row>
    <row r="55" customFormat="false" ht="15" hidden="false" customHeight="true" outlineLevel="0" collapsed="false">
      <c r="B55" s="12"/>
      <c r="C55" s="113"/>
      <c r="D55" s="113"/>
      <c r="E55" s="14"/>
      <c r="F55" s="12"/>
    </row>
    <row r="56" customFormat="false" ht="15" hidden="false" customHeight="true" outlineLevel="0" collapsed="false">
      <c r="B56" s="18"/>
      <c r="C56" s="115"/>
      <c r="D56" s="115"/>
      <c r="E56" s="20"/>
      <c r="F56" s="18"/>
    </row>
    <row r="57" customFormat="false" ht="15" hidden="false" customHeight="true" outlineLevel="0" collapsed="false">
      <c r="B57" s="12"/>
      <c r="C57" s="113"/>
      <c r="D57" s="113"/>
      <c r="E57" s="14"/>
      <c r="F57" s="12"/>
    </row>
    <row r="58" customFormat="false" ht="15" hidden="false" customHeight="true" outlineLevel="0" collapsed="false">
      <c r="B58" s="18"/>
      <c r="C58" s="115"/>
      <c r="D58" s="115"/>
      <c r="E58" s="20"/>
      <c r="F58" s="18"/>
    </row>
    <row r="59" customFormat="false" ht="15" hidden="false" customHeight="true" outlineLevel="0" collapsed="false">
      <c r="B59" s="12"/>
      <c r="C59" s="113"/>
      <c r="D59" s="113"/>
      <c r="E59" s="14"/>
      <c r="F59" s="12"/>
    </row>
    <row r="60" customFormat="false" ht="15" hidden="false" customHeight="true" outlineLevel="0" collapsed="false">
      <c r="B60" s="18"/>
      <c r="C60" s="115"/>
      <c r="D60" s="115"/>
      <c r="E60" s="20"/>
      <c r="F60" s="18"/>
    </row>
    <row r="61" customFormat="false" ht="15" hidden="false" customHeight="true" outlineLevel="0" collapsed="false">
      <c r="B61" s="12"/>
      <c r="C61" s="113"/>
      <c r="D61" s="113"/>
      <c r="E61" s="14"/>
      <c r="F61" s="12"/>
    </row>
    <row r="62" customFormat="false" ht="15" hidden="false" customHeight="true" outlineLevel="0" collapsed="false">
      <c r="B62" s="18"/>
      <c r="C62" s="115"/>
      <c r="D62" s="115"/>
      <c r="E62" s="20"/>
      <c r="F62" s="18"/>
    </row>
    <row r="63" customFormat="false" ht="15" hidden="false" customHeight="true" outlineLevel="0" collapsed="false">
      <c r="B63" s="12"/>
      <c r="C63" s="113"/>
      <c r="D63" s="113"/>
      <c r="E63" s="14"/>
      <c r="F63" s="12"/>
    </row>
    <row r="64" customFormat="false" ht="15" hidden="false" customHeight="true" outlineLevel="0" collapsed="false">
      <c r="B64" s="18"/>
      <c r="C64" s="115"/>
      <c r="D64" s="115"/>
      <c r="E64" s="20"/>
      <c r="F64" s="18"/>
    </row>
    <row r="65" customFormat="false" ht="15" hidden="false" customHeight="true" outlineLevel="0" collapsed="false">
      <c r="B65" s="12"/>
      <c r="C65" s="113"/>
      <c r="D65" s="113"/>
      <c r="E65" s="14"/>
      <c r="F65" s="12"/>
    </row>
    <row r="66" customFormat="false" ht="15" hidden="false" customHeight="true" outlineLevel="0" collapsed="false">
      <c r="B66" s="18"/>
      <c r="C66" s="115"/>
      <c r="D66" s="115"/>
      <c r="E66" s="20"/>
      <c r="F66" s="18"/>
    </row>
    <row r="67" customFormat="false" ht="15" hidden="false" customHeight="true" outlineLevel="0" collapsed="false">
      <c r="B67" s="12"/>
      <c r="C67" s="113"/>
      <c r="D67" s="113"/>
      <c r="E67" s="14"/>
      <c r="F67" s="12"/>
    </row>
    <row r="68" customFormat="false" ht="15" hidden="false" customHeight="true" outlineLevel="0" collapsed="false">
      <c r="B68" s="18"/>
      <c r="C68" s="115"/>
      <c r="D68" s="115"/>
      <c r="E68" s="20"/>
      <c r="F68" s="18"/>
    </row>
    <row r="69" customFormat="false" ht="15" hidden="false" customHeight="true" outlineLevel="0" collapsed="false">
      <c r="B69" s="12"/>
      <c r="C69" s="113"/>
      <c r="D69" s="113"/>
      <c r="E69" s="14"/>
      <c r="F69" s="12"/>
    </row>
    <row r="70" customFormat="false" ht="15" hidden="false" customHeight="true" outlineLevel="0" collapsed="false">
      <c r="B70" s="18"/>
      <c r="C70" s="115"/>
      <c r="D70" s="115"/>
      <c r="E70" s="20"/>
      <c r="F70" s="18"/>
    </row>
    <row r="71" customFormat="false" ht="15" hidden="false" customHeight="true" outlineLevel="0" collapsed="false">
      <c r="B71" s="12"/>
      <c r="C71" s="113"/>
      <c r="D71" s="113"/>
      <c r="E71" s="14"/>
      <c r="F71" s="12"/>
    </row>
    <row r="72" customFormat="false" ht="15" hidden="false" customHeight="true" outlineLevel="0" collapsed="false">
      <c r="B72" s="18"/>
      <c r="C72" s="115"/>
      <c r="D72" s="115"/>
      <c r="E72" s="20"/>
      <c r="F72" s="18"/>
    </row>
    <row r="73" customFormat="false" ht="15" hidden="false" customHeight="true" outlineLevel="0" collapsed="false">
      <c r="B73" s="12"/>
      <c r="C73" s="113"/>
      <c r="D73" s="113"/>
      <c r="E73" s="14"/>
      <c r="F73" s="12"/>
    </row>
    <row r="74" customFormat="false" ht="15" hidden="false" customHeight="true" outlineLevel="0" collapsed="false">
      <c r="B74" s="18"/>
      <c r="C74" s="115"/>
      <c r="D74" s="115"/>
      <c r="E74" s="20"/>
      <c r="F74" s="18"/>
    </row>
    <row r="75" customFormat="false" ht="15" hidden="false" customHeight="true" outlineLevel="0" collapsed="false">
      <c r="B75" s="12"/>
      <c r="C75" s="113"/>
      <c r="D75" s="113"/>
      <c r="E75" s="14"/>
      <c r="F75" s="12"/>
    </row>
    <row r="76" customFormat="false" ht="15" hidden="false" customHeight="true" outlineLevel="0" collapsed="false">
      <c r="B76" s="18"/>
      <c r="C76" s="115"/>
      <c r="D76" s="115"/>
      <c r="E76" s="20"/>
      <c r="F76" s="18"/>
    </row>
    <row r="77" customFormat="false" ht="15" hidden="false" customHeight="true" outlineLevel="0" collapsed="false">
      <c r="B77" s="12"/>
      <c r="C77" s="113"/>
      <c r="D77" s="113"/>
      <c r="E77" s="14"/>
      <c r="F77" s="12"/>
    </row>
    <row r="78" customFormat="false" ht="15" hidden="false" customHeight="true" outlineLevel="0" collapsed="false">
      <c r="B78" s="18"/>
      <c r="C78" s="115"/>
      <c r="D78" s="115"/>
      <c r="E78" s="20"/>
      <c r="F78" s="18"/>
    </row>
    <row r="79" customFormat="false" ht="15" hidden="false" customHeight="true" outlineLevel="0" collapsed="false">
      <c r="B79" s="12"/>
      <c r="C79" s="113"/>
      <c r="D79" s="113"/>
      <c r="E79" s="14"/>
      <c r="F79" s="12"/>
    </row>
    <row r="80" customFormat="false" ht="15" hidden="false" customHeight="true" outlineLevel="0" collapsed="false">
      <c r="B80" s="18"/>
      <c r="C80" s="115"/>
      <c r="D80" s="115"/>
      <c r="E80" s="20"/>
      <c r="F80" s="18"/>
    </row>
    <row r="81" customFormat="false" ht="15" hidden="false" customHeight="true" outlineLevel="0" collapsed="false">
      <c r="B81" s="12"/>
      <c r="C81" s="113"/>
      <c r="D81" s="113"/>
      <c r="E81" s="14"/>
      <c r="F81" s="12"/>
    </row>
    <row r="82" customFormat="false" ht="15" hidden="false" customHeight="true" outlineLevel="0" collapsed="false">
      <c r="B82" s="18"/>
      <c r="C82" s="115"/>
      <c r="D82" s="115"/>
      <c r="E82" s="20"/>
      <c r="F82" s="18"/>
    </row>
    <row r="83" customFormat="false" ht="15" hidden="false" customHeight="true" outlineLevel="0" collapsed="false">
      <c r="B83" s="12"/>
      <c r="C83" s="113"/>
      <c r="D83" s="113"/>
      <c r="E83" s="14"/>
      <c r="F83" s="12"/>
    </row>
    <row r="84" customFormat="false" ht="15" hidden="false" customHeight="true" outlineLevel="0" collapsed="false">
      <c r="B84" s="18"/>
      <c r="C84" s="115"/>
      <c r="D84" s="115"/>
      <c r="E84" s="20"/>
      <c r="F84" s="18"/>
    </row>
    <row r="85" customFormat="false" ht="15" hidden="false" customHeight="true" outlineLevel="0" collapsed="false">
      <c r="B85" s="12"/>
      <c r="C85" s="113"/>
      <c r="D85" s="113"/>
      <c r="E85" s="14"/>
      <c r="F85" s="12"/>
    </row>
    <row r="86" customFormat="false" ht="15" hidden="false" customHeight="true" outlineLevel="0" collapsed="false">
      <c r="B86" s="18"/>
      <c r="C86" s="115"/>
      <c r="D86" s="115"/>
      <c r="E86" s="20"/>
      <c r="F86" s="18"/>
    </row>
    <row r="87" customFormat="false" ht="15" hidden="false" customHeight="true" outlineLevel="0" collapsed="false">
      <c r="B87" s="12"/>
      <c r="C87" s="113"/>
      <c r="D87" s="113"/>
      <c r="E87" s="14"/>
      <c r="F87" s="12"/>
    </row>
    <row r="88" customFormat="false" ht="15" hidden="false" customHeight="true" outlineLevel="0" collapsed="false">
      <c r="B88" s="18"/>
      <c r="C88" s="115"/>
      <c r="D88" s="115"/>
      <c r="E88" s="20"/>
      <c r="F88" s="18"/>
    </row>
    <row r="89" customFormat="false" ht="15" hidden="false" customHeight="true" outlineLevel="0" collapsed="false">
      <c r="B89" s="12"/>
      <c r="C89" s="113"/>
      <c r="D89" s="113"/>
      <c r="E89" s="14"/>
      <c r="F89" s="12"/>
    </row>
    <row r="90" customFormat="false" ht="15" hidden="false" customHeight="true" outlineLevel="0" collapsed="false">
      <c r="B90" s="18"/>
      <c r="C90" s="115"/>
      <c r="D90" s="115"/>
      <c r="E90" s="20"/>
      <c r="F90" s="18"/>
    </row>
    <row r="91" customFormat="false" ht="15" hidden="false" customHeight="true" outlineLevel="0" collapsed="false">
      <c r="B91" s="12"/>
      <c r="C91" s="113"/>
      <c r="D91" s="113"/>
      <c r="E91" s="14"/>
      <c r="F91" s="12"/>
    </row>
    <row r="92" customFormat="false" ht="15" hidden="false" customHeight="true" outlineLevel="0" collapsed="false">
      <c r="B92" s="18"/>
      <c r="C92" s="115"/>
      <c r="D92" s="115"/>
      <c r="E92" s="20"/>
      <c r="F92" s="18"/>
    </row>
    <row r="93" customFormat="false" ht="15" hidden="false" customHeight="true" outlineLevel="0" collapsed="false">
      <c r="B93" s="12"/>
      <c r="C93" s="113"/>
      <c r="D93" s="113"/>
      <c r="E93" s="14"/>
      <c r="F93" s="12"/>
    </row>
    <row r="94" customFormat="false" ht="15" hidden="false" customHeight="true" outlineLevel="0" collapsed="false">
      <c r="B94" s="18"/>
      <c r="C94" s="115"/>
      <c r="D94" s="115"/>
      <c r="E94" s="20"/>
      <c r="F94" s="18"/>
    </row>
    <row r="95" customFormat="false" ht="15" hidden="false" customHeight="true" outlineLevel="0" collapsed="false">
      <c r="B95" s="12"/>
      <c r="C95" s="113"/>
      <c r="D95" s="113"/>
      <c r="E95" s="14"/>
      <c r="F95" s="12"/>
    </row>
    <row r="96" customFormat="false" ht="15" hidden="false" customHeight="true" outlineLevel="0" collapsed="false">
      <c r="B96" s="18"/>
      <c r="C96" s="115"/>
      <c r="D96" s="115"/>
      <c r="E96" s="20"/>
      <c r="F96" s="18"/>
    </row>
    <row r="97" customFormat="false" ht="15" hidden="false" customHeight="true" outlineLevel="0" collapsed="false">
      <c r="B97" s="12"/>
      <c r="C97" s="113"/>
      <c r="D97" s="113"/>
      <c r="E97" s="14"/>
      <c r="F97" s="12"/>
    </row>
    <row r="98" customFormat="false" ht="15" hidden="false" customHeight="true" outlineLevel="0" collapsed="false">
      <c r="B98" s="18"/>
      <c r="C98" s="115"/>
      <c r="D98" s="115"/>
      <c r="E98" s="20"/>
      <c r="F98" s="18"/>
    </row>
    <row r="99" customFormat="false" ht="15" hidden="false" customHeight="true" outlineLevel="0" collapsed="false">
      <c r="B99" s="12"/>
      <c r="C99" s="113"/>
      <c r="D99" s="113"/>
      <c r="E99" s="14"/>
      <c r="F99" s="12"/>
    </row>
    <row r="100" customFormat="false" ht="15" hidden="false" customHeight="true" outlineLevel="0" collapsed="false">
      <c r="B100" s="18"/>
      <c r="C100" s="115"/>
      <c r="D100" s="115"/>
      <c r="E100" s="20"/>
      <c r="F100" s="18"/>
    </row>
    <row r="101" customFormat="false" ht="15" hidden="false" customHeight="true" outlineLevel="0" collapsed="false">
      <c r="B101" s="12"/>
      <c r="C101" s="113"/>
      <c r="D101" s="113"/>
      <c r="E101" s="14"/>
      <c r="F101" s="12"/>
    </row>
    <row r="102" customFormat="false" ht="15" hidden="false" customHeight="true" outlineLevel="0" collapsed="false">
      <c r="B102" s="18"/>
      <c r="C102" s="115"/>
      <c r="D102" s="115"/>
      <c r="E102" s="20"/>
      <c r="F102" s="18"/>
    </row>
    <row r="103" customFormat="false" ht="15" hidden="false" customHeight="true" outlineLevel="0" collapsed="false">
      <c r="B103" s="12"/>
      <c r="C103" s="113"/>
      <c r="D103" s="113"/>
      <c r="E103" s="14"/>
      <c r="F103" s="12"/>
    </row>
    <row r="104" customFormat="false" ht="15" hidden="false" customHeight="true" outlineLevel="0" collapsed="false">
      <c r="B104" s="18"/>
      <c r="C104" s="115"/>
      <c r="D104" s="115"/>
      <c r="E104" s="20"/>
      <c r="F104" s="18"/>
    </row>
    <row r="105" customFormat="false" ht="15" hidden="false" customHeight="true" outlineLevel="0" collapsed="false">
      <c r="B105" s="12"/>
      <c r="C105" s="113"/>
      <c r="D105" s="113"/>
      <c r="E105" s="14"/>
      <c r="F105" s="12"/>
    </row>
    <row r="106" customFormat="false" ht="15" hidden="false" customHeight="true" outlineLevel="0" collapsed="false">
      <c r="B106" s="18"/>
      <c r="C106" s="115"/>
      <c r="D106" s="115"/>
      <c r="E106" s="20"/>
      <c r="F106" s="18"/>
    </row>
    <row r="107" customFormat="false" ht="15" hidden="false" customHeight="true" outlineLevel="0" collapsed="false">
      <c r="B107" s="12"/>
      <c r="C107" s="113"/>
      <c r="D107" s="113"/>
      <c r="E107" s="14"/>
      <c r="F107" s="12"/>
    </row>
    <row r="108" customFormat="false" ht="15" hidden="false" customHeight="true" outlineLevel="0" collapsed="false">
      <c r="B108" s="18"/>
      <c r="C108" s="115"/>
      <c r="D108" s="115"/>
      <c r="E108" s="20"/>
      <c r="F108" s="18"/>
    </row>
  </sheetData>
  <mergeCells count="3">
    <mergeCell ref="B4:F4"/>
    <mergeCell ref="B5:F5"/>
    <mergeCell ref="B6:F6"/>
  </mergeCells>
  <printOptions headings="false" gridLines="false" gridLinesSet="true" horizontalCentered="false" verticalCentered="false"/>
  <pageMargins left="0.4" right="0.4"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5" zeroHeight="false" outlineLevelRow="0" outlineLevelCol="1"/>
  <cols>
    <col collapsed="false" customWidth="true" hidden="false" outlineLevel="0" max="2" min="1" style="0" width="7"/>
    <col collapsed="false" customWidth="true" hidden="false" outlineLevel="0" max="3" min="3" style="0" width="30"/>
    <col collapsed="false" customWidth="true" hidden="false" outlineLevel="0" max="4" min="4" style="0" width="11"/>
    <col collapsed="false" customWidth="true" hidden="false" outlineLevel="0" max="5" min="5" style="0" width="12"/>
    <col collapsed="false" customWidth="true" hidden="false" outlineLevel="0" max="7" min="6" style="0" width="14"/>
    <col collapsed="false" customWidth="true" hidden="false" outlineLevel="1" max="8" min="8" style="0" width="9"/>
    <col collapsed="false" customWidth="true" hidden="false" outlineLevel="1" max="9" min="9" style="0" width="8"/>
    <col collapsed="false" customWidth="true" hidden="false" outlineLevel="1" max="10" min="10" style="0" width="16"/>
    <col collapsed="false" customWidth="true" hidden="false" outlineLevel="1" max="11" min="11" style="0" width="12"/>
    <col collapsed="false" customWidth="true" hidden="false" outlineLevel="1" max="12" min="12" style="0" width="15"/>
    <col collapsed="false" customWidth="true" hidden="false" outlineLevel="1" max="14" min="13" style="0" width="14"/>
  </cols>
  <sheetData>
    <row r="1" customFormat="false" ht="17.25" hidden="false" customHeight="true" outlineLevel="0" collapsed="false">
      <c r="A1" s="116" t="s">
        <v>205</v>
      </c>
    </row>
    <row r="2" customFormat="false" ht="15" hidden="false" customHeight="true" outlineLevel="0" collapsed="false">
      <c r="A2" s="2" t="s">
        <v>206</v>
      </c>
    </row>
    <row r="3" customFormat="false" ht="15" hidden="false" customHeight="true" outlineLevel="0" collapsed="false">
      <c r="A3" s="112" t="s">
        <v>207</v>
      </c>
      <c r="B3" s="112" t="s">
        <v>208</v>
      </c>
      <c r="C3" s="112" t="s">
        <v>41</v>
      </c>
      <c r="D3" s="112" t="s">
        <v>42</v>
      </c>
      <c r="E3" s="112" t="s">
        <v>43</v>
      </c>
      <c r="F3" s="112" t="s">
        <v>209</v>
      </c>
      <c r="G3" s="112" t="s">
        <v>210</v>
      </c>
      <c r="H3" s="112" t="s">
        <v>211</v>
      </c>
      <c r="I3" s="112" t="s">
        <v>212</v>
      </c>
      <c r="J3" s="112" t="s">
        <v>213</v>
      </c>
      <c r="K3" s="112" t="s">
        <v>214</v>
      </c>
      <c r="L3" s="112" t="s">
        <v>215</v>
      </c>
      <c r="M3" s="112" t="s">
        <v>216</v>
      </c>
      <c r="N3" s="112" t="s">
        <v>217</v>
      </c>
    </row>
    <row r="4" customFormat="false" ht="15" hidden="false" customHeight="true" outlineLevel="0" collapsed="false">
      <c r="A4" s="117" t="n">
        <v>1</v>
      </c>
      <c r="B4" s="117" t="n">
        <v>1</v>
      </c>
      <c r="C4" s="7" t="str">
        <f aca="false">IF(OR(Recurring!$B$5="",Recurring!$H$5&lt;&gt;"Yes",Recurring!$D$5=""),"",Recurring!$B$5)</f>
        <v>Bruno's Restaurant (paycheck)</v>
      </c>
      <c r="D4" s="7" t="str">
        <f aca="false">IF($C4="","",Recurring!$C$5)</f>
        <v>Income</v>
      </c>
      <c r="E4" s="118" t="n">
        <f aca="false">IF($C4="","",IF(SUMIFS(Overrides!$E$9:$E$108,Overrides!$B$9:$B$108,$C4,Overrides!$C$9:$C$108,$L4)&gt;0,SUMIFS(Overrides!$E$9:$E$108,Overrides!$B$9:$B$108,$C4,Overrides!$C$9:$C$108,$L4),Recurring!$D$5))</f>
        <v>90</v>
      </c>
      <c r="F4" s="119" t="n">
        <f aca="false">IF($C4="","",IF(Recurring!$E$5="Weekly",Recurring!$F$5+7*0,IF(Recurring!$E$5="Every 2 Weeks",Recurring!$F$5+14*0,IF(Recurring!$E$5="Monthly",EDATE(Recurring!$F$5,0),IF(Recurring!$E$5="Twice a Month",IF(MOD((IF(DAY(Recurring!$F$5)&lt;=20,0,1)+0),2)=1,EOMONTH(Recurring!$F$5,INT((IF(DAY(Recurring!$F$5)&lt;=20,0,1)+0)/2)),DATE(YEAR(EDATE(Recurring!$F$5,INT((IF(DAY(Recurring!$F$5)&lt;=20,0,1)+0)/2))),MONTH(EDATE(Recurring!$F$5,INT((IF(DAY(Recurring!$F$5)&lt;=20,0,1)+0)/2))),15)),IF(Recurring!$E$5="One Time",IF(1=1,Recurring!$F$5,""),""))))))</f>
        <v>46253</v>
      </c>
      <c r="G4" s="119" t="n">
        <f aca="false">IF($L4="","",IF(SUMIFS(Overrides!$D$9:$D$108,Overrides!$B$9:$B$108,$C4,Overrides!$C$9:$C$108,$L4)&gt;0,SUMIFS(Overrides!$D$9:$D$108,Overrides!$B$9:$B$108,$C4,Overrides!$C$9:$C$108,$L4),$L4))</f>
        <v>46253</v>
      </c>
      <c r="H4" s="120" t="n">
        <f aca="false">IF($G4="",0,IF(AND($G4&gt;='Cash Flow'!$E$6-90,$G4&lt;'Cash Flow'!$E$6+91),1,0))</f>
        <v>1</v>
      </c>
      <c r="I4" s="120" t="n">
        <f aca="false">IF($H4=1,MAX(1,INT(($G4-'Cash Flow'!$E$6)/7)+1),"")</f>
        <v>1</v>
      </c>
      <c r="J4" s="7" t="n">
        <f aca="false">IF($H4=1,$G4*10000+ROW(),"")</f>
        <v>462530004</v>
      </c>
      <c r="K4" s="7" t="n">
        <f aca="false">IF($H4=1,$I4*1000+COUNTIFS($I$4:$I$483,$I4,$J$4:$J$483,"&lt;"&amp;$J4)+1,"")</f>
        <v>1002</v>
      </c>
      <c r="L4" s="121" t="n">
        <f aca="false">IF($F4="","",IF(Recurring!$G$5="Move Before",IF(WEEKDAY($F4,2)=6,$F4-1,IF(WEEKDAY($F4,2)=7,$F4-2,$F4)),IF(Recurring!$G$5="Move After",IF(WEEKDAY($F4,2)=6,$F4+2,IF(WEEKDAY($F4,2)=7,$F4+1,$F4)),$F4)))</f>
        <v>46253</v>
      </c>
      <c r="M4" s="0" t="str">
        <f aca="true">IF(AND($H4=1,$D4="Expense",$G4&gt;TODAY(),$E4&gt;=100),$G4*100000+ROW(),"")</f>
        <v/>
      </c>
      <c r="N4" s="0" t="str">
        <f aca="true">IF(AND($H4=1,$D4="Income",$G4&gt;TODAY()),$G4*100000+ROW(),"")</f>
        <v/>
      </c>
    </row>
    <row r="5" customFormat="false" ht="15" hidden="false" customHeight="true" outlineLevel="0" collapsed="false">
      <c r="A5" s="117" t="n">
        <v>1</v>
      </c>
      <c r="B5" s="117" t="n">
        <v>2</v>
      </c>
      <c r="C5" s="7" t="str">
        <f aca="false">IF(OR(Recurring!$B$5="",Recurring!$H$5&lt;&gt;"Yes",Recurring!$D$5=""),"",Recurring!$B$5)</f>
        <v>Bruno's Restaurant (paycheck)</v>
      </c>
      <c r="D5" s="7" t="str">
        <f aca="false">IF($C5="","",Recurring!$C$5)</f>
        <v>Income</v>
      </c>
      <c r="E5" s="118" t="n">
        <f aca="false">IF($C5="","",IF(SUMIFS(Overrides!$E$9:$E$108,Overrides!$B$9:$B$108,$C5,Overrides!$C$9:$C$108,$L5)&gt;0,SUMIFS(Overrides!$E$9:$E$108,Overrides!$B$9:$B$108,$C5,Overrides!$C$9:$C$108,$L5),Recurring!$D$5))</f>
        <v>90</v>
      </c>
      <c r="F5" s="119" t="n">
        <f aca="false">IF($C5="","",IF(Recurring!$E$5="Weekly",Recurring!$F$5+7*1,IF(Recurring!$E$5="Every 2 Weeks",Recurring!$F$5+14*1,IF(Recurring!$E$5="Monthly",EDATE(Recurring!$F$5,1),IF(Recurring!$E$5="Twice a Month",IF(MOD((IF(DAY(Recurring!$F$5)&lt;=20,0,1)+1),2)=1,EOMONTH(Recurring!$F$5,INT((IF(DAY(Recurring!$F$5)&lt;=20,0,1)+1)/2)),DATE(YEAR(EDATE(Recurring!$F$5,INT((IF(DAY(Recurring!$F$5)&lt;=20,0,1)+1)/2))),MONTH(EDATE(Recurring!$F$5,INT((IF(DAY(Recurring!$F$5)&lt;=20,0,1)+1)/2))),15)),IF(Recurring!$E$5="One Time",IF(2=1,Recurring!$F$5,""),""))))))</f>
        <v>46260</v>
      </c>
      <c r="G5" s="119" t="n">
        <f aca="false">IF($L5="","",IF(SUMIFS(Overrides!$D$9:$D$108,Overrides!$B$9:$B$108,$C5,Overrides!$C$9:$C$108,$L5)&gt;0,SUMIFS(Overrides!$D$9:$D$108,Overrides!$B$9:$B$108,$C5,Overrides!$C$9:$C$108,$L5),$L5))</f>
        <v>46260</v>
      </c>
      <c r="H5" s="120" t="n">
        <f aca="false">IF($G5="",0,IF(AND($G5&gt;='Cash Flow'!$E$6,$G5&lt;'Cash Flow'!$E$6+91),1,0))</f>
        <v>1</v>
      </c>
      <c r="I5" s="120" t="n">
        <f aca="false">IF($H5=1,MAX(1,INT(($G5-'Cash Flow'!$E$6)/7)+1),"")</f>
        <v>2</v>
      </c>
      <c r="J5" s="7" t="n">
        <f aca="false">IF($H5=1,$G5*10000+ROW(),"")</f>
        <v>462600005</v>
      </c>
      <c r="K5" s="7" t="n">
        <f aca="false">IF($H5=1,$I5*1000+COUNTIFS($I$4:$I$483,$I5,$J$4:$J$483,"&lt;"&amp;$J5)+1,"")</f>
        <v>2003</v>
      </c>
      <c r="L5" s="121" t="n">
        <f aca="false">IF($F5="","",IF(Recurring!$G$5="Move Before",IF(WEEKDAY($F5,2)=6,$F5-1,IF(WEEKDAY($F5,2)=7,$F5-2,$F5)),IF(Recurring!$G$5="Move After",IF(WEEKDAY($F5,2)=6,$F5+2,IF(WEEKDAY($F5,2)=7,$F5+1,$F5)),$F5)))</f>
        <v>46260</v>
      </c>
      <c r="M5" s="0" t="str">
        <f aca="true">IF(AND($H5=1,$D5="Expense",$G5&gt;TODAY(),$E5&gt;=100),$G5*100000+ROW(),"")</f>
        <v/>
      </c>
      <c r="N5" s="122" t="n">
        <f aca="true">IF(AND($H5=1,$D5="Income",$G5&gt;TODAY()),$G5*100000+ROW(),"")</f>
        <v>4626000005</v>
      </c>
    </row>
    <row r="6" customFormat="false" ht="15" hidden="false" customHeight="true" outlineLevel="0" collapsed="false">
      <c r="A6" s="117" t="n">
        <v>1</v>
      </c>
      <c r="B6" s="117" t="n">
        <v>3</v>
      </c>
      <c r="C6" s="7" t="str">
        <f aca="false">IF(OR(Recurring!$B$5="",Recurring!$H$5&lt;&gt;"Yes",Recurring!$D$5=""),"",Recurring!$B$5)</f>
        <v>Bruno's Restaurant (paycheck)</v>
      </c>
      <c r="D6" s="7" t="str">
        <f aca="false">IF($C6="","",Recurring!$C$5)</f>
        <v>Income</v>
      </c>
      <c r="E6" s="118" t="n">
        <f aca="false">IF($C6="","",IF(SUMIFS(Overrides!$E$9:$E$108,Overrides!$B$9:$B$108,$C6,Overrides!$C$9:$C$108,$L6)&gt;0,SUMIFS(Overrides!$E$9:$E$108,Overrides!$B$9:$B$108,$C6,Overrides!$C$9:$C$108,$L6),Recurring!$D$5))</f>
        <v>90</v>
      </c>
      <c r="F6" s="119" t="n">
        <f aca="false">IF($C6="","",IF(Recurring!$E$5="Weekly",Recurring!$F$5+7*2,IF(Recurring!$E$5="Every 2 Weeks",Recurring!$F$5+14*2,IF(Recurring!$E$5="Monthly",EDATE(Recurring!$F$5,2),IF(Recurring!$E$5="Twice a Month",IF(MOD((IF(DAY(Recurring!$F$5)&lt;=20,0,1)+2),2)=1,EOMONTH(Recurring!$F$5,INT((IF(DAY(Recurring!$F$5)&lt;=20,0,1)+2)/2)),DATE(YEAR(EDATE(Recurring!$F$5,INT((IF(DAY(Recurring!$F$5)&lt;=20,0,1)+2)/2))),MONTH(EDATE(Recurring!$F$5,INT((IF(DAY(Recurring!$F$5)&lt;=20,0,1)+2)/2))),15)),IF(Recurring!$E$5="One Time",IF(3=1,Recurring!$F$5,""),""))))))</f>
        <v>46267</v>
      </c>
      <c r="G6" s="119" t="n">
        <f aca="false">IF($L6="","",IF(SUMIFS(Overrides!$D$9:$D$108,Overrides!$B$9:$B$108,$C6,Overrides!$C$9:$C$108,$L6)&gt;0,SUMIFS(Overrides!$D$9:$D$108,Overrides!$B$9:$B$108,$C6,Overrides!$C$9:$C$108,$L6),$L6))</f>
        <v>46267</v>
      </c>
      <c r="H6" s="120" t="n">
        <f aca="false">IF($G6="",0,IF(AND($G6&gt;='Cash Flow'!$E$6,$G6&lt;'Cash Flow'!$E$6+91),1,0))</f>
        <v>1</v>
      </c>
      <c r="I6" s="120" t="n">
        <f aca="false">IF($H6=1,MAX(1,INT(($G6-'Cash Flow'!$E$6)/7)+1),"")</f>
        <v>3</v>
      </c>
      <c r="J6" s="7" t="n">
        <f aca="false">IF($H6=1,$G6*10000+ROW(),"")</f>
        <v>462670006</v>
      </c>
      <c r="K6" s="7" t="n">
        <f aca="false">IF($H6=1,$I6*1000+COUNTIFS($I$4:$I$483,$I6,$J$4:$J$483,"&lt;"&amp;$J6)+1,"")</f>
        <v>3004</v>
      </c>
      <c r="L6" s="121" t="n">
        <f aca="false">IF($F6="","",IF(Recurring!$G$5="Move Before",IF(WEEKDAY($F6,2)=6,$F6-1,IF(WEEKDAY($F6,2)=7,$F6-2,$F6)),IF(Recurring!$G$5="Move After",IF(WEEKDAY($F6,2)=6,$F6+2,IF(WEEKDAY($F6,2)=7,$F6+1,$F6)),$F6)))</f>
        <v>46267</v>
      </c>
      <c r="M6" s="0" t="str">
        <f aca="true">IF(AND($H6=1,$D6="Expense",$G6&gt;TODAY(),$E6&gt;=100),$G6*100000+ROW(),"")</f>
        <v/>
      </c>
      <c r="N6" s="122" t="n">
        <f aca="true">IF(AND($H6=1,$D6="Income",$G6&gt;TODAY()),$G6*100000+ROW(),"")</f>
        <v>4626700006</v>
      </c>
    </row>
    <row r="7" customFormat="false" ht="15" hidden="false" customHeight="true" outlineLevel="0" collapsed="false">
      <c r="A7" s="117" t="n">
        <v>1</v>
      </c>
      <c r="B7" s="117" t="n">
        <v>4</v>
      </c>
      <c r="C7" s="7" t="str">
        <f aca="false">IF(OR(Recurring!$B$5="",Recurring!$H$5&lt;&gt;"Yes",Recurring!$D$5=""),"",Recurring!$B$5)</f>
        <v>Bruno's Restaurant (paycheck)</v>
      </c>
      <c r="D7" s="7" t="str">
        <f aca="false">IF($C7="","",Recurring!$C$5)</f>
        <v>Income</v>
      </c>
      <c r="E7" s="118" t="n">
        <f aca="false">IF($C7="","",IF(SUMIFS(Overrides!$E$9:$E$108,Overrides!$B$9:$B$108,$C7,Overrides!$C$9:$C$108,$L7)&gt;0,SUMIFS(Overrides!$E$9:$E$108,Overrides!$B$9:$B$108,$C7,Overrides!$C$9:$C$108,$L7),Recurring!$D$5))</f>
        <v>90</v>
      </c>
      <c r="F7" s="119" t="n">
        <f aca="false">IF($C7="","",IF(Recurring!$E$5="Weekly",Recurring!$F$5+7*3,IF(Recurring!$E$5="Every 2 Weeks",Recurring!$F$5+14*3,IF(Recurring!$E$5="Monthly",EDATE(Recurring!$F$5,3),IF(Recurring!$E$5="Twice a Month",IF(MOD((IF(DAY(Recurring!$F$5)&lt;=20,0,1)+3),2)=1,EOMONTH(Recurring!$F$5,INT((IF(DAY(Recurring!$F$5)&lt;=20,0,1)+3)/2)),DATE(YEAR(EDATE(Recurring!$F$5,INT((IF(DAY(Recurring!$F$5)&lt;=20,0,1)+3)/2))),MONTH(EDATE(Recurring!$F$5,INT((IF(DAY(Recurring!$F$5)&lt;=20,0,1)+3)/2))),15)),IF(Recurring!$E$5="One Time",IF(4=1,Recurring!$F$5,""),""))))))</f>
        <v>46274</v>
      </c>
      <c r="G7" s="119" t="n">
        <f aca="false">IF($L7="","",IF(SUMIFS(Overrides!$D$9:$D$108,Overrides!$B$9:$B$108,$C7,Overrides!$C$9:$C$108,$L7)&gt;0,SUMIFS(Overrides!$D$9:$D$108,Overrides!$B$9:$B$108,$C7,Overrides!$C$9:$C$108,$L7),$L7))</f>
        <v>46274</v>
      </c>
      <c r="H7" s="120" t="n">
        <f aca="false">IF($G7="",0,IF(AND($G7&gt;='Cash Flow'!$E$6,$G7&lt;'Cash Flow'!$E$6+91),1,0))</f>
        <v>1</v>
      </c>
      <c r="I7" s="120" t="n">
        <f aca="false">IF($H7=1,MAX(1,INT(($G7-'Cash Flow'!$E$6)/7)+1),"")</f>
        <v>4</v>
      </c>
      <c r="J7" s="7" t="n">
        <f aca="false">IF($H7=1,$G7*10000+ROW(),"")</f>
        <v>462740007</v>
      </c>
      <c r="K7" s="7" t="n">
        <f aca="false">IF($H7=1,$I7*1000+COUNTIFS($I$4:$I$483,$I7,$J$4:$J$483,"&lt;"&amp;$J7)+1,"")</f>
        <v>4006</v>
      </c>
      <c r="L7" s="121" t="n">
        <f aca="false">IF($F7="","",IF(Recurring!$G$5="Move Before",IF(WEEKDAY($F7,2)=6,$F7-1,IF(WEEKDAY($F7,2)=7,$F7-2,$F7)),IF(Recurring!$G$5="Move After",IF(WEEKDAY($F7,2)=6,$F7+2,IF(WEEKDAY($F7,2)=7,$F7+1,$F7)),$F7)))</f>
        <v>46274</v>
      </c>
      <c r="M7" s="0" t="str">
        <f aca="true">IF(AND($H7=1,$D7="Expense",$G7&gt;TODAY(),$E7&gt;=100),$G7*100000+ROW(),"")</f>
        <v/>
      </c>
      <c r="N7" s="122" t="n">
        <f aca="true">IF(AND($H7=1,$D7="Income",$G7&gt;TODAY()),$G7*100000+ROW(),"")</f>
        <v>4627400007</v>
      </c>
    </row>
    <row r="8" customFormat="false" ht="15" hidden="false" customHeight="true" outlineLevel="0" collapsed="false">
      <c r="A8" s="117" t="n">
        <v>1</v>
      </c>
      <c r="B8" s="117" t="n">
        <v>5</v>
      </c>
      <c r="C8" s="7" t="str">
        <f aca="false">IF(OR(Recurring!$B$5="",Recurring!$H$5&lt;&gt;"Yes",Recurring!$D$5=""),"",Recurring!$B$5)</f>
        <v>Bruno's Restaurant (paycheck)</v>
      </c>
      <c r="D8" s="7" t="str">
        <f aca="false">IF($C8="","",Recurring!$C$5)</f>
        <v>Income</v>
      </c>
      <c r="E8" s="118" t="n">
        <f aca="false">IF($C8="","",IF(SUMIFS(Overrides!$E$9:$E$108,Overrides!$B$9:$B$108,$C8,Overrides!$C$9:$C$108,$L8)&gt;0,SUMIFS(Overrides!$E$9:$E$108,Overrides!$B$9:$B$108,$C8,Overrides!$C$9:$C$108,$L8),Recurring!$D$5))</f>
        <v>90</v>
      </c>
      <c r="F8" s="119" t="n">
        <f aca="false">IF($C8="","",IF(Recurring!$E$5="Weekly",Recurring!$F$5+7*4,IF(Recurring!$E$5="Every 2 Weeks",Recurring!$F$5+14*4,IF(Recurring!$E$5="Monthly",EDATE(Recurring!$F$5,4),IF(Recurring!$E$5="Twice a Month",IF(MOD((IF(DAY(Recurring!$F$5)&lt;=20,0,1)+4),2)=1,EOMONTH(Recurring!$F$5,INT((IF(DAY(Recurring!$F$5)&lt;=20,0,1)+4)/2)),DATE(YEAR(EDATE(Recurring!$F$5,INT((IF(DAY(Recurring!$F$5)&lt;=20,0,1)+4)/2))),MONTH(EDATE(Recurring!$F$5,INT((IF(DAY(Recurring!$F$5)&lt;=20,0,1)+4)/2))),15)),IF(Recurring!$E$5="One Time",IF(5=1,Recurring!$F$5,""),""))))))</f>
        <v>46281</v>
      </c>
      <c r="G8" s="119" t="n">
        <f aca="false">IF($L8="","",IF(SUMIFS(Overrides!$D$9:$D$108,Overrides!$B$9:$B$108,$C8,Overrides!$C$9:$C$108,$L8)&gt;0,SUMIFS(Overrides!$D$9:$D$108,Overrides!$B$9:$B$108,$C8,Overrides!$C$9:$C$108,$L8),$L8))</f>
        <v>46281</v>
      </c>
      <c r="H8" s="120" t="n">
        <f aca="false">IF($G8="",0,IF(AND($G8&gt;='Cash Flow'!$E$6,$G8&lt;'Cash Flow'!$E$6+91),1,0))</f>
        <v>1</v>
      </c>
      <c r="I8" s="120" t="n">
        <f aca="false">IF($H8=1,MAX(1,INT(($G8-'Cash Flow'!$E$6)/7)+1),"")</f>
        <v>5</v>
      </c>
      <c r="J8" s="7" t="n">
        <f aca="false">IF($H8=1,$G8*10000+ROW(),"")</f>
        <v>462810008</v>
      </c>
      <c r="K8" s="7" t="n">
        <f aca="false">IF($H8=1,$I8*1000+COUNTIFS($I$4:$I$483,$I8,$J$4:$J$483,"&lt;"&amp;$J8)+1,"")</f>
        <v>5003</v>
      </c>
      <c r="L8" s="121" t="n">
        <f aca="false">IF($F8="","",IF(Recurring!$G$5="Move Before",IF(WEEKDAY($F8,2)=6,$F8-1,IF(WEEKDAY($F8,2)=7,$F8-2,$F8)),IF(Recurring!$G$5="Move After",IF(WEEKDAY($F8,2)=6,$F8+2,IF(WEEKDAY($F8,2)=7,$F8+1,$F8)),$F8)))</f>
        <v>46281</v>
      </c>
      <c r="M8" s="0" t="str">
        <f aca="true">IF(AND($H8=1,$D8="Expense",$G8&gt;TODAY(),$E8&gt;=100),$G8*100000+ROW(),"")</f>
        <v/>
      </c>
      <c r="N8" s="122" t="n">
        <f aca="true">IF(AND($H8=1,$D8="Income",$G8&gt;TODAY()),$G8*100000+ROW(),"")</f>
        <v>4628100008</v>
      </c>
    </row>
    <row r="9" customFormat="false" ht="15" hidden="false" customHeight="true" outlineLevel="0" collapsed="false">
      <c r="A9" s="117" t="n">
        <v>1</v>
      </c>
      <c r="B9" s="117" t="n">
        <v>6</v>
      </c>
      <c r="C9" s="7" t="str">
        <f aca="false">IF(OR(Recurring!$B$5="",Recurring!$H$5&lt;&gt;"Yes",Recurring!$D$5=""),"",Recurring!$B$5)</f>
        <v>Bruno's Restaurant (paycheck)</v>
      </c>
      <c r="D9" s="7" t="str">
        <f aca="false">IF($C9="","",Recurring!$C$5)</f>
        <v>Income</v>
      </c>
      <c r="E9" s="118" t="n">
        <f aca="false">IF($C9="","",IF(SUMIFS(Overrides!$E$9:$E$108,Overrides!$B$9:$B$108,$C9,Overrides!$C$9:$C$108,$L9)&gt;0,SUMIFS(Overrides!$E$9:$E$108,Overrides!$B$9:$B$108,$C9,Overrides!$C$9:$C$108,$L9),Recurring!$D$5))</f>
        <v>90</v>
      </c>
      <c r="F9" s="119" t="n">
        <f aca="false">IF($C9="","",IF(Recurring!$E$5="Weekly",Recurring!$F$5+7*5,IF(Recurring!$E$5="Every 2 Weeks",Recurring!$F$5+14*5,IF(Recurring!$E$5="Monthly",EDATE(Recurring!$F$5,5),IF(Recurring!$E$5="Twice a Month",IF(MOD((IF(DAY(Recurring!$F$5)&lt;=20,0,1)+5),2)=1,EOMONTH(Recurring!$F$5,INT((IF(DAY(Recurring!$F$5)&lt;=20,0,1)+5)/2)),DATE(YEAR(EDATE(Recurring!$F$5,INT((IF(DAY(Recurring!$F$5)&lt;=20,0,1)+5)/2))),MONTH(EDATE(Recurring!$F$5,INT((IF(DAY(Recurring!$F$5)&lt;=20,0,1)+5)/2))),15)),IF(Recurring!$E$5="One Time",IF(6=1,Recurring!$F$5,""),""))))))</f>
        <v>46288</v>
      </c>
      <c r="G9" s="119" t="n">
        <f aca="false">IF($L9="","",IF(SUMIFS(Overrides!$D$9:$D$108,Overrides!$B$9:$B$108,$C9,Overrides!$C$9:$C$108,$L9)&gt;0,SUMIFS(Overrides!$D$9:$D$108,Overrides!$B$9:$B$108,$C9,Overrides!$C$9:$C$108,$L9),$L9))</f>
        <v>46288</v>
      </c>
      <c r="H9" s="120" t="n">
        <f aca="false">IF($G9="",0,IF(AND($G9&gt;='Cash Flow'!$E$6,$G9&lt;'Cash Flow'!$E$6+91),1,0))</f>
        <v>1</v>
      </c>
      <c r="I9" s="120" t="n">
        <f aca="false">IF($H9=1,MAX(1,INT(($G9-'Cash Flow'!$E$6)/7)+1),"")</f>
        <v>6</v>
      </c>
      <c r="J9" s="7" t="n">
        <f aca="false">IF($H9=1,$G9*10000+ROW(),"")</f>
        <v>462880009</v>
      </c>
      <c r="K9" s="7" t="n">
        <f aca="false">IF($H9=1,$I9*1000+COUNTIFS($I$4:$I$483,$I9,$J$4:$J$483,"&lt;"&amp;$J9)+1,"")</f>
        <v>6003</v>
      </c>
      <c r="L9" s="121" t="n">
        <f aca="false">IF($F9="","",IF(Recurring!$G$5="Move Before",IF(WEEKDAY($F9,2)=6,$F9-1,IF(WEEKDAY($F9,2)=7,$F9-2,$F9)),IF(Recurring!$G$5="Move After",IF(WEEKDAY($F9,2)=6,$F9+2,IF(WEEKDAY($F9,2)=7,$F9+1,$F9)),$F9)))</f>
        <v>46288</v>
      </c>
      <c r="M9" s="0" t="str">
        <f aca="true">IF(AND($H9=1,$D9="Expense",$G9&gt;TODAY(),$E9&gt;=100),$G9*100000+ROW(),"")</f>
        <v/>
      </c>
      <c r="N9" s="122" t="n">
        <f aca="true">IF(AND($H9=1,$D9="Income",$G9&gt;TODAY()),$G9*100000+ROW(),"")</f>
        <v>4628800009</v>
      </c>
    </row>
    <row r="10" customFormat="false" ht="15" hidden="false" customHeight="true" outlineLevel="0" collapsed="false">
      <c r="A10" s="117" t="n">
        <v>1</v>
      </c>
      <c r="B10" s="117" t="n">
        <v>7</v>
      </c>
      <c r="C10" s="7" t="str">
        <f aca="false">IF(OR(Recurring!$B$5="",Recurring!$H$5&lt;&gt;"Yes",Recurring!$D$5=""),"",Recurring!$B$5)</f>
        <v>Bruno's Restaurant (paycheck)</v>
      </c>
      <c r="D10" s="7" t="str">
        <f aca="false">IF($C10="","",Recurring!$C$5)</f>
        <v>Income</v>
      </c>
      <c r="E10" s="118" t="n">
        <f aca="false">IF($C10="","",IF(SUMIFS(Overrides!$E$9:$E$108,Overrides!$B$9:$B$108,$C10,Overrides!$C$9:$C$108,$L10)&gt;0,SUMIFS(Overrides!$E$9:$E$108,Overrides!$B$9:$B$108,$C10,Overrides!$C$9:$C$108,$L10),Recurring!$D$5))</f>
        <v>90</v>
      </c>
      <c r="F10" s="119" t="n">
        <f aca="false">IF($C10="","",IF(Recurring!$E$5="Weekly",Recurring!$F$5+7*6,IF(Recurring!$E$5="Every 2 Weeks",Recurring!$F$5+14*6,IF(Recurring!$E$5="Monthly",EDATE(Recurring!$F$5,6),IF(Recurring!$E$5="Twice a Month",IF(MOD((IF(DAY(Recurring!$F$5)&lt;=20,0,1)+6),2)=1,EOMONTH(Recurring!$F$5,INT((IF(DAY(Recurring!$F$5)&lt;=20,0,1)+6)/2)),DATE(YEAR(EDATE(Recurring!$F$5,INT((IF(DAY(Recurring!$F$5)&lt;=20,0,1)+6)/2))),MONTH(EDATE(Recurring!$F$5,INT((IF(DAY(Recurring!$F$5)&lt;=20,0,1)+6)/2))),15)),IF(Recurring!$E$5="One Time",IF(7=1,Recurring!$F$5,""),""))))))</f>
        <v>46295</v>
      </c>
      <c r="G10" s="119" t="n">
        <f aca="false">IF($L10="","",IF(SUMIFS(Overrides!$D$9:$D$108,Overrides!$B$9:$B$108,$C10,Overrides!$C$9:$C$108,$L10)&gt;0,SUMIFS(Overrides!$D$9:$D$108,Overrides!$B$9:$B$108,$C10,Overrides!$C$9:$C$108,$L10),$L10))</f>
        <v>46295</v>
      </c>
      <c r="H10" s="120" t="n">
        <f aca="false">IF($G10="",0,IF(AND($G10&gt;='Cash Flow'!$E$6,$G10&lt;'Cash Flow'!$E$6+91),1,0))</f>
        <v>1</v>
      </c>
      <c r="I10" s="120" t="n">
        <f aca="false">IF($H10=1,MAX(1,INT(($G10-'Cash Flow'!$E$6)/7)+1),"")</f>
        <v>7</v>
      </c>
      <c r="J10" s="7" t="n">
        <f aca="false">IF($H10=1,$G10*10000+ROW(),"")</f>
        <v>462950010</v>
      </c>
      <c r="K10" s="7" t="n">
        <f aca="false">IF($H10=1,$I10*1000+COUNTIFS($I$4:$I$483,$I10,$J$4:$J$483,"&lt;"&amp;$J10)+1,"")</f>
        <v>7001</v>
      </c>
      <c r="L10" s="121" t="n">
        <f aca="false">IF($F10="","",IF(Recurring!$G$5="Move Before",IF(WEEKDAY($F10,2)=6,$F10-1,IF(WEEKDAY($F10,2)=7,$F10-2,$F10)),IF(Recurring!$G$5="Move After",IF(WEEKDAY($F10,2)=6,$F10+2,IF(WEEKDAY($F10,2)=7,$F10+1,$F10)),$F10)))</f>
        <v>46295</v>
      </c>
      <c r="M10" s="0" t="str">
        <f aca="true">IF(AND($H10=1,$D10="Expense",$G10&gt;TODAY(),$E10&gt;=100),$G10*100000+ROW(),"")</f>
        <v/>
      </c>
      <c r="N10" s="122" t="n">
        <f aca="true">IF(AND($H10=1,$D10="Income",$G10&gt;TODAY()),$G10*100000+ROW(),"")</f>
        <v>4629500010</v>
      </c>
    </row>
    <row r="11" customFormat="false" ht="15" hidden="false" customHeight="true" outlineLevel="0" collapsed="false">
      <c r="A11" s="117" t="n">
        <v>1</v>
      </c>
      <c r="B11" s="117" t="n">
        <v>8</v>
      </c>
      <c r="C11" s="7" t="str">
        <f aca="false">IF(OR(Recurring!$B$5="",Recurring!$H$5&lt;&gt;"Yes",Recurring!$D$5=""),"",Recurring!$B$5)</f>
        <v>Bruno's Restaurant (paycheck)</v>
      </c>
      <c r="D11" s="7" t="str">
        <f aca="false">IF($C11="","",Recurring!$C$5)</f>
        <v>Income</v>
      </c>
      <c r="E11" s="118" t="n">
        <f aca="false">IF($C11="","",IF(SUMIFS(Overrides!$E$9:$E$108,Overrides!$B$9:$B$108,$C11,Overrides!$C$9:$C$108,$L11)&gt;0,SUMIFS(Overrides!$E$9:$E$108,Overrides!$B$9:$B$108,$C11,Overrides!$C$9:$C$108,$L11),Recurring!$D$5))</f>
        <v>90</v>
      </c>
      <c r="F11" s="119" t="n">
        <f aca="false">IF($C11="","",IF(Recurring!$E$5="Weekly",Recurring!$F$5+7*7,IF(Recurring!$E$5="Every 2 Weeks",Recurring!$F$5+14*7,IF(Recurring!$E$5="Monthly",EDATE(Recurring!$F$5,7),IF(Recurring!$E$5="Twice a Month",IF(MOD((IF(DAY(Recurring!$F$5)&lt;=20,0,1)+7),2)=1,EOMONTH(Recurring!$F$5,INT((IF(DAY(Recurring!$F$5)&lt;=20,0,1)+7)/2)),DATE(YEAR(EDATE(Recurring!$F$5,INT((IF(DAY(Recurring!$F$5)&lt;=20,0,1)+7)/2))),MONTH(EDATE(Recurring!$F$5,INT((IF(DAY(Recurring!$F$5)&lt;=20,0,1)+7)/2))),15)),IF(Recurring!$E$5="One Time",IF(8=1,Recurring!$F$5,""),""))))))</f>
        <v>46302</v>
      </c>
      <c r="G11" s="119" t="n">
        <f aca="false">IF($L11="","",IF(SUMIFS(Overrides!$D$9:$D$108,Overrides!$B$9:$B$108,$C11,Overrides!$C$9:$C$108,$L11)&gt;0,SUMIFS(Overrides!$D$9:$D$108,Overrides!$B$9:$B$108,$C11,Overrides!$C$9:$C$108,$L11),$L11))</f>
        <v>46302</v>
      </c>
      <c r="H11" s="120" t="n">
        <f aca="false">IF($G11="",0,IF(AND($G11&gt;='Cash Flow'!$E$6,$G11&lt;'Cash Flow'!$E$6+91),1,0))</f>
        <v>1</v>
      </c>
      <c r="I11" s="120" t="n">
        <f aca="false">IF($H11=1,MAX(1,INT(($G11-'Cash Flow'!$E$6)/7)+1),"")</f>
        <v>8</v>
      </c>
      <c r="J11" s="7" t="n">
        <f aca="false">IF($H11=1,$G11*10000+ROW(),"")</f>
        <v>463020011</v>
      </c>
      <c r="K11" s="7" t="n">
        <f aca="false">IF($H11=1,$I11*1000+COUNTIFS($I$4:$I$483,$I11,$J$4:$J$483,"&lt;"&amp;$J11)+1,"")</f>
        <v>8004</v>
      </c>
      <c r="L11" s="121" t="n">
        <f aca="false">IF($F11="","",IF(Recurring!$G$5="Move Before",IF(WEEKDAY($F11,2)=6,$F11-1,IF(WEEKDAY($F11,2)=7,$F11-2,$F11)),IF(Recurring!$G$5="Move After",IF(WEEKDAY($F11,2)=6,$F11+2,IF(WEEKDAY($F11,2)=7,$F11+1,$F11)),$F11)))</f>
        <v>46302</v>
      </c>
      <c r="M11" s="0" t="str">
        <f aca="true">IF(AND($H11=1,$D11="Expense",$G11&gt;TODAY(),$E11&gt;=100),$G11*100000+ROW(),"")</f>
        <v/>
      </c>
      <c r="N11" s="122" t="n">
        <f aca="true">IF(AND($H11=1,$D11="Income",$G11&gt;TODAY()),$G11*100000+ROW(),"")</f>
        <v>4630200011</v>
      </c>
    </row>
    <row r="12" customFormat="false" ht="15" hidden="false" customHeight="true" outlineLevel="0" collapsed="false">
      <c r="A12" s="117" t="n">
        <v>1</v>
      </c>
      <c r="B12" s="117" t="n">
        <v>9</v>
      </c>
      <c r="C12" s="7" t="str">
        <f aca="false">IF(OR(Recurring!$B$5="",Recurring!$H$5&lt;&gt;"Yes",Recurring!$D$5=""),"",Recurring!$B$5)</f>
        <v>Bruno's Restaurant (paycheck)</v>
      </c>
      <c r="D12" s="7" t="str">
        <f aca="false">IF($C12="","",Recurring!$C$5)</f>
        <v>Income</v>
      </c>
      <c r="E12" s="118" t="n">
        <f aca="false">IF($C12="","",IF(SUMIFS(Overrides!$E$9:$E$108,Overrides!$B$9:$B$108,$C12,Overrides!$C$9:$C$108,$L12)&gt;0,SUMIFS(Overrides!$E$9:$E$108,Overrides!$B$9:$B$108,$C12,Overrides!$C$9:$C$108,$L12),Recurring!$D$5))</f>
        <v>90</v>
      </c>
      <c r="F12" s="119" t="n">
        <f aca="false">IF($C12="","",IF(Recurring!$E$5="Weekly",Recurring!$F$5+7*8,IF(Recurring!$E$5="Every 2 Weeks",Recurring!$F$5+14*8,IF(Recurring!$E$5="Monthly",EDATE(Recurring!$F$5,8),IF(Recurring!$E$5="Twice a Month",IF(MOD((IF(DAY(Recurring!$F$5)&lt;=20,0,1)+8),2)=1,EOMONTH(Recurring!$F$5,INT((IF(DAY(Recurring!$F$5)&lt;=20,0,1)+8)/2)),DATE(YEAR(EDATE(Recurring!$F$5,INT((IF(DAY(Recurring!$F$5)&lt;=20,0,1)+8)/2))),MONTH(EDATE(Recurring!$F$5,INT((IF(DAY(Recurring!$F$5)&lt;=20,0,1)+8)/2))),15)),IF(Recurring!$E$5="One Time",IF(9=1,Recurring!$F$5,""),""))))))</f>
        <v>46309</v>
      </c>
      <c r="G12" s="119" t="n">
        <f aca="false">IF($L12="","",IF(SUMIFS(Overrides!$D$9:$D$108,Overrides!$B$9:$B$108,$C12,Overrides!$C$9:$C$108,$L12)&gt;0,SUMIFS(Overrides!$D$9:$D$108,Overrides!$B$9:$B$108,$C12,Overrides!$C$9:$C$108,$L12),$L12))</f>
        <v>46309</v>
      </c>
      <c r="H12" s="120" t="n">
        <f aca="false">IF($G12="",0,IF(AND($G12&gt;='Cash Flow'!$E$6,$G12&lt;'Cash Flow'!$E$6+91),1,0))</f>
        <v>1</v>
      </c>
      <c r="I12" s="120" t="n">
        <f aca="false">IF($H12=1,MAX(1,INT(($G12-'Cash Flow'!$E$6)/7)+1),"")</f>
        <v>9</v>
      </c>
      <c r="J12" s="7" t="n">
        <f aca="false">IF($H12=1,$G12*10000+ROW(),"")</f>
        <v>463090012</v>
      </c>
      <c r="K12" s="7" t="n">
        <f aca="false">IF($H12=1,$I12*1000+COUNTIFS($I$4:$I$483,$I12,$J$4:$J$483,"&lt;"&amp;$J12)+1,"")</f>
        <v>9002</v>
      </c>
      <c r="L12" s="121" t="n">
        <f aca="false">IF($F12="","",IF(Recurring!$G$5="Move Before",IF(WEEKDAY($F12,2)=6,$F12-1,IF(WEEKDAY($F12,2)=7,$F12-2,$F12)),IF(Recurring!$G$5="Move After",IF(WEEKDAY($F12,2)=6,$F12+2,IF(WEEKDAY($F12,2)=7,$F12+1,$F12)),$F12)))</f>
        <v>46309</v>
      </c>
      <c r="M12" s="0" t="str">
        <f aca="true">IF(AND($H12=1,$D12="Expense",$G12&gt;TODAY(),$E12&gt;=100),$G12*100000+ROW(),"")</f>
        <v/>
      </c>
      <c r="N12" s="122" t="n">
        <f aca="true">IF(AND($H12=1,$D12="Income",$G12&gt;TODAY()),$G12*100000+ROW(),"")</f>
        <v>4630900012</v>
      </c>
    </row>
    <row r="13" customFormat="false" ht="15" hidden="false" customHeight="true" outlineLevel="0" collapsed="false">
      <c r="A13" s="117" t="n">
        <v>1</v>
      </c>
      <c r="B13" s="117" t="n">
        <v>10</v>
      </c>
      <c r="C13" s="7" t="str">
        <f aca="false">IF(OR(Recurring!$B$5="",Recurring!$H$5&lt;&gt;"Yes",Recurring!$D$5=""),"",Recurring!$B$5)</f>
        <v>Bruno's Restaurant (paycheck)</v>
      </c>
      <c r="D13" s="7" t="str">
        <f aca="false">IF($C13="","",Recurring!$C$5)</f>
        <v>Income</v>
      </c>
      <c r="E13" s="118" t="n">
        <f aca="false">IF($C13="","",IF(SUMIFS(Overrides!$E$9:$E$108,Overrides!$B$9:$B$108,$C13,Overrides!$C$9:$C$108,$L13)&gt;0,SUMIFS(Overrides!$E$9:$E$108,Overrides!$B$9:$B$108,$C13,Overrides!$C$9:$C$108,$L13),Recurring!$D$5))</f>
        <v>90</v>
      </c>
      <c r="F13" s="119" t="n">
        <f aca="false">IF($C13="","",IF(Recurring!$E$5="Weekly",Recurring!$F$5+7*9,IF(Recurring!$E$5="Every 2 Weeks",Recurring!$F$5+14*9,IF(Recurring!$E$5="Monthly",EDATE(Recurring!$F$5,9),IF(Recurring!$E$5="Twice a Month",IF(MOD((IF(DAY(Recurring!$F$5)&lt;=20,0,1)+9),2)=1,EOMONTH(Recurring!$F$5,INT((IF(DAY(Recurring!$F$5)&lt;=20,0,1)+9)/2)),DATE(YEAR(EDATE(Recurring!$F$5,INT((IF(DAY(Recurring!$F$5)&lt;=20,0,1)+9)/2))),MONTH(EDATE(Recurring!$F$5,INT((IF(DAY(Recurring!$F$5)&lt;=20,0,1)+9)/2))),15)),IF(Recurring!$E$5="One Time",IF(10=1,Recurring!$F$5,""),""))))))</f>
        <v>46316</v>
      </c>
      <c r="G13" s="119" t="n">
        <f aca="false">IF($L13="","",IF(SUMIFS(Overrides!$D$9:$D$108,Overrides!$B$9:$B$108,$C13,Overrides!$C$9:$C$108,$L13)&gt;0,SUMIFS(Overrides!$D$9:$D$108,Overrides!$B$9:$B$108,$C13,Overrides!$C$9:$C$108,$L13),$L13))</f>
        <v>46316</v>
      </c>
      <c r="H13" s="120" t="n">
        <f aca="false">IF($G13="",0,IF(AND($G13&gt;='Cash Flow'!$E$6,$G13&lt;'Cash Flow'!$E$6+91),1,0))</f>
        <v>1</v>
      </c>
      <c r="I13" s="120" t="n">
        <f aca="false">IF($H13=1,MAX(1,INT(($G13-'Cash Flow'!$E$6)/7)+1),"")</f>
        <v>10</v>
      </c>
      <c r="J13" s="7" t="n">
        <f aca="false">IF($H13=1,$G13*10000+ROW(),"")</f>
        <v>463160013</v>
      </c>
      <c r="K13" s="7" t="n">
        <f aca="false">IF($H13=1,$I13*1000+COUNTIFS($I$4:$I$483,$I13,$J$4:$J$483,"&lt;"&amp;$J13)+1,"")</f>
        <v>10001</v>
      </c>
      <c r="L13" s="121" t="n">
        <f aca="false">IF($F13="","",IF(Recurring!$G$5="Move Before",IF(WEEKDAY($F13,2)=6,$F13-1,IF(WEEKDAY($F13,2)=7,$F13-2,$F13)),IF(Recurring!$G$5="Move After",IF(WEEKDAY($F13,2)=6,$F13+2,IF(WEEKDAY($F13,2)=7,$F13+1,$F13)),$F13)))</f>
        <v>46316</v>
      </c>
      <c r="M13" s="0" t="str">
        <f aca="true">IF(AND($H13=1,$D13="Expense",$G13&gt;TODAY(),$E13&gt;=100),$G13*100000+ROW(),"")</f>
        <v/>
      </c>
      <c r="N13" s="122" t="n">
        <f aca="true">IF(AND($H13=1,$D13="Income",$G13&gt;TODAY()),$G13*100000+ROW(),"")</f>
        <v>4631600013</v>
      </c>
    </row>
    <row r="14" customFormat="false" ht="15" hidden="false" customHeight="true" outlineLevel="0" collapsed="false">
      <c r="A14" s="117" t="n">
        <v>1</v>
      </c>
      <c r="B14" s="117" t="n">
        <v>11</v>
      </c>
      <c r="C14" s="7" t="str">
        <f aca="false">IF(OR(Recurring!$B$5="",Recurring!$H$5&lt;&gt;"Yes",Recurring!$D$5=""),"",Recurring!$B$5)</f>
        <v>Bruno's Restaurant (paycheck)</v>
      </c>
      <c r="D14" s="7" t="str">
        <f aca="false">IF($C14="","",Recurring!$C$5)</f>
        <v>Income</v>
      </c>
      <c r="E14" s="118" t="n">
        <f aca="false">IF($C14="","",IF(SUMIFS(Overrides!$E$9:$E$108,Overrides!$B$9:$B$108,$C14,Overrides!$C$9:$C$108,$L14)&gt;0,SUMIFS(Overrides!$E$9:$E$108,Overrides!$B$9:$B$108,$C14,Overrides!$C$9:$C$108,$L14),Recurring!$D$5))</f>
        <v>90</v>
      </c>
      <c r="F14" s="119" t="n">
        <f aca="false">IF($C14="","",IF(Recurring!$E$5="Weekly",Recurring!$F$5+7*10,IF(Recurring!$E$5="Every 2 Weeks",Recurring!$F$5+14*10,IF(Recurring!$E$5="Monthly",EDATE(Recurring!$F$5,10),IF(Recurring!$E$5="Twice a Month",IF(MOD((IF(DAY(Recurring!$F$5)&lt;=20,0,1)+10),2)=1,EOMONTH(Recurring!$F$5,INT((IF(DAY(Recurring!$F$5)&lt;=20,0,1)+10)/2)),DATE(YEAR(EDATE(Recurring!$F$5,INT((IF(DAY(Recurring!$F$5)&lt;=20,0,1)+10)/2))),MONTH(EDATE(Recurring!$F$5,INT((IF(DAY(Recurring!$F$5)&lt;=20,0,1)+10)/2))),15)),IF(Recurring!$E$5="One Time",IF(11=1,Recurring!$F$5,""),""))))))</f>
        <v>46323</v>
      </c>
      <c r="G14" s="119" t="n">
        <f aca="false">IF($L14="","",IF(SUMIFS(Overrides!$D$9:$D$108,Overrides!$B$9:$B$108,$C14,Overrides!$C$9:$C$108,$L14)&gt;0,SUMIFS(Overrides!$D$9:$D$108,Overrides!$B$9:$B$108,$C14,Overrides!$C$9:$C$108,$L14),$L14))</f>
        <v>46323</v>
      </c>
      <c r="H14" s="120" t="n">
        <f aca="false">IF($G14="",0,IF(AND($G14&gt;='Cash Flow'!$E$6,$G14&lt;'Cash Flow'!$E$6+91),1,0))</f>
        <v>1</v>
      </c>
      <c r="I14" s="120" t="n">
        <f aca="false">IF($H14=1,MAX(1,INT(($G14-'Cash Flow'!$E$6)/7)+1),"")</f>
        <v>11</v>
      </c>
      <c r="J14" s="7" t="n">
        <f aca="false">IF($H14=1,$G14*10000+ROW(),"")</f>
        <v>463230014</v>
      </c>
      <c r="K14" s="7" t="n">
        <f aca="false">IF($H14=1,$I14*1000+COUNTIFS($I$4:$I$483,$I14,$J$4:$J$483,"&lt;"&amp;$J14)+1,"")</f>
        <v>11001</v>
      </c>
      <c r="L14" s="121" t="n">
        <f aca="false">IF($F14="","",IF(Recurring!$G$5="Move Before",IF(WEEKDAY($F14,2)=6,$F14-1,IF(WEEKDAY($F14,2)=7,$F14-2,$F14)),IF(Recurring!$G$5="Move After",IF(WEEKDAY($F14,2)=6,$F14+2,IF(WEEKDAY($F14,2)=7,$F14+1,$F14)),$F14)))</f>
        <v>46323</v>
      </c>
      <c r="M14" s="0" t="str">
        <f aca="true">IF(AND($H14=1,$D14="Expense",$G14&gt;TODAY(),$E14&gt;=100),$G14*100000+ROW(),"")</f>
        <v/>
      </c>
      <c r="N14" s="122" t="n">
        <f aca="true">IF(AND($H14=1,$D14="Income",$G14&gt;TODAY()),$G14*100000+ROW(),"")</f>
        <v>4632300014</v>
      </c>
    </row>
    <row r="15" customFormat="false" ht="15" hidden="false" customHeight="true" outlineLevel="0" collapsed="false">
      <c r="A15" s="117" t="n">
        <v>1</v>
      </c>
      <c r="B15" s="117" t="n">
        <v>12</v>
      </c>
      <c r="C15" s="7" t="str">
        <f aca="false">IF(OR(Recurring!$B$5="",Recurring!$H$5&lt;&gt;"Yes",Recurring!$D$5=""),"",Recurring!$B$5)</f>
        <v>Bruno's Restaurant (paycheck)</v>
      </c>
      <c r="D15" s="7" t="str">
        <f aca="false">IF($C15="","",Recurring!$C$5)</f>
        <v>Income</v>
      </c>
      <c r="E15" s="118" t="n">
        <f aca="false">IF($C15="","",IF(SUMIFS(Overrides!$E$9:$E$108,Overrides!$B$9:$B$108,$C15,Overrides!$C$9:$C$108,$L15)&gt;0,SUMIFS(Overrides!$E$9:$E$108,Overrides!$B$9:$B$108,$C15,Overrides!$C$9:$C$108,$L15),Recurring!$D$5))</f>
        <v>90</v>
      </c>
      <c r="F15" s="119" t="n">
        <f aca="false">IF($C15="","",IF(Recurring!$E$5="Weekly",Recurring!$F$5+7*11,IF(Recurring!$E$5="Every 2 Weeks",Recurring!$F$5+14*11,IF(Recurring!$E$5="Monthly",EDATE(Recurring!$F$5,11),IF(Recurring!$E$5="Twice a Month",IF(MOD((IF(DAY(Recurring!$F$5)&lt;=20,0,1)+11),2)=1,EOMONTH(Recurring!$F$5,INT((IF(DAY(Recurring!$F$5)&lt;=20,0,1)+11)/2)),DATE(YEAR(EDATE(Recurring!$F$5,INT((IF(DAY(Recurring!$F$5)&lt;=20,0,1)+11)/2))),MONTH(EDATE(Recurring!$F$5,INT((IF(DAY(Recurring!$F$5)&lt;=20,0,1)+11)/2))),15)),IF(Recurring!$E$5="One Time",IF(12=1,Recurring!$F$5,""),""))))))</f>
        <v>46330</v>
      </c>
      <c r="G15" s="119" t="n">
        <f aca="false">IF($L15="","",IF(SUMIFS(Overrides!$D$9:$D$108,Overrides!$B$9:$B$108,$C15,Overrides!$C$9:$C$108,$L15)&gt;0,SUMIFS(Overrides!$D$9:$D$108,Overrides!$B$9:$B$108,$C15,Overrides!$C$9:$C$108,$L15),$L15))</f>
        <v>46330</v>
      </c>
      <c r="H15" s="120" t="n">
        <f aca="false">IF($G15="",0,IF(AND($G15&gt;='Cash Flow'!$E$6,$G15&lt;'Cash Flow'!$E$6+91),1,0))</f>
        <v>1</v>
      </c>
      <c r="I15" s="120" t="n">
        <f aca="false">IF($H15=1,MAX(1,INT(($G15-'Cash Flow'!$E$6)/7)+1),"")</f>
        <v>12</v>
      </c>
      <c r="J15" s="7" t="n">
        <f aca="false">IF($H15=1,$G15*10000+ROW(),"")</f>
        <v>463300015</v>
      </c>
      <c r="K15" s="7" t="n">
        <f aca="false">IF($H15=1,$I15*1000+COUNTIFS($I$4:$I$483,$I15,$J$4:$J$483,"&lt;"&amp;$J15)+1,"")</f>
        <v>12002</v>
      </c>
      <c r="L15" s="121" t="n">
        <f aca="false">IF($F15="","",IF(Recurring!$G$5="Move Before",IF(WEEKDAY($F15,2)=6,$F15-1,IF(WEEKDAY($F15,2)=7,$F15-2,$F15)),IF(Recurring!$G$5="Move After",IF(WEEKDAY($F15,2)=6,$F15+2,IF(WEEKDAY($F15,2)=7,$F15+1,$F15)),$F15)))</f>
        <v>46330</v>
      </c>
      <c r="M15" s="0" t="str">
        <f aca="true">IF(AND($H15=1,$D15="Expense",$G15&gt;TODAY(),$E15&gt;=100),$G15*100000+ROW(),"")</f>
        <v/>
      </c>
      <c r="N15" s="122" t="n">
        <f aca="true">IF(AND($H15=1,$D15="Income",$G15&gt;TODAY()),$G15*100000+ROW(),"")</f>
        <v>4633000015</v>
      </c>
    </row>
    <row r="16" customFormat="false" ht="15" hidden="false" customHeight="true" outlineLevel="0" collapsed="false">
      <c r="A16" s="117" t="n">
        <v>1</v>
      </c>
      <c r="B16" s="117" t="n">
        <v>13</v>
      </c>
      <c r="C16" s="7" t="str">
        <f aca="false">IF(OR(Recurring!$B$5="",Recurring!$H$5&lt;&gt;"Yes",Recurring!$D$5=""),"",Recurring!$B$5)</f>
        <v>Bruno's Restaurant (paycheck)</v>
      </c>
      <c r="D16" s="7" t="str">
        <f aca="false">IF($C16="","",Recurring!$C$5)</f>
        <v>Income</v>
      </c>
      <c r="E16" s="118" t="n">
        <f aca="false">IF($C16="","",IF(SUMIFS(Overrides!$E$9:$E$108,Overrides!$B$9:$B$108,$C16,Overrides!$C$9:$C$108,$L16)&gt;0,SUMIFS(Overrides!$E$9:$E$108,Overrides!$B$9:$B$108,$C16,Overrides!$C$9:$C$108,$L16),Recurring!$D$5))</f>
        <v>90</v>
      </c>
      <c r="F16" s="119" t="n">
        <f aca="false">IF($C16="","",IF(Recurring!$E$5="Weekly",Recurring!$F$5+7*12,IF(Recurring!$E$5="Every 2 Weeks",Recurring!$F$5+14*12,IF(Recurring!$E$5="Monthly",EDATE(Recurring!$F$5,12),IF(Recurring!$E$5="Twice a Month",IF(MOD((IF(DAY(Recurring!$F$5)&lt;=20,0,1)+12),2)=1,EOMONTH(Recurring!$F$5,INT((IF(DAY(Recurring!$F$5)&lt;=20,0,1)+12)/2)),DATE(YEAR(EDATE(Recurring!$F$5,INT((IF(DAY(Recurring!$F$5)&lt;=20,0,1)+12)/2))),MONTH(EDATE(Recurring!$F$5,INT((IF(DAY(Recurring!$F$5)&lt;=20,0,1)+12)/2))),15)),IF(Recurring!$E$5="One Time",IF(13=1,Recurring!$F$5,""),""))))))</f>
        <v>46337</v>
      </c>
      <c r="G16" s="119" t="n">
        <f aca="false">IF($L16="","",IF(SUMIFS(Overrides!$D$9:$D$108,Overrides!$B$9:$B$108,$C16,Overrides!$C$9:$C$108,$L16)&gt;0,SUMIFS(Overrides!$D$9:$D$108,Overrides!$B$9:$B$108,$C16,Overrides!$C$9:$C$108,$L16),$L16))</f>
        <v>46337</v>
      </c>
      <c r="H16" s="120" t="n">
        <f aca="false">IF($G16="",0,IF(AND($G16&gt;='Cash Flow'!$E$6,$G16&lt;'Cash Flow'!$E$6+91),1,0))</f>
        <v>1</v>
      </c>
      <c r="I16" s="120" t="n">
        <f aca="false">IF($H16=1,MAX(1,INT(($G16-'Cash Flow'!$E$6)/7)+1),"")</f>
        <v>13</v>
      </c>
      <c r="J16" s="7" t="n">
        <f aca="false">IF($H16=1,$G16*10000+ROW(),"")</f>
        <v>463370016</v>
      </c>
      <c r="K16" s="7" t="n">
        <f aca="false">IF($H16=1,$I16*1000+COUNTIFS($I$4:$I$483,$I16,$J$4:$J$483,"&lt;"&amp;$J16)+1,"")</f>
        <v>13004</v>
      </c>
      <c r="L16" s="121" t="n">
        <f aca="false">IF($F16="","",IF(Recurring!$G$5="Move Before",IF(WEEKDAY($F16,2)=6,$F16-1,IF(WEEKDAY($F16,2)=7,$F16-2,$F16)),IF(Recurring!$G$5="Move After",IF(WEEKDAY($F16,2)=6,$F16+2,IF(WEEKDAY($F16,2)=7,$F16+1,$F16)),$F16)))</f>
        <v>46337</v>
      </c>
      <c r="M16" s="0" t="str">
        <f aca="true">IF(AND($H16=1,$D16="Expense",$G16&gt;TODAY(),$E16&gt;=100),$G16*100000+ROW(),"")</f>
        <v/>
      </c>
      <c r="N16" s="122" t="n">
        <f aca="true">IF(AND($H16=1,$D16="Income",$G16&gt;TODAY()),$G16*100000+ROW(),"")</f>
        <v>4633700016</v>
      </c>
    </row>
    <row r="17" customFormat="false" ht="15" hidden="false" customHeight="true" outlineLevel="0" collapsed="false">
      <c r="A17" s="117" t="n">
        <v>1</v>
      </c>
      <c r="B17" s="117" t="n">
        <v>14</v>
      </c>
      <c r="C17" s="7" t="str">
        <f aca="false">IF(OR(Recurring!$B$5="",Recurring!$H$5&lt;&gt;"Yes",Recurring!$D$5=""),"",Recurring!$B$5)</f>
        <v>Bruno's Restaurant (paycheck)</v>
      </c>
      <c r="D17" s="7" t="str">
        <f aca="false">IF($C17="","",Recurring!$C$5)</f>
        <v>Income</v>
      </c>
      <c r="E17" s="118" t="n">
        <f aca="false">IF($C17="","",IF(SUMIFS(Overrides!$E$9:$E$108,Overrides!$B$9:$B$108,$C17,Overrides!$C$9:$C$108,$L17)&gt;0,SUMIFS(Overrides!$E$9:$E$108,Overrides!$B$9:$B$108,$C17,Overrides!$C$9:$C$108,$L17),Recurring!$D$5))</f>
        <v>90</v>
      </c>
      <c r="F17" s="119" t="n">
        <f aca="false">IF($C17="","",IF(Recurring!$E$5="Weekly",Recurring!$F$5+7*13,IF(Recurring!$E$5="Every 2 Weeks",Recurring!$F$5+14*13,IF(Recurring!$E$5="Monthly",EDATE(Recurring!$F$5,13),IF(Recurring!$E$5="Twice a Month",IF(MOD((IF(DAY(Recurring!$F$5)&lt;=20,0,1)+13),2)=1,EOMONTH(Recurring!$F$5,INT((IF(DAY(Recurring!$F$5)&lt;=20,0,1)+13)/2)),DATE(YEAR(EDATE(Recurring!$F$5,INT((IF(DAY(Recurring!$F$5)&lt;=20,0,1)+13)/2))),MONTH(EDATE(Recurring!$F$5,INT((IF(DAY(Recurring!$F$5)&lt;=20,0,1)+13)/2))),15)),IF(Recurring!$E$5="One Time",IF(14=1,Recurring!$F$5,""),""))))))</f>
        <v>46344</v>
      </c>
      <c r="G17" s="119" t="n">
        <f aca="false">IF($L17="","",IF(SUMIFS(Overrides!$D$9:$D$108,Overrides!$B$9:$B$108,$C17,Overrides!$C$9:$C$108,$L17)&gt;0,SUMIFS(Overrides!$D$9:$D$108,Overrides!$B$9:$B$108,$C17,Overrides!$C$9:$C$108,$L17),$L17))</f>
        <v>46344</v>
      </c>
      <c r="H17" s="120" t="n">
        <f aca="false">IF($G17="",0,IF(AND($G17&gt;='Cash Flow'!$E$6,$G17&lt;'Cash Flow'!$E$6+91),1,0))</f>
        <v>0</v>
      </c>
      <c r="I17" s="120" t="str">
        <f aca="false">IF($H17=1,MAX(1,INT(($G17-'Cash Flow'!$E$6)/7)+1),"")</f>
        <v/>
      </c>
      <c r="J17" s="7" t="str">
        <f aca="false">IF($H17=1,$G17*10000+ROW(),"")</f>
        <v/>
      </c>
      <c r="K17" s="7" t="str">
        <f aca="false">IF($H17=1,$I17*1000+COUNTIFS($I$4:$I$483,$I17,$J$4:$J$483,"&lt;"&amp;$J17)+1,"")</f>
        <v/>
      </c>
      <c r="L17" s="121" t="n">
        <f aca="false">IF($F17="","",IF(Recurring!$G$5="Move Before",IF(WEEKDAY($F17,2)=6,$F17-1,IF(WEEKDAY($F17,2)=7,$F17-2,$F17)),IF(Recurring!$G$5="Move After",IF(WEEKDAY($F17,2)=6,$F17+2,IF(WEEKDAY($F17,2)=7,$F17+1,$F17)),$F17)))</f>
        <v>46344</v>
      </c>
      <c r="M17" s="0" t="str">
        <f aca="true">IF(AND($H17=1,$D17="Expense",$G17&gt;TODAY(),$E17&gt;=100),$G17*100000+ROW(),"")</f>
        <v/>
      </c>
      <c r="N17" s="0" t="str">
        <f aca="true">IF(AND($H17=1,$D17="Income",$G17&gt;TODAY()),$G17*100000+ROW(),"")</f>
        <v/>
      </c>
    </row>
    <row r="18" customFormat="false" ht="15" hidden="false" customHeight="true" outlineLevel="0" collapsed="false">
      <c r="A18" s="117" t="n">
        <v>1</v>
      </c>
      <c r="B18" s="117" t="n">
        <v>15</v>
      </c>
      <c r="C18" s="7" t="str">
        <f aca="false">IF(OR(Recurring!$B$5="",Recurring!$H$5&lt;&gt;"Yes",Recurring!$D$5=""),"",Recurring!$B$5)</f>
        <v>Bruno's Restaurant (paycheck)</v>
      </c>
      <c r="D18" s="7" t="str">
        <f aca="false">IF($C18="","",Recurring!$C$5)</f>
        <v>Income</v>
      </c>
      <c r="E18" s="118" t="n">
        <f aca="false">IF($C18="","",IF(SUMIFS(Overrides!$E$9:$E$108,Overrides!$B$9:$B$108,$C18,Overrides!$C$9:$C$108,$L18)&gt;0,SUMIFS(Overrides!$E$9:$E$108,Overrides!$B$9:$B$108,$C18,Overrides!$C$9:$C$108,$L18),Recurring!$D$5))</f>
        <v>90</v>
      </c>
      <c r="F18" s="119" t="n">
        <f aca="false">IF($C18="","",IF(Recurring!$E$5="Weekly",Recurring!$F$5+7*14,IF(Recurring!$E$5="Every 2 Weeks",Recurring!$F$5+14*14,IF(Recurring!$E$5="Monthly",EDATE(Recurring!$F$5,14),IF(Recurring!$E$5="Twice a Month",IF(MOD((IF(DAY(Recurring!$F$5)&lt;=20,0,1)+14),2)=1,EOMONTH(Recurring!$F$5,INT((IF(DAY(Recurring!$F$5)&lt;=20,0,1)+14)/2)),DATE(YEAR(EDATE(Recurring!$F$5,INT((IF(DAY(Recurring!$F$5)&lt;=20,0,1)+14)/2))),MONTH(EDATE(Recurring!$F$5,INT((IF(DAY(Recurring!$F$5)&lt;=20,0,1)+14)/2))),15)),IF(Recurring!$E$5="One Time",IF(15=1,Recurring!$F$5,""),""))))))</f>
        <v>46351</v>
      </c>
      <c r="G18" s="119" t="n">
        <f aca="false">IF($L18="","",IF(SUMIFS(Overrides!$D$9:$D$108,Overrides!$B$9:$B$108,$C18,Overrides!$C$9:$C$108,$L18)&gt;0,SUMIFS(Overrides!$D$9:$D$108,Overrides!$B$9:$B$108,$C18,Overrides!$C$9:$C$108,$L18),$L18))</f>
        <v>46351</v>
      </c>
      <c r="H18" s="120" t="n">
        <f aca="false">IF($G18="",0,IF(AND($G18&gt;='Cash Flow'!$E$6,$G18&lt;'Cash Flow'!$E$6+91),1,0))</f>
        <v>0</v>
      </c>
      <c r="I18" s="120" t="str">
        <f aca="false">IF($H18=1,MAX(1,INT(($G18-'Cash Flow'!$E$6)/7)+1),"")</f>
        <v/>
      </c>
      <c r="J18" s="7" t="str">
        <f aca="false">IF($H18=1,$G18*10000+ROW(),"")</f>
        <v/>
      </c>
      <c r="K18" s="7" t="str">
        <f aca="false">IF($H18=1,$I18*1000+COUNTIFS($I$4:$I$483,$I18,$J$4:$J$483,"&lt;"&amp;$J18)+1,"")</f>
        <v/>
      </c>
      <c r="L18" s="121" t="n">
        <f aca="false">IF($F18="","",IF(Recurring!$G$5="Move Before",IF(WEEKDAY($F18,2)=6,$F18-1,IF(WEEKDAY($F18,2)=7,$F18-2,$F18)),IF(Recurring!$G$5="Move After",IF(WEEKDAY($F18,2)=6,$F18+2,IF(WEEKDAY($F18,2)=7,$F18+1,$F18)),$F18)))</f>
        <v>46351</v>
      </c>
      <c r="M18" s="0" t="str">
        <f aca="true">IF(AND($H18=1,$D18="Expense",$G18&gt;TODAY(),$E18&gt;=100),$G18*100000+ROW(),"")</f>
        <v/>
      </c>
      <c r="N18" s="0" t="str">
        <f aca="true">IF(AND($H18=1,$D18="Income",$G18&gt;TODAY()),$G18*100000+ROW(),"")</f>
        <v/>
      </c>
    </row>
    <row r="19" customFormat="false" ht="15" hidden="false" customHeight="true" outlineLevel="0" collapsed="false">
      <c r="A19" s="117" t="n">
        <v>1</v>
      </c>
      <c r="B19" s="117" t="n">
        <v>16</v>
      </c>
      <c r="C19" s="7" t="str">
        <f aca="false">IF(OR(Recurring!$B$5="",Recurring!$H$5&lt;&gt;"Yes",Recurring!$D$5=""),"",Recurring!$B$5)</f>
        <v>Bruno's Restaurant (paycheck)</v>
      </c>
      <c r="D19" s="7" t="str">
        <f aca="false">IF($C19="","",Recurring!$C$5)</f>
        <v>Income</v>
      </c>
      <c r="E19" s="118" t="n">
        <f aca="false">IF($C19="","",IF(SUMIFS(Overrides!$E$9:$E$108,Overrides!$B$9:$B$108,$C19,Overrides!$C$9:$C$108,$L19)&gt;0,SUMIFS(Overrides!$E$9:$E$108,Overrides!$B$9:$B$108,$C19,Overrides!$C$9:$C$108,$L19),Recurring!$D$5))</f>
        <v>90</v>
      </c>
      <c r="F19" s="119" t="n">
        <f aca="false">IF($C19="","",IF(Recurring!$E$5="Weekly",Recurring!$F$5+7*15,IF(Recurring!$E$5="Every 2 Weeks",Recurring!$F$5+14*15,IF(Recurring!$E$5="Monthly",EDATE(Recurring!$F$5,15),IF(Recurring!$E$5="Twice a Month",IF(MOD((IF(DAY(Recurring!$F$5)&lt;=20,0,1)+15),2)=1,EOMONTH(Recurring!$F$5,INT((IF(DAY(Recurring!$F$5)&lt;=20,0,1)+15)/2)),DATE(YEAR(EDATE(Recurring!$F$5,INT((IF(DAY(Recurring!$F$5)&lt;=20,0,1)+15)/2))),MONTH(EDATE(Recurring!$F$5,INT((IF(DAY(Recurring!$F$5)&lt;=20,0,1)+15)/2))),15)),IF(Recurring!$E$5="One Time",IF(16=1,Recurring!$F$5,""),""))))))</f>
        <v>46358</v>
      </c>
      <c r="G19" s="119" t="n">
        <f aca="false">IF($L19="","",IF(SUMIFS(Overrides!$D$9:$D$108,Overrides!$B$9:$B$108,$C19,Overrides!$C$9:$C$108,$L19)&gt;0,SUMIFS(Overrides!$D$9:$D$108,Overrides!$B$9:$B$108,$C19,Overrides!$C$9:$C$108,$L19),$L19))</f>
        <v>46358</v>
      </c>
      <c r="H19" s="120" t="n">
        <f aca="false">IF($G19="",0,IF(AND($G19&gt;='Cash Flow'!$E$6,$G19&lt;'Cash Flow'!$E$6+91),1,0))</f>
        <v>0</v>
      </c>
      <c r="I19" s="120" t="str">
        <f aca="false">IF($H19=1,MAX(1,INT(($G19-'Cash Flow'!$E$6)/7)+1),"")</f>
        <v/>
      </c>
      <c r="J19" s="7" t="str">
        <f aca="false">IF($H19=1,$G19*10000+ROW(),"")</f>
        <v/>
      </c>
      <c r="K19" s="7" t="str">
        <f aca="false">IF($H19=1,$I19*1000+COUNTIFS($I$4:$I$483,$I19,$J$4:$J$483,"&lt;"&amp;$J19)+1,"")</f>
        <v/>
      </c>
      <c r="L19" s="121" t="n">
        <f aca="false">IF($F19="","",IF(Recurring!$G$5="Move Before",IF(WEEKDAY($F19,2)=6,$F19-1,IF(WEEKDAY($F19,2)=7,$F19-2,$F19)),IF(Recurring!$G$5="Move After",IF(WEEKDAY($F19,2)=6,$F19+2,IF(WEEKDAY($F19,2)=7,$F19+1,$F19)),$F19)))</f>
        <v>46358</v>
      </c>
      <c r="M19" s="0" t="str">
        <f aca="true">IF(AND($H19=1,$D19="Expense",$G19&gt;TODAY(),$E19&gt;=100),$G19*100000+ROW(),"")</f>
        <v/>
      </c>
      <c r="N19" s="0" t="str">
        <f aca="true">IF(AND($H19=1,$D19="Income",$G19&gt;TODAY()),$G19*100000+ROW(),"")</f>
        <v/>
      </c>
    </row>
    <row r="20" customFormat="false" ht="15" hidden="false" customHeight="true" outlineLevel="0" collapsed="false">
      <c r="A20" s="117" t="n">
        <v>2</v>
      </c>
      <c r="B20" s="117" t="n">
        <v>1</v>
      </c>
      <c r="C20" s="7" t="str">
        <f aca="false">IF(OR(Recurring!$B$6="",Recurring!$H$6&lt;&gt;"Yes",Recurring!$D$6=""),"",Recurring!$B$6)</f>
        <v>Compunnel Software (paycheck)</v>
      </c>
      <c r="D20" s="7" t="str">
        <f aca="false">IF($C20="","",Recurring!$C$6)</f>
        <v>Income</v>
      </c>
      <c r="E20" s="118" t="n">
        <f aca="false">IF($C20="","",IF(SUMIFS(Overrides!$E$9:$E$108,Overrides!$B$9:$B$108,$C20,Overrides!$C$9:$C$108,$L20)&gt;0,SUMIFS(Overrides!$E$9:$E$108,Overrides!$B$9:$B$108,$C20,Overrides!$C$9:$C$108,$L20),Recurring!$D$6))</f>
        <v>745</v>
      </c>
      <c r="F20" s="119" t="n">
        <f aca="false">IF($C20="","",IF(Recurring!$E$6="Weekly",Recurring!$F$6+7*0,IF(Recurring!$E$6="Every 2 Weeks",Recurring!$F$6+14*0,IF(Recurring!$E$6="Monthly",EDATE(Recurring!$F$6,0),IF(Recurring!$E$6="Twice a Month",IF(MOD((IF(DAY(Recurring!$F$6)&lt;=20,0,1)+0),2)=1,EOMONTH(Recurring!$F$6,INT((IF(DAY(Recurring!$F$6)&lt;=20,0,1)+0)/2)),DATE(YEAR(EDATE(Recurring!$F$6,INT((IF(DAY(Recurring!$F$6)&lt;=20,0,1)+0)/2))),MONTH(EDATE(Recurring!$F$6,INT((IF(DAY(Recurring!$F$6)&lt;=20,0,1)+0)/2))),15)),IF(Recurring!$E$6="One Time",IF(1=1,Recurring!$F$6,""),""))))))</f>
        <v>46255</v>
      </c>
      <c r="G20" s="119" t="n">
        <f aca="false">IF($L20="","",IF(SUMIFS(Overrides!$D$9:$D$108,Overrides!$B$9:$B$108,$C20,Overrides!$C$9:$C$108,$L20)&gt;0,SUMIFS(Overrides!$D$9:$D$108,Overrides!$B$9:$B$108,$C20,Overrides!$C$9:$C$108,$L20),$L20))</f>
        <v>46255</v>
      </c>
      <c r="H20" s="120" t="n">
        <f aca="false">IF($G20="",0,IF(AND($G20&gt;='Cash Flow'!$E$6-90,$G20&lt;'Cash Flow'!$E$6+91),1,0))</f>
        <v>1</v>
      </c>
      <c r="I20" s="120" t="n">
        <f aca="false">IF($H20=1,MAX(1,INT(($G20-'Cash Flow'!$E$6)/7)+1),"")</f>
        <v>1</v>
      </c>
      <c r="J20" s="7" t="n">
        <f aca="false">IF($H20=1,$G20*10000+ROW(),"")</f>
        <v>462550020</v>
      </c>
      <c r="K20" s="7" t="n">
        <f aca="false">IF($H20=1,$I20*1000+COUNTIFS($I$4:$I$483,$I20,$J$4:$J$483,"&lt;"&amp;$J20)+1,"")</f>
        <v>1003</v>
      </c>
      <c r="L20" s="121" t="n">
        <f aca="false">IF($F20="","",IF(Recurring!$G$6="Move Before",IF(WEEKDAY($F20,2)=6,$F20-1,IF(WEEKDAY($F20,2)=7,$F20-2,$F20)),IF(Recurring!$G$6="Move After",IF(WEEKDAY($F20,2)=6,$F20+2,IF(WEEKDAY($F20,2)=7,$F20+1,$F20)),$F20)))</f>
        <v>46255</v>
      </c>
      <c r="M20" s="0" t="str">
        <f aca="true">IF(AND($H20=1,$D20="Expense",$G20&gt;TODAY(),$E20&gt;=100),$G20*100000+ROW(),"")</f>
        <v/>
      </c>
      <c r="N20" s="0" t="str">
        <f aca="true">IF(AND($H20=1,$D20="Income",$G20&gt;TODAY()),$G20*100000+ROW(),"")</f>
        <v/>
      </c>
    </row>
    <row r="21" customFormat="false" ht="15" hidden="false" customHeight="true" outlineLevel="0" collapsed="false">
      <c r="A21" s="117" t="n">
        <v>2</v>
      </c>
      <c r="B21" s="117" t="n">
        <v>2</v>
      </c>
      <c r="C21" s="7" t="str">
        <f aca="false">IF(OR(Recurring!$B$6="",Recurring!$H$6&lt;&gt;"Yes",Recurring!$D$6=""),"",Recurring!$B$6)</f>
        <v>Compunnel Software (paycheck)</v>
      </c>
      <c r="D21" s="7" t="str">
        <f aca="false">IF($C21="","",Recurring!$C$6)</f>
        <v>Income</v>
      </c>
      <c r="E21" s="118" t="n">
        <f aca="false">IF($C21="","",IF(SUMIFS(Overrides!$E$9:$E$108,Overrides!$B$9:$B$108,$C21,Overrides!$C$9:$C$108,$L21)&gt;0,SUMIFS(Overrides!$E$9:$E$108,Overrides!$B$9:$B$108,$C21,Overrides!$C$9:$C$108,$L21),Recurring!$D$6))</f>
        <v>745</v>
      </c>
      <c r="F21" s="119" t="n">
        <f aca="false">IF($C21="","",IF(Recurring!$E$6="Weekly",Recurring!$F$6+7*1,IF(Recurring!$E$6="Every 2 Weeks",Recurring!$F$6+14*1,IF(Recurring!$E$6="Monthly",EDATE(Recurring!$F$6,1),IF(Recurring!$E$6="Twice a Month",IF(MOD((IF(DAY(Recurring!$F$6)&lt;=20,0,1)+1),2)=1,EOMONTH(Recurring!$F$6,INT((IF(DAY(Recurring!$F$6)&lt;=20,0,1)+1)/2)),DATE(YEAR(EDATE(Recurring!$F$6,INT((IF(DAY(Recurring!$F$6)&lt;=20,0,1)+1)/2))),MONTH(EDATE(Recurring!$F$6,INT((IF(DAY(Recurring!$F$6)&lt;=20,0,1)+1)/2))),15)),IF(Recurring!$E$6="One Time",IF(2=1,Recurring!$F$6,""),""))))))</f>
        <v>46262</v>
      </c>
      <c r="G21" s="119" t="n">
        <f aca="false">IF($L21="","",IF(SUMIFS(Overrides!$D$9:$D$108,Overrides!$B$9:$B$108,$C21,Overrides!$C$9:$C$108,$L21)&gt;0,SUMIFS(Overrides!$D$9:$D$108,Overrides!$B$9:$B$108,$C21,Overrides!$C$9:$C$108,$L21),$L21))</f>
        <v>46262</v>
      </c>
      <c r="H21" s="120" t="n">
        <f aca="false">IF($G21="",0,IF(AND($G21&gt;='Cash Flow'!$E$6,$G21&lt;'Cash Flow'!$E$6+91),1,0))</f>
        <v>1</v>
      </c>
      <c r="I21" s="120" t="n">
        <f aca="false">IF($H21=1,MAX(1,INT(($G21-'Cash Flow'!$E$6)/7)+1),"")</f>
        <v>2</v>
      </c>
      <c r="J21" s="7" t="n">
        <f aca="false">IF($H21=1,$G21*10000+ROW(),"")</f>
        <v>462620021</v>
      </c>
      <c r="K21" s="7" t="n">
        <f aca="false">IF($H21=1,$I21*1000+COUNTIFS($I$4:$I$483,$I21,$J$4:$J$483,"&lt;"&amp;$J21)+1,"")</f>
        <v>2004</v>
      </c>
      <c r="L21" s="121" t="n">
        <f aca="false">IF($F21="","",IF(Recurring!$G$6="Move Before",IF(WEEKDAY($F21,2)=6,$F21-1,IF(WEEKDAY($F21,2)=7,$F21-2,$F21)),IF(Recurring!$G$6="Move After",IF(WEEKDAY($F21,2)=6,$F21+2,IF(WEEKDAY($F21,2)=7,$F21+1,$F21)),$F21)))</f>
        <v>46262</v>
      </c>
      <c r="M21" s="0" t="str">
        <f aca="true">IF(AND($H21=1,$D21="Expense",$G21&gt;TODAY(),$E21&gt;=100),$G21*100000+ROW(),"")</f>
        <v/>
      </c>
      <c r="N21" s="122" t="n">
        <f aca="true">IF(AND($H21=1,$D21="Income",$G21&gt;TODAY()),$G21*100000+ROW(),"")</f>
        <v>4626200021</v>
      </c>
    </row>
    <row r="22" customFormat="false" ht="15" hidden="false" customHeight="true" outlineLevel="0" collapsed="false">
      <c r="A22" s="117" t="n">
        <v>2</v>
      </c>
      <c r="B22" s="117" t="n">
        <v>3</v>
      </c>
      <c r="C22" s="7" t="str">
        <f aca="false">IF(OR(Recurring!$B$6="",Recurring!$H$6&lt;&gt;"Yes",Recurring!$D$6=""),"",Recurring!$B$6)</f>
        <v>Compunnel Software (paycheck)</v>
      </c>
      <c r="D22" s="7" t="str">
        <f aca="false">IF($C22="","",Recurring!$C$6)</f>
        <v>Income</v>
      </c>
      <c r="E22" s="118" t="n">
        <f aca="false">IF($C22="","",IF(SUMIFS(Overrides!$E$9:$E$108,Overrides!$B$9:$B$108,$C22,Overrides!$C$9:$C$108,$L22)&gt;0,SUMIFS(Overrides!$E$9:$E$108,Overrides!$B$9:$B$108,$C22,Overrides!$C$9:$C$108,$L22),Recurring!$D$6))</f>
        <v>745</v>
      </c>
      <c r="F22" s="119" t="n">
        <f aca="false">IF($C22="","",IF(Recurring!$E$6="Weekly",Recurring!$F$6+7*2,IF(Recurring!$E$6="Every 2 Weeks",Recurring!$F$6+14*2,IF(Recurring!$E$6="Monthly",EDATE(Recurring!$F$6,2),IF(Recurring!$E$6="Twice a Month",IF(MOD((IF(DAY(Recurring!$F$6)&lt;=20,0,1)+2),2)=1,EOMONTH(Recurring!$F$6,INT((IF(DAY(Recurring!$F$6)&lt;=20,0,1)+2)/2)),DATE(YEAR(EDATE(Recurring!$F$6,INT((IF(DAY(Recurring!$F$6)&lt;=20,0,1)+2)/2))),MONTH(EDATE(Recurring!$F$6,INT((IF(DAY(Recurring!$F$6)&lt;=20,0,1)+2)/2))),15)),IF(Recurring!$E$6="One Time",IF(3=1,Recurring!$F$6,""),""))))))</f>
        <v>46269</v>
      </c>
      <c r="G22" s="119" t="n">
        <f aca="false">IF($L22="","",IF(SUMIFS(Overrides!$D$9:$D$108,Overrides!$B$9:$B$108,$C22,Overrides!$C$9:$C$108,$L22)&gt;0,SUMIFS(Overrides!$D$9:$D$108,Overrides!$B$9:$B$108,$C22,Overrides!$C$9:$C$108,$L22),$L22))</f>
        <v>46269</v>
      </c>
      <c r="H22" s="120" t="n">
        <f aca="false">IF($G22="",0,IF(AND($G22&gt;='Cash Flow'!$E$6,$G22&lt;'Cash Flow'!$E$6+91),1,0))</f>
        <v>1</v>
      </c>
      <c r="I22" s="120" t="n">
        <f aca="false">IF($H22=1,MAX(1,INT(($G22-'Cash Flow'!$E$6)/7)+1),"")</f>
        <v>3</v>
      </c>
      <c r="J22" s="7" t="n">
        <f aca="false">IF($H22=1,$G22*10000+ROW(),"")</f>
        <v>462690022</v>
      </c>
      <c r="K22" s="7" t="n">
        <f aca="false">IF($H22=1,$I22*1000+COUNTIFS($I$4:$I$483,$I22,$J$4:$J$483,"&lt;"&amp;$J22)+1,"")</f>
        <v>3005</v>
      </c>
      <c r="L22" s="121" t="n">
        <f aca="false">IF($F22="","",IF(Recurring!$G$6="Move Before",IF(WEEKDAY($F22,2)=6,$F22-1,IF(WEEKDAY($F22,2)=7,$F22-2,$F22)),IF(Recurring!$G$6="Move After",IF(WEEKDAY($F22,2)=6,$F22+2,IF(WEEKDAY($F22,2)=7,$F22+1,$F22)),$F22)))</f>
        <v>46269</v>
      </c>
      <c r="M22" s="0" t="str">
        <f aca="true">IF(AND($H22=1,$D22="Expense",$G22&gt;TODAY(),$E22&gt;=100),$G22*100000+ROW(),"")</f>
        <v/>
      </c>
      <c r="N22" s="122" t="n">
        <f aca="true">IF(AND($H22=1,$D22="Income",$G22&gt;TODAY()),$G22*100000+ROW(),"")</f>
        <v>4626900022</v>
      </c>
    </row>
    <row r="23" customFormat="false" ht="15" hidden="false" customHeight="true" outlineLevel="0" collapsed="false">
      <c r="A23" s="117" t="n">
        <v>2</v>
      </c>
      <c r="B23" s="117" t="n">
        <v>4</v>
      </c>
      <c r="C23" s="7" t="str">
        <f aca="false">IF(OR(Recurring!$B$6="",Recurring!$H$6&lt;&gt;"Yes",Recurring!$D$6=""),"",Recurring!$B$6)</f>
        <v>Compunnel Software (paycheck)</v>
      </c>
      <c r="D23" s="7" t="str">
        <f aca="false">IF($C23="","",Recurring!$C$6)</f>
        <v>Income</v>
      </c>
      <c r="E23" s="118" t="n">
        <f aca="false">IF($C23="","",IF(SUMIFS(Overrides!$E$9:$E$108,Overrides!$B$9:$B$108,$C23,Overrides!$C$9:$C$108,$L23)&gt;0,SUMIFS(Overrides!$E$9:$E$108,Overrides!$B$9:$B$108,$C23,Overrides!$C$9:$C$108,$L23),Recurring!$D$6))</f>
        <v>745</v>
      </c>
      <c r="F23" s="119" t="n">
        <f aca="false">IF($C23="","",IF(Recurring!$E$6="Weekly",Recurring!$F$6+7*3,IF(Recurring!$E$6="Every 2 Weeks",Recurring!$F$6+14*3,IF(Recurring!$E$6="Monthly",EDATE(Recurring!$F$6,3),IF(Recurring!$E$6="Twice a Month",IF(MOD((IF(DAY(Recurring!$F$6)&lt;=20,0,1)+3),2)=1,EOMONTH(Recurring!$F$6,INT((IF(DAY(Recurring!$F$6)&lt;=20,0,1)+3)/2)),DATE(YEAR(EDATE(Recurring!$F$6,INT((IF(DAY(Recurring!$F$6)&lt;=20,0,1)+3)/2))),MONTH(EDATE(Recurring!$F$6,INT((IF(DAY(Recurring!$F$6)&lt;=20,0,1)+3)/2))),15)),IF(Recurring!$E$6="One Time",IF(4=1,Recurring!$F$6,""),""))))))</f>
        <v>46276</v>
      </c>
      <c r="G23" s="119" t="n">
        <f aca="false">IF($L23="","",IF(SUMIFS(Overrides!$D$9:$D$108,Overrides!$B$9:$B$108,$C23,Overrides!$C$9:$C$108,$L23)&gt;0,SUMIFS(Overrides!$D$9:$D$108,Overrides!$B$9:$B$108,$C23,Overrides!$C$9:$C$108,$L23),$L23))</f>
        <v>46276</v>
      </c>
      <c r="H23" s="120" t="n">
        <f aca="false">IF($G23="",0,IF(AND($G23&gt;='Cash Flow'!$E$6,$G23&lt;'Cash Flow'!$E$6+91),1,0))</f>
        <v>1</v>
      </c>
      <c r="I23" s="120" t="n">
        <f aca="false">IF($H23=1,MAX(1,INT(($G23-'Cash Flow'!$E$6)/7)+1),"")</f>
        <v>4</v>
      </c>
      <c r="J23" s="7" t="n">
        <f aca="false">IF($H23=1,$G23*10000+ROW(),"")</f>
        <v>462760023</v>
      </c>
      <c r="K23" s="7" t="n">
        <f aca="false">IF($H23=1,$I23*1000+COUNTIFS($I$4:$I$483,$I23,$J$4:$J$483,"&lt;"&amp;$J23)+1,"")</f>
        <v>4007</v>
      </c>
      <c r="L23" s="121" t="n">
        <f aca="false">IF($F23="","",IF(Recurring!$G$6="Move Before",IF(WEEKDAY($F23,2)=6,$F23-1,IF(WEEKDAY($F23,2)=7,$F23-2,$F23)),IF(Recurring!$G$6="Move After",IF(WEEKDAY($F23,2)=6,$F23+2,IF(WEEKDAY($F23,2)=7,$F23+1,$F23)),$F23)))</f>
        <v>46276</v>
      </c>
      <c r="M23" s="0" t="str">
        <f aca="true">IF(AND($H23=1,$D23="Expense",$G23&gt;TODAY(),$E23&gt;=100),$G23*100000+ROW(),"")</f>
        <v/>
      </c>
      <c r="N23" s="122" t="n">
        <f aca="true">IF(AND($H23=1,$D23="Income",$G23&gt;TODAY()),$G23*100000+ROW(),"")</f>
        <v>4627600023</v>
      </c>
    </row>
    <row r="24" customFormat="false" ht="15" hidden="false" customHeight="true" outlineLevel="0" collapsed="false">
      <c r="A24" s="117" t="n">
        <v>2</v>
      </c>
      <c r="B24" s="117" t="n">
        <v>5</v>
      </c>
      <c r="C24" s="7" t="str">
        <f aca="false">IF(OR(Recurring!$B$6="",Recurring!$H$6&lt;&gt;"Yes",Recurring!$D$6=""),"",Recurring!$B$6)</f>
        <v>Compunnel Software (paycheck)</v>
      </c>
      <c r="D24" s="7" t="str">
        <f aca="false">IF($C24="","",Recurring!$C$6)</f>
        <v>Income</v>
      </c>
      <c r="E24" s="118" t="n">
        <f aca="false">IF($C24="","",IF(SUMIFS(Overrides!$E$9:$E$108,Overrides!$B$9:$B$108,$C24,Overrides!$C$9:$C$108,$L24)&gt;0,SUMIFS(Overrides!$E$9:$E$108,Overrides!$B$9:$B$108,$C24,Overrides!$C$9:$C$108,$L24),Recurring!$D$6))</f>
        <v>745</v>
      </c>
      <c r="F24" s="119" t="n">
        <f aca="false">IF($C24="","",IF(Recurring!$E$6="Weekly",Recurring!$F$6+7*4,IF(Recurring!$E$6="Every 2 Weeks",Recurring!$F$6+14*4,IF(Recurring!$E$6="Monthly",EDATE(Recurring!$F$6,4),IF(Recurring!$E$6="Twice a Month",IF(MOD((IF(DAY(Recurring!$F$6)&lt;=20,0,1)+4),2)=1,EOMONTH(Recurring!$F$6,INT((IF(DAY(Recurring!$F$6)&lt;=20,0,1)+4)/2)),DATE(YEAR(EDATE(Recurring!$F$6,INT((IF(DAY(Recurring!$F$6)&lt;=20,0,1)+4)/2))),MONTH(EDATE(Recurring!$F$6,INT((IF(DAY(Recurring!$F$6)&lt;=20,0,1)+4)/2))),15)),IF(Recurring!$E$6="One Time",IF(5=1,Recurring!$F$6,""),""))))))</f>
        <v>46283</v>
      </c>
      <c r="G24" s="119" t="n">
        <f aca="false">IF($L24="","",IF(SUMIFS(Overrides!$D$9:$D$108,Overrides!$B$9:$B$108,$C24,Overrides!$C$9:$C$108,$L24)&gt;0,SUMIFS(Overrides!$D$9:$D$108,Overrides!$B$9:$B$108,$C24,Overrides!$C$9:$C$108,$L24),$L24))</f>
        <v>46283</v>
      </c>
      <c r="H24" s="120" t="n">
        <f aca="false">IF($G24="",0,IF(AND($G24&gt;='Cash Flow'!$E$6,$G24&lt;'Cash Flow'!$E$6+91),1,0))</f>
        <v>1</v>
      </c>
      <c r="I24" s="120" t="n">
        <f aca="false">IF($H24=1,MAX(1,INT(($G24-'Cash Flow'!$E$6)/7)+1),"")</f>
        <v>5</v>
      </c>
      <c r="J24" s="7" t="n">
        <f aca="false">IF($H24=1,$G24*10000+ROW(),"")</f>
        <v>462830024</v>
      </c>
      <c r="K24" s="7" t="n">
        <f aca="false">IF($H24=1,$I24*1000+COUNTIFS($I$4:$I$483,$I24,$J$4:$J$483,"&lt;"&amp;$J24)+1,"")</f>
        <v>5005</v>
      </c>
      <c r="L24" s="121" t="n">
        <f aca="false">IF($F24="","",IF(Recurring!$G$6="Move Before",IF(WEEKDAY($F24,2)=6,$F24-1,IF(WEEKDAY($F24,2)=7,$F24-2,$F24)),IF(Recurring!$G$6="Move After",IF(WEEKDAY($F24,2)=6,$F24+2,IF(WEEKDAY($F24,2)=7,$F24+1,$F24)),$F24)))</f>
        <v>46283</v>
      </c>
      <c r="M24" s="0" t="str">
        <f aca="true">IF(AND($H24=1,$D24="Expense",$G24&gt;TODAY(),$E24&gt;=100),$G24*100000+ROW(),"")</f>
        <v/>
      </c>
      <c r="N24" s="122" t="n">
        <f aca="true">IF(AND($H24=1,$D24="Income",$G24&gt;TODAY()),$G24*100000+ROW(),"")</f>
        <v>4628300024</v>
      </c>
    </row>
    <row r="25" customFormat="false" ht="15" hidden="false" customHeight="true" outlineLevel="0" collapsed="false">
      <c r="A25" s="117" t="n">
        <v>2</v>
      </c>
      <c r="B25" s="117" t="n">
        <v>6</v>
      </c>
      <c r="C25" s="7" t="str">
        <f aca="false">IF(OR(Recurring!$B$6="",Recurring!$H$6&lt;&gt;"Yes",Recurring!$D$6=""),"",Recurring!$B$6)</f>
        <v>Compunnel Software (paycheck)</v>
      </c>
      <c r="D25" s="7" t="str">
        <f aca="false">IF($C25="","",Recurring!$C$6)</f>
        <v>Income</v>
      </c>
      <c r="E25" s="118" t="n">
        <f aca="false">IF($C25="","",IF(SUMIFS(Overrides!$E$9:$E$108,Overrides!$B$9:$B$108,$C25,Overrides!$C$9:$C$108,$L25)&gt;0,SUMIFS(Overrides!$E$9:$E$108,Overrides!$B$9:$B$108,$C25,Overrides!$C$9:$C$108,$L25),Recurring!$D$6))</f>
        <v>745</v>
      </c>
      <c r="F25" s="119" t="n">
        <f aca="false">IF($C25="","",IF(Recurring!$E$6="Weekly",Recurring!$F$6+7*5,IF(Recurring!$E$6="Every 2 Weeks",Recurring!$F$6+14*5,IF(Recurring!$E$6="Monthly",EDATE(Recurring!$F$6,5),IF(Recurring!$E$6="Twice a Month",IF(MOD((IF(DAY(Recurring!$F$6)&lt;=20,0,1)+5),2)=1,EOMONTH(Recurring!$F$6,INT((IF(DAY(Recurring!$F$6)&lt;=20,0,1)+5)/2)),DATE(YEAR(EDATE(Recurring!$F$6,INT((IF(DAY(Recurring!$F$6)&lt;=20,0,1)+5)/2))),MONTH(EDATE(Recurring!$F$6,INT((IF(DAY(Recurring!$F$6)&lt;=20,0,1)+5)/2))),15)),IF(Recurring!$E$6="One Time",IF(6=1,Recurring!$F$6,""),""))))))</f>
        <v>46290</v>
      </c>
      <c r="G25" s="119" t="n">
        <f aca="false">IF($L25="","",IF(SUMIFS(Overrides!$D$9:$D$108,Overrides!$B$9:$B$108,$C25,Overrides!$C$9:$C$108,$L25)&gt;0,SUMIFS(Overrides!$D$9:$D$108,Overrides!$B$9:$B$108,$C25,Overrides!$C$9:$C$108,$L25),$L25))</f>
        <v>46290</v>
      </c>
      <c r="H25" s="120" t="n">
        <f aca="false">IF($G25="",0,IF(AND($G25&gt;='Cash Flow'!$E$6,$G25&lt;'Cash Flow'!$E$6+91),1,0))</f>
        <v>1</v>
      </c>
      <c r="I25" s="120" t="n">
        <f aca="false">IF($H25=1,MAX(1,INT(($G25-'Cash Flow'!$E$6)/7)+1),"")</f>
        <v>6</v>
      </c>
      <c r="J25" s="7" t="n">
        <f aca="false">IF($H25=1,$G25*10000+ROW(),"")</f>
        <v>462900025</v>
      </c>
      <c r="K25" s="7" t="n">
        <f aca="false">IF($H25=1,$I25*1000+COUNTIFS($I$4:$I$483,$I25,$J$4:$J$483,"&lt;"&amp;$J25)+1,"")</f>
        <v>6004</v>
      </c>
      <c r="L25" s="121" t="n">
        <f aca="false">IF($F25="","",IF(Recurring!$G$6="Move Before",IF(WEEKDAY($F25,2)=6,$F25-1,IF(WEEKDAY($F25,2)=7,$F25-2,$F25)),IF(Recurring!$G$6="Move After",IF(WEEKDAY($F25,2)=6,$F25+2,IF(WEEKDAY($F25,2)=7,$F25+1,$F25)),$F25)))</f>
        <v>46290</v>
      </c>
      <c r="M25" s="0" t="str">
        <f aca="true">IF(AND($H25=1,$D25="Expense",$G25&gt;TODAY(),$E25&gt;=100),$G25*100000+ROW(),"")</f>
        <v/>
      </c>
      <c r="N25" s="122" t="n">
        <f aca="true">IF(AND($H25=1,$D25="Income",$G25&gt;TODAY()),$G25*100000+ROW(),"")</f>
        <v>4629000025</v>
      </c>
    </row>
    <row r="26" customFormat="false" ht="15" hidden="false" customHeight="true" outlineLevel="0" collapsed="false">
      <c r="A26" s="117" t="n">
        <v>2</v>
      </c>
      <c r="B26" s="117" t="n">
        <v>7</v>
      </c>
      <c r="C26" s="7" t="str">
        <f aca="false">IF(OR(Recurring!$B$6="",Recurring!$H$6&lt;&gt;"Yes",Recurring!$D$6=""),"",Recurring!$B$6)</f>
        <v>Compunnel Software (paycheck)</v>
      </c>
      <c r="D26" s="7" t="str">
        <f aca="false">IF($C26="","",Recurring!$C$6)</f>
        <v>Income</v>
      </c>
      <c r="E26" s="118" t="n">
        <f aca="false">IF($C26="","",IF(SUMIFS(Overrides!$E$9:$E$108,Overrides!$B$9:$B$108,$C26,Overrides!$C$9:$C$108,$L26)&gt;0,SUMIFS(Overrides!$E$9:$E$108,Overrides!$B$9:$B$108,$C26,Overrides!$C$9:$C$108,$L26),Recurring!$D$6))</f>
        <v>745</v>
      </c>
      <c r="F26" s="119" t="n">
        <f aca="false">IF($C26="","",IF(Recurring!$E$6="Weekly",Recurring!$F$6+7*6,IF(Recurring!$E$6="Every 2 Weeks",Recurring!$F$6+14*6,IF(Recurring!$E$6="Monthly",EDATE(Recurring!$F$6,6),IF(Recurring!$E$6="Twice a Month",IF(MOD((IF(DAY(Recurring!$F$6)&lt;=20,0,1)+6),2)=1,EOMONTH(Recurring!$F$6,INT((IF(DAY(Recurring!$F$6)&lt;=20,0,1)+6)/2)),DATE(YEAR(EDATE(Recurring!$F$6,INT((IF(DAY(Recurring!$F$6)&lt;=20,0,1)+6)/2))),MONTH(EDATE(Recurring!$F$6,INT((IF(DAY(Recurring!$F$6)&lt;=20,0,1)+6)/2))),15)),IF(Recurring!$E$6="One Time",IF(7=1,Recurring!$F$6,""),""))))))</f>
        <v>46297</v>
      </c>
      <c r="G26" s="119" t="n">
        <f aca="false">IF($L26="","",IF(SUMIFS(Overrides!$D$9:$D$108,Overrides!$B$9:$B$108,$C26,Overrides!$C$9:$C$108,$L26)&gt;0,SUMIFS(Overrides!$D$9:$D$108,Overrides!$B$9:$B$108,$C26,Overrides!$C$9:$C$108,$L26),$L26))</f>
        <v>46297</v>
      </c>
      <c r="H26" s="120" t="n">
        <f aca="false">IF($G26="",0,IF(AND($G26&gt;='Cash Flow'!$E$6,$G26&lt;'Cash Flow'!$E$6+91),1,0))</f>
        <v>1</v>
      </c>
      <c r="I26" s="120" t="n">
        <f aca="false">IF($H26=1,MAX(1,INT(($G26-'Cash Flow'!$E$6)/7)+1),"")</f>
        <v>7</v>
      </c>
      <c r="J26" s="7" t="n">
        <f aca="false">IF($H26=1,$G26*10000+ROW(),"")</f>
        <v>462970026</v>
      </c>
      <c r="K26" s="7" t="n">
        <f aca="false">IF($H26=1,$I26*1000+COUNTIFS($I$4:$I$483,$I26,$J$4:$J$483,"&lt;"&amp;$J26)+1,"")</f>
        <v>7005</v>
      </c>
      <c r="L26" s="121" t="n">
        <f aca="false">IF($F26="","",IF(Recurring!$G$6="Move Before",IF(WEEKDAY($F26,2)=6,$F26-1,IF(WEEKDAY($F26,2)=7,$F26-2,$F26)),IF(Recurring!$G$6="Move After",IF(WEEKDAY($F26,2)=6,$F26+2,IF(WEEKDAY($F26,2)=7,$F26+1,$F26)),$F26)))</f>
        <v>46297</v>
      </c>
      <c r="M26" s="0" t="str">
        <f aca="true">IF(AND($H26=1,$D26="Expense",$G26&gt;TODAY(),$E26&gt;=100),$G26*100000+ROW(),"")</f>
        <v/>
      </c>
      <c r="N26" s="122" t="n">
        <f aca="true">IF(AND($H26=1,$D26="Income",$G26&gt;TODAY()),$G26*100000+ROW(),"")</f>
        <v>4629700026</v>
      </c>
    </row>
    <row r="27" customFormat="false" ht="15" hidden="false" customHeight="true" outlineLevel="0" collapsed="false">
      <c r="A27" s="117" t="n">
        <v>2</v>
      </c>
      <c r="B27" s="117" t="n">
        <v>8</v>
      </c>
      <c r="C27" s="7" t="str">
        <f aca="false">IF(OR(Recurring!$B$6="",Recurring!$H$6&lt;&gt;"Yes",Recurring!$D$6=""),"",Recurring!$B$6)</f>
        <v>Compunnel Software (paycheck)</v>
      </c>
      <c r="D27" s="7" t="str">
        <f aca="false">IF($C27="","",Recurring!$C$6)</f>
        <v>Income</v>
      </c>
      <c r="E27" s="118" t="n">
        <f aca="false">IF($C27="","",IF(SUMIFS(Overrides!$E$9:$E$108,Overrides!$B$9:$B$108,$C27,Overrides!$C$9:$C$108,$L27)&gt;0,SUMIFS(Overrides!$E$9:$E$108,Overrides!$B$9:$B$108,$C27,Overrides!$C$9:$C$108,$L27),Recurring!$D$6))</f>
        <v>745</v>
      </c>
      <c r="F27" s="119" t="n">
        <f aca="false">IF($C27="","",IF(Recurring!$E$6="Weekly",Recurring!$F$6+7*7,IF(Recurring!$E$6="Every 2 Weeks",Recurring!$F$6+14*7,IF(Recurring!$E$6="Monthly",EDATE(Recurring!$F$6,7),IF(Recurring!$E$6="Twice a Month",IF(MOD((IF(DAY(Recurring!$F$6)&lt;=20,0,1)+7),2)=1,EOMONTH(Recurring!$F$6,INT((IF(DAY(Recurring!$F$6)&lt;=20,0,1)+7)/2)),DATE(YEAR(EDATE(Recurring!$F$6,INT((IF(DAY(Recurring!$F$6)&lt;=20,0,1)+7)/2))),MONTH(EDATE(Recurring!$F$6,INT((IF(DAY(Recurring!$F$6)&lt;=20,0,1)+7)/2))),15)),IF(Recurring!$E$6="One Time",IF(8=1,Recurring!$F$6,""),""))))))</f>
        <v>46304</v>
      </c>
      <c r="G27" s="119" t="n">
        <f aca="false">IF($L27="","",IF(SUMIFS(Overrides!$D$9:$D$108,Overrides!$B$9:$B$108,$C27,Overrides!$C$9:$C$108,$L27)&gt;0,SUMIFS(Overrides!$D$9:$D$108,Overrides!$B$9:$B$108,$C27,Overrides!$C$9:$C$108,$L27),$L27))</f>
        <v>46304</v>
      </c>
      <c r="H27" s="120" t="n">
        <f aca="false">IF($G27="",0,IF(AND($G27&gt;='Cash Flow'!$E$6,$G27&lt;'Cash Flow'!$E$6+91),1,0))</f>
        <v>1</v>
      </c>
      <c r="I27" s="120" t="n">
        <f aca="false">IF($H27=1,MAX(1,INT(($G27-'Cash Flow'!$E$6)/7)+1),"")</f>
        <v>8</v>
      </c>
      <c r="J27" s="7" t="n">
        <f aca="false">IF($H27=1,$G27*10000+ROW(),"")</f>
        <v>463040027</v>
      </c>
      <c r="K27" s="7" t="n">
        <f aca="false">IF($H27=1,$I27*1000+COUNTIFS($I$4:$I$483,$I27,$J$4:$J$483,"&lt;"&amp;$J27)+1,"")</f>
        <v>8008</v>
      </c>
      <c r="L27" s="121" t="n">
        <f aca="false">IF($F27="","",IF(Recurring!$G$6="Move Before",IF(WEEKDAY($F27,2)=6,$F27-1,IF(WEEKDAY($F27,2)=7,$F27-2,$F27)),IF(Recurring!$G$6="Move After",IF(WEEKDAY($F27,2)=6,$F27+2,IF(WEEKDAY($F27,2)=7,$F27+1,$F27)),$F27)))</f>
        <v>46304</v>
      </c>
      <c r="M27" s="0" t="str">
        <f aca="true">IF(AND($H27=1,$D27="Expense",$G27&gt;TODAY(),$E27&gt;=100),$G27*100000+ROW(),"")</f>
        <v/>
      </c>
      <c r="N27" s="122" t="n">
        <f aca="true">IF(AND($H27=1,$D27="Income",$G27&gt;TODAY()),$G27*100000+ROW(),"")</f>
        <v>4630400027</v>
      </c>
    </row>
    <row r="28" customFormat="false" ht="15" hidden="false" customHeight="true" outlineLevel="0" collapsed="false">
      <c r="A28" s="117" t="n">
        <v>2</v>
      </c>
      <c r="B28" s="117" t="n">
        <v>9</v>
      </c>
      <c r="C28" s="7" t="str">
        <f aca="false">IF(OR(Recurring!$B$6="",Recurring!$H$6&lt;&gt;"Yes",Recurring!$D$6=""),"",Recurring!$B$6)</f>
        <v>Compunnel Software (paycheck)</v>
      </c>
      <c r="D28" s="7" t="str">
        <f aca="false">IF($C28="","",Recurring!$C$6)</f>
        <v>Income</v>
      </c>
      <c r="E28" s="118" t="n">
        <f aca="false">IF($C28="","",IF(SUMIFS(Overrides!$E$9:$E$108,Overrides!$B$9:$B$108,$C28,Overrides!$C$9:$C$108,$L28)&gt;0,SUMIFS(Overrides!$E$9:$E$108,Overrides!$B$9:$B$108,$C28,Overrides!$C$9:$C$108,$L28),Recurring!$D$6))</f>
        <v>745</v>
      </c>
      <c r="F28" s="119" t="n">
        <f aca="false">IF($C28="","",IF(Recurring!$E$6="Weekly",Recurring!$F$6+7*8,IF(Recurring!$E$6="Every 2 Weeks",Recurring!$F$6+14*8,IF(Recurring!$E$6="Monthly",EDATE(Recurring!$F$6,8),IF(Recurring!$E$6="Twice a Month",IF(MOD((IF(DAY(Recurring!$F$6)&lt;=20,0,1)+8),2)=1,EOMONTH(Recurring!$F$6,INT((IF(DAY(Recurring!$F$6)&lt;=20,0,1)+8)/2)),DATE(YEAR(EDATE(Recurring!$F$6,INT((IF(DAY(Recurring!$F$6)&lt;=20,0,1)+8)/2))),MONTH(EDATE(Recurring!$F$6,INT((IF(DAY(Recurring!$F$6)&lt;=20,0,1)+8)/2))),15)),IF(Recurring!$E$6="One Time",IF(9=1,Recurring!$F$6,""),""))))))</f>
        <v>46311</v>
      </c>
      <c r="G28" s="119" t="n">
        <f aca="false">IF($L28="","",IF(SUMIFS(Overrides!$D$9:$D$108,Overrides!$B$9:$B$108,$C28,Overrides!$C$9:$C$108,$L28)&gt;0,SUMIFS(Overrides!$D$9:$D$108,Overrides!$B$9:$B$108,$C28,Overrides!$C$9:$C$108,$L28),$L28))</f>
        <v>46311</v>
      </c>
      <c r="H28" s="120" t="n">
        <f aca="false">IF($G28="",0,IF(AND($G28&gt;='Cash Flow'!$E$6,$G28&lt;'Cash Flow'!$E$6+91),1,0))</f>
        <v>1</v>
      </c>
      <c r="I28" s="120" t="n">
        <f aca="false">IF($H28=1,MAX(1,INT(($G28-'Cash Flow'!$E$6)/7)+1),"")</f>
        <v>9</v>
      </c>
      <c r="J28" s="7" t="n">
        <f aca="false">IF($H28=1,$G28*10000+ROW(),"")</f>
        <v>463110028</v>
      </c>
      <c r="K28" s="7" t="n">
        <f aca="false">IF($H28=1,$I28*1000+COUNTIFS($I$4:$I$483,$I28,$J$4:$J$483,"&lt;"&amp;$J28)+1,"")</f>
        <v>9004</v>
      </c>
      <c r="L28" s="121" t="n">
        <f aca="false">IF($F28="","",IF(Recurring!$G$6="Move Before",IF(WEEKDAY($F28,2)=6,$F28-1,IF(WEEKDAY($F28,2)=7,$F28-2,$F28)),IF(Recurring!$G$6="Move After",IF(WEEKDAY($F28,2)=6,$F28+2,IF(WEEKDAY($F28,2)=7,$F28+1,$F28)),$F28)))</f>
        <v>46311</v>
      </c>
      <c r="M28" s="0" t="str">
        <f aca="true">IF(AND($H28=1,$D28="Expense",$G28&gt;TODAY(),$E28&gt;=100),$G28*100000+ROW(),"")</f>
        <v/>
      </c>
      <c r="N28" s="122" t="n">
        <f aca="true">IF(AND($H28=1,$D28="Income",$G28&gt;TODAY()),$G28*100000+ROW(),"")</f>
        <v>4631100028</v>
      </c>
    </row>
    <row r="29" customFormat="false" ht="15" hidden="false" customHeight="true" outlineLevel="0" collapsed="false">
      <c r="A29" s="117" t="n">
        <v>2</v>
      </c>
      <c r="B29" s="117" t="n">
        <v>10</v>
      </c>
      <c r="C29" s="7" t="str">
        <f aca="false">IF(OR(Recurring!$B$6="",Recurring!$H$6&lt;&gt;"Yes",Recurring!$D$6=""),"",Recurring!$B$6)</f>
        <v>Compunnel Software (paycheck)</v>
      </c>
      <c r="D29" s="7" t="str">
        <f aca="false">IF($C29="","",Recurring!$C$6)</f>
        <v>Income</v>
      </c>
      <c r="E29" s="118" t="n">
        <f aca="false">IF($C29="","",IF(SUMIFS(Overrides!$E$9:$E$108,Overrides!$B$9:$B$108,$C29,Overrides!$C$9:$C$108,$L29)&gt;0,SUMIFS(Overrides!$E$9:$E$108,Overrides!$B$9:$B$108,$C29,Overrides!$C$9:$C$108,$L29),Recurring!$D$6))</f>
        <v>745</v>
      </c>
      <c r="F29" s="119" t="n">
        <f aca="false">IF($C29="","",IF(Recurring!$E$6="Weekly",Recurring!$F$6+7*9,IF(Recurring!$E$6="Every 2 Weeks",Recurring!$F$6+14*9,IF(Recurring!$E$6="Monthly",EDATE(Recurring!$F$6,9),IF(Recurring!$E$6="Twice a Month",IF(MOD((IF(DAY(Recurring!$F$6)&lt;=20,0,1)+9),2)=1,EOMONTH(Recurring!$F$6,INT((IF(DAY(Recurring!$F$6)&lt;=20,0,1)+9)/2)),DATE(YEAR(EDATE(Recurring!$F$6,INT((IF(DAY(Recurring!$F$6)&lt;=20,0,1)+9)/2))),MONTH(EDATE(Recurring!$F$6,INT((IF(DAY(Recurring!$F$6)&lt;=20,0,1)+9)/2))),15)),IF(Recurring!$E$6="One Time",IF(10=1,Recurring!$F$6,""),""))))))</f>
        <v>46318</v>
      </c>
      <c r="G29" s="119" t="n">
        <f aca="false">IF($L29="","",IF(SUMIFS(Overrides!$D$9:$D$108,Overrides!$B$9:$B$108,$C29,Overrides!$C$9:$C$108,$L29)&gt;0,SUMIFS(Overrides!$D$9:$D$108,Overrides!$B$9:$B$108,$C29,Overrides!$C$9:$C$108,$L29),$L29))</f>
        <v>46318</v>
      </c>
      <c r="H29" s="120" t="n">
        <f aca="false">IF($G29="",0,IF(AND($G29&gt;='Cash Flow'!$E$6,$G29&lt;'Cash Flow'!$E$6+91),1,0))</f>
        <v>1</v>
      </c>
      <c r="I29" s="120" t="n">
        <f aca="false">IF($H29=1,MAX(1,INT(($G29-'Cash Flow'!$E$6)/7)+1),"")</f>
        <v>10</v>
      </c>
      <c r="J29" s="7" t="n">
        <f aca="false">IF($H29=1,$G29*10000+ROW(),"")</f>
        <v>463180029</v>
      </c>
      <c r="K29" s="7" t="n">
        <f aca="false">IF($H29=1,$I29*1000+COUNTIFS($I$4:$I$483,$I29,$J$4:$J$483,"&lt;"&amp;$J29)+1,"")</f>
        <v>10004</v>
      </c>
      <c r="L29" s="121" t="n">
        <f aca="false">IF($F29="","",IF(Recurring!$G$6="Move Before",IF(WEEKDAY($F29,2)=6,$F29-1,IF(WEEKDAY($F29,2)=7,$F29-2,$F29)),IF(Recurring!$G$6="Move After",IF(WEEKDAY($F29,2)=6,$F29+2,IF(WEEKDAY($F29,2)=7,$F29+1,$F29)),$F29)))</f>
        <v>46318</v>
      </c>
      <c r="M29" s="0" t="str">
        <f aca="true">IF(AND($H29=1,$D29="Expense",$G29&gt;TODAY(),$E29&gt;=100),$G29*100000+ROW(),"")</f>
        <v/>
      </c>
      <c r="N29" s="122" t="n">
        <f aca="true">IF(AND($H29=1,$D29="Income",$G29&gt;TODAY()),$G29*100000+ROW(),"")</f>
        <v>4631800029</v>
      </c>
    </row>
    <row r="30" customFormat="false" ht="15" hidden="false" customHeight="true" outlineLevel="0" collapsed="false">
      <c r="A30" s="117" t="n">
        <v>2</v>
      </c>
      <c r="B30" s="117" t="n">
        <v>11</v>
      </c>
      <c r="C30" s="7" t="str">
        <f aca="false">IF(OR(Recurring!$B$6="",Recurring!$H$6&lt;&gt;"Yes",Recurring!$D$6=""),"",Recurring!$B$6)</f>
        <v>Compunnel Software (paycheck)</v>
      </c>
      <c r="D30" s="7" t="str">
        <f aca="false">IF($C30="","",Recurring!$C$6)</f>
        <v>Income</v>
      </c>
      <c r="E30" s="118" t="n">
        <f aca="false">IF($C30="","",IF(SUMIFS(Overrides!$E$9:$E$108,Overrides!$B$9:$B$108,$C30,Overrides!$C$9:$C$108,$L30)&gt;0,SUMIFS(Overrides!$E$9:$E$108,Overrides!$B$9:$B$108,$C30,Overrides!$C$9:$C$108,$L30),Recurring!$D$6))</f>
        <v>745</v>
      </c>
      <c r="F30" s="119" t="n">
        <f aca="false">IF($C30="","",IF(Recurring!$E$6="Weekly",Recurring!$F$6+7*10,IF(Recurring!$E$6="Every 2 Weeks",Recurring!$F$6+14*10,IF(Recurring!$E$6="Monthly",EDATE(Recurring!$F$6,10),IF(Recurring!$E$6="Twice a Month",IF(MOD((IF(DAY(Recurring!$F$6)&lt;=20,0,1)+10),2)=1,EOMONTH(Recurring!$F$6,INT((IF(DAY(Recurring!$F$6)&lt;=20,0,1)+10)/2)),DATE(YEAR(EDATE(Recurring!$F$6,INT((IF(DAY(Recurring!$F$6)&lt;=20,0,1)+10)/2))),MONTH(EDATE(Recurring!$F$6,INT((IF(DAY(Recurring!$F$6)&lt;=20,0,1)+10)/2))),15)),IF(Recurring!$E$6="One Time",IF(11=1,Recurring!$F$6,""),""))))))</f>
        <v>46325</v>
      </c>
      <c r="G30" s="119" t="n">
        <f aca="false">IF($L30="","",IF(SUMIFS(Overrides!$D$9:$D$108,Overrides!$B$9:$B$108,$C30,Overrides!$C$9:$C$108,$L30)&gt;0,SUMIFS(Overrides!$D$9:$D$108,Overrides!$B$9:$B$108,$C30,Overrides!$C$9:$C$108,$L30),$L30))</f>
        <v>46325</v>
      </c>
      <c r="H30" s="120" t="n">
        <f aca="false">IF($G30="",0,IF(AND($G30&gt;='Cash Flow'!$E$6,$G30&lt;'Cash Flow'!$E$6+91),1,0))</f>
        <v>1</v>
      </c>
      <c r="I30" s="120" t="n">
        <f aca="false">IF($H30=1,MAX(1,INT(($G30-'Cash Flow'!$E$6)/7)+1),"")</f>
        <v>11</v>
      </c>
      <c r="J30" s="7" t="n">
        <f aca="false">IF($H30=1,$G30*10000+ROW(),"")</f>
        <v>463250030</v>
      </c>
      <c r="K30" s="7" t="n">
        <f aca="false">IF($H30=1,$I30*1000+COUNTIFS($I$4:$I$483,$I30,$J$4:$J$483,"&lt;"&amp;$J30)+1,"")</f>
        <v>11002</v>
      </c>
      <c r="L30" s="121" t="n">
        <f aca="false">IF($F30="","",IF(Recurring!$G$6="Move Before",IF(WEEKDAY($F30,2)=6,$F30-1,IF(WEEKDAY($F30,2)=7,$F30-2,$F30)),IF(Recurring!$G$6="Move After",IF(WEEKDAY($F30,2)=6,$F30+2,IF(WEEKDAY($F30,2)=7,$F30+1,$F30)),$F30)))</f>
        <v>46325</v>
      </c>
      <c r="M30" s="0" t="str">
        <f aca="true">IF(AND($H30=1,$D30="Expense",$G30&gt;TODAY(),$E30&gt;=100),$G30*100000+ROW(),"")</f>
        <v/>
      </c>
      <c r="N30" s="122" t="n">
        <f aca="true">IF(AND($H30=1,$D30="Income",$G30&gt;TODAY()),$G30*100000+ROW(),"")</f>
        <v>4632500030</v>
      </c>
    </row>
    <row r="31" customFormat="false" ht="15" hidden="false" customHeight="true" outlineLevel="0" collapsed="false">
      <c r="A31" s="117" t="n">
        <v>2</v>
      </c>
      <c r="B31" s="117" t="n">
        <v>12</v>
      </c>
      <c r="C31" s="7" t="str">
        <f aca="false">IF(OR(Recurring!$B$6="",Recurring!$H$6&lt;&gt;"Yes",Recurring!$D$6=""),"",Recurring!$B$6)</f>
        <v>Compunnel Software (paycheck)</v>
      </c>
      <c r="D31" s="7" t="str">
        <f aca="false">IF($C31="","",Recurring!$C$6)</f>
        <v>Income</v>
      </c>
      <c r="E31" s="118" t="n">
        <f aca="false">IF($C31="","",IF(SUMIFS(Overrides!$E$9:$E$108,Overrides!$B$9:$B$108,$C31,Overrides!$C$9:$C$108,$L31)&gt;0,SUMIFS(Overrides!$E$9:$E$108,Overrides!$B$9:$B$108,$C31,Overrides!$C$9:$C$108,$L31),Recurring!$D$6))</f>
        <v>745</v>
      </c>
      <c r="F31" s="119" t="n">
        <f aca="false">IF($C31="","",IF(Recurring!$E$6="Weekly",Recurring!$F$6+7*11,IF(Recurring!$E$6="Every 2 Weeks",Recurring!$F$6+14*11,IF(Recurring!$E$6="Monthly",EDATE(Recurring!$F$6,11),IF(Recurring!$E$6="Twice a Month",IF(MOD((IF(DAY(Recurring!$F$6)&lt;=20,0,1)+11),2)=1,EOMONTH(Recurring!$F$6,INT((IF(DAY(Recurring!$F$6)&lt;=20,0,1)+11)/2)),DATE(YEAR(EDATE(Recurring!$F$6,INT((IF(DAY(Recurring!$F$6)&lt;=20,0,1)+11)/2))),MONTH(EDATE(Recurring!$F$6,INT((IF(DAY(Recurring!$F$6)&lt;=20,0,1)+11)/2))),15)),IF(Recurring!$E$6="One Time",IF(12=1,Recurring!$F$6,""),""))))))</f>
        <v>46332</v>
      </c>
      <c r="G31" s="119" t="n">
        <f aca="false">IF($L31="","",IF(SUMIFS(Overrides!$D$9:$D$108,Overrides!$B$9:$B$108,$C31,Overrides!$C$9:$C$108,$L31)&gt;0,SUMIFS(Overrides!$D$9:$D$108,Overrides!$B$9:$B$108,$C31,Overrides!$C$9:$C$108,$L31),$L31))</f>
        <v>46332</v>
      </c>
      <c r="H31" s="120" t="n">
        <f aca="false">IF($G31="",0,IF(AND($G31&gt;='Cash Flow'!$E$6,$G31&lt;'Cash Flow'!$E$6+91),1,0))</f>
        <v>1</v>
      </c>
      <c r="I31" s="120" t="n">
        <f aca="false">IF($H31=1,MAX(1,INT(($G31-'Cash Flow'!$E$6)/7)+1),"")</f>
        <v>12</v>
      </c>
      <c r="J31" s="7" t="n">
        <f aca="false">IF($H31=1,$G31*10000+ROW(),"")</f>
        <v>463320031</v>
      </c>
      <c r="K31" s="7" t="n">
        <f aca="false">IF($H31=1,$I31*1000+COUNTIFS($I$4:$I$483,$I31,$J$4:$J$483,"&lt;"&amp;$J31)+1,"")</f>
        <v>12006</v>
      </c>
      <c r="L31" s="121" t="n">
        <f aca="false">IF($F31="","",IF(Recurring!$G$6="Move Before",IF(WEEKDAY($F31,2)=6,$F31-1,IF(WEEKDAY($F31,2)=7,$F31-2,$F31)),IF(Recurring!$G$6="Move After",IF(WEEKDAY($F31,2)=6,$F31+2,IF(WEEKDAY($F31,2)=7,$F31+1,$F31)),$F31)))</f>
        <v>46332</v>
      </c>
      <c r="M31" s="0" t="str">
        <f aca="true">IF(AND($H31=1,$D31="Expense",$G31&gt;TODAY(),$E31&gt;=100),$G31*100000+ROW(),"")</f>
        <v/>
      </c>
      <c r="N31" s="122" t="n">
        <f aca="true">IF(AND($H31=1,$D31="Income",$G31&gt;TODAY()),$G31*100000+ROW(),"")</f>
        <v>4633200031</v>
      </c>
    </row>
    <row r="32" customFormat="false" ht="15" hidden="false" customHeight="true" outlineLevel="0" collapsed="false">
      <c r="A32" s="117" t="n">
        <v>2</v>
      </c>
      <c r="B32" s="117" t="n">
        <v>13</v>
      </c>
      <c r="C32" s="7" t="str">
        <f aca="false">IF(OR(Recurring!$B$6="",Recurring!$H$6&lt;&gt;"Yes",Recurring!$D$6=""),"",Recurring!$B$6)</f>
        <v>Compunnel Software (paycheck)</v>
      </c>
      <c r="D32" s="7" t="str">
        <f aca="false">IF($C32="","",Recurring!$C$6)</f>
        <v>Income</v>
      </c>
      <c r="E32" s="118" t="n">
        <f aca="false">IF($C32="","",IF(SUMIFS(Overrides!$E$9:$E$108,Overrides!$B$9:$B$108,$C32,Overrides!$C$9:$C$108,$L32)&gt;0,SUMIFS(Overrides!$E$9:$E$108,Overrides!$B$9:$B$108,$C32,Overrides!$C$9:$C$108,$L32),Recurring!$D$6))</f>
        <v>745</v>
      </c>
      <c r="F32" s="119" t="n">
        <f aca="false">IF($C32="","",IF(Recurring!$E$6="Weekly",Recurring!$F$6+7*12,IF(Recurring!$E$6="Every 2 Weeks",Recurring!$F$6+14*12,IF(Recurring!$E$6="Monthly",EDATE(Recurring!$F$6,12),IF(Recurring!$E$6="Twice a Month",IF(MOD((IF(DAY(Recurring!$F$6)&lt;=20,0,1)+12),2)=1,EOMONTH(Recurring!$F$6,INT((IF(DAY(Recurring!$F$6)&lt;=20,0,1)+12)/2)),DATE(YEAR(EDATE(Recurring!$F$6,INT((IF(DAY(Recurring!$F$6)&lt;=20,0,1)+12)/2))),MONTH(EDATE(Recurring!$F$6,INT((IF(DAY(Recurring!$F$6)&lt;=20,0,1)+12)/2))),15)),IF(Recurring!$E$6="One Time",IF(13=1,Recurring!$F$6,""),""))))))</f>
        <v>46339</v>
      </c>
      <c r="G32" s="119" t="n">
        <f aca="false">IF($L32="","",IF(SUMIFS(Overrides!$D$9:$D$108,Overrides!$B$9:$B$108,$C32,Overrides!$C$9:$C$108,$L32)&gt;0,SUMIFS(Overrides!$D$9:$D$108,Overrides!$B$9:$B$108,$C32,Overrides!$C$9:$C$108,$L32),$L32))</f>
        <v>46339</v>
      </c>
      <c r="H32" s="120" t="n">
        <f aca="false">IF($G32="",0,IF(AND($G32&gt;='Cash Flow'!$E$6,$G32&lt;'Cash Flow'!$E$6+91),1,0))</f>
        <v>1</v>
      </c>
      <c r="I32" s="120" t="n">
        <f aca="false">IF($H32=1,MAX(1,INT(($G32-'Cash Flow'!$E$6)/7)+1),"")</f>
        <v>13</v>
      </c>
      <c r="J32" s="7" t="n">
        <f aca="false">IF($H32=1,$G32*10000+ROW(),"")</f>
        <v>463390032</v>
      </c>
      <c r="K32" s="7" t="n">
        <f aca="false">IF($H32=1,$I32*1000+COUNTIFS($I$4:$I$483,$I32,$J$4:$J$483,"&lt;"&amp;$J32)+1,"")</f>
        <v>13005</v>
      </c>
      <c r="L32" s="121" t="n">
        <f aca="false">IF($F32="","",IF(Recurring!$G$6="Move Before",IF(WEEKDAY($F32,2)=6,$F32-1,IF(WEEKDAY($F32,2)=7,$F32-2,$F32)),IF(Recurring!$G$6="Move After",IF(WEEKDAY($F32,2)=6,$F32+2,IF(WEEKDAY($F32,2)=7,$F32+1,$F32)),$F32)))</f>
        <v>46339</v>
      </c>
      <c r="M32" s="0" t="str">
        <f aca="true">IF(AND($H32=1,$D32="Expense",$G32&gt;TODAY(),$E32&gt;=100),$G32*100000+ROW(),"")</f>
        <v/>
      </c>
      <c r="N32" s="122" t="n">
        <f aca="true">IF(AND($H32=1,$D32="Income",$G32&gt;TODAY()),$G32*100000+ROW(),"")</f>
        <v>4633900032</v>
      </c>
    </row>
    <row r="33" customFormat="false" ht="15" hidden="false" customHeight="true" outlineLevel="0" collapsed="false">
      <c r="A33" s="117" t="n">
        <v>2</v>
      </c>
      <c r="B33" s="117" t="n">
        <v>14</v>
      </c>
      <c r="C33" s="7" t="str">
        <f aca="false">IF(OR(Recurring!$B$6="",Recurring!$H$6&lt;&gt;"Yes",Recurring!$D$6=""),"",Recurring!$B$6)</f>
        <v>Compunnel Software (paycheck)</v>
      </c>
      <c r="D33" s="7" t="str">
        <f aca="false">IF($C33="","",Recurring!$C$6)</f>
        <v>Income</v>
      </c>
      <c r="E33" s="118" t="n">
        <f aca="false">IF($C33="","",IF(SUMIFS(Overrides!$E$9:$E$108,Overrides!$B$9:$B$108,$C33,Overrides!$C$9:$C$108,$L33)&gt;0,SUMIFS(Overrides!$E$9:$E$108,Overrides!$B$9:$B$108,$C33,Overrides!$C$9:$C$108,$L33),Recurring!$D$6))</f>
        <v>745</v>
      </c>
      <c r="F33" s="119" t="n">
        <f aca="false">IF($C33="","",IF(Recurring!$E$6="Weekly",Recurring!$F$6+7*13,IF(Recurring!$E$6="Every 2 Weeks",Recurring!$F$6+14*13,IF(Recurring!$E$6="Monthly",EDATE(Recurring!$F$6,13),IF(Recurring!$E$6="Twice a Month",IF(MOD((IF(DAY(Recurring!$F$6)&lt;=20,0,1)+13),2)=1,EOMONTH(Recurring!$F$6,INT((IF(DAY(Recurring!$F$6)&lt;=20,0,1)+13)/2)),DATE(YEAR(EDATE(Recurring!$F$6,INT((IF(DAY(Recurring!$F$6)&lt;=20,0,1)+13)/2))),MONTH(EDATE(Recurring!$F$6,INT((IF(DAY(Recurring!$F$6)&lt;=20,0,1)+13)/2))),15)),IF(Recurring!$E$6="One Time",IF(14=1,Recurring!$F$6,""),""))))))</f>
        <v>46346</v>
      </c>
      <c r="G33" s="119" t="n">
        <f aca="false">IF($L33="","",IF(SUMIFS(Overrides!$D$9:$D$108,Overrides!$B$9:$B$108,$C33,Overrides!$C$9:$C$108,$L33)&gt;0,SUMIFS(Overrides!$D$9:$D$108,Overrides!$B$9:$B$108,$C33,Overrides!$C$9:$C$108,$L33),$L33))</f>
        <v>46346</v>
      </c>
      <c r="H33" s="120" t="n">
        <f aca="false">IF($G33="",0,IF(AND($G33&gt;='Cash Flow'!$E$6,$G33&lt;'Cash Flow'!$E$6+91),1,0))</f>
        <v>0</v>
      </c>
      <c r="I33" s="120" t="str">
        <f aca="false">IF($H33=1,MAX(1,INT(($G33-'Cash Flow'!$E$6)/7)+1),"")</f>
        <v/>
      </c>
      <c r="J33" s="7" t="str">
        <f aca="false">IF($H33=1,$G33*10000+ROW(),"")</f>
        <v/>
      </c>
      <c r="K33" s="7" t="str">
        <f aca="false">IF($H33=1,$I33*1000+COUNTIFS($I$4:$I$483,$I33,$J$4:$J$483,"&lt;"&amp;$J33)+1,"")</f>
        <v/>
      </c>
      <c r="L33" s="121" t="n">
        <f aca="false">IF($F33="","",IF(Recurring!$G$6="Move Before",IF(WEEKDAY($F33,2)=6,$F33-1,IF(WEEKDAY($F33,2)=7,$F33-2,$F33)),IF(Recurring!$G$6="Move After",IF(WEEKDAY($F33,2)=6,$F33+2,IF(WEEKDAY($F33,2)=7,$F33+1,$F33)),$F33)))</f>
        <v>46346</v>
      </c>
      <c r="M33" s="0" t="str">
        <f aca="true">IF(AND($H33=1,$D33="Expense",$G33&gt;TODAY(),$E33&gt;=100),$G33*100000+ROW(),"")</f>
        <v/>
      </c>
      <c r="N33" s="0" t="str">
        <f aca="true">IF(AND($H33=1,$D33="Income",$G33&gt;TODAY()),$G33*100000+ROW(),"")</f>
        <v/>
      </c>
    </row>
    <row r="34" customFormat="false" ht="15" hidden="false" customHeight="true" outlineLevel="0" collapsed="false">
      <c r="A34" s="117" t="n">
        <v>2</v>
      </c>
      <c r="B34" s="117" t="n">
        <v>15</v>
      </c>
      <c r="C34" s="7" t="str">
        <f aca="false">IF(OR(Recurring!$B$6="",Recurring!$H$6&lt;&gt;"Yes",Recurring!$D$6=""),"",Recurring!$B$6)</f>
        <v>Compunnel Software (paycheck)</v>
      </c>
      <c r="D34" s="7" t="str">
        <f aca="false">IF($C34="","",Recurring!$C$6)</f>
        <v>Income</v>
      </c>
      <c r="E34" s="118" t="n">
        <f aca="false">IF($C34="","",IF(SUMIFS(Overrides!$E$9:$E$108,Overrides!$B$9:$B$108,$C34,Overrides!$C$9:$C$108,$L34)&gt;0,SUMIFS(Overrides!$E$9:$E$108,Overrides!$B$9:$B$108,$C34,Overrides!$C$9:$C$108,$L34),Recurring!$D$6))</f>
        <v>745</v>
      </c>
      <c r="F34" s="119" t="n">
        <f aca="false">IF($C34="","",IF(Recurring!$E$6="Weekly",Recurring!$F$6+7*14,IF(Recurring!$E$6="Every 2 Weeks",Recurring!$F$6+14*14,IF(Recurring!$E$6="Monthly",EDATE(Recurring!$F$6,14),IF(Recurring!$E$6="Twice a Month",IF(MOD((IF(DAY(Recurring!$F$6)&lt;=20,0,1)+14),2)=1,EOMONTH(Recurring!$F$6,INT((IF(DAY(Recurring!$F$6)&lt;=20,0,1)+14)/2)),DATE(YEAR(EDATE(Recurring!$F$6,INT((IF(DAY(Recurring!$F$6)&lt;=20,0,1)+14)/2))),MONTH(EDATE(Recurring!$F$6,INT((IF(DAY(Recurring!$F$6)&lt;=20,0,1)+14)/2))),15)),IF(Recurring!$E$6="One Time",IF(15=1,Recurring!$F$6,""),""))))))</f>
        <v>46353</v>
      </c>
      <c r="G34" s="119" t="n">
        <f aca="false">IF($L34="","",IF(SUMIFS(Overrides!$D$9:$D$108,Overrides!$B$9:$B$108,$C34,Overrides!$C$9:$C$108,$L34)&gt;0,SUMIFS(Overrides!$D$9:$D$108,Overrides!$B$9:$B$108,$C34,Overrides!$C$9:$C$108,$L34),$L34))</f>
        <v>46353</v>
      </c>
      <c r="H34" s="120" t="n">
        <f aca="false">IF($G34="",0,IF(AND($G34&gt;='Cash Flow'!$E$6,$G34&lt;'Cash Flow'!$E$6+91),1,0))</f>
        <v>0</v>
      </c>
      <c r="I34" s="120" t="str">
        <f aca="false">IF($H34=1,MAX(1,INT(($G34-'Cash Flow'!$E$6)/7)+1),"")</f>
        <v/>
      </c>
      <c r="J34" s="7" t="str">
        <f aca="false">IF($H34=1,$G34*10000+ROW(),"")</f>
        <v/>
      </c>
      <c r="K34" s="7" t="str">
        <f aca="false">IF($H34=1,$I34*1000+COUNTIFS($I$4:$I$483,$I34,$J$4:$J$483,"&lt;"&amp;$J34)+1,"")</f>
        <v/>
      </c>
      <c r="L34" s="121" t="n">
        <f aca="false">IF($F34="","",IF(Recurring!$G$6="Move Before",IF(WEEKDAY($F34,2)=6,$F34-1,IF(WEEKDAY($F34,2)=7,$F34-2,$F34)),IF(Recurring!$G$6="Move After",IF(WEEKDAY($F34,2)=6,$F34+2,IF(WEEKDAY($F34,2)=7,$F34+1,$F34)),$F34)))</f>
        <v>46353</v>
      </c>
      <c r="M34" s="0" t="str">
        <f aca="true">IF(AND($H34=1,$D34="Expense",$G34&gt;TODAY(),$E34&gt;=100),$G34*100000+ROW(),"")</f>
        <v/>
      </c>
      <c r="N34" s="0" t="str">
        <f aca="true">IF(AND($H34=1,$D34="Income",$G34&gt;TODAY()),$G34*100000+ROW(),"")</f>
        <v/>
      </c>
    </row>
    <row r="35" customFormat="false" ht="15" hidden="false" customHeight="true" outlineLevel="0" collapsed="false">
      <c r="A35" s="117" t="n">
        <v>2</v>
      </c>
      <c r="B35" s="117" t="n">
        <v>16</v>
      </c>
      <c r="C35" s="7" t="str">
        <f aca="false">IF(OR(Recurring!$B$6="",Recurring!$H$6&lt;&gt;"Yes",Recurring!$D$6=""),"",Recurring!$B$6)</f>
        <v>Compunnel Software (paycheck)</v>
      </c>
      <c r="D35" s="7" t="str">
        <f aca="false">IF($C35="","",Recurring!$C$6)</f>
        <v>Income</v>
      </c>
      <c r="E35" s="118" t="n">
        <f aca="false">IF($C35="","",IF(SUMIFS(Overrides!$E$9:$E$108,Overrides!$B$9:$B$108,$C35,Overrides!$C$9:$C$108,$L35)&gt;0,SUMIFS(Overrides!$E$9:$E$108,Overrides!$B$9:$B$108,$C35,Overrides!$C$9:$C$108,$L35),Recurring!$D$6))</f>
        <v>745</v>
      </c>
      <c r="F35" s="119" t="n">
        <f aca="false">IF($C35="","",IF(Recurring!$E$6="Weekly",Recurring!$F$6+7*15,IF(Recurring!$E$6="Every 2 Weeks",Recurring!$F$6+14*15,IF(Recurring!$E$6="Monthly",EDATE(Recurring!$F$6,15),IF(Recurring!$E$6="Twice a Month",IF(MOD((IF(DAY(Recurring!$F$6)&lt;=20,0,1)+15),2)=1,EOMONTH(Recurring!$F$6,INT((IF(DAY(Recurring!$F$6)&lt;=20,0,1)+15)/2)),DATE(YEAR(EDATE(Recurring!$F$6,INT((IF(DAY(Recurring!$F$6)&lt;=20,0,1)+15)/2))),MONTH(EDATE(Recurring!$F$6,INT((IF(DAY(Recurring!$F$6)&lt;=20,0,1)+15)/2))),15)),IF(Recurring!$E$6="One Time",IF(16=1,Recurring!$F$6,""),""))))))</f>
        <v>46360</v>
      </c>
      <c r="G35" s="119" t="n">
        <f aca="false">IF($L35="","",IF(SUMIFS(Overrides!$D$9:$D$108,Overrides!$B$9:$B$108,$C35,Overrides!$C$9:$C$108,$L35)&gt;0,SUMIFS(Overrides!$D$9:$D$108,Overrides!$B$9:$B$108,$C35,Overrides!$C$9:$C$108,$L35),$L35))</f>
        <v>46360</v>
      </c>
      <c r="H35" s="120" t="n">
        <f aca="false">IF($G35="",0,IF(AND($G35&gt;='Cash Flow'!$E$6,$G35&lt;'Cash Flow'!$E$6+91),1,0))</f>
        <v>0</v>
      </c>
      <c r="I35" s="120" t="str">
        <f aca="false">IF($H35=1,MAX(1,INT(($G35-'Cash Flow'!$E$6)/7)+1),"")</f>
        <v/>
      </c>
      <c r="J35" s="7" t="str">
        <f aca="false">IF($H35=1,$G35*10000+ROW(),"")</f>
        <v/>
      </c>
      <c r="K35" s="7" t="str">
        <f aca="false">IF($H35=1,$I35*1000+COUNTIFS($I$4:$I$483,$I35,$J$4:$J$483,"&lt;"&amp;$J35)+1,"")</f>
        <v/>
      </c>
      <c r="L35" s="121" t="n">
        <f aca="false">IF($F35="","",IF(Recurring!$G$6="Move Before",IF(WEEKDAY($F35,2)=6,$F35-1,IF(WEEKDAY($F35,2)=7,$F35-2,$F35)),IF(Recurring!$G$6="Move After",IF(WEEKDAY($F35,2)=6,$F35+2,IF(WEEKDAY($F35,2)=7,$F35+1,$F35)),$F35)))</f>
        <v>46360</v>
      </c>
      <c r="M35" s="0" t="str">
        <f aca="true">IF(AND($H35=1,$D35="Expense",$G35&gt;TODAY(),$E35&gt;=100),$G35*100000+ROW(),"")</f>
        <v/>
      </c>
      <c r="N35" s="0" t="str">
        <f aca="true">IF(AND($H35=1,$D35="Income",$G35&gt;TODAY()),$G35*100000+ROW(),"")</f>
        <v/>
      </c>
    </row>
    <row r="36" customFormat="false" ht="15" hidden="false" customHeight="true" outlineLevel="0" collapsed="false">
      <c r="A36" s="117" t="n">
        <v>3</v>
      </c>
      <c r="B36" s="117" t="n">
        <v>1</v>
      </c>
      <c r="C36" s="7" t="str">
        <f aca="false">IF(OR(Recurring!$B$7="",Recurring!$H$7&lt;&gt;"Yes",Recurring!$D$7=""),"",Recurring!$B$7)</f>
        <v>Apple: Claude</v>
      </c>
      <c r="D36" s="7" t="str">
        <f aca="false">IF($C36="","",Recurring!$C$7)</f>
        <v>Expense</v>
      </c>
      <c r="E36" s="118" t="n">
        <f aca="false">IF($C36="","",IF(SUMIFS(Overrides!$E$9:$E$108,Overrides!$B$9:$B$108,$C36,Overrides!$C$9:$C$108,$L36)&gt;0,SUMIFS(Overrides!$E$9:$E$108,Overrides!$B$9:$B$108,$C36,Overrides!$C$9:$C$108,$L36),Recurring!$D$7))</f>
        <v>21.1</v>
      </c>
      <c r="F36" s="119" t="n">
        <f aca="false">IF($C36="","",IF(Recurring!$E$7="Weekly",Recurring!$F$7+7*0,IF(Recurring!$E$7="Every 2 Weeks",Recurring!$F$7+14*0,IF(Recurring!$E$7="Monthly",EDATE(Recurring!$F$7,0),IF(Recurring!$E$7="Twice a Month",IF(MOD((IF(DAY(Recurring!$F$7)&lt;=20,0,1)+0),2)=1,EOMONTH(Recurring!$F$7,INT((IF(DAY(Recurring!$F$7)&lt;=20,0,1)+0)/2)),DATE(YEAR(EDATE(Recurring!$F$7,INT((IF(DAY(Recurring!$F$7)&lt;=20,0,1)+0)/2))),MONTH(EDATE(Recurring!$F$7,INT((IF(DAY(Recurring!$F$7)&lt;=20,0,1)+0)/2))),15)),IF(Recurring!$E$7="One Time",IF(1=1,Recurring!$F$7,""),""))))))</f>
        <v>46269</v>
      </c>
      <c r="G36" s="119" t="n">
        <f aca="false">IF($L36="","",IF(SUMIFS(Overrides!$D$9:$D$108,Overrides!$B$9:$B$108,$C36,Overrides!$C$9:$C$108,$L36)&gt;0,SUMIFS(Overrides!$D$9:$D$108,Overrides!$B$9:$B$108,$C36,Overrides!$C$9:$C$108,$L36),$L36))</f>
        <v>46269</v>
      </c>
      <c r="H36" s="120" t="n">
        <f aca="false">IF($G36="",0,IF(AND($G36&gt;='Cash Flow'!$E$6-90,$G36&lt;'Cash Flow'!$E$6+91),1,0))</f>
        <v>1</v>
      </c>
      <c r="I36" s="120" t="n">
        <f aca="false">IF($H36=1,MAX(1,INT(($G36-'Cash Flow'!$E$6)/7)+1),"")</f>
        <v>3</v>
      </c>
      <c r="J36" s="7" t="n">
        <f aca="false">IF($H36=1,$G36*10000+ROW(),"")</f>
        <v>462690036</v>
      </c>
      <c r="K36" s="7" t="n">
        <f aca="false">IF($H36=1,$I36*1000+COUNTIFS($I$4:$I$483,$I36,$J$4:$J$483,"&lt;"&amp;$J36)+1,"")</f>
        <v>3006</v>
      </c>
      <c r="L36" s="121" t="n">
        <f aca="false">IF($F36="","",IF(Recurring!$G$7="Move Before",IF(WEEKDAY($F36,2)=6,$F36-1,IF(WEEKDAY($F36,2)=7,$F36-2,$F36)),IF(Recurring!$G$7="Move After",IF(WEEKDAY($F36,2)=6,$F36+2,IF(WEEKDAY($F36,2)=7,$F36+1,$F36)),$F36)))</f>
        <v>46269</v>
      </c>
      <c r="M36" s="0" t="str">
        <f aca="true">IF(AND($H36=1,$D36="Expense",$G36&gt;TODAY(),$E36&gt;=100),$G36*100000+ROW(),"")</f>
        <v/>
      </c>
      <c r="N36" s="0" t="str">
        <f aca="true">IF(AND($H36=1,$D36="Income",$G36&gt;TODAY()),$G36*100000+ROW(),"")</f>
        <v/>
      </c>
    </row>
    <row r="37" customFormat="false" ht="15" hidden="false" customHeight="true" outlineLevel="0" collapsed="false">
      <c r="A37" s="117" t="n">
        <v>3</v>
      </c>
      <c r="B37" s="117" t="n">
        <v>2</v>
      </c>
      <c r="C37" s="7" t="str">
        <f aca="false">IF(OR(Recurring!$B$7="",Recurring!$H$7&lt;&gt;"Yes",Recurring!$D$7=""),"",Recurring!$B$7)</f>
        <v>Apple: Claude</v>
      </c>
      <c r="D37" s="7" t="str">
        <f aca="false">IF($C37="","",Recurring!$C$7)</f>
        <v>Expense</v>
      </c>
      <c r="E37" s="118" t="n">
        <f aca="false">IF($C37="","",IF(SUMIFS(Overrides!$E$9:$E$108,Overrides!$B$9:$B$108,$C37,Overrides!$C$9:$C$108,$L37)&gt;0,SUMIFS(Overrides!$E$9:$E$108,Overrides!$B$9:$B$108,$C37,Overrides!$C$9:$C$108,$L37),Recurring!$D$7))</f>
        <v>21.1</v>
      </c>
      <c r="F37" s="119" t="n">
        <f aca="false">IF($C37="","",IF(Recurring!$E$7="Weekly",Recurring!$F$7+7*1,IF(Recurring!$E$7="Every 2 Weeks",Recurring!$F$7+14*1,IF(Recurring!$E$7="Monthly",EDATE(Recurring!$F$7,1),IF(Recurring!$E$7="Twice a Month",IF(MOD((IF(DAY(Recurring!$F$7)&lt;=20,0,1)+1),2)=1,EOMONTH(Recurring!$F$7,INT((IF(DAY(Recurring!$F$7)&lt;=20,0,1)+1)/2)),DATE(YEAR(EDATE(Recurring!$F$7,INT((IF(DAY(Recurring!$F$7)&lt;=20,0,1)+1)/2))),MONTH(EDATE(Recurring!$F$7,INT((IF(DAY(Recurring!$F$7)&lt;=20,0,1)+1)/2))),15)),IF(Recurring!$E$7="One Time",IF(2=1,Recurring!$F$7,""),""))))))</f>
        <v>46299</v>
      </c>
      <c r="G37" s="119" t="n">
        <f aca="false">IF($L37="","",IF(SUMIFS(Overrides!$D$9:$D$108,Overrides!$B$9:$B$108,$C37,Overrides!$C$9:$C$108,$L37)&gt;0,SUMIFS(Overrides!$D$9:$D$108,Overrides!$B$9:$B$108,$C37,Overrides!$C$9:$C$108,$L37),$L37))</f>
        <v>46299</v>
      </c>
      <c r="H37" s="120" t="n">
        <f aca="false">IF($G37="",0,IF(AND($G37&gt;='Cash Flow'!$E$6,$G37&lt;'Cash Flow'!$E$6+91),1,0))</f>
        <v>1</v>
      </c>
      <c r="I37" s="120" t="n">
        <f aca="false">IF($H37=1,MAX(1,INT(($G37-'Cash Flow'!$E$6)/7)+1),"")</f>
        <v>8</v>
      </c>
      <c r="J37" s="7" t="n">
        <f aca="false">IF($H37=1,$G37*10000+ROW(),"")</f>
        <v>462990037</v>
      </c>
      <c r="K37" s="7" t="n">
        <f aca="false">IF($H37=1,$I37*1000+COUNTIFS($I$4:$I$483,$I37,$J$4:$J$483,"&lt;"&amp;$J37)+1,"")</f>
        <v>8001</v>
      </c>
      <c r="L37" s="121" t="n">
        <f aca="false">IF($F37="","",IF(Recurring!$G$7="Move Before",IF(WEEKDAY($F37,2)=6,$F37-1,IF(WEEKDAY($F37,2)=7,$F37-2,$F37)),IF(Recurring!$G$7="Move After",IF(WEEKDAY($F37,2)=6,$F37+2,IF(WEEKDAY($F37,2)=7,$F37+1,$F37)),$F37)))</f>
        <v>46299</v>
      </c>
      <c r="M37" s="0" t="str">
        <f aca="true">IF(AND($H37=1,$D37="Expense",$G37&gt;TODAY(),$E37&gt;=100),$G37*100000+ROW(),"")</f>
        <v/>
      </c>
      <c r="N37" s="0" t="str">
        <f aca="true">IF(AND($H37=1,$D37="Income",$G37&gt;TODAY()),$G37*100000+ROW(),"")</f>
        <v/>
      </c>
    </row>
    <row r="38" customFormat="false" ht="15" hidden="false" customHeight="true" outlineLevel="0" collapsed="false">
      <c r="A38" s="117" t="n">
        <v>3</v>
      </c>
      <c r="B38" s="117" t="n">
        <v>3</v>
      </c>
      <c r="C38" s="7" t="str">
        <f aca="false">IF(OR(Recurring!$B$7="",Recurring!$H$7&lt;&gt;"Yes",Recurring!$D$7=""),"",Recurring!$B$7)</f>
        <v>Apple: Claude</v>
      </c>
      <c r="D38" s="7" t="str">
        <f aca="false">IF($C38="","",Recurring!$C$7)</f>
        <v>Expense</v>
      </c>
      <c r="E38" s="118" t="n">
        <f aca="false">IF($C38="","",IF(SUMIFS(Overrides!$E$9:$E$108,Overrides!$B$9:$B$108,$C38,Overrides!$C$9:$C$108,$L38)&gt;0,SUMIFS(Overrides!$E$9:$E$108,Overrides!$B$9:$B$108,$C38,Overrides!$C$9:$C$108,$L38),Recurring!$D$7))</f>
        <v>21.1</v>
      </c>
      <c r="F38" s="119" t="n">
        <f aca="false">IF($C38="","",IF(Recurring!$E$7="Weekly",Recurring!$F$7+7*2,IF(Recurring!$E$7="Every 2 Weeks",Recurring!$F$7+14*2,IF(Recurring!$E$7="Monthly",EDATE(Recurring!$F$7,2),IF(Recurring!$E$7="Twice a Month",IF(MOD((IF(DAY(Recurring!$F$7)&lt;=20,0,1)+2),2)=1,EOMONTH(Recurring!$F$7,INT((IF(DAY(Recurring!$F$7)&lt;=20,0,1)+2)/2)),DATE(YEAR(EDATE(Recurring!$F$7,INT((IF(DAY(Recurring!$F$7)&lt;=20,0,1)+2)/2))),MONTH(EDATE(Recurring!$F$7,INT((IF(DAY(Recurring!$F$7)&lt;=20,0,1)+2)/2))),15)),IF(Recurring!$E$7="One Time",IF(3=1,Recurring!$F$7,""),""))))))</f>
        <v>46330</v>
      </c>
      <c r="G38" s="119" t="n">
        <f aca="false">IF($L38="","",IF(SUMIFS(Overrides!$D$9:$D$108,Overrides!$B$9:$B$108,$C38,Overrides!$C$9:$C$108,$L38)&gt;0,SUMIFS(Overrides!$D$9:$D$108,Overrides!$B$9:$B$108,$C38,Overrides!$C$9:$C$108,$L38),$L38))</f>
        <v>46330</v>
      </c>
      <c r="H38" s="120" t="n">
        <f aca="false">IF($G38="",0,IF(AND($G38&gt;='Cash Flow'!$E$6,$G38&lt;'Cash Flow'!$E$6+91),1,0))</f>
        <v>1</v>
      </c>
      <c r="I38" s="120" t="n">
        <f aca="false">IF($H38=1,MAX(1,INT(($G38-'Cash Flow'!$E$6)/7)+1),"")</f>
        <v>12</v>
      </c>
      <c r="J38" s="7" t="n">
        <f aca="false">IF($H38=1,$G38*10000+ROW(),"")</f>
        <v>463300038</v>
      </c>
      <c r="K38" s="7" t="n">
        <f aca="false">IF($H38=1,$I38*1000+COUNTIFS($I$4:$I$483,$I38,$J$4:$J$483,"&lt;"&amp;$J38)+1,"")</f>
        <v>12003</v>
      </c>
      <c r="L38" s="121" t="n">
        <f aca="false">IF($F38="","",IF(Recurring!$G$7="Move Before",IF(WEEKDAY($F38,2)=6,$F38-1,IF(WEEKDAY($F38,2)=7,$F38-2,$F38)),IF(Recurring!$G$7="Move After",IF(WEEKDAY($F38,2)=6,$F38+2,IF(WEEKDAY($F38,2)=7,$F38+1,$F38)),$F38)))</f>
        <v>46330</v>
      </c>
      <c r="M38" s="0" t="str">
        <f aca="true">IF(AND($H38=1,$D38="Expense",$G38&gt;TODAY(),$E38&gt;=100),$G38*100000+ROW(),"")</f>
        <v/>
      </c>
      <c r="N38" s="0" t="str">
        <f aca="true">IF(AND($H38=1,$D38="Income",$G38&gt;TODAY()),$G38*100000+ROW(),"")</f>
        <v/>
      </c>
    </row>
    <row r="39" customFormat="false" ht="15" hidden="false" customHeight="true" outlineLevel="0" collapsed="false">
      <c r="A39" s="117" t="n">
        <v>3</v>
      </c>
      <c r="B39" s="117" t="n">
        <v>4</v>
      </c>
      <c r="C39" s="7" t="str">
        <f aca="false">IF(OR(Recurring!$B$7="",Recurring!$H$7&lt;&gt;"Yes",Recurring!$D$7=""),"",Recurring!$B$7)</f>
        <v>Apple: Claude</v>
      </c>
      <c r="D39" s="7" t="str">
        <f aca="false">IF($C39="","",Recurring!$C$7)</f>
        <v>Expense</v>
      </c>
      <c r="E39" s="118" t="n">
        <f aca="false">IF($C39="","",IF(SUMIFS(Overrides!$E$9:$E$108,Overrides!$B$9:$B$108,$C39,Overrides!$C$9:$C$108,$L39)&gt;0,SUMIFS(Overrides!$E$9:$E$108,Overrides!$B$9:$B$108,$C39,Overrides!$C$9:$C$108,$L39),Recurring!$D$7))</f>
        <v>21.1</v>
      </c>
      <c r="F39" s="119" t="n">
        <f aca="false">IF($C39="","",IF(Recurring!$E$7="Weekly",Recurring!$F$7+7*3,IF(Recurring!$E$7="Every 2 Weeks",Recurring!$F$7+14*3,IF(Recurring!$E$7="Monthly",EDATE(Recurring!$F$7,3),IF(Recurring!$E$7="Twice a Month",IF(MOD((IF(DAY(Recurring!$F$7)&lt;=20,0,1)+3),2)=1,EOMONTH(Recurring!$F$7,INT((IF(DAY(Recurring!$F$7)&lt;=20,0,1)+3)/2)),DATE(YEAR(EDATE(Recurring!$F$7,INT((IF(DAY(Recurring!$F$7)&lt;=20,0,1)+3)/2))),MONTH(EDATE(Recurring!$F$7,INT((IF(DAY(Recurring!$F$7)&lt;=20,0,1)+3)/2))),15)),IF(Recurring!$E$7="One Time",IF(4=1,Recurring!$F$7,""),""))))))</f>
        <v>46360</v>
      </c>
      <c r="G39" s="119" t="n">
        <f aca="false">IF($L39="","",IF(SUMIFS(Overrides!$D$9:$D$108,Overrides!$B$9:$B$108,$C39,Overrides!$C$9:$C$108,$L39)&gt;0,SUMIFS(Overrides!$D$9:$D$108,Overrides!$B$9:$B$108,$C39,Overrides!$C$9:$C$108,$L39),$L39))</f>
        <v>46360</v>
      </c>
      <c r="H39" s="120" t="n">
        <f aca="false">IF($G39="",0,IF(AND($G39&gt;='Cash Flow'!$E$6,$G39&lt;'Cash Flow'!$E$6+91),1,0))</f>
        <v>0</v>
      </c>
      <c r="I39" s="120" t="str">
        <f aca="false">IF($H39=1,MAX(1,INT(($G39-'Cash Flow'!$E$6)/7)+1),"")</f>
        <v/>
      </c>
      <c r="J39" s="7" t="str">
        <f aca="false">IF($H39=1,$G39*10000+ROW(),"")</f>
        <v/>
      </c>
      <c r="K39" s="7" t="str">
        <f aca="false">IF($H39=1,$I39*1000+COUNTIFS($I$4:$I$483,$I39,$J$4:$J$483,"&lt;"&amp;$J39)+1,"")</f>
        <v/>
      </c>
      <c r="L39" s="121" t="n">
        <f aca="false">IF($F39="","",IF(Recurring!$G$7="Move Before",IF(WEEKDAY($F39,2)=6,$F39-1,IF(WEEKDAY($F39,2)=7,$F39-2,$F39)),IF(Recurring!$G$7="Move After",IF(WEEKDAY($F39,2)=6,$F39+2,IF(WEEKDAY($F39,2)=7,$F39+1,$F39)),$F39)))</f>
        <v>46360</v>
      </c>
      <c r="M39" s="0" t="str">
        <f aca="true">IF(AND($H39=1,$D39="Expense",$G39&gt;TODAY(),$E39&gt;=100),$G39*100000+ROW(),"")</f>
        <v/>
      </c>
      <c r="N39" s="0" t="str">
        <f aca="true">IF(AND($H39=1,$D39="Income",$G39&gt;TODAY()),$G39*100000+ROW(),"")</f>
        <v/>
      </c>
    </row>
    <row r="40" customFormat="false" ht="15" hidden="false" customHeight="true" outlineLevel="0" collapsed="false">
      <c r="A40" s="117" t="n">
        <v>3</v>
      </c>
      <c r="B40" s="117" t="n">
        <v>5</v>
      </c>
      <c r="C40" s="7" t="str">
        <f aca="false">IF(OR(Recurring!$B$7="",Recurring!$H$7&lt;&gt;"Yes",Recurring!$D$7=""),"",Recurring!$B$7)</f>
        <v>Apple: Claude</v>
      </c>
      <c r="D40" s="7" t="str">
        <f aca="false">IF($C40="","",Recurring!$C$7)</f>
        <v>Expense</v>
      </c>
      <c r="E40" s="118" t="n">
        <f aca="false">IF($C40="","",IF(SUMIFS(Overrides!$E$9:$E$108,Overrides!$B$9:$B$108,$C40,Overrides!$C$9:$C$108,$L40)&gt;0,SUMIFS(Overrides!$E$9:$E$108,Overrides!$B$9:$B$108,$C40,Overrides!$C$9:$C$108,$L40),Recurring!$D$7))</f>
        <v>21.1</v>
      </c>
      <c r="F40" s="119" t="n">
        <f aca="false">IF($C40="","",IF(Recurring!$E$7="Weekly",Recurring!$F$7+7*4,IF(Recurring!$E$7="Every 2 Weeks",Recurring!$F$7+14*4,IF(Recurring!$E$7="Monthly",EDATE(Recurring!$F$7,4),IF(Recurring!$E$7="Twice a Month",IF(MOD((IF(DAY(Recurring!$F$7)&lt;=20,0,1)+4),2)=1,EOMONTH(Recurring!$F$7,INT((IF(DAY(Recurring!$F$7)&lt;=20,0,1)+4)/2)),DATE(YEAR(EDATE(Recurring!$F$7,INT((IF(DAY(Recurring!$F$7)&lt;=20,0,1)+4)/2))),MONTH(EDATE(Recurring!$F$7,INT((IF(DAY(Recurring!$F$7)&lt;=20,0,1)+4)/2))),15)),IF(Recurring!$E$7="One Time",IF(5=1,Recurring!$F$7,""),""))))))</f>
        <v>46391</v>
      </c>
      <c r="G40" s="119" t="n">
        <f aca="false">IF($L40="","",IF(SUMIFS(Overrides!$D$9:$D$108,Overrides!$B$9:$B$108,$C40,Overrides!$C$9:$C$108,$L40)&gt;0,SUMIFS(Overrides!$D$9:$D$108,Overrides!$B$9:$B$108,$C40,Overrides!$C$9:$C$108,$L40),$L40))</f>
        <v>46391</v>
      </c>
      <c r="H40" s="120" t="n">
        <f aca="false">IF($G40="",0,IF(AND($G40&gt;='Cash Flow'!$E$6,$G40&lt;'Cash Flow'!$E$6+91),1,0))</f>
        <v>0</v>
      </c>
      <c r="I40" s="120" t="str">
        <f aca="false">IF($H40=1,MAX(1,INT(($G40-'Cash Flow'!$E$6)/7)+1),"")</f>
        <v/>
      </c>
      <c r="J40" s="7" t="str">
        <f aca="false">IF($H40=1,$G40*10000+ROW(),"")</f>
        <v/>
      </c>
      <c r="K40" s="7" t="str">
        <f aca="false">IF($H40=1,$I40*1000+COUNTIFS($I$4:$I$483,$I40,$J$4:$J$483,"&lt;"&amp;$J40)+1,"")</f>
        <v/>
      </c>
      <c r="L40" s="121" t="n">
        <f aca="false">IF($F40="","",IF(Recurring!$G$7="Move Before",IF(WEEKDAY($F40,2)=6,$F40-1,IF(WEEKDAY($F40,2)=7,$F40-2,$F40)),IF(Recurring!$G$7="Move After",IF(WEEKDAY($F40,2)=6,$F40+2,IF(WEEKDAY($F40,2)=7,$F40+1,$F40)),$F40)))</f>
        <v>46391</v>
      </c>
      <c r="M40" s="0" t="str">
        <f aca="true">IF(AND($H40=1,$D40="Expense",$G40&gt;TODAY(),$E40&gt;=100),$G40*100000+ROW(),"")</f>
        <v/>
      </c>
      <c r="N40" s="0" t="str">
        <f aca="true">IF(AND($H40=1,$D40="Income",$G40&gt;TODAY()),$G40*100000+ROW(),"")</f>
        <v/>
      </c>
    </row>
    <row r="41" customFormat="false" ht="15" hidden="false" customHeight="true" outlineLevel="0" collapsed="false">
      <c r="A41" s="117" t="n">
        <v>3</v>
      </c>
      <c r="B41" s="117" t="n">
        <v>6</v>
      </c>
      <c r="C41" s="7" t="str">
        <f aca="false">IF(OR(Recurring!$B$7="",Recurring!$H$7&lt;&gt;"Yes",Recurring!$D$7=""),"",Recurring!$B$7)</f>
        <v>Apple: Claude</v>
      </c>
      <c r="D41" s="7" t="str">
        <f aca="false">IF($C41="","",Recurring!$C$7)</f>
        <v>Expense</v>
      </c>
      <c r="E41" s="118" t="n">
        <f aca="false">IF($C41="","",IF(SUMIFS(Overrides!$E$9:$E$108,Overrides!$B$9:$B$108,$C41,Overrides!$C$9:$C$108,$L41)&gt;0,SUMIFS(Overrides!$E$9:$E$108,Overrides!$B$9:$B$108,$C41,Overrides!$C$9:$C$108,$L41),Recurring!$D$7))</f>
        <v>21.1</v>
      </c>
      <c r="F41" s="119" t="n">
        <f aca="false">IF($C41="","",IF(Recurring!$E$7="Weekly",Recurring!$F$7+7*5,IF(Recurring!$E$7="Every 2 Weeks",Recurring!$F$7+14*5,IF(Recurring!$E$7="Monthly",EDATE(Recurring!$F$7,5),IF(Recurring!$E$7="Twice a Month",IF(MOD((IF(DAY(Recurring!$F$7)&lt;=20,0,1)+5),2)=1,EOMONTH(Recurring!$F$7,INT((IF(DAY(Recurring!$F$7)&lt;=20,0,1)+5)/2)),DATE(YEAR(EDATE(Recurring!$F$7,INT((IF(DAY(Recurring!$F$7)&lt;=20,0,1)+5)/2))),MONTH(EDATE(Recurring!$F$7,INT((IF(DAY(Recurring!$F$7)&lt;=20,0,1)+5)/2))),15)),IF(Recurring!$E$7="One Time",IF(6=1,Recurring!$F$7,""),""))))))</f>
        <v>46422</v>
      </c>
      <c r="G41" s="119" t="n">
        <f aca="false">IF($L41="","",IF(SUMIFS(Overrides!$D$9:$D$108,Overrides!$B$9:$B$108,$C41,Overrides!$C$9:$C$108,$L41)&gt;0,SUMIFS(Overrides!$D$9:$D$108,Overrides!$B$9:$B$108,$C41,Overrides!$C$9:$C$108,$L41),$L41))</f>
        <v>46422</v>
      </c>
      <c r="H41" s="120" t="n">
        <f aca="false">IF($G41="",0,IF(AND($G41&gt;='Cash Flow'!$E$6,$G41&lt;'Cash Flow'!$E$6+91),1,0))</f>
        <v>0</v>
      </c>
      <c r="I41" s="120" t="str">
        <f aca="false">IF($H41=1,MAX(1,INT(($G41-'Cash Flow'!$E$6)/7)+1),"")</f>
        <v/>
      </c>
      <c r="J41" s="7" t="str">
        <f aca="false">IF($H41=1,$G41*10000+ROW(),"")</f>
        <v/>
      </c>
      <c r="K41" s="7" t="str">
        <f aca="false">IF($H41=1,$I41*1000+COUNTIFS($I$4:$I$483,$I41,$J$4:$J$483,"&lt;"&amp;$J41)+1,"")</f>
        <v/>
      </c>
      <c r="L41" s="121" t="n">
        <f aca="false">IF($F41="","",IF(Recurring!$G$7="Move Before",IF(WEEKDAY($F41,2)=6,$F41-1,IF(WEEKDAY($F41,2)=7,$F41-2,$F41)),IF(Recurring!$G$7="Move After",IF(WEEKDAY($F41,2)=6,$F41+2,IF(WEEKDAY($F41,2)=7,$F41+1,$F41)),$F41)))</f>
        <v>46422</v>
      </c>
      <c r="M41" s="0" t="str">
        <f aca="true">IF(AND($H41=1,$D41="Expense",$G41&gt;TODAY(),$E41&gt;=100),$G41*100000+ROW(),"")</f>
        <v/>
      </c>
      <c r="N41" s="0" t="str">
        <f aca="true">IF(AND($H41=1,$D41="Income",$G41&gt;TODAY()),$G41*100000+ROW(),"")</f>
        <v/>
      </c>
    </row>
    <row r="42" customFormat="false" ht="15" hidden="false" customHeight="true" outlineLevel="0" collapsed="false">
      <c r="A42" s="117" t="n">
        <v>3</v>
      </c>
      <c r="B42" s="117" t="n">
        <v>7</v>
      </c>
      <c r="C42" s="7" t="str">
        <f aca="false">IF(OR(Recurring!$B$7="",Recurring!$H$7&lt;&gt;"Yes",Recurring!$D$7=""),"",Recurring!$B$7)</f>
        <v>Apple: Claude</v>
      </c>
      <c r="D42" s="7" t="str">
        <f aca="false">IF($C42="","",Recurring!$C$7)</f>
        <v>Expense</v>
      </c>
      <c r="E42" s="118" t="n">
        <f aca="false">IF($C42="","",IF(SUMIFS(Overrides!$E$9:$E$108,Overrides!$B$9:$B$108,$C42,Overrides!$C$9:$C$108,$L42)&gt;0,SUMIFS(Overrides!$E$9:$E$108,Overrides!$B$9:$B$108,$C42,Overrides!$C$9:$C$108,$L42),Recurring!$D$7))</f>
        <v>21.1</v>
      </c>
      <c r="F42" s="119" t="n">
        <f aca="false">IF($C42="","",IF(Recurring!$E$7="Weekly",Recurring!$F$7+7*6,IF(Recurring!$E$7="Every 2 Weeks",Recurring!$F$7+14*6,IF(Recurring!$E$7="Monthly",EDATE(Recurring!$F$7,6),IF(Recurring!$E$7="Twice a Month",IF(MOD((IF(DAY(Recurring!$F$7)&lt;=20,0,1)+6),2)=1,EOMONTH(Recurring!$F$7,INT((IF(DAY(Recurring!$F$7)&lt;=20,0,1)+6)/2)),DATE(YEAR(EDATE(Recurring!$F$7,INT((IF(DAY(Recurring!$F$7)&lt;=20,0,1)+6)/2))),MONTH(EDATE(Recurring!$F$7,INT((IF(DAY(Recurring!$F$7)&lt;=20,0,1)+6)/2))),15)),IF(Recurring!$E$7="One Time",IF(7=1,Recurring!$F$7,""),""))))))</f>
        <v>46450</v>
      </c>
      <c r="G42" s="119" t="n">
        <f aca="false">IF($L42="","",IF(SUMIFS(Overrides!$D$9:$D$108,Overrides!$B$9:$B$108,$C42,Overrides!$C$9:$C$108,$L42)&gt;0,SUMIFS(Overrides!$D$9:$D$108,Overrides!$B$9:$B$108,$C42,Overrides!$C$9:$C$108,$L42),$L42))</f>
        <v>46450</v>
      </c>
      <c r="H42" s="120" t="n">
        <f aca="false">IF($G42="",0,IF(AND($G42&gt;='Cash Flow'!$E$6,$G42&lt;'Cash Flow'!$E$6+91),1,0))</f>
        <v>0</v>
      </c>
      <c r="I42" s="120" t="str">
        <f aca="false">IF($H42=1,MAX(1,INT(($G42-'Cash Flow'!$E$6)/7)+1),"")</f>
        <v/>
      </c>
      <c r="J42" s="7" t="str">
        <f aca="false">IF($H42=1,$G42*10000+ROW(),"")</f>
        <v/>
      </c>
      <c r="K42" s="7" t="str">
        <f aca="false">IF($H42=1,$I42*1000+COUNTIFS($I$4:$I$483,$I42,$J$4:$J$483,"&lt;"&amp;$J42)+1,"")</f>
        <v/>
      </c>
      <c r="L42" s="121" t="n">
        <f aca="false">IF($F42="","",IF(Recurring!$G$7="Move Before",IF(WEEKDAY($F42,2)=6,$F42-1,IF(WEEKDAY($F42,2)=7,$F42-2,$F42)),IF(Recurring!$G$7="Move After",IF(WEEKDAY($F42,2)=6,$F42+2,IF(WEEKDAY($F42,2)=7,$F42+1,$F42)),$F42)))</f>
        <v>46450</v>
      </c>
      <c r="M42" s="0" t="str">
        <f aca="true">IF(AND($H42=1,$D42="Expense",$G42&gt;TODAY(),$E42&gt;=100),$G42*100000+ROW(),"")</f>
        <v/>
      </c>
      <c r="N42" s="0" t="str">
        <f aca="true">IF(AND($H42=1,$D42="Income",$G42&gt;TODAY()),$G42*100000+ROW(),"")</f>
        <v/>
      </c>
    </row>
    <row r="43" customFormat="false" ht="15" hidden="false" customHeight="true" outlineLevel="0" collapsed="false">
      <c r="A43" s="117" t="n">
        <v>3</v>
      </c>
      <c r="B43" s="117" t="n">
        <v>8</v>
      </c>
      <c r="C43" s="7" t="str">
        <f aca="false">IF(OR(Recurring!$B$7="",Recurring!$H$7&lt;&gt;"Yes",Recurring!$D$7=""),"",Recurring!$B$7)</f>
        <v>Apple: Claude</v>
      </c>
      <c r="D43" s="7" t="str">
        <f aca="false">IF($C43="","",Recurring!$C$7)</f>
        <v>Expense</v>
      </c>
      <c r="E43" s="118" t="n">
        <f aca="false">IF($C43="","",IF(SUMIFS(Overrides!$E$9:$E$108,Overrides!$B$9:$B$108,$C43,Overrides!$C$9:$C$108,$L43)&gt;0,SUMIFS(Overrides!$E$9:$E$108,Overrides!$B$9:$B$108,$C43,Overrides!$C$9:$C$108,$L43),Recurring!$D$7))</f>
        <v>21.1</v>
      </c>
      <c r="F43" s="119" t="n">
        <f aca="false">IF($C43="","",IF(Recurring!$E$7="Weekly",Recurring!$F$7+7*7,IF(Recurring!$E$7="Every 2 Weeks",Recurring!$F$7+14*7,IF(Recurring!$E$7="Monthly",EDATE(Recurring!$F$7,7),IF(Recurring!$E$7="Twice a Month",IF(MOD((IF(DAY(Recurring!$F$7)&lt;=20,0,1)+7),2)=1,EOMONTH(Recurring!$F$7,INT((IF(DAY(Recurring!$F$7)&lt;=20,0,1)+7)/2)),DATE(YEAR(EDATE(Recurring!$F$7,INT((IF(DAY(Recurring!$F$7)&lt;=20,0,1)+7)/2))),MONTH(EDATE(Recurring!$F$7,INT((IF(DAY(Recurring!$F$7)&lt;=20,0,1)+7)/2))),15)),IF(Recurring!$E$7="One Time",IF(8=1,Recurring!$F$7,""),""))))))</f>
        <v>46481</v>
      </c>
      <c r="G43" s="119" t="n">
        <f aca="false">IF($L43="","",IF(SUMIFS(Overrides!$D$9:$D$108,Overrides!$B$9:$B$108,$C43,Overrides!$C$9:$C$108,$L43)&gt;0,SUMIFS(Overrides!$D$9:$D$108,Overrides!$B$9:$B$108,$C43,Overrides!$C$9:$C$108,$L43),$L43))</f>
        <v>46481</v>
      </c>
      <c r="H43" s="120" t="n">
        <f aca="false">IF($G43="",0,IF(AND($G43&gt;='Cash Flow'!$E$6,$G43&lt;'Cash Flow'!$E$6+91),1,0))</f>
        <v>0</v>
      </c>
      <c r="I43" s="120" t="str">
        <f aca="false">IF($H43=1,MAX(1,INT(($G43-'Cash Flow'!$E$6)/7)+1),"")</f>
        <v/>
      </c>
      <c r="J43" s="7" t="str">
        <f aca="false">IF($H43=1,$G43*10000+ROW(),"")</f>
        <v/>
      </c>
      <c r="K43" s="7" t="str">
        <f aca="false">IF($H43=1,$I43*1000+COUNTIFS($I$4:$I$483,$I43,$J$4:$J$483,"&lt;"&amp;$J43)+1,"")</f>
        <v/>
      </c>
      <c r="L43" s="121" t="n">
        <f aca="false">IF($F43="","",IF(Recurring!$G$7="Move Before",IF(WEEKDAY($F43,2)=6,$F43-1,IF(WEEKDAY($F43,2)=7,$F43-2,$F43)),IF(Recurring!$G$7="Move After",IF(WEEKDAY($F43,2)=6,$F43+2,IF(WEEKDAY($F43,2)=7,$F43+1,$F43)),$F43)))</f>
        <v>46481</v>
      </c>
      <c r="M43" s="0" t="str">
        <f aca="true">IF(AND($H43=1,$D43="Expense",$G43&gt;TODAY(),$E43&gt;=100),$G43*100000+ROW(),"")</f>
        <v/>
      </c>
      <c r="N43" s="0" t="str">
        <f aca="true">IF(AND($H43=1,$D43="Income",$G43&gt;TODAY()),$G43*100000+ROW(),"")</f>
        <v/>
      </c>
    </row>
    <row r="44" customFormat="false" ht="15" hidden="false" customHeight="true" outlineLevel="0" collapsed="false">
      <c r="A44" s="117" t="n">
        <v>3</v>
      </c>
      <c r="B44" s="117" t="n">
        <v>9</v>
      </c>
      <c r="C44" s="7" t="str">
        <f aca="false">IF(OR(Recurring!$B$7="",Recurring!$H$7&lt;&gt;"Yes",Recurring!$D$7=""),"",Recurring!$B$7)</f>
        <v>Apple: Claude</v>
      </c>
      <c r="D44" s="7" t="str">
        <f aca="false">IF($C44="","",Recurring!$C$7)</f>
        <v>Expense</v>
      </c>
      <c r="E44" s="118" t="n">
        <f aca="false">IF($C44="","",IF(SUMIFS(Overrides!$E$9:$E$108,Overrides!$B$9:$B$108,$C44,Overrides!$C$9:$C$108,$L44)&gt;0,SUMIFS(Overrides!$E$9:$E$108,Overrides!$B$9:$B$108,$C44,Overrides!$C$9:$C$108,$L44),Recurring!$D$7))</f>
        <v>21.1</v>
      </c>
      <c r="F44" s="119" t="n">
        <f aca="false">IF($C44="","",IF(Recurring!$E$7="Weekly",Recurring!$F$7+7*8,IF(Recurring!$E$7="Every 2 Weeks",Recurring!$F$7+14*8,IF(Recurring!$E$7="Monthly",EDATE(Recurring!$F$7,8),IF(Recurring!$E$7="Twice a Month",IF(MOD((IF(DAY(Recurring!$F$7)&lt;=20,0,1)+8),2)=1,EOMONTH(Recurring!$F$7,INT((IF(DAY(Recurring!$F$7)&lt;=20,0,1)+8)/2)),DATE(YEAR(EDATE(Recurring!$F$7,INT((IF(DAY(Recurring!$F$7)&lt;=20,0,1)+8)/2))),MONTH(EDATE(Recurring!$F$7,INT((IF(DAY(Recurring!$F$7)&lt;=20,0,1)+8)/2))),15)),IF(Recurring!$E$7="One Time",IF(9=1,Recurring!$F$7,""),""))))))</f>
        <v>46511</v>
      </c>
      <c r="G44" s="119" t="n">
        <f aca="false">IF($L44="","",IF(SUMIFS(Overrides!$D$9:$D$108,Overrides!$B$9:$B$108,$C44,Overrides!$C$9:$C$108,$L44)&gt;0,SUMIFS(Overrides!$D$9:$D$108,Overrides!$B$9:$B$108,$C44,Overrides!$C$9:$C$108,$L44),$L44))</f>
        <v>46511</v>
      </c>
      <c r="H44" s="120" t="n">
        <f aca="false">IF($G44="",0,IF(AND($G44&gt;='Cash Flow'!$E$6,$G44&lt;'Cash Flow'!$E$6+91),1,0))</f>
        <v>0</v>
      </c>
      <c r="I44" s="120" t="str">
        <f aca="false">IF($H44=1,MAX(1,INT(($G44-'Cash Flow'!$E$6)/7)+1),"")</f>
        <v/>
      </c>
      <c r="J44" s="7" t="str">
        <f aca="false">IF($H44=1,$G44*10000+ROW(),"")</f>
        <v/>
      </c>
      <c r="K44" s="7" t="str">
        <f aca="false">IF($H44=1,$I44*1000+COUNTIFS($I$4:$I$483,$I44,$J$4:$J$483,"&lt;"&amp;$J44)+1,"")</f>
        <v/>
      </c>
      <c r="L44" s="121" t="n">
        <f aca="false">IF($F44="","",IF(Recurring!$G$7="Move Before",IF(WEEKDAY($F44,2)=6,$F44-1,IF(WEEKDAY($F44,2)=7,$F44-2,$F44)),IF(Recurring!$G$7="Move After",IF(WEEKDAY($F44,2)=6,$F44+2,IF(WEEKDAY($F44,2)=7,$F44+1,$F44)),$F44)))</f>
        <v>46511</v>
      </c>
      <c r="M44" s="0" t="str">
        <f aca="true">IF(AND($H44=1,$D44="Expense",$G44&gt;TODAY(),$E44&gt;=100),$G44*100000+ROW(),"")</f>
        <v/>
      </c>
      <c r="N44" s="0" t="str">
        <f aca="true">IF(AND($H44=1,$D44="Income",$G44&gt;TODAY()),$G44*100000+ROW(),"")</f>
        <v/>
      </c>
    </row>
    <row r="45" customFormat="false" ht="15" hidden="false" customHeight="true" outlineLevel="0" collapsed="false">
      <c r="A45" s="117" t="n">
        <v>3</v>
      </c>
      <c r="B45" s="117" t="n">
        <v>10</v>
      </c>
      <c r="C45" s="7" t="str">
        <f aca="false">IF(OR(Recurring!$B$7="",Recurring!$H$7&lt;&gt;"Yes",Recurring!$D$7=""),"",Recurring!$B$7)</f>
        <v>Apple: Claude</v>
      </c>
      <c r="D45" s="7" t="str">
        <f aca="false">IF($C45="","",Recurring!$C$7)</f>
        <v>Expense</v>
      </c>
      <c r="E45" s="118" t="n">
        <f aca="false">IF($C45="","",IF(SUMIFS(Overrides!$E$9:$E$108,Overrides!$B$9:$B$108,$C45,Overrides!$C$9:$C$108,$L45)&gt;0,SUMIFS(Overrides!$E$9:$E$108,Overrides!$B$9:$B$108,$C45,Overrides!$C$9:$C$108,$L45),Recurring!$D$7))</f>
        <v>21.1</v>
      </c>
      <c r="F45" s="119" t="n">
        <f aca="false">IF($C45="","",IF(Recurring!$E$7="Weekly",Recurring!$F$7+7*9,IF(Recurring!$E$7="Every 2 Weeks",Recurring!$F$7+14*9,IF(Recurring!$E$7="Monthly",EDATE(Recurring!$F$7,9),IF(Recurring!$E$7="Twice a Month",IF(MOD((IF(DAY(Recurring!$F$7)&lt;=20,0,1)+9),2)=1,EOMONTH(Recurring!$F$7,INT((IF(DAY(Recurring!$F$7)&lt;=20,0,1)+9)/2)),DATE(YEAR(EDATE(Recurring!$F$7,INT((IF(DAY(Recurring!$F$7)&lt;=20,0,1)+9)/2))),MONTH(EDATE(Recurring!$F$7,INT((IF(DAY(Recurring!$F$7)&lt;=20,0,1)+9)/2))),15)),IF(Recurring!$E$7="One Time",IF(10=1,Recurring!$F$7,""),""))))))</f>
        <v>46542</v>
      </c>
      <c r="G45" s="119" t="n">
        <f aca="false">IF($L45="","",IF(SUMIFS(Overrides!$D$9:$D$108,Overrides!$B$9:$B$108,$C45,Overrides!$C$9:$C$108,$L45)&gt;0,SUMIFS(Overrides!$D$9:$D$108,Overrides!$B$9:$B$108,$C45,Overrides!$C$9:$C$108,$L45),$L45))</f>
        <v>46542</v>
      </c>
      <c r="H45" s="120" t="n">
        <f aca="false">IF($G45="",0,IF(AND($G45&gt;='Cash Flow'!$E$6,$G45&lt;'Cash Flow'!$E$6+91),1,0))</f>
        <v>0</v>
      </c>
      <c r="I45" s="120" t="str">
        <f aca="false">IF($H45=1,MAX(1,INT(($G45-'Cash Flow'!$E$6)/7)+1),"")</f>
        <v/>
      </c>
      <c r="J45" s="7" t="str">
        <f aca="false">IF($H45=1,$G45*10000+ROW(),"")</f>
        <v/>
      </c>
      <c r="K45" s="7" t="str">
        <f aca="false">IF($H45=1,$I45*1000+COUNTIFS($I$4:$I$483,$I45,$J$4:$J$483,"&lt;"&amp;$J45)+1,"")</f>
        <v/>
      </c>
      <c r="L45" s="121" t="n">
        <f aca="false">IF($F45="","",IF(Recurring!$G$7="Move Before",IF(WEEKDAY($F45,2)=6,$F45-1,IF(WEEKDAY($F45,2)=7,$F45-2,$F45)),IF(Recurring!$G$7="Move After",IF(WEEKDAY($F45,2)=6,$F45+2,IF(WEEKDAY($F45,2)=7,$F45+1,$F45)),$F45)))</f>
        <v>46542</v>
      </c>
      <c r="M45" s="0" t="str">
        <f aca="true">IF(AND($H45=1,$D45="Expense",$G45&gt;TODAY(),$E45&gt;=100),$G45*100000+ROW(),"")</f>
        <v/>
      </c>
      <c r="N45" s="0" t="str">
        <f aca="true">IF(AND($H45=1,$D45="Income",$G45&gt;TODAY()),$G45*100000+ROW(),"")</f>
        <v/>
      </c>
    </row>
    <row r="46" customFormat="false" ht="15" hidden="false" customHeight="true" outlineLevel="0" collapsed="false">
      <c r="A46" s="117" t="n">
        <v>3</v>
      </c>
      <c r="B46" s="117" t="n">
        <v>11</v>
      </c>
      <c r="C46" s="7" t="str">
        <f aca="false">IF(OR(Recurring!$B$7="",Recurring!$H$7&lt;&gt;"Yes",Recurring!$D$7=""),"",Recurring!$B$7)</f>
        <v>Apple: Claude</v>
      </c>
      <c r="D46" s="7" t="str">
        <f aca="false">IF($C46="","",Recurring!$C$7)</f>
        <v>Expense</v>
      </c>
      <c r="E46" s="118" t="n">
        <f aca="false">IF($C46="","",IF(SUMIFS(Overrides!$E$9:$E$108,Overrides!$B$9:$B$108,$C46,Overrides!$C$9:$C$108,$L46)&gt;0,SUMIFS(Overrides!$E$9:$E$108,Overrides!$B$9:$B$108,$C46,Overrides!$C$9:$C$108,$L46),Recurring!$D$7))</f>
        <v>21.1</v>
      </c>
      <c r="F46" s="119" t="n">
        <f aca="false">IF($C46="","",IF(Recurring!$E$7="Weekly",Recurring!$F$7+7*10,IF(Recurring!$E$7="Every 2 Weeks",Recurring!$F$7+14*10,IF(Recurring!$E$7="Monthly",EDATE(Recurring!$F$7,10),IF(Recurring!$E$7="Twice a Month",IF(MOD((IF(DAY(Recurring!$F$7)&lt;=20,0,1)+10),2)=1,EOMONTH(Recurring!$F$7,INT((IF(DAY(Recurring!$F$7)&lt;=20,0,1)+10)/2)),DATE(YEAR(EDATE(Recurring!$F$7,INT((IF(DAY(Recurring!$F$7)&lt;=20,0,1)+10)/2))),MONTH(EDATE(Recurring!$F$7,INT((IF(DAY(Recurring!$F$7)&lt;=20,0,1)+10)/2))),15)),IF(Recurring!$E$7="One Time",IF(11=1,Recurring!$F$7,""),""))))))</f>
        <v>46572</v>
      </c>
      <c r="G46" s="119" t="n">
        <f aca="false">IF($L46="","",IF(SUMIFS(Overrides!$D$9:$D$108,Overrides!$B$9:$B$108,$C46,Overrides!$C$9:$C$108,$L46)&gt;0,SUMIFS(Overrides!$D$9:$D$108,Overrides!$B$9:$B$108,$C46,Overrides!$C$9:$C$108,$L46),$L46))</f>
        <v>46572</v>
      </c>
      <c r="H46" s="120" t="n">
        <f aca="false">IF($G46="",0,IF(AND($G46&gt;='Cash Flow'!$E$6,$G46&lt;'Cash Flow'!$E$6+91),1,0))</f>
        <v>0</v>
      </c>
      <c r="I46" s="120" t="str">
        <f aca="false">IF($H46=1,MAX(1,INT(($G46-'Cash Flow'!$E$6)/7)+1),"")</f>
        <v/>
      </c>
      <c r="J46" s="7" t="str">
        <f aca="false">IF($H46=1,$G46*10000+ROW(),"")</f>
        <v/>
      </c>
      <c r="K46" s="7" t="str">
        <f aca="false">IF($H46=1,$I46*1000+COUNTIFS($I$4:$I$483,$I46,$J$4:$J$483,"&lt;"&amp;$J46)+1,"")</f>
        <v/>
      </c>
      <c r="L46" s="121" t="n">
        <f aca="false">IF($F46="","",IF(Recurring!$G$7="Move Before",IF(WEEKDAY($F46,2)=6,$F46-1,IF(WEEKDAY($F46,2)=7,$F46-2,$F46)),IF(Recurring!$G$7="Move After",IF(WEEKDAY($F46,2)=6,$F46+2,IF(WEEKDAY($F46,2)=7,$F46+1,$F46)),$F46)))</f>
        <v>46572</v>
      </c>
      <c r="M46" s="0" t="str">
        <f aca="true">IF(AND($H46=1,$D46="Expense",$G46&gt;TODAY(),$E46&gt;=100),$G46*100000+ROW(),"")</f>
        <v/>
      </c>
      <c r="N46" s="0" t="str">
        <f aca="true">IF(AND($H46=1,$D46="Income",$G46&gt;TODAY()),$G46*100000+ROW(),"")</f>
        <v/>
      </c>
    </row>
    <row r="47" customFormat="false" ht="15" hidden="false" customHeight="true" outlineLevel="0" collapsed="false">
      <c r="A47" s="117" t="n">
        <v>3</v>
      </c>
      <c r="B47" s="117" t="n">
        <v>12</v>
      </c>
      <c r="C47" s="7" t="str">
        <f aca="false">IF(OR(Recurring!$B$7="",Recurring!$H$7&lt;&gt;"Yes",Recurring!$D$7=""),"",Recurring!$B$7)</f>
        <v>Apple: Claude</v>
      </c>
      <c r="D47" s="7" t="str">
        <f aca="false">IF($C47="","",Recurring!$C$7)</f>
        <v>Expense</v>
      </c>
      <c r="E47" s="118" t="n">
        <f aca="false">IF($C47="","",IF(SUMIFS(Overrides!$E$9:$E$108,Overrides!$B$9:$B$108,$C47,Overrides!$C$9:$C$108,$L47)&gt;0,SUMIFS(Overrides!$E$9:$E$108,Overrides!$B$9:$B$108,$C47,Overrides!$C$9:$C$108,$L47),Recurring!$D$7))</f>
        <v>21.1</v>
      </c>
      <c r="F47" s="119" t="n">
        <f aca="false">IF($C47="","",IF(Recurring!$E$7="Weekly",Recurring!$F$7+7*11,IF(Recurring!$E$7="Every 2 Weeks",Recurring!$F$7+14*11,IF(Recurring!$E$7="Monthly",EDATE(Recurring!$F$7,11),IF(Recurring!$E$7="Twice a Month",IF(MOD((IF(DAY(Recurring!$F$7)&lt;=20,0,1)+11),2)=1,EOMONTH(Recurring!$F$7,INT((IF(DAY(Recurring!$F$7)&lt;=20,0,1)+11)/2)),DATE(YEAR(EDATE(Recurring!$F$7,INT((IF(DAY(Recurring!$F$7)&lt;=20,0,1)+11)/2))),MONTH(EDATE(Recurring!$F$7,INT((IF(DAY(Recurring!$F$7)&lt;=20,0,1)+11)/2))),15)),IF(Recurring!$E$7="One Time",IF(12=1,Recurring!$F$7,""),""))))))</f>
        <v>46603</v>
      </c>
      <c r="G47" s="119" t="n">
        <f aca="false">IF($L47="","",IF(SUMIFS(Overrides!$D$9:$D$108,Overrides!$B$9:$B$108,$C47,Overrides!$C$9:$C$108,$L47)&gt;0,SUMIFS(Overrides!$D$9:$D$108,Overrides!$B$9:$B$108,$C47,Overrides!$C$9:$C$108,$L47),$L47))</f>
        <v>46603</v>
      </c>
      <c r="H47" s="120" t="n">
        <f aca="false">IF($G47="",0,IF(AND($G47&gt;='Cash Flow'!$E$6,$G47&lt;'Cash Flow'!$E$6+91),1,0))</f>
        <v>0</v>
      </c>
      <c r="I47" s="120" t="str">
        <f aca="false">IF($H47=1,MAX(1,INT(($G47-'Cash Flow'!$E$6)/7)+1),"")</f>
        <v/>
      </c>
      <c r="J47" s="7" t="str">
        <f aca="false">IF($H47=1,$G47*10000+ROW(),"")</f>
        <v/>
      </c>
      <c r="K47" s="7" t="str">
        <f aca="false">IF($H47=1,$I47*1000+COUNTIFS($I$4:$I$483,$I47,$J$4:$J$483,"&lt;"&amp;$J47)+1,"")</f>
        <v/>
      </c>
      <c r="L47" s="121" t="n">
        <f aca="false">IF($F47="","",IF(Recurring!$G$7="Move Before",IF(WEEKDAY($F47,2)=6,$F47-1,IF(WEEKDAY($F47,2)=7,$F47-2,$F47)),IF(Recurring!$G$7="Move After",IF(WEEKDAY($F47,2)=6,$F47+2,IF(WEEKDAY($F47,2)=7,$F47+1,$F47)),$F47)))</f>
        <v>46603</v>
      </c>
      <c r="M47" s="0" t="str">
        <f aca="true">IF(AND($H47=1,$D47="Expense",$G47&gt;TODAY(),$E47&gt;=100),$G47*100000+ROW(),"")</f>
        <v/>
      </c>
      <c r="N47" s="0" t="str">
        <f aca="true">IF(AND($H47=1,$D47="Income",$G47&gt;TODAY()),$G47*100000+ROW(),"")</f>
        <v/>
      </c>
    </row>
    <row r="48" customFormat="false" ht="15" hidden="false" customHeight="true" outlineLevel="0" collapsed="false">
      <c r="A48" s="117" t="n">
        <v>3</v>
      </c>
      <c r="B48" s="117" t="n">
        <v>13</v>
      </c>
      <c r="C48" s="7" t="str">
        <f aca="false">IF(OR(Recurring!$B$7="",Recurring!$H$7&lt;&gt;"Yes",Recurring!$D$7=""),"",Recurring!$B$7)</f>
        <v>Apple: Claude</v>
      </c>
      <c r="D48" s="7" t="str">
        <f aca="false">IF($C48="","",Recurring!$C$7)</f>
        <v>Expense</v>
      </c>
      <c r="E48" s="118" t="n">
        <f aca="false">IF($C48="","",IF(SUMIFS(Overrides!$E$9:$E$108,Overrides!$B$9:$B$108,$C48,Overrides!$C$9:$C$108,$L48)&gt;0,SUMIFS(Overrides!$E$9:$E$108,Overrides!$B$9:$B$108,$C48,Overrides!$C$9:$C$108,$L48),Recurring!$D$7))</f>
        <v>21.1</v>
      </c>
      <c r="F48" s="119" t="n">
        <f aca="false">IF($C48="","",IF(Recurring!$E$7="Weekly",Recurring!$F$7+7*12,IF(Recurring!$E$7="Every 2 Weeks",Recurring!$F$7+14*12,IF(Recurring!$E$7="Monthly",EDATE(Recurring!$F$7,12),IF(Recurring!$E$7="Twice a Month",IF(MOD((IF(DAY(Recurring!$F$7)&lt;=20,0,1)+12),2)=1,EOMONTH(Recurring!$F$7,INT((IF(DAY(Recurring!$F$7)&lt;=20,0,1)+12)/2)),DATE(YEAR(EDATE(Recurring!$F$7,INT((IF(DAY(Recurring!$F$7)&lt;=20,0,1)+12)/2))),MONTH(EDATE(Recurring!$F$7,INT((IF(DAY(Recurring!$F$7)&lt;=20,0,1)+12)/2))),15)),IF(Recurring!$E$7="One Time",IF(13=1,Recurring!$F$7,""),""))))))</f>
        <v>46634</v>
      </c>
      <c r="G48" s="119" t="n">
        <f aca="false">IF($L48="","",IF(SUMIFS(Overrides!$D$9:$D$108,Overrides!$B$9:$B$108,$C48,Overrides!$C$9:$C$108,$L48)&gt;0,SUMIFS(Overrides!$D$9:$D$108,Overrides!$B$9:$B$108,$C48,Overrides!$C$9:$C$108,$L48),$L48))</f>
        <v>46634</v>
      </c>
      <c r="H48" s="120" t="n">
        <f aca="false">IF($G48="",0,IF(AND($G48&gt;='Cash Flow'!$E$6,$G48&lt;'Cash Flow'!$E$6+91),1,0))</f>
        <v>0</v>
      </c>
      <c r="I48" s="120" t="str">
        <f aca="false">IF($H48=1,MAX(1,INT(($G48-'Cash Flow'!$E$6)/7)+1),"")</f>
        <v/>
      </c>
      <c r="J48" s="7" t="str">
        <f aca="false">IF($H48=1,$G48*10000+ROW(),"")</f>
        <v/>
      </c>
      <c r="K48" s="7" t="str">
        <f aca="false">IF($H48=1,$I48*1000+COUNTIFS($I$4:$I$483,$I48,$J$4:$J$483,"&lt;"&amp;$J48)+1,"")</f>
        <v/>
      </c>
      <c r="L48" s="121" t="n">
        <f aca="false">IF($F48="","",IF(Recurring!$G$7="Move Before",IF(WEEKDAY($F48,2)=6,$F48-1,IF(WEEKDAY($F48,2)=7,$F48-2,$F48)),IF(Recurring!$G$7="Move After",IF(WEEKDAY($F48,2)=6,$F48+2,IF(WEEKDAY($F48,2)=7,$F48+1,$F48)),$F48)))</f>
        <v>46634</v>
      </c>
      <c r="M48" s="0" t="str">
        <f aca="true">IF(AND($H48=1,$D48="Expense",$G48&gt;TODAY(),$E48&gt;=100),$G48*100000+ROW(),"")</f>
        <v/>
      </c>
      <c r="N48" s="0" t="str">
        <f aca="true">IF(AND($H48=1,$D48="Income",$G48&gt;TODAY()),$G48*100000+ROW(),"")</f>
        <v/>
      </c>
    </row>
    <row r="49" customFormat="false" ht="15" hidden="false" customHeight="true" outlineLevel="0" collapsed="false">
      <c r="A49" s="117" t="n">
        <v>3</v>
      </c>
      <c r="B49" s="117" t="n">
        <v>14</v>
      </c>
      <c r="C49" s="7" t="str">
        <f aca="false">IF(OR(Recurring!$B$7="",Recurring!$H$7&lt;&gt;"Yes",Recurring!$D$7=""),"",Recurring!$B$7)</f>
        <v>Apple: Claude</v>
      </c>
      <c r="D49" s="7" t="str">
        <f aca="false">IF($C49="","",Recurring!$C$7)</f>
        <v>Expense</v>
      </c>
      <c r="E49" s="118" t="n">
        <f aca="false">IF($C49="","",IF(SUMIFS(Overrides!$E$9:$E$108,Overrides!$B$9:$B$108,$C49,Overrides!$C$9:$C$108,$L49)&gt;0,SUMIFS(Overrides!$E$9:$E$108,Overrides!$B$9:$B$108,$C49,Overrides!$C$9:$C$108,$L49),Recurring!$D$7))</f>
        <v>21.1</v>
      </c>
      <c r="F49" s="119" t="n">
        <f aca="false">IF($C49="","",IF(Recurring!$E$7="Weekly",Recurring!$F$7+7*13,IF(Recurring!$E$7="Every 2 Weeks",Recurring!$F$7+14*13,IF(Recurring!$E$7="Monthly",EDATE(Recurring!$F$7,13),IF(Recurring!$E$7="Twice a Month",IF(MOD((IF(DAY(Recurring!$F$7)&lt;=20,0,1)+13),2)=1,EOMONTH(Recurring!$F$7,INT((IF(DAY(Recurring!$F$7)&lt;=20,0,1)+13)/2)),DATE(YEAR(EDATE(Recurring!$F$7,INT((IF(DAY(Recurring!$F$7)&lt;=20,0,1)+13)/2))),MONTH(EDATE(Recurring!$F$7,INT((IF(DAY(Recurring!$F$7)&lt;=20,0,1)+13)/2))),15)),IF(Recurring!$E$7="One Time",IF(14=1,Recurring!$F$7,""),""))))))</f>
        <v>46664</v>
      </c>
      <c r="G49" s="119" t="n">
        <f aca="false">IF($L49="","",IF(SUMIFS(Overrides!$D$9:$D$108,Overrides!$B$9:$B$108,$C49,Overrides!$C$9:$C$108,$L49)&gt;0,SUMIFS(Overrides!$D$9:$D$108,Overrides!$B$9:$B$108,$C49,Overrides!$C$9:$C$108,$L49),$L49))</f>
        <v>46664</v>
      </c>
      <c r="H49" s="120" t="n">
        <f aca="false">IF($G49="",0,IF(AND($G49&gt;='Cash Flow'!$E$6,$G49&lt;'Cash Flow'!$E$6+91),1,0))</f>
        <v>0</v>
      </c>
      <c r="I49" s="120" t="str">
        <f aca="false">IF($H49=1,MAX(1,INT(($G49-'Cash Flow'!$E$6)/7)+1),"")</f>
        <v/>
      </c>
      <c r="J49" s="7" t="str">
        <f aca="false">IF($H49=1,$G49*10000+ROW(),"")</f>
        <v/>
      </c>
      <c r="K49" s="7" t="str">
        <f aca="false">IF($H49=1,$I49*1000+COUNTIFS($I$4:$I$483,$I49,$J$4:$J$483,"&lt;"&amp;$J49)+1,"")</f>
        <v/>
      </c>
      <c r="L49" s="121" t="n">
        <f aca="false">IF($F49="","",IF(Recurring!$G$7="Move Before",IF(WEEKDAY($F49,2)=6,$F49-1,IF(WEEKDAY($F49,2)=7,$F49-2,$F49)),IF(Recurring!$G$7="Move After",IF(WEEKDAY($F49,2)=6,$F49+2,IF(WEEKDAY($F49,2)=7,$F49+1,$F49)),$F49)))</f>
        <v>46664</v>
      </c>
      <c r="M49" s="0" t="str">
        <f aca="true">IF(AND($H49=1,$D49="Expense",$G49&gt;TODAY(),$E49&gt;=100),$G49*100000+ROW(),"")</f>
        <v/>
      </c>
      <c r="N49" s="0" t="str">
        <f aca="true">IF(AND($H49=1,$D49="Income",$G49&gt;TODAY()),$G49*100000+ROW(),"")</f>
        <v/>
      </c>
    </row>
    <row r="50" customFormat="false" ht="15" hidden="false" customHeight="true" outlineLevel="0" collapsed="false">
      <c r="A50" s="117" t="n">
        <v>3</v>
      </c>
      <c r="B50" s="117" t="n">
        <v>15</v>
      </c>
      <c r="C50" s="7" t="str">
        <f aca="false">IF(OR(Recurring!$B$7="",Recurring!$H$7&lt;&gt;"Yes",Recurring!$D$7=""),"",Recurring!$B$7)</f>
        <v>Apple: Claude</v>
      </c>
      <c r="D50" s="7" t="str">
        <f aca="false">IF($C50="","",Recurring!$C$7)</f>
        <v>Expense</v>
      </c>
      <c r="E50" s="118" t="n">
        <f aca="false">IF($C50="","",IF(SUMIFS(Overrides!$E$9:$E$108,Overrides!$B$9:$B$108,$C50,Overrides!$C$9:$C$108,$L50)&gt;0,SUMIFS(Overrides!$E$9:$E$108,Overrides!$B$9:$B$108,$C50,Overrides!$C$9:$C$108,$L50),Recurring!$D$7))</f>
        <v>21.1</v>
      </c>
      <c r="F50" s="119" t="n">
        <f aca="false">IF($C50="","",IF(Recurring!$E$7="Weekly",Recurring!$F$7+7*14,IF(Recurring!$E$7="Every 2 Weeks",Recurring!$F$7+14*14,IF(Recurring!$E$7="Monthly",EDATE(Recurring!$F$7,14),IF(Recurring!$E$7="Twice a Month",IF(MOD((IF(DAY(Recurring!$F$7)&lt;=20,0,1)+14),2)=1,EOMONTH(Recurring!$F$7,INT((IF(DAY(Recurring!$F$7)&lt;=20,0,1)+14)/2)),DATE(YEAR(EDATE(Recurring!$F$7,INT((IF(DAY(Recurring!$F$7)&lt;=20,0,1)+14)/2))),MONTH(EDATE(Recurring!$F$7,INT((IF(DAY(Recurring!$F$7)&lt;=20,0,1)+14)/2))),15)),IF(Recurring!$E$7="One Time",IF(15=1,Recurring!$F$7,""),""))))))</f>
        <v>46695</v>
      </c>
      <c r="G50" s="119" t="n">
        <f aca="false">IF($L50="","",IF(SUMIFS(Overrides!$D$9:$D$108,Overrides!$B$9:$B$108,$C50,Overrides!$C$9:$C$108,$L50)&gt;0,SUMIFS(Overrides!$D$9:$D$108,Overrides!$B$9:$B$108,$C50,Overrides!$C$9:$C$108,$L50),$L50))</f>
        <v>46695</v>
      </c>
      <c r="H50" s="120" t="n">
        <f aca="false">IF($G50="",0,IF(AND($G50&gt;='Cash Flow'!$E$6,$G50&lt;'Cash Flow'!$E$6+91),1,0))</f>
        <v>0</v>
      </c>
      <c r="I50" s="120" t="str">
        <f aca="false">IF($H50=1,MAX(1,INT(($G50-'Cash Flow'!$E$6)/7)+1),"")</f>
        <v/>
      </c>
      <c r="J50" s="7" t="str">
        <f aca="false">IF($H50=1,$G50*10000+ROW(),"")</f>
        <v/>
      </c>
      <c r="K50" s="7" t="str">
        <f aca="false">IF($H50=1,$I50*1000+COUNTIFS($I$4:$I$483,$I50,$J$4:$J$483,"&lt;"&amp;$J50)+1,"")</f>
        <v/>
      </c>
      <c r="L50" s="121" t="n">
        <f aca="false">IF($F50="","",IF(Recurring!$G$7="Move Before",IF(WEEKDAY($F50,2)=6,$F50-1,IF(WEEKDAY($F50,2)=7,$F50-2,$F50)),IF(Recurring!$G$7="Move After",IF(WEEKDAY($F50,2)=6,$F50+2,IF(WEEKDAY($F50,2)=7,$F50+1,$F50)),$F50)))</f>
        <v>46695</v>
      </c>
      <c r="M50" s="0" t="str">
        <f aca="true">IF(AND($H50=1,$D50="Expense",$G50&gt;TODAY(),$E50&gt;=100),$G50*100000+ROW(),"")</f>
        <v/>
      </c>
      <c r="N50" s="0" t="str">
        <f aca="true">IF(AND($H50=1,$D50="Income",$G50&gt;TODAY()),$G50*100000+ROW(),"")</f>
        <v/>
      </c>
    </row>
    <row r="51" customFormat="false" ht="15" hidden="false" customHeight="true" outlineLevel="0" collapsed="false">
      <c r="A51" s="117" t="n">
        <v>3</v>
      </c>
      <c r="B51" s="117" t="n">
        <v>16</v>
      </c>
      <c r="C51" s="7" t="str">
        <f aca="false">IF(OR(Recurring!$B$7="",Recurring!$H$7&lt;&gt;"Yes",Recurring!$D$7=""),"",Recurring!$B$7)</f>
        <v>Apple: Claude</v>
      </c>
      <c r="D51" s="7" t="str">
        <f aca="false">IF($C51="","",Recurring!$C$7)</f>
        <v>Expense</v>
      </c>
      <c r="E51" s="118" t="n">
        <f aca="false">IF($C51="","",IF(SUMIFS(Overrides!$E$9:$E$108,Overrides!$B$9:$B$108,$C51,Overrides!$C$9:$C$108,$L51)&gt;0,SUMIFS(Overrides!$E$9:$E$108,Overrides!$B$9:$B$108,$C51,Overrides!$C$9:$C$108,$L51),Recurring!$D$7))</f>
        <v>21.1</v>
      </c>
      <c r="F51" s="119" t="n">
        <f aca="false">IF($C51="","",IF(Recurring!$E$7="Weekly",Recurring!$F$7+7*15,IF(Recurring!$E$7="Every 2 Weeks",Recurring!$F$7+14*15,IF(Recurring!$E$7="Monthly",EDATE(Recurring!$F$7,15),IF(Recurring!$E$7="Twice a Month",IF(MOD((IF(DAY(Recurring!$F$7)&lt;=20,0,1)+15),2)=1,EOMONTH(Recurring!$F$7,INT((IF(DAY(Recurring!$F$7)&lt;=20,0,1)+15)/2)),DATE(YEAR(EDATE(Recurring!$F$7,INT((IF(DAY(Recurring!$F$7)&lt;=20,0,1)+15)/2))),MONTH(EDATE(Recurring!$F$7,INT((IF(DAY(Recurring!$F$7)&lt;=20,0,1)+15)/2))),15)),IF(Recurring!$E$7="One Time",IF(16=1,Recurring!$F$7,""),""))))))</f>
        <v>46725</v>
      </c>
      <c r="G51" s="119" t="n">
        <f aca="false">IF($L51="","",IF(SUMIFS(Overrides!$D$9:$D$108,Overrides!$B$9:$B$108,$C51,Overrides!$C$9:$C$108,$L51)&gt;0,SUMIFS(Overrides!$D$9:$D$108,Overrides!$B$9:$B$108,$C51,Overrides!$C$9:$C$108,$L51),$L51))</f>
        <v>46725</v>
      </c>
      <c r="H51" s="120" t="n">
        <f aca="false">IF($G51="",0,IF(AND($G51&gt;='Cash Flow'!$E$6,$G51&lt;'Cash Flow'!$E$6+91),1,0))</f>
        <v>0</v>
      </c>
      <c r="I51" s="120" t="str">
        <f aca="false">IF($H51=1,MAX(1,INT(($G51-'Cash Flow'!$E$6)/7)+1),"")</f>
        <v/>
      </c>
      <c r="J51" s="7" t="str">
        <f aca="false">IF($H51=1,$G51*10000+ROW(),"")</f>
        <v/>
      </c>
      <c r="K51" s="7" t="str">
        <f aca="false">IF($H51=1,$I51*1000+COUNTIFS($I$4:$I$483,$I51,$J$4:$J$483,"&lt;"&amp;$J51)+1,"")</f>
        <v/>
      </c>
      <c r="L51" s="121" t="n">
        <f aca="false">IF($F51="","",IF(Recurring!$G$7="Move Before",IF(WEEKDAY($F51,2)=6,$F51-1,IF(WEEKDAY($F51,2)=7,$F51-2,$F51)),IF(Recurring!$G$7="Move After",IF(WEEKDAY($F51,2)=6,$F51+2,IF(WEEKDAY($F51,2)=7,$F51+1,$F51)),$F51)))</f>
        <v>46725</v>
      </c>
      <c r="M51" s="0" t="str">
        <f aca="true">IF(AND($H51=1,$D51="Expense",$G51&gt;TODAY(),$E51&gt;=100),$G51*100000+ROW(),"")</f>
        <v/>
      </c>
      <c r="N51" s="0" t="str">
        <f aca="true">IF(AND($H51=1,$D51="Income",$G51&gt;TODAY()),$G51*100000+ROW(),"")</f>
        <v/>
      </c>
    </row>
    <row r="52" customFormat="false" ht="15" hidden="false" customHeight="true" outlineLevel="0" collapsed="false">
      <c r="A52" s="117" t="n">
        <v>4</v>
      </c>
      <c r="B52" s="117" t="n">
        <v>1</v>
      </c>
      <c r="C52" s="7" t="str">
        <f aca="false">IF(OR(Recurring!$B$8="",Recurring!$H$8&lt;&gt;"Yes",Recurring!$D$8=""),"",Recurring!$B$8)</f>
        <v>OpenAI</v>
      </c>
      <c r="D52" s="7" t="str">
        <f aca="false">IF($C52="","",Recurring!$C$8)</f>
        <v>Expense</v>
      </c>
      <c r="E52" s="118" t="n">
        <f aca="false">IF($C52="","",IF(SUMIFS(Overrides!$E$9:$E$108,Overrides!$B$9:$B$108,$C52,Overrides!$C$9:$C$108,$L52)&gt;0,SUMIFS(Overrides!$E$9:$E$108,Overrides!$B$9:$B$108,$C52,Overrides!$C$9:$C$108,$L52),Recurring!$D$8))</f>
        <v>20</v>
      </c>
      <c r="F52" s="119" t="n">
        <f aca="false">IF($C52="","",IF(Recurring!$E$8="Weekly",Recurring!$F$8+7*0,IF(Recurring!$E$8="Every 2 Weeks",Recurring!$F$8+14*0,IF(Recurring!$E$8="Monthly",EDATE(Recurring!$F$8,0),IF(Recurring!$E$8="Twice a Month",IF(MOD((IF(DAY(Recurring!$F$8)&lt;=20,0,1)+0),2)=1,EOMONTH(Recurring!$F$8,INT((IF(DAY(Recurring!$F$8)&lt;=20,0,1)+0)/2)),DATE(YEAR(EDATE(Recurring!$F$8,INT((IF(DAY(Recurring!$F$8)&lt;=20,0,1)+0)/2))),MONTH(EDATE(Recurring!$F$8,INT((IF(DAY(Recurring!$F$8)&lt;=20,0,1)+0)/2))),15)),IF(Recurring!$E$8="One Time",IF(1=1,Recurring!$F$8,""),""))))))</f>
        <v>46270</v>
      </c>
      <c r="G52" s="119" t="n">
        <f aca="false">IF($L52="","",IF(SUMIFS(Overrides!$D$9:$D$108,Overrides!$B$9:$B$108,$C52,Overrides!$C$9:$C$108,$L52)&gt;0,SUMIFS(Overrides!$D$9:$D$108,Overrides!$B$9:$B$108,$C52,Overrides!$C$9:$C$108,$L52),$L52))</f>
        <v>46270</v>
      </c>
      <c r="H52" s="120" t="n">
        <f aca="false">IF($G52="",0,IF(AND($G52&gt;='Cash Flow'!$E$6-90,$G52&lt;'Cash Flow'!$E$6+91),1,0))</f>
        <v>1</v>
      </c>
      <c r="I52" s="120" t="n">
        <f aca="false">IF($H52=1,MAX(1,INT(($G52-'Cash Flow'!$E$6)/7)+1),"")</f>
        <v>4</v>
      </c>
      <c r="J52" s="7" t="n">
        <f aca="false">IF($H52=1,$G52*10000+ROW(),"")</f>
        <v>462700052</v>
      </c>
      <c r="K52" s="7" t="n">
        <f aca="false">IF($H52=1,$I52*1000+COUNTIFS($I$4:$I$483,$I52,$J$4:$J$483,"&lt;"&amp;$J52)+1,"")</f>
        <v>4001</v>
      </c>
      <c r="L52" s="121" t="n">
        <f aca="false">IF($F52="","",IF(Recurring!$G$8="Move Before",IF(WEEKDAY($F52,2)=6,$F52-1,IF(WEEKDAY($F52,2)=7,$F52-2,$F52)),IF(Recurring!$G$8="Move After",IF(WEEKDAY($F52,2)=6,$F52+2,IF(WEEKDAY($F52,2)=7,$F52+1,$F52)),$F52)))</f>
        <v>46270</v>
      </c>
      <c r="M52" s="0" t="str">
        <f aca="true">IF(AND($H52=1,$D52="Expense",$G52&gt;TODAY(),$E52&gt;=100),$G52*100000+ROW(),"")</f>
        <v/>
      </c>
      <c r="N52" s="0" t="str">
        <f aca="true">IF(AND($H52=1,$D52="Income",$G52&gt;TODAY()),$G52*100000+ROW(),"")</f>
        <v/>
      </c>
    </row>
    <row r="53" customFormat="false" ht="15" hidden="false" customHeight="true" outlineLevel="0" collapsed="false">
      <c r="A53" s="117" t="n">
        <v>4</v>
      </c>
      <c r="B53" s="117" t="n">
        <v>2</v>
      </c>
      <c r="C53" s="7" t="str">
        <f aca="false">IF(OR(Recurring!$B$8="",Recurring!$H$8&lt;&gt;"Yes",Recurring!$D$8=""),"",Recurring!$B$8)</f>
        <v>OpenAI</v>
      </c>
      <c r="D53" s="7" t="str">
        <f aca="false">IF($C53="","",Recurring!$C$8)</f>
        <v>Expense</v>
      </c>
      <c r="E53" s="118" t="n">
        <f aca="false">IF($C53="","",IF(SUMIFS(Overrides!$E$9:$E$108,Overrides!$B$9:$B$108,$C53,Overrides!$C$9:$C$108,$L53)&gt;0,SUMIFS(Overrides!$E$9:$E$108,Overrides!$B$9:$B$108,$C53,Overrides!$C$9:$C$108,$L53),Recurring!$D$8))</f>
        <v>20</v>
      </c>
      <c r="F53" s="119" t="n">
        <f aca="false">IF($C53="","",IF(Recurring!$E$8="Weekly",Recurring!$F$8+7*1,IF(Recurring!$E$8="Every 2 Weeks",Recurring!$F$8+14*1,IF(Recurring!$E$8="Monthly",EDATE(Recurring!$F$8,1),IF(Recurring!$E$8="Twice a Month",IF(MOD((IF(DAY(Recurring!$F$8)&lt;=20,0,1)+1),2)=1,EOMONTH(Recurring!$F$8,INT((IF(DAY(Recurring!$F$8)&lt;=20,0,1)+1)/2)),DATE(YEAR(EDATE(Recurring!$F$8,INT((IF(DAY(Recurring!$F$8)&lt;=20,0,1)+1)/2))),MONTH(EDATE(Recurring!$F$8,INT((IF(DAY(Recurring!$F$8)&lt;=20,0,1)+1)/2))),15)),IF(Recurring!$E$8="One Time",IF(2=1,Recurring!$F$8,""),""))))))</f>
        <v>46300</v>
      </c>
      <c r="G53" s="119" t="n">
        <f aca="false">IF($L53="","",IF(SUMIFS(Overrides!$D$9:$D$108,Overrides!$B$9:$B$108,$C53,Overrides!$C$9:$C$108,$L53)&gt;0,SUMIFS(Overrides!$D$9:$D$108,Overrides!$B$9:$B$108,$C53,Overrides!$C$9:$C$108,$L53),$L53))</f>
        <v>46300</v>
      </c>
      <c r="H53" s="120" t="n">
        <f aca="false">IF($G53="",0,IF(AND($G53&gt;='Cash Flow'!$E$6,$G53&lt;'Cash Flow'!$E$6+91),1,0))</f>
        <v>1</v>
      </c>
      <c r="I53" s="120" t="n">
        <f aca="false">IF($H53=1,MAX(1,INT(($G53-'Cash Flow'!$E$6)/7)+1),"")</f>
        <v>8</v>
      </c>
      <c r="J53" s="7" t="n">
        <f aca="false">IF($H53=1,$G53*10000+ROW(),"")</f>
        <v>463000053</v>
      </c>
      <c r="K53" s="7" t="n">
        <f aca="false">IF($H53=1,$I53*1000+COUNTIFS($I$4:$I$483,$I53,$J$4:$J$483,"&lt;"&amp;$J53)+1,"")</f>
        <v>8002</v>
      </c>
      <c r="L53" s="121" t="n">
        <f aca="false">IF($F53="","",IF(Recurring!$G$8="Move Before",IF(WEEKDAY($F53,2)=6,$F53-1,IF(WEEKDAY($F53,2)=7,$F53-2,$F53)),IF(Recurring!$G$8="Move After",IF(WEEKDAY($F53,2)=6,$F53+2,IF(WEEKDAY($F53,2)=7,$F53+1,$F53)),$F53)))</f>
        <v>46300</v>
      </c>
      <c r="M53" s="0" t="str">
        <f aca="true">IF(AND($H53=1,$D53="Expense",$G53&gt;TODAY(),$E53&gt;=100),$G53*100000+ROW(),"")</f>
        <v/>
      </c>
      <c r="N53" s="0" t="str">
        <f aca="true">IF(AND($H53=1,$D53="Income",$G53&gt;TODAY()),$G53*100000+ROW(),"")</f>
        <v/>
      </c>
    </row>
    <row r="54" customFormat="false" ht="15" hidden="false" customHeight="true" outlineLevel="0" collapsed="false">
      <c r="A54" s="117" t="n">
        <v>4</v>
      </c>
      <c r="B54" s="117" t="n">
        <v>3</v>
      </c>
      <c r="C54" s="7" t="str">
        <f aca="false">IF(OR(Recurring!$B$8="",Recurring!$H$8&lt;&gt;"Yes",Recurring!$D$8=""),"",Recurring!$B$8)</f>
        <v>OpenAI</v>
      </c>
      <c r="D54" s="7" t="str">
        <f aca="false">IF($C54="","",Recurring!$C$8)</f>
        <v>Expense</v>
      </c>
      <c r="E54" s="118" t="n">
        <f aca="false">IF($C54="","",IF(SUMIFS(Overrides!$E$9:$E$108,Overrides!$B$9:$B$108,$C54,Overrides!$C$9:$C$108,$L54)&gt;0,SUMIFS(Overrides!$E$9:$E$108,Overrides!$B$9:$B$108,$C54,Overrides!$C$9:$C$108,$L54),Recurring!$D$8))</f>
        <v>20</v>
      </c>
      <c r="F54" s="119" t="n">
        <f aca="false">IF($C54="","",IF(Recurring!$E$8="Weekly",Recurring!$F$8+7*2,IF(Recurring!$E$8="Every 2 Weeks",Recurring!$F$8+14*2,IF(Recurring!$E$8="Monthly",EDATE(Recurring!$F$8,2),IF(Recurring!$E$8="Twice a Month",IF(MOD((IF(DAY(Recurring!$F$8)&lt;=20,0,1)+2),2)=1,EOMONTH(Recurring!$F$8,INT((IF(DAY(Recurring!$F$8)&lt;=20,0,1)+2)/2)),DATE(YEAR(EDATE(Recurring!$F$8,INT((IF(DAY(Recurring!$F$8)&lt;=20,0,1)+2)/2))),MONTH(EDATE(Recurring!$F$8,INT((IF(DAY(Recurring!$F$8)&lt;=20,0,1)+2)/2))),15)),IF(Recurring!$E$8="One Time",IF(3=1,Recurring!$F$8,""),""))))))</f>
        <v>46331</v>
      </c>
      <c r="G54" s="119" t="n">
        <f aca="false">IF($L54="","",IF(SUMIFS(Overrides!$D$9:$D$108,Overrides!$B$9:$B$108,$C54,Overrides!$C$9:$C$108,$L54)&gt;0,SUMIFS(Overrides!$D$9:$D$108,Overrides!$B$9:$B$108,$C54,Overrides!$C$9:$C$108,$L54),$L54))</f>
        <v>46331</v>
      </c>
      <c r="H54" s="120" t="n">
        <f aca="false">IF($G54="",0,IF(AND($G54&gt;='Cash Flow'!$E$6,$G54&lt;'Cash Flow'!$E$6+91),1,0))</f>
        <v>1</v>
      </c>
      <c r="I54" s="120" t="n">
        <f aca="false">IF($H54=1,MAX(1,INT(($G54-'Cash Flow'!$E$6)/7)+1),"")</f>
        <v>12</v>
      </c>
      <c r="J54" s="7" t="n">
        <f aca="false">IF($H54=1,$G54*10000+ROW(),"")</f>
        <v>463310054</v>
      </c>
      <c r="K54" s="7" t="n">
        <f aca="false">IF($H54=1,$I54*1000+COUNTIFS($I$4:$I$483,$I54,$J$4:$J$483,"&lt;"&amp;$J54)+1,"")</f>
        <v>12004</v>
      </c>
      <c r="L54" s="121" t="n">
        <f aca="false">IF($F54="","",IF(Recurring!$G$8="Move Before",IF(WEEKDAY($F54,2)=6,$F54-1,IF(WEEKDAY($F54,2)=7,$F54-2,$F54)),IF(Recurring!$G$8="Move After",IF(WEEKDAY($F54,2)=6,$F54+2,IF(WEEKDAY($F54,2)=7,$F54+1,$F54)),$F54)))</f>
        <v>46331</v>
      </c>
      <c r="M54" s="0" t="str">
        <f aca="true">IF(AND($H54=1,$D54="Expense",$G54&gt;TODAY(),$E54&gt;=100),$G54*100000+ROW(),"")</f>
        <v/>
      </c>
      <c r="N54" s="0" t="str">
        <f aca="true">IF(AND($H54=1,$D54="Income",$G54&gt;TODAY()),$G54*100000+ROW(),"")</f>
        <v/>
      </c>
    </row>
    <row r="55" customFormat="false" ht="15" hidden="false" customHeight="true" outlineLevel="0" collapsed="false">
      <c r="A55" s="117" t="n">
        <v>4</v>
      </c>
      <c r="B55" s="117" t="n">
        <v>4</v>
      </c>
      <c r="C55" s="7" t="str">
        <f aca="false">IF(OR(Recurring!$B$8="",Recurring!$H$8&lt;&gt;"Yes",Recurring!$D$8=""),"",Recurring!$B$8)</f>
        <v>OpenAI</v>
      </c>
      <c r="D55" s="7" t="str">
        <f aca="false">IF($C55="","",Recurring!$C$8)</f>
        <v>Expense</v>
      </c>
      <c r="E55" s="118" t="n">
        <f aca="false">IF($C55="","",IF(SUMIFS(Overrides!$E$9:$E$108,Overrides!$B$9:$B$108,$C55,Overrides!$C$9:$C$108,$L55)&gt;0,SUMIFS(Overrides!$E$9:$E$108,Overrides!$B$9:$B$108,$C55,Overrides!$C$9:$C$108,$L55),Recurring!$D$8))</f>
        <v>20</v>
      </c>
      <c r="F55" s="119" t="n">
        <f aca="false">IF($C55="","",IF(Recurring!$E$8="Weekly",Recurring!$F$8+7*3,IF(Recurring!$E$8="Every 2 Weeks",Recurring!$F$8+14*3,IF(Recurring!$E$8="Monthly",EDATE(Recurring!$F$8,3),IF(Recurring!$E$8="Twice a Month",IF(MOD((IF(DAY(Recurring!$F$8)&lt;=20,0,1)+3),2)=1,EOMONTH(Recurring!$F$8,INT((IF(DAY(Recurring!$F$8)&lt;=20,0,1)+3)/2)),DATE(YEAR(EDATE(Recurring!$F$8,INT((IF(DAY(Recurring!$F$8)&lt;=20,0,1)+3)/2))),MONTH(EDATE(Recurring!$F$8,INT((IF(DAY(Recurring!$F$8)&lt;=20,0,1)+3)/2))),15)),IF(Recurring!$E$8="One Time",IF(4=1,Recurring!$F$8,""),""))))))</f>
        <v>46361</v>
      </c>
      <c r="G55" s="119" t="n">
        <f aca="false">IF($L55="","",IF(SUMIFS(Overrides!$D$9:$D$108,Overrides!$B$9:$B$108,$C55,Overrides!$C$9:$C$108,$L55)&gt;0,SUMIFS(Overrides!$D$9:$D$108,Overrides!$B$9:$B$108,$C55,Overrides!$C$9:$C$108,$L55),$L55))</f>
        <v>46361</v>
      </c>
      <c r="H55" s="120" t="n">
        <f aca="false">IF($G55="",0,IF(AND($G55&gt;='Cash Flow'!$E$6,$G55&lt;'Cash Flow'!$E$6+91),1,0))</f>
        <v>0</v>
      </c>
      <c r="I55" s="120" t="str">
        <f aca="false">IF($H55=1,MAX(1,INT(($G55-'Cash Flow'!$E$6)/7)+1),"")</f>
        <v/>
      </c>
      <c r="J55" s="7" t="str">
        <f aca="false">IF($H55=1,$G55*10000+ROW(),"")</f>
        <v/>
      </c>
      <c r="K55" s="7" t="str">
        <f aca="false">IF($H55=1,$I55*1000+COUNTIFS($I$4:$I$483,$I55,$J$4:$J$483,"&lt;"&amp;$J55)+1,"")</f>
        <v/>
      </c>
      <c r="L55" s="121" t="n">
        <f aca="false">IF($F55="","",IF(Recurring!$G$8="Move Before",IF(WEEKDAY($F55,2)=6,$F55-1,IF(WEEKDAY($F55,2)=7,$F55-2,$F55)),IF(Recurring!$G$8="Move After",IF(WEEKDAY($F55,2)=6,$F55+2,IF(WEEKDAY($F55,2)=7,$F55+1,$F55)),$F55)))</f>
        <v>46361</v>
      </c>
      <c r="M55" s="0" t="str">
        <f aca="true">IF(AND($H55=1,$D55="Expense",$G55&gt;TODAY(),$E55&gt;=100),$G55*100000+ROW(),"")</f>
        <v/>
      </c>
      <c r="N55" s="0" t="str">
        <f aca="true">IF(AND($H55=1,$D55="Income",$G55&gt;TODAY()),$G55*100000+ROW(),"")</f>
        <v/>
      </c>
    </row>
    <row r="56" customFormat="false" ht="15" hidden="false" customHeight="true" outlineLevel="0" collapsed="false">
      <c r="A56" s="117" t="n">
        <v>4</v>
      </c>
      <c r="B56" s="117" t="n">
        <v>5</v>
      </c>
      <c r="C56" s="7" t="str">
        <f aca="false">IF(OR(Recurring!$B$8="",Recurring!$H$8&lt;&gt;"Yes",Recurring!$D$8=""),"",Recurring!$B$8)</f>
        <v>OpenAI</v>
      </c>
      <c r="D56" s="7" t="str">
        <f aca="false">IF($C56="","",Recurring!$C$8)</f>
        <v>Expense</v>
      </c>
      <c r="E56" s="118" t="n">
        <f aca="false">IF($C56="","",IF(SUMIFS(Overrides!$E$9:$E$108,Overrides!$B$9:$B$108,$C56,Overrides!$C$9:$C$108,$L56)&gt;0,SUMIFS(Overrides!$E$9:$E$108,Overrides!$B$9:$B$108,$C56,Overrides!$C$9:$C$108,$L56),Recurring!$D$8))</f>
        <v>20</v>
      </c>
      <c r="F56" s="119" t="n">
        <f aca="false">IF($C56="","",IF(Recurring!$E$8="Weekly",Recurring!$F$8+7*4,IF(Recurring!$E$8="Every 2 Weeks",Recurring!$F$8+14*4,IF(Recurring!$E$8="Monthly",EDATE(Recurring!$F$8,4),IF(Recurring!$E$8="Twice a Month",IF(MOD((IF(DAY(Recurring!$F$8)&lt;=20,0,1)+4),2)=1,EOMONTH(Recurring!$F$8,INT((IF(DAY(Recurring!$F$8)&lt;=20,0,1)+4)/2)),DATE(YEAR(EDATE(Recurring!$F$8,INT((IF(DAY(Recurring!$F$8)&lt;=20,0,1)+4)/2))),MONTH(EDATE(Recurring!$F$8,INT((IF(DAY(Recurring!$F$8)&lt;=20,0,1)+4)/2))),15)),IF(Recurring!$E$8="One Time",IF(5=1,Recurring!$F$8,""),""))))))</f>
        <v>46392</v>
      </c>
      <c r="G56" s="119" t="n">
        <f aca="false">IF($L56="","",IF(SUMIFS(Overrides!$D$9:$D$108,Overrides!$B$9:$B$108,$C56,Overrides!$C$9:$C$108,$L56)&gt;0,SUMIFS(Overrides!$D$9:$D$108,Overrides!$B$9:$B$108,$C56,Overrides!$C$9:$C$108,$L56),$L56))</f>
        <v>46392</v>
      </c>
      <c r="H56" s="120" t="n">
        <f aca="false">IF($G56="",0,IF(AND($G56&gt;='Cash Flow'!$E$6,$G56&lt;'Cash Flow'!$E$6+91),1,0))</f>
        <v>0</v>
      </c>
      <c r="I56" s="120" t="str">
        <f aca="false">IF($H56=1,MAX(1,INT(($G56-'Cash Flow'!$E$6)/7)+1),"")</f>
        <v/>
      </c>
      <c r="J56" s="7" t="str">
        <f aca="false">IF($H56=1,$G56*10000+ROW(),"")</f>
        <v/>
      </c>
      <c r="K56" s="7" t="str">
        <f aca="false">IF($H56=1,$I56*1000+COUNTIFS($I$4:$I$483,$I56,$J$4:$J$483,"&lt;"&amp;$J56)+1,"")</f>
        <v/>
      </c>
      <c r="L56" s="121" t="n">
        <f aca="false">IF($F56="","",IF(Recurring!$G$8="Move Before",IF(WEEKDAY($F56,2)=6,$F56-1,IF(WEEKDAY($F56,2)=7,$F56-2,$F56)),IF(Recurring!$G$8="Move After",IF(WEEKDAY($F56,2)=6,$F56+2,IF(WEEKDAY($F56,2)=7,$F56+1,$F56)),$F56)))</f>
        <v>46392</v>
      </c>
      <c r="M56" s="0" t="str">
        <f aca="true">IF(AND($H56=1,$D56="Expense",$G56&gt;TODAY(),$E56&gt;=100),$G56*100000+ROW(),"")</f>
        <v/>
      </c>
      <c r="N56" s="0" t="str">
        <f aca="true">IF(AND($H56=1,$D56="Income",$G56&gt;TODAY()),$G56*100000+ROW(),"")</f>
        <v/>
      </c>
    </row>
    <row r="57" customFormat="false" ht="15" hidden="false" customHeight="true" outlineLevel="0" collapsed="false">
      <c r="A57" s="117" t="n">
        <v>4</v>
      </c>
      <c r="B57" s="117" t="n">
        <v>6</v>
      </c>
      <c r="C57" s="7" t="str">
        <f aca="false">IF(OR(Recurring!$B$8="",Recurring!$H$8&lt;&gt;"Yes",Recurring!$D$8=""),"",Recurring!$B$8)</f>
        <v>OpenAI</v>
      </c>
      <c r="D57" s="7" t="str">
        <f aca="false">IF($C57="","",Recurring!$C$8)</f>
        <v>Expense</v>
      </c>
      <c r="E57" s="118" t="n">
        <f aca="false">IF($C57="","",IF(SUMIFS(Overrides!$E$9:$E$108,Overrides!$B$9:$B$108,$C57,Overrides!$C$9:$C$108,$L57)&gt;0,SUMIFS(Overrides!$E$9:$E$108,Overrides!$B$9:$B$108,$C57,Overrides!$C$9:$C$108,$L57),Recurring!$D$8))</f>
        <v>20</v>
      </c>
      <c r="F57" s="119" t="n">
        <f aca="false">IF($C57="","",IF(Recurring!$E$8="Weekly",Recurring!$F$8+7*5,IF(Recurring!$E$8="Every 2 Weeks",Recurring!$F$8+14*5,IF(Recurring!$E$8="Monthly",EDATE(Recurring!$F$8,5),IF(Recurring!$E$8="Twice a Month",IF(MOD((IF(DAY(Recurring!$F$8)&lt;=20,0,1)+5),2)=1,EOMONTH(Recurring!$F$8,INT((IF(DAY(Recurring!$F$8)&lt;=20,0,1)+5)/2)),DATE(YEAR(EDATE(Recurring!$F$8,INT((IF(DAY(Recurring!$F$8)&lt;=20,0,1)+5)/2))),MONTH(EDATE(Recurring!$F$8,INT((IF(DAY(Recurring!$F$8)&lt;=20,0,1)+5)/2))),15)),IF(Recurring!$E$8="One Time",IF(6=1,Recurring!$F$8,""),""))))))</f>
        <v>46423</v>
      </c>
      <c r="G57" s="119" t="n">
        <f aca="false">IF($L57="","",IF(SUMIFS(Overrides!$D$9:$D$108,Overrides!$B$9:$B$108,$C57,Overrides!$C$9:$C$108,$L57)&gt;0,SUMIFS(Overrides!$D$9:$D$108,Overrides!$B$9:$B$108,$C57,Overrides!$C$9:$C$108,$L57),$L57))</f>
        <v>46423</v>
      </c>
      <c r="H57" s="120" t="n">
        <f aca="false">IF($G57="",0,IF(AND($G57&gt;='Cash Flow'!$E$6,$G57&lt;'Cash Flow'!$E$6+91),1,0))</f>
        <v>0</v>
      </c>
      <c r="I57" s="120" t="str">
        <f aca="false">IF($H57=1,MAX(1,INT(($G57-'Cash Flow'!$E$6)/7)+1),"")</f>
        <v/>
      </c>
      <c r="J57" s="7" t="str">
        <f aca="false">IF($H57=1,$G57*10000+ROW(),"")</f>
        <v/>
      </c>
      <c r="K57" s="7" t="str">
        <f aca="false">IF($H57=1,$I57*1000+COUNTIFS($I$4:$I$483,$I57,$J$4:$J$483,"&lt;"&amp;$J57)+1,"")</f>
        <v/>
      </c>
      <c r="L57" s="121" t="n">
        <f aca="false">IF($F57="","",IF(Recurring!$G$8="Move Before",IF(WEEKDAY($F57,2)=6,$F57-1,IF(WEEKDAY($F57,2)=7,$F57-2,$F57)),IF(Recurring!$G$8="Move After",IF(WEEKDAY($F57,2)=6,$F57+2,IF(WEEKDAY($F57,2)=7,$F57+1,$F57)),$F57)))</f>
        <v>46423</v>
      </c>
      <c r="M57" s="0" t="str">
        <f aca="true">IF(AND($H57=1,$D57="Expense",$G57&gt;TODAY(),$E57&gt;=100),$G57*100000+ROW(),"")</f>
        <v/>
      </c>
      <c r="N57" s="0" t="str">
        <f aca="true">IF(AND($H57=1,$D57="Income",$G57&gt;TODAY()),$G57*100000+ROW(),"")</f>
        <v/>
      </c>
    </row>
    <row r="58" customFormat="false" ht="15" hidden="false" customHeight="true" outlineLevel="0" collapsed="false">
      <c r="A58" s="117" t="n">
        <v>4</v>
      </c>
      <c r="B58" s="117" t="n">
        <v>7</v>
      </c>
      <c r="C58" s="7" t="str">
        <f aca="false">IF(OR(Recurring!$B$8="",Recurring!$H$8&lt;&gt;"Yes",Recurring!$D$8=""),"",Recurring!$B$8)</f>
        <v>OpenAI</v>
      </c>
      <c r="D58" s="7" t="str">
        <f aca="false">IF($C58="","",Recurring!$C$8)</f>
        <v>Expense</v>
      </c>
      <c r="E58" s="118" t="n">
        <f aca="false">IF($C58="","",IF(SUMIFS(Overrides!$E$9:$E$108,Overrides!$B$9:$B$108,$C58,Overrides!$C$9:$C$108,$L58)&gt;0,SUMIFS(Overrides!$E$9:$E$108,Overrides!$B$9:$B$108,$C58,Overrides!$C$9:$C$108,$L58),Recurring!$D$8))</f>
        <v>20</v>
      </c>
      <c r="F58" s="119" t="n">
        <f aca="false">IF($C58="","",IF(Recurring!$E$8="Weekly",Recurring!$F$8+7*6,IF(Recurring!$E$8="Every 2 Weeks",Recurring!$F$8+14*6,IF(Recurring!$E$8="Monthly",EDATE(Recurring!$F$8,6),IF(Recurring!$E$8="Twice a Month",IF(MOD((IF(DAY(Recurring!$F$8)&lt;=20,0,1)+6),2)=1,EOMONTH(Recurring!$F$8,INT((IF(DAY(Recurring!$F$8)&lt;=20,0,1)+6)/2)),DATE(YEAR(EDATE(Recurring!$F$8,INT((IF(DAY(Recurring!$F$8)&lt;=20,0,1)+6)/2))),MONTH(EDATE(Recurring!$F$8,INT((IF(DAY(Recurring!$F$8)&lt;=20,0,1)+6)/2))),15)),IF(Recurring!$E$8="One Time",IF(7=1,Recurring!$F$8,""),""))))))</f>
        <v>46451</v>
      </c>
      <c r="G58" s="119" t="n">
        <f aca="false">IF($L58="","",IF(SUMIFS(Overrides!$D$9:$D$108,Overrides!$B$9:$B$108,$C58,Overrides!$C$9:$C$108,$L58)&gt;0,SUMIFS(Overrides!$D$9:$D$108,Overrides!$B$9:$B$108,$C58,Overrides!$C$9:$C$108,$L58),$L58))</f>
        <v>46451</v>
      </c>
      <c r="H58" s="120" t="n">
        <f aca="false">IF($G58="",0,IF(AND($G58&gt;='Cash Flow'!$E$6,$G58&lt;'Cash Flow'!$E$6+91),1,0))</f>
        <v>0</v>
      </c>
      <c r="I58" s="120" t="str">
        <f aca="false">IF($H58=1,MAX(1,INT(($G58-'Cash Flow'!$E$6)/7)+1),"")</f>
        <v/>
      </c>
      <c r="J58" s="7" t="str">
        <f aca="false">IF($H58=1,$G58*10000+ROW(),"")</f>
        <v/>
      </c>
      <c r="K58" s="7" t="str">
        <f aca="false">IF($H58=1,$I58*1000+COUNTIFS($I$4:$I$483,$I58,$J$4:$J$483,"&lt;"&amp;$J58)+1,"")</f>
        <v/>
      </c>
      <c r="L58" s="121" t="n">
        <f aca="false">IF($F58="","",IF(Recurring!$G$8="Move Before",IF(WEEKDAY($F58,2)=6,$F58-1,IF(WEEKDAY($F58,2)=7,$F58-2,$F58)),IF(Recurring!$G$8="Move After",IF(WEEKDAY($F58,2)=6,$F58+2,IF(WEEKDAY($F58,2)=7,$F58+1,$F58)),$F58)))</f>
        <v>46451</v>
      </c>
      <c r="M58" s="0" t="str">
        <f aca="true">IF(AND($H58=1,$D58="Expense",$G58&gt;TODAY(),$E58&gt;=100),$G58*100000+ROW(),"")</f>
        <v/>
      </c>
      <c r="N58" s="0" t="str">
        <f aca="true">IF(AND($H58=1,$D58="Income",$G58&gt;TODAY()),$G58*100000+ROW(),"")</f>
        <v/>
      </c>
    </row>
    <row r="59" customFormat="false" ht="15" hidden="false" customHeight="true" outlineLevel="0" collapsed="false">
      <c r="A59" s="117" t="n">
        <v>4</v>
      </c>
      <c r="B59" s="117" t="n">
        <v>8</v>
      </c>
      <c r="C59" s="7" t="str">
        <f aca="false">IF(OR(Recurring!$B$8="",Recurring!$H$8&lt;&gt;"Yes",Recurring!$D$8=""),"",Recurring!$B$8)</f>
        <v>OpenAI</v>
      </c>
      <c r="D59" s="7" t="str">
        <f aca="false">IF($C59="","",Recurring!$C$8)</f>
        <v>Expense</v>
      </c>
      <c r="E59" s="118" t="n">
        <f aca="false">IF($C59="","",IF(SUMIFS(Overrides!$E$9:$E$108,Overrides!$B$9:$B$108,$C59,Overrides!$C$9:$C$108,$L59)&gt;0,SUMIFS(Overrides!$E$9:$E$108,Overrides!$B$9:$B$108,$C59,Overrides!$C$9:$C$108,$L59),Recurring!$D$8))</f>
        <v>20</v>
      </c>
      <c r="F59" s="119" t="n">
        <f aca="false">IF($C59="","",IF(Recurring!$E$8="Weekly",Recurring!$F$8+7*7,IF(Recurring!$E$8="Every 2 Weeks",Recurring!$F$8+14*7,IF(Recurring!$E$8="Monthly",EDATE(Recurring!$F$8,7),IF(Recurring!$E$8="Twice a Month",IF(MOD((IF(DAY(Recurring!$F$8)&lt;=20,0,1)+7),2)=1,EOMONTH(Recurring!$F$8,INT((IF(DAY(Recurring!$F$8)&lt;=20,0,1)+7)/2)),DATE(YEAR(EDATE(Recurring!$F$8,INT((IF(DAY(Recurring!$F$8)&lt;=20,0,1)+7)/2))),MONTH(EDATE(Recurring!$F$8,INT((IF(DAY(Recurring!$F$8)&lt;=20,0,1)+7)/2))),15)),IF(Recurring!$E$8="One Time",IF(8=1,Recurring!$F$8,""),""))))))</f>
        <v>46482</v>
      </c>
      <c r="G59" s="119" t="n">
        <f aca="false">IF($L59="","",IF(SUMIFS(Overrides!$D$9:$D$108,Overrides!$B$9:$B$108,$C59,Overrides!$C$9:$C$108,$L59)&gt;0,SUMIFS(Overrides!$D$9:$D$108,Overrides!$B$9:$B$108,$C59,Overrides!$C$9:$C$108,$L59),$L59))</f>
        <v>46482</v>
      </c>
      <c r="H59" s="120" t="n">
        <f aca="false">IF($G59="",0,IF(AND($G59&gt;='Cash Flow'!$E$6,$G59&lt;'Cash Flow'!$E$6+91),1,0))</f>
        <v>0</v>
      </c>
      <c r="I59" s="120" t="str">
        <f aca="false">IF($H59=1,MAX(1,INT(($G59-'Cash Flow'!$E$6)/7)+1),"")</f>
        <v/>
      </c>
      <c r="J59" s="7" t="str">
        <f aca="false">IF($H59=1,$G59*10000+ROW(),"")</f>
        <v/>
      </c>
      <c r="K59" s="7" t="str">
        <f aca="false">IF($H59=1,$I59*1000+COUNTIFS($I$4:$I$483,$I59,$J$4:$J$483,"&lt;"&amp;$J59)+1,"")</f>
        <v/>
      </c>
      <c r="L59" s="121" t="n">
        <f aca="false">IF($F59="","",IF(Recurring!$G$8="Move Before",IF(WEEKDAY($F59,2)=6,$F59-1,IF(WEEKDAY($F59,2)=7,$F59-2,$F59)),IF(Recurring!$G$8="Move After",IF(WEEKDAY($F59,2)=6,$F59+2,IF(WEEKDAY($F59,2)=7,$F59+1,$F59)),$F59)))</f>
        <v>46482</v>
      </c>
      <c r="M59" s="0" t="str">
        <f aca="true">IF(AND($H59=1,$D59="Expense",$G59&gt;TODAY(),$E59&gt;=100),$G59*100000+ROW(),"")</f>
        <v/>
      </c>
      <c r="N59" s="0" t="str">
        <f aca="true">IF(AND($H59=1,$D59="Income",$G59&gt;TODAY()),$G59*100000+ROW(),"")</f>
        <v/>
      </c>
    </row>
    <row r="60" customFormat="false" ht="15" hidden="false" customHeight="true" outlineLevel="0" collapsed="false">
      <c r="A60" s="117" t="n">
        <v>4</v>
      </c>
      <c r="B60" s="117" t="n">
        <v>9</v>
      </c>
      <c r="C60" s="7" t="str">
        <f aca="false">IF(OR(Recurring!$B$8="",Recurring!$H$8&lt;&gt;"Yes",Recurring!$D$8=""),"",Recurring!$B$8)</f>
        <v>OpenAI</v>
      </c>
      <c r="D60" s="7" t="str">
        <f aca="false">IF($C60="","",Recurring!$C$8)</f>
        <v>Expense</v>
      </c>
      <c r="E60" s="118" t="n">
        <f aca="false">IF($C60="","",IF(SUMIFS(Overrides!$E$9:$E$108,Overrides!$B$9:$B$108,$C60,Overrides!$C$9:$C$108,$L60)&gt;0,SUMIFS(Overrides!$E$9:$E$108,Overrides!$B$9:$B$108,$C60,Overrides!$C$9:$C$108,$L60),Recurring!$D$8))</f>
        <v>20</v>
      </c>
      <c r="F60" s="119" t="n">
        <f aca="false">IF($C60="","",IF(Recurring!$E$8="Weekly",Recurring!$F$8+7*8,IF(Recurring!$E$8="Every 2 Weeks",Recurring!$F$8+14*8,IF(Recurring!$E$8="Monthly",EDATE(Recurring!$F$8,8),IF(Recurring!$E$8="Twice a Month",IF(MOD((IF(DAY(Recurring!$F$8)&lt;=20,0,1)+8),2)=1,EOMONTH(Recurring!$F$8,INT((IF(DAY(Recurring!$F$8)&lt;=20,0,1)+8)/2)),DATE(YEAR(EDATE(Recurring!$F$8,INT((IF(DAY(Recurring!$F$8)&lt;=20,0,1)+8)/2))),MONTH(EDATE(Recurring!$F$8,INT((IF(DAY(Recurring!$F$8)&lt;=20,0,1)+8)/2))),15)),IF(Recurring!$E$8="One Time",IF(9=1,Recurring!$F$8,""),""))))))</f>
        <v>46512</v>
      </c>
      <c r="G60" s="119" t="n">
        <f aca="false">IF($L60="","",IF(SUMIFS(Overrides!$D$9:$D$108,Overrides!$B$9:$B$108,$C60,Overrides!$C$9:$C$108,$L60)&gt;0,SUMIFS(Overrides!$D$9:$D$108,Overrides!$B$9:$B$108,$C60,Overrides!$C$9:$C$108,$L60),$L60))</f>
        <v>46512</v>
      </c>
      <c r="H60" s="120" t="n">
        <f aca="false">IF($G60="",0,IF(AND($G60&gt;='Cash Flow'!$E$6,$G60&lt;'Cash Flow'!$E$6+91),1,0))</f>
        <v>0</v>
      </c>
      <c r="I60" s="120" t="str">
        <f aca="false">IF($H60=1,MAX(1,INT(($G60-'Cash Flow'!$E$6)/7)+1),"")</f>
        <v/>
      </c>
      <c r="J60" s="7" t="str">
        <f aca="false">IF($H60=1,$G60*10000+ROW(),"")</f>
        <v/>
      </c>
      <c r="K60" s="7" t="str">
        <f aca="false">IF($H60=1,$I60*1000+COUNTIFS($I$4:$I$483,$I60,$J$4:$J$483,"&lt;"&amp;$J60)+1,"")</f>
        <v/>
      </c>
      <c r="L60" s="121" t="n">
        <f aca="false">IF($F60="","",IF(Recurring!$G$8="Move Before",IF(WEEKDAY($F60,2)=6,$F60-1,IF(WEEKDAY($F60,2)=7,$F60-2,$F60)),IF(Recurring!$G$8="Move After",IF(WEEKDAY($F60,2)=6,$F60+2,IF(WEEKDAY($F60,2)=7,$F60+1,$F60)),$F60)))</f>
        <v>46512</v>
      </c>
      <c r="M60" s="0" t="str">
        <f aca="true">IF(AND($H60=1,$D60="Expense",$G60&gt;TODAY(),$E60&gt;=100),$G60*100000+ROW(),"")</f>
        <v/>
      </c>
      <c r="N60" s="0" t="str">
        <f aca="true">IF(AND($H60=1,$D60="Income",$G60&gt;TODAY()),$G60*100000+ROW(),"")</f>
        <v/>
      </c>
    </row>
    <row r="61" customFormat="false" ht="15" hidden="false" customHeight="true" outlineLevel="0" collapsed="false">
      <c r="A61" s="117" t="n">
        <v>4</v>
      </c>
      <c r="B61" s="117" t="n">
        <v>10</v>
      </c>
      <c r="C61" s="7" t="str">
        <f aca="false">IF(OR(Recurring!$B$8="",Recurring!$H$8&lt;&gt;"Yes",Recurring!$D$8=""),"",Recurring!$B$8)</f>
        <v>OpenAI</v>
      </c>
      <c r="D61" s="7" t="str">
        <f aca="false">IF($C61="","",Recurring!$C$8)</f>
        <v>Expense</v>
      </c>
      <c r="E61" s="118" t="n">
        <f aca="false">IF($C61="","",IF(SUMIFS(Overrides!$E$9:$E$108,Overrides!$B$9:$B$108,$C61,Overrides!$C$9:$C$108,$L61)&gt;0,SUMIFS(Overrides!$E$9:$E$108,Overrides!$B$9:$B$108,$C61,Overrides!$C$9:$C$108,$L61),Recurring!$D$8))</f>
        <v>20</v>
      </c>
      <c r="F61" s="119" t="n">
        <f aca="false">IF($C61="","",IF(Recurring!$E$8="Weekly",Recurring!$F$8+7*9,IF(Recurring!$E$8="Every 2 Weeks",Recurring!$F$8+14*9,IF(Recurring!$E$8="Monthly",EDATE(Recurring!$F$8,9),IF(Recurring!$E$8="Twice a Month",IF(MOD((IF(DAY(Recurring!$F$8)&lt;=20,0,1)+9),2)=1,EOMONTH(Recurring!$F$8,INT((IF(DAY(Recurring!$F$8)&lt;=20,0,1)+9)/2)),DATE(YEAR(EDATE(Recurring!$F$8,INT((IF(DAY(Recurring!$F$8)&lt;=20,0,1)+9)/2))),MONTH(EDATE(Recurring!$F$8,INT((IF(DAY(Recurring!$F$8)&lt;=20,0,1)+9)/2))),15)),IF(Recurring!$E$8="One Time",IF(10=1,Recurring!$F$8,""),""))))))</f>
        <v>46543</v>
      </c>
      <c r="G61" s="119" t="n">
        <f aca="false">IF($L61="","",IF(SUMIFS(Overrides!$D$9:$D$108,Overrides!$B$9:$B$108,$C61,Overrides!$C$9:$C$108,$L61)&gt;0,SUMIFS(Overrides!$D$9:$D$108,Overrides!$B$9:$B$108,$C61,Overrides!$C$9:$C$108,$L61),$L61))</f>
        <v>46543</v>
      </c>
      <c r="H61" s="120" t="n">
        <f aca="false">IF($G61="",0,IF(AND($G61&gt;='Cash Flow'!$E$6,$G61&lt;'Cash Flow'!$E$6+91),1,0))</f>
        <v>0</v>
      </c>
      <c r="I61" s="120" t="str">
        <f aca="false">IF($H61=1,MAX(1,INT(($G61-'Cash Flow'!$E$6)/7)+1),"")</f>
        <v/>
      </c>
      <c r="J61" s="7" t="str">
        <f aca="false">IF($H61=1,$G61*10000+ROW(),"")</f>
        <v/>
      </c>
      <c r="K61" s="7" t="str">
        <f aca="false">IF($H61=1,$I61*1000+COUNTIFS($I$4:$I$483,$I61,$J$4:$J$483,"&lt;"&amp;$J61)+1,"")</f>
        <v/>
      </c>
      <c r="L61" s="121" t="n">
        <f aca="false">IF($F61="","",IF(Recurring!$G$8="Move Before",IF(WEEKDAY($F61,2)=6,$F61-1,IF(WEEKDAY($F61,2)=7,$F61-2,$F61)),IF(Recurring!$G$8="Move After",IF(WEEKDAY($F61,2)=6,$F61+2,IF(WEEKDAY($F61,2)=7,$F61+1,$F61)),$F61)))</f>
        <v>46543</v>
      </c>
      <c r="M61" s="0" t="str">
        <f aca="true">IF(AND($H61=1,$D61="Expense",$G61&gt;TODAY(),$E61&gt;=100),$G61*100000+ROW(),"")</f>
        <v/>
      </c>
      <c r="N61" s="0" t="str">
        <f aca="true">IF(AND($H61=1,$D61="Income",$G61&gt;TODAY()),$G61*100000+ROW(),"")</f>
        <v/>
      </c>
    </row>
    <row r="62" customFormat="false" ht="15" hidden="false" customHeight="true" outlineLevel="0" collapsed="false">
      <c r="A62" s="117" t="n">
        <v>4</v>
      </c>
      <c r="B62" s="117" t="n">
        <v>11</v>
      </c>
      <c r="C62" s="7" t="str">
        <f aca="false">IF(OR(Recurring!$B$8="",Recurring!$H$8&lt;&gt;"Yes",Recurring!$D$8=""),"",Recurring!$B$8)</f>
        <v>OpenAI</v>
      </c>
      <c r="D62" s="7" t="str">
        <f aca="false">IF($C62="","",Recurring!$C$8)</f>
        <v>Expense</v>
      </c>
      <c r="E62" s="118" t="n">
        <f aca="false">IF($C62="","",IF(SUMIFS(Overrides!$E$9:$E$108,Overrides!$B$9:$B$108,$C62,Overrides!$C$9:$C$108,$L62)&gt;0,SUMIFS(Overrides!$E$9:$E$108,Overrides!$B$9:$B$108,$C62,Overrides!$C$9:$C$108,$L62),Recurring!$D$8))</f>
        <v>20</v>
      </c>
      <c r="F62" s="119" t="n">
        <f aca="false">IF($C62="","",IF(Recurring!$E$8="Weekly",Recurring!$F$8+7*10,IF(Recurring!$E$8="Every 2 Weeks",Recurring!$F$8+14*10,IF(Recurring!$E$8="Monthly",EDATE(Recurring!$F$8,10),IF(Recurring!$E$8="Twice a Month",IF(MOD((IF(DAY(Recurring!$F$8)&lt;=20,0,1)+10),2)=1,EOMONTH(Recurring!$F$8,INT((IF(DAY(Recurring!$F$8)&lt;=20,0,1)+10)/2)),DATE(YEAR(EDATE(Recurring!$F$8,INT((IF(DAY(Recurring!$F$8)&lt;=20,0,1)+10)/2))),MONTH(EDATE(Recurring!$F$8,INT((IF(DAY(Recurring!$F$8)&lt;=20,0,1)+10)/2))),15)),IF(Recurring!$E$8="One Time",IF(11=1,Recurring!$F$8,""),""))))))</f>
        <v>46573</v>
      </c>
      <c r="G62" s="119" t="n">
        <f aca="false">IF($L62="","",IF(SUMIFS(Overrides!$D$9:$D$108,Overrides!$B$9:$B$108,$C62,Overrides!$C$9:$C$108,$L62)&gt;0,SUMIFS(Overrides!$D$9:$D$108,Overrides!$B$9:$B$108,$C62,Overrides!$C$9:$C$108,$L62),$L62))</f>
        <v>46573</v>
      </c>
      <c r="H62" s="120" t="n">
        <f aca="false">IF($G62="",0,IF(AND($G62&gt;='Cash Flow'!$E$6,$G62&lt;'Cash Flow'!$E$6+91),1,0))</f>
        <v>0</v>
      </c>
      <c r="I62" s="120" t="str">
        <f aca="false">IF($H62=1,MAX(1,INT(($G62-'Cash Flow'!$E$6)/7)+1),"")</f>
        <v/>
      </c>
      <c r="J62" s="7" t="str">
        <f aca="false">IF($H62=1,$G62*10000+ROW(),"")</f>
        <v/>
      </c>
      <c r="K62" s="7" t="str">
        <f aca="false">IF($H62=1,$I62*1000+COUNTIFS($I$4:$I$483,$I62,$J$4:$J$483,"&lt;"&amp;$J62)+1,"")</f>
        <v/>
      </c>
      <c r="L62" s="121" t="n">
        <f aca="false">IF($F62="","",IF(Recurring!$G$8="Move Before",IF(WEEKDAY($F62,2)=6,$F62-1,IF(WEEKDAY($F62,2)=7,$F62-2,$F62)),IF(Recurring!$G$8="Move After",IF(WEEKDAY($F62,2)=6,$F62+2,IF(WEEKDAY($F62,2)=7,$F62+1,$F62)),$F62)))</f>
        <v>46573</v>
      </c>
      <c r="M62" s="0" t="str">
        <f aca="true">IF(AND($H62=1,$D62="Expense",$G62&gt;TODAY(),$E62&gt;=100),$G62*100000+ROW(),"")</f>
        <v/>
      </c>
      <c r="N62" s="0" t="str">
        <f aca="true">IF(AND($H62=1,$D62="Income",$G62&gt;TODAY()),$G62*100000+ROW(),"")</f>
        <v/>
      </c>
    </row>
    <row r="63" customFormat="false" ht="15" hidden="false" customHeight="true" outlineLevel="0" collapsed="false">
      <c r="A63" s="117" t="n">
        <v>4</v>
      </c>
      <c r="B63" s="117" t="n">
        <v>12</v>
      </c>
      <c r="C63" s="7" t="str">
        <f aca="false">IF(OR(Recurring!$B$8="",Recurring!$H$8&lt;&gt;"Yes",Recurring!$D$8=""),"",Recurring!$B$8)</f>
        <v>OpenAI</v>
      </c>
      <c r="D63" s="7" t="str">
        <f aca="false">IF($C63="","",Recurring!$C$8)</f>
        <v>Expense</v>
      </c>
      <c r="E63" s="118" t="n">
        <f aca="false">IF($C63="","",IF(SUMIFS(Overrides!$E$9:$E$108,Overrides!$B$9:$B$108,$C63,Overrides!$C$9:$C$108,$L63)&gt;0,SUMIFS(Overrides!$E$9:$E$108,Overrides!$B$9:$B$108,$C63,Overrides!$C$9:$C$108,$L63),Recurring!$D$8))</f>
        <v>20</v>
      </c>
      <c r="F63" s="119" t="n">
        <f aca="false">IF($C63="","",IF(Recurring!$E$8="Weekly",Recurring!$F$8+7*11,IF(Recurring!$E$8="Every 2 Weeks",Recurring!$F$8+14*11,IF(Recurring!$E$8="Monthly",EDATE(Recurring!$F$8,11),IF(Recurring!$E$8="Twice a Month",IF(MOD((IF(DAY(Recurring!$F$8)&lt;=20,0,1)+11),2)=1,EOMONTH(Recurring!$F$8,INT((IF(DAY(Recurring!$F$8)&lt;=20,0,1)+11)/2)),DATE(YEAR(EDATE(Recurring!$F$8,INT((IF(DAY(Recurring!$F$8)&lt;=20,0,1)+11)/2))),MONTH(EDATE(Recurring!$F$8,INT((IF(DAY(Recurring!$F$8)&lt;=20,0,1)+11)/2))),15)),IF(Recurring!$E$8="One Time",IF(12=1,Recurring!$F$8,""),""))))))</f>
        <v>46604</v>
      </c>
      <c r="G63" s="119" t="n">
        <f aca="false">IF($L63="","",IF(SUMIFS(Overrides!$D$9:$D$108,Overrides!$B$9:$B$108,$C63,Overrides!$C$9:$C$108,$L63)&gt;0,SUMIFS(Overrides!$D$9:$D$108,Overrides!$B$9:$B$108,$C63,Overrides!$C$9:$C$108,$L63),$L63))</f>
        <v>46604</v>
      </c>
      <c r="H63" s="120" t="n">
        <f aca="false">IF($G63="",0,IF(AND($G63&gt;='Cash Flow'!$E$6,$G63&lt;'Cash Flow'!$E$6+91),1,0))</f>
        <v>0</v>
      </c>
      <c r="I63" s="120" t="str">
        <f aca="false">IF($H63=1,MAX(1,INT(($G63-'Cash Flow'!$E$6)/7)+1),"")</f>
        <v/>
      </c>
      <c r="J63" s="7" t="str">
        <f aca="false">IF($H63=1,$G63*10000+ROW(),"")</f>
        <v/>
      </c>
      <c r="K63" s="7" t="str">
        <f aca="false">IF($H63=1,$I63*1000+COUNTIFS($I$4:$I$483,$I63,$J$4:$J$483,"&lt;"&amp;$J63)+1,"")</f>
        <v/>
      </c>
      <c r="L63" s="121" t="n">
        <f aca="false">IF($F63="","",IF(Recurring!$G$8="Move Before",IF(WEEKDAY($F63,2)=6,$F63-1,IF(WEEKDAY($F63,2)=7,$F63-2,$F63)),IF(Recurring!$G$8="Move After",IF(WEEKDAY($F63,2)=6,$F63+2,IF(WEEKDAY($F63,2)=7,$F63+1,$F63)),$F63)))</f>
        <v>46604</v>
      </c>
      <c r="M63" s="0" t="str">
        <f aca="true">IF(AND($H63=1,$D63="Expense",$G63&gt;TODAY(),$E63&gt;=100),$G63*100000+ROW(),"")</f>
        <v/>
      </c>
      <c r="N63" s="0" t="str">
        <f aca="true">IF(AND($H63=1,$D63="Income",$G63&gt;TODAY()),$G63*100000+ROW(),"")</f>
        <v/>
      </c>
    </row>
    <row r="64" customFormat="false" ht="15" hidden="false" customHeight="true" outlineLevel="0" collapsed="false">
      <c r="A64" s="117" t="n">
        <v>4</v>
      </c>
      <c r="B64" s="117" t="n">
        <v>13</v>
      </c>
      <c r="C64" s="7" t="str">
        <f aca="false">IF(OR(Recurring!$B$8="",Recurring!$H$8&lt;&gt;"Yes",Recurring!$D$8=""),"",Recurring!$B$8)</f>
        <v>OpenAI</v>
      </c>
      <c r="D64" s="7" t="str">
        <f aca="false">IF($C64="","",Recurring!$C$8)</f>
        <v>Expense</v>
      </c>
      <c r="E64" s="118" t="n">
        <f aca="false">IF($C64="","",IF(SUMIFS(Overrides!$E$9:$E$108,Overrides!$B$9:$B$108,$C64,Overrides!$C$9:$C$108,$L64)&gt;0,SUMIFS(Overrides!$E$9:$E$108,Overrides!$B$9:$B$108,$C64,Overrides!$C$9:$C$108,$L64),Recurring!$D$8))</f>
        <v>20</v>
      </c>
      <c r="F64" s="119" t="n">
        <f aca="false">IF($C64="","",IF(Recurring!$E$8="Weekly",Recurring!$F$8+7*12,IF(Recurring!$E$8="Every 2 Weeks",Recurring!$F$8+14*12,IF(Recurring!$E$8="Monthly",EDATE(Recurring!$F$8,12),IF(Recurring!$E$8="Twice a Month",IF(MOD((IF(DAY(Recurring!$F$8)&lt;=20,0,1)+12),2)=1,EOMONTH(Recurring!$F$8,INT((IF(DAY(Recurring!$F$8)&lt;=20,0,1)+12)/2)),DATE(YEAR(EDATE(Recurring!$F$8,INT((IF(DAY(Recurring!$F$8)&lt;=20,0,1)+12)/2))),MONTH(EDATE(Recurring!$F$8,INT((IF(DAY(Recurring!$F$8)&lt;=20,0,1)+12)/2))),15)),IF(Recurring!$E$8="One Time",IF(13=1,Recurring!$F$8,""),""))))))</f>
        <v>46635</v>
      </c>
      <c r="G64" s="119" t="n">
        <f aca="false">IF($L64="","",IF(SUMIFS(Overrides!$D$9:$D$108,Overrides!$B$9:$B$108,$C64,Overrides!$C$9:$C$108,$L64)&gt;0,SUMIFS(Overrides!$D$9:$D$108,Overrides!$B$9:$B$108,$C64,Overrides!$C$9:$C$108,$L64),$L64))</f>
        <v>46635</v>
      </c>
      <c r="H64" s="120" t="n">
        <f aca="false">IF($G64="",0,IF(AND($G64&gt;='Cash Flow'!$E$6,$G64&lt;'Cash Flow'!$E$6+91),1,0))</f>
        <v>0</v>
      </c>
      <c r="I64" s="120" t="str">
        <f aca="false">IF($H64=1,MAX(1,INT(($G64-'Cash Flow'!$E$6)/7)+1),"")</f>
        <v/>
      </c>
      <c r="J64" s="7" t="str">
        <f aca="false">IF($H64=1,$G64*10000+ROW(),"")</f>
        <v/>
      </c>
      <c r="K64" s="7" t="str">
        <f aca="false">IF($H64=1,$I64*1000+COUNTIFS($I$4:$I$483,$I64,$J$4:$J$483,"&lt;"&amp;$J64)+1,"")</f>
        <v/>
      </c>
      <c r="L64" s="121" t="n">
        <f aca="false">IF($F64="","",IF(Recurring!$G$8="Move Before",IF(WEEKDAY($F64,2)=6,$F64-1,IF(WEEKDAY($F64,2)=7,$F64-2,$F64)),IF(Recurring!$G$8="Move After",IF(WEEKDAY($F64,2)=6,$F64+2,IF(WEEKDAY($F64,2)=7,$F64+1,$F64)),$F64)))</f>
        <v>46635</v>
      </c>
      <c r="M64" s="0" t="str">
        <f aca="true">IF(AND($H64=1,$D64="Expense",$G64&gt;TODAY(),$E64&gt;=100),$G64*100000+ROW(),"")</f>
        <v/>
      </c>
      <c r="N64" s="0" t="str">
        <f aca="true">IF(AND($H64=1,$D64="Income",$G64&gt;TODAY()),$G64*100000+ROW(),"")</f>
        <v/>
      </c>
    </row>
    <row r="65" customFormat="false" ht="15" hidden="false" customHeight="true" outlineLevel="0" collapsed="false">
      <c r="A65" s="117" t="n">
        <v>4</v>
      </c>
      <c r="B65" s="117" t="n">
        <v>14</v>
      </c>
      <c r="C65" s="7" t="str">
        <f aca="false">IF(OR(Recurring!$B$8="",Recurring!$H$8&lt;&gt;"Yes",Recurring!$D$8=""),"",Recurring!$B$8)</f>
        <v>OpenAI</v>
      </c>
      <c r="D65" s="7" t="str">
        <f aca="false">IF($C65="","",Recurring!$C$8)</f>
        <v>Expense</v>
      </c>
      <c r="E65" s="118" t="n">
        <f aca="false">IF($C65="","",IF(SUMIFS(Overrides!$E$9:$E$108,Overrides!$B$9:$B$108,$C65,Overrides!$C$9:$C$108,$L65)&gt;0,SUMIFS(Overrides!$E$9:$E$108,Overrides!$B$9:$B$108,$C65,Overrides!$C$9:$C$108,$L65),Recurring!$D$8))</f>
        <v>20</v>
      </c>
      <c r="F65" s="119" t="n">
        <f aca="false">IF($C65="","",IF(Recurring!$E$8="Weekly",Recurring!$F$8+7*13,IF(Recurring!$E$8="Every 2 Weeks",Recurring!$F$8+14*13,IF(Recurring!$E$8="Monthly",EDATE(Recurring!$F$8,13),IF(Recurring!$E$8="Twice a Month",IF(MOD((IF(DAY(Recurring!$F$8)&lt;=20,0,1)+13),2)=1,EOMONTH(Recurring!$F$8,INT((IF(DAY(Recurring!$F$8)&lt;=20,0,1)+13)/2)),DATE(YEAR(EDATE(Recurring!$F$8,INT((IF(DAY(Recurring!$F$8)&lt;=20,0,1)+13)/2))),MONTH(EDATE(Recurring!$F$8,INT((IF(DAY(Recurring!$F$8)&lt;=20,0,1)+13)/2))),15)),IF(Recurring!$E$8="One Time",IF(14=1,Recurring!$F$8,""),""))))))</f>
        <v>46665</v>
      </c>
      <c r="G65" s="119" t="n">
        <f aca="false">IF($L65="","",IF(SUMIFS(Overrides!$D$9:$D$108,Overrides!$B$9:$B$108,$C65,Overrides!$C$9:$C$108,$L65)&gt;0,SUMIFS(Overrides!$D$9:$D$108,Overrides!$B$9:$B$108,$C65,Overrides!$C$9:$C$108,$L65),$L65))</f>
        <v>46665</v>
      </c>
      <c r="H65" s="120" t="n">
        <f aca="false">IF($G65="",0,IF(AND($G65&gt;='Cash Flow'!$E$6,$G65&lt;'Cash Flow'!$E$6+91),1,0))</f>
        <v>0</v>
      </c>
      <c r="I65" s="120" t="str">
        <f aca="false">IF($H65=1,MAX(1,INT(($G65-'Cash Flow'!$E$6)/7)+1),"")</f>
        <v/>
      </c>
      <c r="J65" s="7" t="str">
        <f aca="false">IF($H65=1,$G65*10000+ROW(),"")</f>
        <v/>
      </c>
      <c r="K65" s="7" t="str">
        <f aca="false">IF($H65=1,$I65*1000+COUNTIFS($I$4:$I$483,$I65,$J$4:$J$483,"&lt;"&amp;$J65)+1,"")</f>
        <v/>
      </c>
      <c r="L65" s="121" t="n">
        <f aca="false">IF($F65="","",IF(Recurring!$G$8="Move Before",IF(WEEKDAY($F65,2)=6,$F65-1,IF(WEEKDAY($F65,2)=7,$F65-2,$F65)),IF(Recurring!$G$8="Move After",IF(WEEKDAY($F65,2)=6,$F65+2,IF(WEEKDAY($F65,2)=7,$F65+1,$F65)),$F65)))</f>
        <v>46665</v>
      </c>
      <c r="M65" s="0" t="str">
        <f aca="true">IF(AND($H65=1,$D65="Expense",$G65&gt;TODAY(),$E65&gt;=100),$G65*100000+ROW(),"")</f>
        <v/>
      </c>
      <c r="N65" s="0" t="str">
        <f aca="true">IF(AND($H65=1,$D65="Income",$G65&gt;TODAY()),$G65*100000+ROW(),"")</f>
        <v/>
      </c>
    </row>
    <row r="66" customFormat="false" ht="15" hidden="false" customHeight="true" outlineLevel="0" collapsed="false">
      <c r="A66" s="117" t="n">
        <v>4</v>
      </c>
      <c r="B66" s="117" t="n">
        <v>15</v>
      </c>
      <c r="C66" s="7" t="str">
        <f aca="false">IF(OR(Recurring!$B$8="",Recurring!$H$8&lt;&gt;"Yes",Recurring!$D$8=""),"",Recurring!$B$8)</f>
        <v>OpenAI</v>
      </c>
      <c r="D66" s="7" t="str">
        <f aca="false">IF($C66="","",Recurring!$C$8)</f>
        <v>Expense</v>
      </c>
      <c r="E66" s="118" t="n">
        <f aca="false">IF($C66="","",IF(SUMIFS(Overrides!$E$9:$E$108,Overrides!$B$9:$B$108,$C66,Overrides!$C$9:$C$108,$L66)&gt;0,SUMIFS(Overrides!$E$9:$E$108,Overrides!$B$9:$B$108,$C66,Overrides!$C$9:$C$108,$L66),Recurring!$D$8))</f>
        <v>20</v>
      </c>
      <c r="F66" s="119" t="n">
        <f aca="false">IF($C66="","",IF(Recurring!$E$8="Weekly",Recurring!$F$8+7*14,IF(Recurring!$E$8="Every 2 Weeks",Recurring!$F$8+14*14,IF(Recurring!$E$8="Monthly",EDATE(Recurring!$F$8,14),IF(Recurring!$E$8="Twice a Month",IF(MOD((IF(DAY(Recurring!$F$8)&lt;=20,0,1)+14),2)=1,EOMONTH(Recurring!$F$8,INT((IF(DAY(Recurring!$F$8)&lt;=20,0,1)+14)/2)),DATE(YEAR(EDATE(Recurring!$F$8,INT((IF(DAY(Recurring!$F$8)&lt;=20,0,1)+14)/2))),MONTH(EDATE(Recurring!$F$8,INT((IF(DAY(Recurring!$F$8)&lt;=20,0,1)+14)/2))),15)),IF(Recurring!$E$8="One Time",IF(15=1,Recurring!$F$8,""),""))))))</f>
        <v>46696</v>
      </c>
      <c r="G66" s="119" t="n">
        <f aca="false">IF($L66="","",IF(SUMIFS(Overrides!$D$9:$D$108,Overrides!$B$9:$B$108,$C66,Overrides!$C$9:$C$108,$L66)&gt;0,SUMIFS(Overrides!$D$9:$D$108,Overrides!$B$9:$B$108,$C66,Overrides!$C$9:$C$108,$L66),$L66))</f>
        <v>46696</v>
      </c>
      <c r="H66" s="120" t="n">
        <f aca="false">IF($G66="",0,IF(AND($G66&gt;='Cash Flow'!$E$6,$G66&lt;'Cash Flow'!$E$6+91),1,0))</f>
        <v>0</v>
      </c>
      <c r="I66" s="120" t="str">
        <f aca="false">IF($H66=1,MAX(1,INT(($G66-'Cash Flow'!$E$6)/7)+1),"")</f>
        <v/>
      </c>
      <c r="J66" s="7" t="str">
        <f aca="false">IF($H66=1,$G66*10000+ROW(),"")</f>
        <v/>
      </c>
      <c r="K66" s="7" t="str">
        <f aca="false">IF($H66=1,$I66*1000+COUNTIFS($I$4:$I$483,$I66,$J$4:$J$483,"&lt;"&amp;$J66)+1,"")</f>
        <v/>
      </c>
      <c r="L66" s="121" t="n">
        <f aca="false">IF($F66="","",IF(Recurring!$G$8="Move Before",IF(WEEKDAY($F66,2)=6,$F66-1,IF(WEEKDAY($F66,2)=7,$F66-2,$F66)),IF(Recurring!$G$8="Move After",IF(WEEKDAY($F66,2)=6,$F66+2,IF(WEEKDAY($F66,2)=7,$F66+1,$F66)),$F66)))</f>
        <v>46696</v>
      </c>
      <c r="M66" s="0" t="str">
        <f aca="true">IF(AND($H66=1,$D66="Expense",$G66&gt;TODAY(),$E66&gt;=100),$G66*100000+ROW(),"")</f>
        <v/>
      </c>
      <c r="N66" s="0" t="str">
        <f aca="true">IF(AND($H66=1,$D66="Income",$G66&gt;TODAY()),$G66*100000+ROW(),"")</f>
        <v/>
      </c>
    </row>
    <row r="67" customFormat="false" ht="15" hidden="false" customHeight="true" outlineLevel="0" collapsed="false">
      <c r="A67" s="117" t="n">
        <v>4</v>
      </c>
      <c r="B67" s="117" t="n">
        <v>16</v>
      </c>
      <c r="C67" s="7" t="str">
        <f aca="false">IF(OR(Recurring!$B$8="",Recurring!$H$8&lt;&gt;"Yes",Recurring!$D$8=""),"",Recurring!$B$8)</f>
        <v>OpenAI</v>
      </c>
      <c r="D67" s="7" t="str">
        <f aca="false">IF($C67="","",Recurring!$C$8)</f>
        <v>Expense</v>
      </c>
      <c r="E67" s="118" t="n">
        <f aca="false">IF($C67="","",IF(SUMIFS(Overrides!$E$9:$E$108,Overrides!$B$9:$B$108,$C67,Overrides!$C$9:$C$108,$L67)&gt;0,SUMIFS(Overrides!$E$9:$E$108,Overrides!$B$9:$B$108,$C67,Overrides!$C$9:$C$108,$L67),Recurring!$D$8))</f>
        <v>20</v>
      </c>
      <c r="F67" s="119" t="n">
        <f aca="false">IF($C67="","",IF(Recurring!$E$8="Weekly",Recurring!$F$8+7*15,IF(Recurring!$E$8="Every 2 Weeks",Recurring!$F$8+14*15,IF(Recurring!$E$8="Monthly",EDATE(Recurring!$F$8,15),IF(Recurring!$E$8="Twice a Month",IF(MOD((IF(DAY(Recurring!$F$8)&lt;=20,0,1)+15),2)=1,EOMONTH(Recurring!$F$8,INT((IF(DAY(Recurring!$F$8)&lt;=20,0,1)+15)/2)),DATE(YEAR(EDATE(Recurring!$F$8,INT((IF(DAY(Recurring!$F$8)&lt;=20,0,1)+15)/2))),MONTH(EDATE(Recurring!$F$8,INT((IF(DAY(Recurring!$F$8)&lt;=20,0,1)+15)/2))),15)),IF(Recurring!$E$8="One Time",IF(16=1,Recurring!$F$8,""),""))))))</f>
        <v>46726</v>
      </c>
      <c r="G67" s="119" t="n">
        <f aca="false">IF($L67="","",IF(SUMIFS(Overrides!$D$9:$D$108,Overrides!$B$9:$B$108,$C67,Overrides!$C$9:$C$108,$L67)&gt;0,SUMIFS(Overrides!$D$9:$D$108,Overrides!$B$9:$B$108,$C67,Overrides!$C$9:$C$108,$L67),$L67))</f>
        <v>46726</v>
      </c>
      <c r="H67" s="120" t="n">
        <f aca="false">IF($G67="",0,IF(AND($G67&gt;='Cash Flow'!$E$6,$G67&lt;'Cash Flow'!$E$6+91),1,0))</f>
        <v>0</v>
      </c>
      <c r="I67" s="120" t="str">
        <f aca="false">IF($H67=1,MAX(1,INT(($G67-'Cash Flow'!$E$6)/7)+1),"")</f>
        <v/>
      </c>
      <c r="J67" s="7" t="str">
        <f aca="false">IF($H67=1,$G67*10000+ROW(),"")</f>
        <v/>
      </c>
      <c r="K67" s="7" t="str">
        <f aca="false">IF($H67=1,$I67*1000+COUNTIFS($I$4:$I$483,$I67,$J$4:$J$483,"&lt;"&amp;$J67)+1,"")</f>
        <v/>
      </c>
      <c r="L67" s="121" t="n">
        <f aca="false">IF($F67="","",IF(Recurring!$G$8="Move Before",IF(WEEKDAY($F67,2)=6,$F67-1,IF(WEEKDAY($F67,2)=7,$F67-2,$F67)),IF(Recurring!$G$8="Move After",IF(WEEKDAY($F67,2)=6,$F67+2,IF(WEEKDAY($F67,2)=7,$F67+1,$F67)),$F67)))</f>
        <v>46726</v>
      </c>
      <c r="M67" s="0" t="str">
        <f aca="true">IF(AND($H67=1,$D67="Expense",$G67&gt;TODAY(),$E67&gt;=100),$G67*100000+ROW(),"")</f>
        <v/>
      </c>
      <c r="N67" s="0" t="str">
        <f aca="true">IF(AND($H67=1,$D67="Income",$G67&gt;TODAY()),$G67*100000+ROW(),"")</f>
        <v/>
      </c>
    </row>
    <row r="68" customFormat="false" ht="15" hidden="false" customHeight="true" outlineLevel="0" collapsed="false">
      <c r="A68" s="117" t="n">
        <v>5</v>
      </c>
      <c r="B68" s="117" t="n">
        <v>1</v>
      </c>
      <c r="C68" s="7" t="str">
        <f aca="false">IF(OR(Recurring!$B$9="",Recurring!$H$9&lt;&gt;"Yes",Recurring!$D$9=""),"",Recurring!$B$9)</f>
        <v>Obsidian</v>
      </c>
      <c r="D68" s="7" t="str">
        <f aca="false">IF($C68="","",Recurring!$C$9)</f>
        <v>Expense</v>
      </c>
      <c r="E68" s="118" t="n">
        <f aca="false">IF($C68="","",IF(SUMIFS(Overrides!$E$9:$E$108,Overrides!$B$9:$B$108,$C68,Overrides!$C$9:$C$108,$L68)&gt;0,SUMIFS(Overrides!$E$9:$E$108,Overrides!$B$9:$B$108,$C68,Overrides!$C$9:$C$108,$L68),Recurring!$D$9))</f>
        <v>10</v>
      </c>
      <c r="F68" s="119" t="n">
        <f aca="false">IF($C68="","",IF(Recurring!$E$9="Weekly",Recurring!$F$9+7*0,IF(Recurring!$E$9="Every 2 Weeks",Recurring!$F$9+14*0,IF(Recurring!$E$9="Monthly",EDATE(Recurring!$F$9,0),IF(Recurring!$E$9="Twice a Month",IF(MOD((IF(DAY(Recurring!$F$9)&lt;=20,0,1)+0),2)=1,EOMONTH(Recurring!$F$9,INT((IF(DAY(Recurring!$F$9)&lt;=20,0,1)+0)/2)),DATE(YEAR(EDATE(Recurring!$F$9,INT((IF(DAY(Recurring!$F$9)&lt;=20,0,1)+0)/2))),MONTH(EDATE(Recurring!$F$9,INT((IF(DAY(Recurring!$F$9)&lt;=20,0,1)+0)/2))),15)),IF(Recurring!$E$9="One Time",IF(1=1,Recurring!$F$9,""),""))))))</f>
        <v>46270</v>
      </c>
      <c r="G68" s="119" t="n">
        <f aca="false">IF($L68="","",IF(SUMIFS(Overrides!$D$9:$D$108,Overrides!$B$9:$B$108,$C68,Overrides!$C$9:$C$108,$L68)&gt;0,SUMIFS(Overrides!$D$9:$D$108,Overrides!$B$9:$B$108,$C68,Overrides!$C$9:$C$108,$L68),$L68))</f>
        <v>46270</v>
      </c>
      <c r="H68" s="120" t="n">
        <f aca="false">IF($G68="",0,IF(AND($G68&gt;='Cash Flow'!$E$6-90,$G68&lt;'Cash Flow'!$E$6+91),1,0))</f>
        <v>1</v>
      </c>
      <c r="I68" s="120" t="n">
        <f aca="false">IF($H68=1,MAX(1,INT(($G68-'Cash Flow'!$E$6)/7)+1),"")</f>
        <v>4</v>
      </c>
      <c r="J68" s="7" t="n">
        <f aca="false">IF($H68=1,$G68*10000+ROW(),"")</f>
        <v>462700068</v>
      </c>
      <c r="K68" s="7" t="n">
        <f aca="false">IF($H68=1,$I68*1000+COUNTIFS($I$4:$I$483,$I68,$J$4:$J$483,"&lt;"&amp;$J68)+1,"")</f>
        <v>4002</v>
      </c>
      <c r="L68" s="121" t="n">
        <f aca="false">IF($F68="","",IF(Recurring!$G$9="Move Before",IF(WEEKDAY($F68,2)=6,$F68-1,IF(WEEKDAY($F68,2)=7,$F68-2,$F68)),IF(Recurring!$G$9="Move After",IF(WEEKDAY($F68,2)=6,$F68+2,IF(WEEKDAY($F68,2)=7,$F68+1,$F68)),$F68)))</f>
        <v>46270</v>
      </c>
      <c r="M68" s="0" t="str">
        <f aca="true">IF(AND($H68=1,$D68="Expense",$G68&gt;TODAY(),$E68&gt;=100),$G68*100000+ROW(),"")</f>
        <v/>
      </c>
      <c r="N68" s="0" t="str">
        <f aca="true">IF(AND($H68=1,$D68="Income",$G68&gt;TODAY()),$G68*100000+ROW(),"")</f>
        <v/>
      </c>
    </row>
    <row r="69" customFormat="false" ht="15" hidden="false" customHeight="true" outlineLevel="0" collapsed="false">
      <c r="A69" s="117" t="n">
        <v>5</v>
      </c>
      <c r="B69" s="117" t="n">
        <v>2</v>
      </c>
      <c r="C69" s="7" t="str">
        <f aca="false">IF(OR(Recurring!$B$9="",Recurring!$H$9&lt;&gt;"Yes",Recurring!$D$9=""),"",Recurring!$B$9)</f>
        <v>Obsidian</v>
      </c>
      <c r="D69" s="7" t="str">
        <f aca="false">IF($C69="","",Recurring!$C$9)</f>
        <v>Expense</v>
      </c>
      <c r="E69" s="118" t="n">
        <f aca="false">IF($C69="","",IF(SUMIFS(Overrides!$E$9:$E$108,Overrides!$B$9:$B$108,$C69,Overrides!$C$9:$C$108,$L69)&gt;0,SUMIFS(Overrides!$E$9:$E$108,Overrides!$B$9:$B$108,$C69,Overrides!$C$9:$C$108,$L69),Recurring!$D$9))</f>
        <v>10</v>
      </c>
      <c r="F69" s="119" t="n">
        <f aca="false">IF($C69="","",IF(Recurring!$E$9="Weekly",Recurring!$F$9+7*1,IF(Recurring!$E$9="Every 2 Weeks",Recurring!$F$9+14*1,IF(Recurring!$E$9="Monthly",EDATE(Recurring!$F$9,1),IF(Recurring!$E$9="Twice a Month",IF(MOD((IF(DAY(Recurring!$F$9)&lt;=20,0,1)+1),2)=1,EOMONTH(Recurring!$F$9,INT((IF(DAY(Recurring!$F$9)&lt;=20,0,1)+1)/2)),DATE(YEAR(EDATE(Recurring!$F$9,INT((IF(DAY(Recurring!$F$9)&lt;=20,0,1)+1)/2))),MONTH(EDATE(Recurring!$F$9,INT((IF(DAY(Recurring!$F$9)&lt;=20,0,1)+1)/2))),15)),IF(Recurring!$E$9="One Time",IF(2=1,Recurring!$F$9,""),""))))))</f>
        <v>46300</v>
      </c>
      <c r="G69" s="119" t="n">
        <f aca="false">IF($L69="","",IF(SUMIFS(Overrides!$D$9:$D$108,Overrides!$B$9:$B$108,$C69,Overrides!$C$9:$C$108,$L69)&gt;0,SUMIFS(Overrides!$D$9:$D$108,Overrides!$B$9:$B$108,$C69,Overrides!$C$9:$C$108,$L69),$L69))</f>
        <v>46300</v>
      </c>
      <c r="H69" s="120" t="n">
        <f aca="false">IF($G69="",0,IF(AND($G69&gt;='Cash Flow'!$E$6,$G69&lt;'Cash Flow'!$E$6+91),1,0))</f>
        <v>1</v>
      </c>
      <c r="I69" s="120" t="n">
        <f aca="false">IF($H69=1,MAX(1,INT(($G69-'Cash Flow'!$E$6)/7)+1),"")</f>
        <v>8</v>
      </c>
      <c r="J69" s="7" t="n">
        <f aca="false">IF($H69=1,$G69*10000+ROW(),"")</f>
        <v>463000069</v>
      </c>
      <c r="K69" s="7" t="n">
        <f aca="false">IF($H69=1,$I69*1000+COUNTIFS($I$4:$I$483,$I69,$J$4:$J$483,"&lt;"&amp;$J69)+1,"")</f>
        <v>8003</v>
      </c>
      <c r="L69" s="121" t="n">
        <f aca="false">IF($F69="","",IF(Recurring!$G$9="Move Before",IF(WEEKDAY($F69,2)=6,$F69-1,IF(WEEKDAY($F69,2)=7,$F69-2,$F69)),IF(Recurring!$G$9="Move After",IF(WEEKDAY($F69,2)=6,$F69+2,IF(WEEKDAY($F69,2)=7,$F69+1,$F69)),$F69)))</f>
        <v>46300</v>
      </c>
      <c r="M69" s="0" t="str">
        <f aca="true">IF(AND($H69=1,$D69="Expense",$G69&gt;TODAY(),$E69&gt;=100),$G69*100000+ROW(),"")</f>
        <v/>
      </c>
      <c r="N69" s="0" t="str">
        <f aca="true">IF(AND($H69=1,$D69="Income",$G69&gt;TODAY()),$G69*100000+ROW(),"")</f>
        <v/>
      </c>
    </row>
    <row r="70" customFormat="false" ht="15" hidden="false" customHeight="true" outlineLevel="0" collapsed="false">
      <c r="A70" s="117" t="n">
        <v>5</v>
      </c>
      <c r="B70" s="117" t="n">
        <v>3</v>
      </c>
      <c r="C70" s="7" t="str">
        <f aca="false">IF(OR(Recurring!$B$9="",Recurring!$H$9&lt;&gt;"Yes",Recurring!$D$9=""),"",Recurring!$B$9)</f>
        <v>Obsidian</v>
      </c>
      <c r="D70" s="7" t="str">
        <f aca="false">IF($C70="","",Recurring!$C$9)</f>
        <v>Expense</v>
      </c>
      <c r="E70" s="118" t="n">
        <f aca="false">IF($C70="","",IF(SUMIFS(Overrides!$E$9:$E$108,Overrides!$B$9:$B$108,$C70,Overrides!$C$9:$C$108,$L70)&gt;0,SUMIFS(Overrides!$E$9:$E$108,Overrides!$B$9:$B$108,$C70,Overrides!$C$9:$C$108,$L70),Recurring!$D$9))</f>
        <v>10</v>
      </c>
      <c r="F70" s="119" t="n">
        <f aca="false">IF($C70="","",IF(Recurring!$E$9="Weekly",Recurring!$F$9+7*2,IF(Recurring!$E$9="Every 2 Weeks",Recurring!$F$9+14*2,IF(Recurring!$E$9="Monthly",EDATE(Recurring!$F$9,2),IF(Recurring!$E$9="Twice a Month",IF(MOD((IF(DAY(Recurring!$F$9)&lt;=20,0,1)+2),2)=1,EOMONTH(Recurring!$F$9,INT((IF(DAY(Recurring!$F$9)&lt;=20,0,1)+2)/2)),DATE(YEAR(EDATE(Recurring!$F$9,INT((IF(DAY(Recurring!$F$9)&lt;=20,0,1)+2)/2))),MONTH(EDATE(Recurring!$F$9,INT((IF(DAY(Recurring!$F$9)&lt;=20,0,1)+2)/2))),15)),IF(Recurring!$E$9="One Time",IF(3=1,Recurring!$F$9,""),""))))))</f>
        <v>46331</v>
      </c>
      <c r="G70" s="119" t="n">
        <f aca="false">IF($L70="","",IF(SUMIFS(Overrides!$D$9:$D$108,Overrides!$B$9:$B$108,$C70,Overrides!$C$9:$C$108,$L70)&gt;0,SUMIFS(Overrides!$D$9:$D$108,Overrides!$B$9:$B$108,$C70,Overrides!$C$9:$C$108,$L70),$L70))</f>
        <v>46331</v>
      </c>
      <c r="H70" s="120" t="n">
        <f aca="false">IF($G70="",0,IF(AND($G70&gt;='Cash Flow'!$E$6,$G70&lt;'Cash Flow'!$E$6+91),1,0))</f>
        <v>1</v>
      </c>
      <c r="I70" s="120" t="n">
        <f aca="false">IF($H70=1,MAX(1,INT(($G70-'Cash Flow'!$E$6)/7)+1),"")</f>
        <v>12</v>
      </c>
      <c r="J70" s="7" t="n">
        <f aca="false">IF($H70=1,$G70*10000+ROW(),"")</f>
        <v>463310070</v>
      </c>
      <c r="K70" s="7" t="n">
        <f aca="false">IF($H70=1,$I70*1000+COUNTIFS($I$4:$I$483,$I70,$J$4:$J$483,"&lt;"&amp;$J70)+1,"")</f>
        <v>12005</v>
      </c>
      <c r="L70" s="121" t="n">
        <f aca="false">IF($F70="","",IF(Recurring!$G$9="Move Before",IF(WEEKDAY($F70,2)=6,$F70-1,IF(WEEKDAY($F70,2)=7,$F70-2,$F70)),IF(Recurring!$G$9="Move After",IF(WEEKDAY($F70,2)=6,$F70+2,IF(WEEKDAY($F70,2)=7,$F70+1,$F70)),$F70)))</f>
        <v>46331</v>
      </c>
      <c r="M70" s="0" t="str">
        <f aca="true">IF(AND($H70=1,$D70="Expense",$G70&gt;TODAY(),$E70&gt;=100),$G70*100000+ROW(),"")</f>
        <v/>
      </c>
      <c r="N70" s="0" t="str">
        <f aca="true">IF(AND($H70=1,$D70="Income",$G70&gt;TODAY()),$G70*100000+ROW(),"")</f>
        <v/>
      </c>
    </row>
    <row r="71" customFormat="false" ht="15" hidden="false" customHeight="true" outlineLevel="0" collapsed="false">
      <c r="A71" s="117" t="n">
        <v>5</v>
      </c>
      <c r="B71" s="117" t="n">
        <v>4</v>
      </c>
      <c r="C71" s="7" t="str">
        <f aca="false">IF(OR(Recurring!$B$9="",Recurring!$H$9&lt;&gt;"Yes",Recurring!$D$9=""),"",Recurring!$B$9)</f>
        <v>Obsidian</v>
      </c>
      <c r="D71" s="7" t="str">
        <f aca="false">IF($C71="","",Recurring!$C$9)</f>
        <v>Expense</v>
      </c>
      <c r="E71" s="118" t="n">
        <f aca="false">IF($C71="","",IF(SUMIFS(Overrides!$E$9:$E$108,Overrides!$B$9:$B$108,$C71,Overrides!$C$9:$C$108,$L71)&gt;0,SUMIFS(Overrides!$E$9:$E$108,Overrides!$B$9:$B$108,$C71,Overrides!$C$9:$C$108,$L71),Recurring!$D$9))</f>
        <v>10</v>
      </c>
      <c r="F71" s="119" t="n">
        <f aca="false">IF($C71="","",IF(Recurring!$E$9="Weekly",Recurring!$F$9+7*3,IF(Recurring!$E$9="Every 2 Weeks",Recurring!$F$9+14*3,IF(Recurring!$E$9="Monthly",EDATE(Recurring!$F$9,3),IF(Recurring!$E$9="Twice a Month",IF(MOD((IF(DAY(Recurring!$F$9)&lt;=20,0,1)+3),2)=1,EOMONTH(Recurring!$F$9,INT((IF(DAY(Recurring!$F$9)&lt;=20,0,1)+3)/2)),DATE(YEAR(EDATE(Recurring!$F$9,INT((IF(DAY(Recurring!$F$9)&lt;=20,0,1)+3)/2))),MONTH(EDATE(Recurring!$F$9,INT((IF(DAY(Recurring!$F$9)&lt;=20,0,1)+3)/2))),15)),IF(Recurring!$E$9="One Time",IF(4=1,Recurring!$F$9,""),""))))))</f>
        <v>46361</v>
      </c>
      <c r="G71" s="119" t="n">
        <f aca="false">IF($L71="","",IF(SUMIFS(Overrides!$D$9:$D$108,Overrides!$B$9:$B$108,$C71,Overrides!$C$9:$C$108,$L71)&gt;0,SUMIFS(Overrides!$D$9:$D$108,Overrides!$B$9:$B$108,$C71,Overrides!$C$9:$C$108,$L71),$L71))</f>
        <v>46361</v>
      </c>
      <c r="H71" s="120" t="n">
        <f aca="false">IF($G71="",0,IF(AND($G71&gt;='Cash Flow'!$E$6,$G71&lt;'Cash Flow'!$E$6+91),1,0))</f>
        <v>0</v>
      </c>
      <c r="I71" s="120" t="str">
        <f aca="false">IF($H71=1,MAX(1,INT(($G71-'Cash Flow'!$E$6)/7)+1),"")</f>
        <v/>
      </c>
      <c r="J71" s="7" t="str">
        <f aca="false">IF($H71=1,$G71*10000+ROW(),"")</f>
        <v/>
      </c>
      <c r="K71" s="7" t="str">
        <f aca="false">IF($H71=1,$I71*1000+COUNTIFS($I$4:$I$483,$I71,$J$4:$J$483,"&lt;"&amp;$J71)+1,"")</f>
        <v/>
      </c>
      <c r="L71" s="121" t="n">
        <f aca="false">IF($F71="","",IF(Recurring!$G$9="Move Before",IF(WEEKDAY($F71,2)=6,$F71-1,IF(WEEKDAY($F71,2)=7,$F71-2,$F71)),IF(Recurring!$G$9="Move After",IF(WEEKDAY($F71,2)=6,$F71+2,IF(WEEKDAY($F71,2)=7,$F71+1,$F71)),$F71)))</f>
        <v>46361</v>
      </c>
      <c r="M71" s="0" t="str">
        <f aca="true">IF(AND($H71=1,$D71="Expense",$G71&gt;TODAY(),$E71&gt;=100),$G71*100000+ROW(),"")</f>
        <v/>
      </c>
      <c r="N71" s="0" t="str">
        <f aca="true">IF(AND($H71=1,$D71="Income",$G71&gt;TODAY()),$G71*100000+ROW(),"")</f>
        <v/>
      </c>
    </row>
    <row r="72" customFormat="false" ht="15" hidden="false" customHeight="true" outlineLevel="0" collapsed="false">
      <c r="A72" s="117" t="n">
        <v>5</v>
      </c>
      <c r="B72" s="117" t="n">
        <v>5</v>
      </c>
      <c r="C72" s="7" t="str">
        <f aca="false">IF(OR(Recurring!$B$9="",Recurring!$H$9&lt;&gt;"Yes",Recurring!$D$9=""),"",Recurring!$B$9)</f>
        <v>Obsidian</v>
      </c>
      <c r="D72" s="7" t="str">
        <f aca="false">IF($C72="","",Recurring!$C$9)</f>
        <v>Expense</v>
      </c>
      <c r="E72" s="118" t="n">
        <f aca="false">IF($C72="","",IF(SUMIFS(Overrides!$E$9:$E$108,Overrides!$B$9:$B$108,$C72,Overrides!$C$9:$C$108,$L72)&gt;0,SUMIFS(Overrides!$E$9:$E$108,Overrides!$B$9:$B$108,$C72,Overrides!$C$9:$C$108,$L72),Recurring!$D$9))</f>
        <v>10</v>
      </c>
      <c r="F72" s="119" t="n">
        <f aca="false">IF($C72="","",IF(Recurring!$E$9="Weekly",Recurring!$F$9+7*4,IF(Recurring!$E$9="Every 2 Weeks",Recurring!$F$9+14*4,IF(Recurring!$E$9="Monthly",EDATE(Recurring!$F$9,4),IF(Recurring!$E$9="Twice a Month",IF(MOD((IF(DAY(Recurring!$F$9)&lt;=20,0,1)+4),2)=1,EOMONTH(Recurring!$F$9,INT((IF(DAY(Recurring!$F$9)&lt;=20,0,1)+4)/2)),DATE(YEAR(EDATE(Recurring!$F$9,INT((IF(DAY(Recurring!$F$9)&lt;=20,0,1)+4)/2))),MONTH(EDATE(Recurring!$F$9,INT((IF(DAY(Recurring!$F$9)&lt;=20,0,1)+4)/2))),15)),IF(Recurring!$E$9="One Time",IF(5=1,Recurring!$F$9,""),""))))))</f>
        <v>46392</v>
      </c>
      <c r="G72" s="119" t="n">
        <f aca="false">IF($L72="","",IF(SUMIFS(Overrides!$D$9:$D$108,Overrides!$B$9:$B$108,$C72,Overrides!$C$9:$C$108,$L72)&gt;0,SUMIFS(Overrides!$D$9:$D$108,Overrides!$B$9:$B$108,$C72,Overrides!$C$9:$C$108,$L72),$L72))</f>
        <v>46392</v>
      </c>
      <c r="H72" s="120" t="n">
        <f aca="false">IF($G72="",0,IF(AND($G72&gt;='Cash Flow'!$E$6,$G72&lt;'Cash Flow'!$E$6+91),1,0))</f>
        <v>0</v>
      </c>
      <c r="I72" s="120" t="str">
        <f aca="false">IF($H72=1,MAX(1,INT(($G72-'Cash Flow'!$E$6)/7)+1),"")</f>
        <v/>
      </c>
      <c r="J72" s="7" t="str">
        <f aca="false">IF($H72=1,$G72*10000+ROW(),"")</f>
        <v/>
      </c>
      <c r="K72" s="7" t="str">
        <f aca="false">IF($H72=1,$I72*1000+COUNTIFS($I$4:$I$483,$I72,$J$4:$J$483,"&lt;"&amp;$J72)+1,"")</f>
        <v/>
      </c>
      <c r="L72" s="121" t="n">
        <f aca="false">IF($F72="","",IF(Recurring!$G$9="Move Before",IF(WEEKDAY($F72,2)=6,$F72-1,IF(WEEKDAY($F72,2)=7,$F72-2,$F72)),IF(Recurring!$G$9="Move After",IF(WEEKDAY($F72,2)=6,$F72+2,IF(WEEKDAY($F72,2)=7,$F72+1,$F72)),$F72)))</f>
        <v>46392</v>
      </c>
      <c r="M72" s="0" t="str">
        <f aca="true">IF(AND($H72=1,$D72="Expense",$G72&gt;TODAY(),$E72&gt;=100),$G72*100000+ROW(),"")</f>
        <v/>
      </c>
      <c r="N72" s="0" t="str">
        <f aca="true">IF(AND($H72=1,$D72="Income",$G72&gt;TODAY()),$G72*100000+ROW(),"")</f>
        <v/>
      </c>
    </row>
    <row r="73" customFormat="false" ht="15" hidden="false" customHeight="true" outlineLevel="0" collapsed="false">
      <c r="A73" s="117" t="n">
        <v>5</v>
      </c>
      <c r="B73" s="117" t="n">
        <v>6</v>
      </c>
      <c r="C73" s="7" t="str">
        <f aca="false">IF(OR(Recurring!$B$9="",Recurring!$H$9&lt;&gt;"Yes",Recurring!$D$9=""),"",Recurring!$B$9)</f>
        <v>Obsidian</v>
      </c>
      <c r="D73" s="7" t="str">
        <f aca="false">IF($C73="","",Recurring!$C$9)</f>
        <v>Expense</v>
      </c>
      <c r="E73" s="118" t="n">
        <f aca="false">IF($C73="","",IF(SUMIFS(Overrides!$E$9:$E$108,Overrides!$B$9:$B$108,$C73,Overrides!$C$9:$C$108,$L73)&gt;0,SUMIFS(Overrides!$E$9:$E$108,Overrides!$B$9:$B$108,$C73,Overrides!$C$9:$C$108,$L73),Recurring!$D$9))</f>
        <v>10</v>
      </c>
      <c r="F73" s="119" t="n">
        <f aca="false">IF($C73="","",IF(Recurring!$E$9="Weekly",Recurring!$F$9+7*5,IF(Recurring!$E$9="Every 2 Weeks",Recurring!$F$9+14*5,IF(Recurring!$E$9="Monthly",EDATE(Recurring!$F$9,5),IF(Recurring!$E$9="Twice a Month",IF(MOD((IF(DAY(Recurring!$F$9)&lt;=20,0,1)+5),2)=1,EOMONTH(Recurring!$F$9,INT((IF(DAY(Recurring!$F$9)&lt;=20,0,1)+5)/2)),DATE(YEAR(EDATE(Recurring!$F$9,INT((IF(DAY(Recurring!$F$9)&lt;=20,0,1)+5)/2))),MONTH(EDATE(Recurring!$F$9,INT((IF(DAY(Recurring!$F$9)&lt;=20,0,1)+5)/2))),15)),IF(Recurring!$E$9="One Time",IF(6=1,Recurring!$F$9,""),""))))))</f>
        <v>46423</v>
      </c>
      <c r="G73" s="119" t="n">
        <f aca="false">IF($L73="","",IF(SUMIFS(Overrides!$D$9:$D$108,Overrides!$B$9:$B$108,$C73,Overrides!$C$9:$C$108,$L73)&gt;0,SUMIFS(Overrides!$D$9:$D$108,Overrides!$B$9:$B$108,$C73,Overrides!$C$9:$C$108,$L73),$L73))</f>
        <v>46423</v>
      </c>
      <c r="H73" s="120" t="n">
        <f aca="false">IF($G73="",0,IF(AND($G73&gt;='Cash Flow'!$E$6,$G73&lt;'Cash Flow'!$E$6+91),1,0))</f>
        <v>0</v>
      </c>
      <c r="I73" s="120" t="str">
        <f aca="false">IF($H73=1,MAX(1,INT(($G73-'Cash Flow'!$E$6)/7)+1),"")</f>
        <v/>
      </c>
      <c r="J73" s="7" t="str">
        <f aca="false">IF($H73=1,$G73*10000+ROW(),"")</f>
        <v/>
      </c>
      <c r="K73" s="7" t="str">
        <f aca="false">IF($H73=1,$I73*1000+COUNTIFS($I$4:$I$483,$I73,$J$4:$J$483,"&lt;"&amp;$J73)+1,"")</f>
        <v/>
      </c>
      <c r="L73" s="121" t="n">
        <f aca="false">IF($F73="","",IF(Recurring!$G$9="Move Before",IF(WEEKDAY($F73,2)=6,$F73-1,IF(WEEKDAY($F73,2)=7,$F73-2,$F73)),IF(Recurring!$G$9="Move After",IF(WEEKDAY($F73,2)=6,$F73+2,IF(WEEKDAY($F73,2)=7,$F73+1,$F73)),$F73)))</f>
        <v>46423</v>
      </c>
      <c r="M73" s="0" t="str">
        <f aca="true">IF(AND($H73=1,$D73="Expense",$G73&gt;TODAY(),$E73&gt;=100),$G73*100000+ROW(),"")</f>
        <v/>
      </c>
      <c r="N73" s="0" t="str">
        <f aca="true">IF(AND($H73=1,$D73="Income",$G73&gt;TODAY()),$G73*100000+ROW(),"")</f>
        <v/>
      </c>
    </row>
    <row r="74" customFormat="false" ht="15" hidden="false" customHeight="true" outlineLevel="0" collapsed="false">
      <c r="A74" s="117" t="n">
        <v>5</v>
      </c>
      <c r="B74" s="117" t="n">
        <v>7</v>
      </c>
      <c r="C74" s="7" t="str">
        <f aca="false">IF(OR(Recurring!$B$9="",Recurring!$H$9&lt;&gt;"Yes",Recurring!$D$9=""),"",Recurring!$B$9)</f>
        <v>Obsidian</v>
      </c>
      <c r="D74" s="7" t="str">
        <f aca="false">IF($C74="","",Recurring!$C$9)</f>
        <v>Expense</v>
      </c>
      <c r="E74" s="118" t="n">
        <f aca="false">IF($C74="","",IF(SUMIFS(Overrides!$E$9:$E$108,Overrides!$B$9:$B$108,$C74,Overrides!$C$9:$C$108,$L74)&gt;0,SUMIFS(Overrides!$E$9:$E$108,Overrides!$B$9:$B$108,$C74,Overrides!$C$9:$C$108,$L74),Recurring!$D$9))</f>
        <v>10</v>
      </c>
      <c r="F74" s="119" t="n">
        <f aca="false">IF($C74="","",IF(Recurring!$E$9="Weekly",Recurring!$F$9+7*6,IF(Recurring!$E$9="Every 2 Weeks",Recurring!$F$9+14*6,IF(Recurring!$E$9="Monthly",EDATE(Recurring!$F$9,6),IF(Recurring!$E$9="Twice a Month",IF(MOD((IF(DAY(Recurring!$F$9)&lt;=20,0,1)+6),2)=1,EOMONTH(Recurring!$F$9,INT((IF(DAY(Recurring!$F$9)&lt;=20,0,1)+6)/2)),DATE(YEAR(EDATE(Recurring!$F$9,INT((IF(DAY(Recurring!$F$9)&lt;=20,0,1)+6)/2))),MONTH(EDATE(Recurring!$F$9,INT((IF(DAY(Recurring!$F$9)&lt;=20,0,1)+6)/2))),15)),IF(Recurring!$E$9="One Time",IF(7=1,Recurring!$F$9,""),""))))))</f>
        <v>46451</v>
      </c>
      <c r="G74" s="119" t="n">
        <f aca="false">IF($L74="","",IF(SUMIFS(Overrides!$D$9:$D$108,Overrides!$B$9:$B$108,$C74,Overrides!$C$9:$C$108,$L74)&gt;0,SUMIFS(Overrides!$D$9:$D$108,Overrides!$B$9:$B$108,$C74,Overrides!$C$9:$C$108,$L74),$L74))</f>
        <v>46451</v>
      </c>
      <c r="H74" s="120" t="n">
        <f aca="false">IF($G74="",0,IF(AND($G74&gt;='Cash Flow'!$E$6,$G74&lt;'Cash Flow'!$E$6+91),1,0))</f>
        <v>0</v>
      </c>
      <c r="I74" s="120" t="str">
        <f aca="false">IF($H74=1,MAX(1,INT(($G74-'Cash Flow'!$E$6)/7)+1),"")</f>
        <v/>
      </c>
      <c r="J74" s="7" t="str">
        <f aca="false">IF($H74=1,$G74*10000+ROW(),"")</f>
        <v/>
      </c>
      <c r="K74" s="7" t="str">
        <f aca="false">IF($H74=1,$I74*1000+COUNTIFS($I$4:$I$483,$I74,$J$4:$J$483,"&lt;"&amp;$J74)+1,"")</f>
        <v/>
      </c>
      <c r="L74" s="121" t="n">
        <f aca="false">IF($F74="","",IF(Recurring!$G$9="Move Before",IF(WEEKDAY($F74,2)=6,$F74-1,IF(WEEKDAY($F74,2)=7,$F74-2,$F74)),IF(Recurring!$G$9="Move After",IF(WEEKDAY($F74,2)=6,$F74+2,IF(WEEKDAY($F74,2)=7,$F74+1,$F74)),$F74)))</f>
        <v>46451</v>
      </c>
      <c r="M74" s="0" t="str">
        <f aca="true">IF(AND($H74=1,$D74="Expense",$G74&gt;TODAY(),$E74&gt;=100),$G74*100000+ROW(),"")</f>
        <v/>
      </c>
      <c r="N74" s="0" t="str">
        <f aca="true">IF(AND($H74=1,$D74="Income",$G74&gt;TODAY()),$G74*100000+ROW(),"")</f>
        <v/>
      </c>
    </row>
    <row r="75" customFormat="false" ht="15" hidden="false" customHeight="true" outlineLevel="0" collapsed="false">
      <c r="A75" s="117" t="n">
        <v>5</v>
      </c>
      <c r="B75" s="117" t="n">
        <v>8</v>
      </c>
      <c r="C75" s="7" t="str">
        <f aca="false">IF(OR(Recurring!$B$9="",Recurring!$H$9&lt;&gt;"Yes",Recurring!$D$9=""),"",Recurring!$B$9)</f>
        <v>Obsidian</v>
      </c>
      <c r="D75" s="7" t="str">
        <f aca="false">IF($C75="","",Recurring!$C$9)</f>
        <v>Expense</v>
      </c>
      <c r="E75" s="118" t="n">
        <f aca="false">IF($C75="","",IF(SUMIFS(Overrides!$E$9:$E$108,Overrides!$B$9:$B$108,$C75,Overrides!$C$9:$C$108,$L75)&gt;0,SUMIFS(Overrides!$E$9:$E$108,Overrides!$B$9:$B$108,$C75,Overrides!$C$9:$C$108,$L75),Recurring!$D$9))</f>
        <v>10</v>
      </c>
      <c r="F75" s="119" t="n">
        <f aca="false">IF($C75="","",IF(Recurring!$E$9="Weekly",Recurring!$F$9+7*7,IF(Recurring!$E$9="Every 2 Weeks",Recurring!$F$9+14*7,IF(Recurring!$E$9="Monthly",EDATE(Recurring!$F$9,7),IF(Recurring!$E$9="Twice a Month",IF(MOD((IF(DAY(Recurring!$F$9)&lt;=20,0,1)+7),2)=1,EOMONTH(Recurring!$F$9,INT((IF(DAY(Recurring!$F$9)&lt;=20,0,1)+7)/2)),DATE(YEAR(EDATE(Recurring!$F$9,INT((IF(DAY(Recurring!$F$9)&lt;=20,0,1)+7)/2))),MONTH(EDATE(Recurring!$F$9,INT((IF(DAY(Recurring!$F$9)&lt;=20,0,1)+7)/2))),15)),IF(Recurring!$E$9="One Time",IF(8=1,Recurring!$F$9,""),""))))))</f>
        <v>46482</v>
      </c>
      <c r="G75" s="119" t="n">
        <f aca="false">IF($L75="","",IF(SUMIFS(Overrides!$D$9:$D$108,Overrides!$B$9:$B$108,$C75,Overrides!$C$9:$C$108,$L75)&gt;0,SUMIFS(Overrides!$D$9:$D$108,Overrides!$B$9:$B$108,$C75,Overrides!$C$9:$C$108,$L75),$L75))</f>
        <v>46482</v>
      </c>
      <c r="H75" s="120" t="n">
        <f aca="false">IF($G75="",0,IF(AND($G75&gt;='Cash Flow'!$E$6,$G75&lt;'Cash Flow'!$E$6+91),1,0))</f>
        <v>0</v>
      </c>
      <c r="I75" s="120" t="str">
        <f aca="false">IF($H75=1,MAX(1,INT(($G75-'Cash Flow'!$E$6)/7)+1),"")</f>
        <v/>
      </c>
      <c r="J75" s="7" t="str">
        <f aca="false">IF($H75=1,$G75*10000+ROW(),"")</f>
        <v/>
      </c>
      <c r="K75" s="7" t="str">
        <f aca="false">IF($H75=1,$I75*1000+COUNTIFS($I$4:$I$483,$I75,$J$4:$J$483,"&lt;"&amp;$J75)+1,"")</f>
        <v/>
      </c>
      <c r="L75" s="121" t="n">
        <f aca="false">IF($F75="","",IF(Recurring!$G$9="Move Before",IF(WEEKDAY($F75,2)=6,$F75-1,IF(WEEKDAY($F75,2)=7,$F75-2,$F75)),IF(Recurring!$G$9="Move After",IF(WEEKDAY($F75,2)=6,$F75+2,IF(WEEKDAY($F75,2)=7,$F75+1,$F75)),$F75)))</f>
        <v>46482</v>
      </c>
      <c r="M75" s="0" t="str">
        <f aca="true">IF(AND($H75=1,$D75="Expense",$G75&gt;TODAY(),$E75&gt;=100),$G75*100000+ROW(),"")</f>
        <v/>
      </c>
      <c r="N75" s="0" t="str">
        <f aca="true">IF(AND($H75=1,$D75="Income",$G75&gt;TODAY()),$G75*100000+ROW(),"")</f>
        <v/>
      </c>
    </row>
    <row r="76" customFormat="false" ht="15" hidden="false" customHeight="true" outlineLevel="0" collapsed="false">
      <c r="A76" s="117" t="n">
        <v>5</v>
      </c>
      <c r="B76" s="117" t="n">
        <v>9</v>
      </c>
      <c r="C76" s="7" t="str">
        <f aca="false">IF(OR(Recurring!$B$9="",Recurring!$H$9&lt;&gt;"Yes",Recurring!$D$9=""),"",Recurring!$B$9)</f>
        <v>Obsidian</v>
      </c>
      <c r="D76" s="7" t="str">
        <f aca="false">IF($C76="","",Recurring!$C$9)</f>
        <v>Expense</v>
      </c>
      <c r="E76" s="118" t="n">
        <f aca="false">IF($C76="","",IF(SUMIFS(Overrides!$E$9:$E$108,Overrides!$B$9:$B$108,$C76,Overrides!$C$9:$C$108,$L76)&gt;0,SUMIFS(Overrides!$E$9:$E$108,Overrides!$B$9:$B$108,$C76,Overrides!$C$9:$C$108,$L76),Recurring!$D$9))</f>
        <v>10</v>
      </c>
      <c r="F76" s="119" t="n">
        <f aca="false">IF($C76="","",IF(Recurring!$E$9="Weekly",Recurring!$F$9+7*8,IF(Recurring!$E$9="Every 2 Weeks",Recurring!$F$9+14*8,IF(Recurring!$E$9="Monthly",EDATE(Recurring!$F$9,8),IF(Recurring!$E$9="Twice a Month",IF(MOD((IF(DAY(Recurring!$F$9)&lt;=20,0,1)+8),2)=1,EOMONTH(Recurring!$F$9,INT((IF(DAY(Recurring!$F$9)&lt;=20,0,1)+8)/2)),DATE(YEAR(EDATE(Recurring!$F$9,INT((IF(DAY(Recurring!$F$9)&lt;=20,0,1)+8)/2))),MONTH(EDATE(Recurring!$F$9,INT((IF(DAY(Recurring!$F$9)&lt;=20,0,1)+8)/2))),15)),IF(Recurring!$E$9="One Time",IF(9=1,Recurring!$F$9,""),""))))))</f>
        <v>46512</v>
      </c>
      <c r="G76" s="119" t="n">
        <f aca="false">IF($L76="","",IF(SUMIFS(Overrides!$D$9:$D$108,Overrides!$B$9:$B$108,$C76,Overrides!$C$9:$C$108,$L76)&gt;0,SUMIFS(Overrides!$D$9:$D$108,Overrides!$B$9:$B$108,$C76,Overrides!$C$9:$C$108,$L76),$L76))</f>
        <v>46512</v>
      </c>
      <c r="H76" s="120" t="n">
        <f aca="false">IF($G76="",0,IF(AND($G76&gt;='Cash Flow'!$E$6,$G76&lt;'Cash Flow'!$E$6+91),1,0))</f>
        <v>0</v>
      </c>
      <c r="I76" s="120" t="str">
        <f aca="false">IF($H76=1,MAX(1,INT(($G76-'Cash Flow'!$E$6)/7)+1),"")</f>
        <v/>
      </c>
      <c r="J76" s="7" t="str">
        <f aca="false">IF($H76=1,$G76*10000+ROW(),"")</f>
        <v/>
      </c>
      <c r="K76" s="7" t="str">
        <f aca="false">IF($H76=1,$I76*1000+COUNTIFS($I$4:$I$483,$I76,$J$4:$J$483,"&lt;"&amp;$J76)+1,"")</f>
        <v/>
      </c>
      <c r="L76" s="121" t="n">
        <f aca="false">IF($F76="","",IF(Recurring!$G$9="Move Before",IF(WEEKDAY($F76,2)=6,$F76-1,IF(WEEKDAY($F76,2)=7,$F76-2,$F76)),IF(Recurring!$G$9="Move After",IF(WEEKDAY($F76,2)=6,$F76+2,IF(WEEKDAY($F76,2)=7,$F76+1,$F76)),$F76)))</f>
        <v>46512</v>
      </c>
      <c r="M76" s="0" t="str">
        <f aca="true">IF(AND($H76=1,$D76="Expense",$G76&gt;TODAY(),$E76&gt;=100),$G76*100000+ROW(),"")</f>
        <v/>
      </c>
      <c r="N76" s="0" t="str">
        <f aca="true">IF(AND($H76=1,$D76="Income",$G76&gt;TODAY()),$G76*100000+ROW(),"")</f>
        <v/>
      </c>
    </row>
    <row r="77" customFormat="false" ht="15" hidden="false" customHeight="true" outlineLevel="0" collapsed="false">
      <c r="A77" s="117" t="n">
        <v>5</v>
      </c>
      <c r="B77" s="117" t="n">
        <v>10</v>
      </c>
      <c r="C77" s="7" t="str">
        <f aca="false">IF(OR(Recurring!$B$9="",Recurring!$H$9&lt;&gt;"Yes",Recurring!$D$9=""),"",Recurring!$B$9)</f>
        <v>Obsidian</v>
      </c>
      <c r="D77" s="7" t="str">
        <f aca="false">IF($C77="","",Recurring!$C$9)</f>
        <v>Expense</v>
      </c>
      <c r="E77" s="118" t="n">
        <f aca="false">IF($C77="","",IF(SUMIFS(Overrides!$E$9:$E$108,Overrides!$B$9:$B$108,$C77,Overrides!$C$9:$C$108,$L77)&gt;0,SUMIFS(Overrides!$E$9:$E$108,Overrides!$B$9:$B$108,$C77,Overrides!$C$9:$C$108,$L77),Recurring!$D$9))</f>
        <v>10</v>
      </c>
      <c r="F77" s="119" t="n">
        <f aca="false">IF($C77="","",IF(Recurring!$E$9="Weekly",Recurring!$F$9+7*9,IF(Recurring!$E$9="Every 2 Weeks",Recurring!$F$9+14*9,IF(Recurring!$E$9="Monthly",EDATE(Recurring!$F$9,9),IF(Recurring!$E$9="Twice a Month",IF(MOD((IF(DAY(Recurring!$F$9)&lt;=20,0,1)+9),2)=1,EOMONTH(Recurring!$F$9,INT((IF(DAY(Recurring!$F$9)&lt;=20,0,1)+9)/2)),DATE(YEAR(EDATE(Recurring!$F$9,INT((IF(DAY(Recurring!$F$9)&lt;=20,0,1)+9)/2))),MONTH(EDATE(Recurring!$F$9,INT((IF(DAY(Recurring!$F$9)&lt;=20,0,1)+9)/2))),15)),IF(Recurring!$E$9="One Time",IF(10=1,Recurring!$F$9,""),""))))))</f>
        <v>46543</v>
      </c>
      <c r="G77" s="119" t="n">
        <f aca="false">IF($L77="","",IF(SUMIFS(Overrides!$D$9:$D$108,Overrides!$B$9:$B$108,$C77,Overrides!$C$9:$C$108,$L77)&gt;0,SUMIFS(Overrides!$D$9:$D$108,Overrides!$B$9:$B$108,$C77,Overrides!$C$9:$C$108,$L77),$L77))</f>
        <v>46543</v>
      </c>
      <c r="H77" s="120" t="n">
        <f aca="false">IF($G77="",0,IF(AND($G77&gt;='Cash Flow'!$E$6,$G77&lt;'Cash Flow'!$E$6+91),1,0))</f>
        <v>0</v>
      </c>
      <c r="I77" s="120" t="str">
        <f aca="false">IF($H77=1,MAX(1,INT(($G77-'Cash Flow'!$E$6)/7)+1),"")</f>
        <v/>
      </c>
      <c r="J77" s="7" t="str">
        <f aca="false">IF($H77=1,$G77*10000+ROW(),"")</f>
        <v/>
      </c>
      <c r="K77" s="7" t="str">
        <f aca="false">IF($H77=1,$I77*1000+COUNTIFS($I$4:$I$483,$I77,$J$4:$J$483,"&lt;"&amp;$J77)+1,"")</f>
        <v/>
      </c>
      <c r="L77" s="121" t="n">
        <f aca="false">IF($F77="","",IF(Recurring!$G$9="Move Before",IF(WEEKDAY($F77,2)=6,$F77-1,IF(WEEKDAY($F77,2)=7,$F77-2,$F77)),IF(Recurring!$G$9="Move After",IF(WEEKDAY($F77,2)=6,$F77+2,IF(WEEKDAY($F77,2)=7,$F77+1,$F77)),$F77)))</f>
        <v>46543</v>
      </c>
      <c r="M77" s="0" t="str">
        <f aca="true">IF(AND($H77=1,$D77="Expense",$G77&gt;TODAY(),$E77&gt;=100),$G77*100000+ROW(),"")</f>
        <v/>
      </c>
      <c r="N77" s="0" t="str">
        <f aca="true">IF(AND($H77=1,$D77="Income",$G77&gt;TODAY()),$G77*100000+ROW(),"")</f>
        <v/>
      </c>
    </row>
    <row r="78" customFormat="false" ht="15" hidden="false" customHeight="true" outlineLevel="0" collapsed="false">
      <c r="A78" s="117" t="n">
        <v>5</v>
      </c>
      <c r="B78" s="117" t="n">
        <v>11</v>
      </c>
      <c r="C78" s="7" t="str">
        <f aca="false">IF(OR(Recurring!$B$9="",Recurring!$H$9&lt;&gt;"Yes",Recurring!$D$9=""),"",Recurring!$B$9)</f>
        <v>Obsidian</v>
      </c>
      <c r="D78" s="7" t="str">
        <f aca="false">IF($C78="","",Recurring!$C$9)</f>
        <v>Expense</v>
      </c>
      <c r="E78" s="118" t="n">
        <f aca="false">IF($C78="","",IF(SUMIFS(Overrides!$E$9:$E$108,Overrides!$B$9:$B$108,$C78,Overrides!$C$9:$C$108,$L78)&gt;0,SUMIFS(Overrides!$E$9:$E$108,Overrides!$B$9:$B$108,$C78,Overrides!$C$9:$C$108,$L78),Recurring!$D$9))</f>
        <v>10</v>
      </c>
      <c r="F78" s="119" t="n">
        <f aca="false">IF($C78="","",IF(Recurring!$E$9="Weekly",Recurring!$F$9+7*10,IF(Recurring!$E$9="Every 2 Weeks",Recurring!$F$9+14*10,IF(Recurring!$E$9="Monthly",EDATE(Recurring!$F$9,10),IF(Recurring!$E$9="Twice a Month",IF(MOD((IF(DAY(Recurring!$F$9)&lt;=20,0,1)+10),2)=1,EOMONTH(Recurring!$F$9,INT((IF(DAY(Recurring!$F$9)&lt;=20,0,1)+10)/2)),DATE(YEAR(EDATE(Recurring!$F$9,INT((IF(DAY(Recurring!$F$9)&lt;=20,0,1)+10)/2))),MONTH(EDATE(Recurring!$F$9,INT((IF(DAY(Recurring!$F$9)&lt;=20,0,1)+10)/2))),15)),IF(Recurring!$E$9="One Time",IF(11=1,Recurring!$F$9,""),""))))))</f>
        <v>46573</v>
      </c>
      <c r="G78" s="119" t="n">
        <f aca="false">IF($L78="","",IF(SUMIFS(Overrides!$D$9:$D$108,Overrides!$B$9:$B$108,$C78,Overrides!$C$9:$C$108,$L78)&gt;0,SUMIFS(Overrides!$D$9:$D$108,Overrides!$B$9:$B$108,$C78,Overrides!$C$9:$C$108,$L78),$L78))</f>
        <v>46573</v>
      </c>
      <c r="H78" s="120" t="n">
        <f aca="false">IF($G78="",0,IF(AND($G78&gt;='Cash Flow'!$E$6,$G78&lt;'Cash Flow'!$E$6+91),1,0))</f>
        <v>0</v>
      </c>
      <c r="I78" s="120" t="str">
        <f aca="false">IF($H78=1,MAX(1,INT(($G78-'Cash Flow'!$E$6)/7)+1),"")</f>
        <v/>
      </c>
      <c r="J78" s="7" t="str">
        <f aca="false">IF($H78=1,$G78*10000+ROW(),"")</f>
        <v/>
      </c>
      <c r="K78" s="7" t="str">
        <f aca="false">IF($H78=1,$I78*1000+COUNTIFS($I$4:$I$483,$I78,$J$4:$J$483,"&lt;"&amp;$J78)+1,"")</f>
        <v/>
      </c>
      <c r="L78" s="121" t="n">
        <f aca="false">IF($F78="","",IF(Recurring!$G$9="Move Before",IF(WEEKDAY($F78,2)=6,$F78-1,IF(WEEKDAY($F78,2)=7,$F78-2,$F78)),IF(Recurring!$G$9="Move After",IF(WEEKDAY($F78,2)=6,$F78+2,IF(WEEKDAY($F78,2)=7,$F78+1,$F78)),$F78)))</f>
        <v>46573</v>
      </c>
      <c r="M78" s="0" t="str">
        <f aca="true">IF(AND($H78=1,$D78="Expense",$G78&gt;TODAY(),$E78&gt;=100),$G78*100000+ROW(),"")</f>
        <v/>
      </c>
      <c r="N78" s="0" t="str">
        <f aca="true">IF(AND($H78=1,$D78="Income",$G78&gt;TODAY()),$G78*100000+ROW(),"")</f>
        <v/>
      </c>
    </row>
    <row r="79" customFormat="false" ht="15" hidden="false" customHeight="true" outlineLevel="0" collapsed="false">
      <c r="A79" s="117" t="n">
        <v>5</v>
      </c>
      <c r="B79" s="117" t="n">
        <v>12</v>
      </c>
      <c r="C79" s="7" t="str">
        <f aca="false">IF(OR(Recurring!$B$9="",Recurring!$H$9&lt;&gt;"Yes",Recurring!$D$9=""),"",Recurring!$B$9)</f>
        <v>Obsidian</v>
      </c>
      <c r="D79" s="7" t="str">
        <f aca="false">IF($C79="","",Recurring!$C$9)</f>
        <v>Expense</v>
      </c>
      <c r="E79" s="118" t="n">
        <f aca="false">IF($C79="","",IF(SUMIFS(Overrides!$E$9:$E$108,Overrides!$B$9:$B$108,$C79,Overrides!$C$9:$C$108,$L79)&gt;0,SUMIFS(Overrides!$E$9:$E$108,Overrides!$B$9:$B$108,$C79,Overrides!$C$9:$C$108,$L79),Recurring!$D$9))</f>
        <v>10</v>
      </c>
      <c r="F79" s="119" t="n">
        <f aca="false">IF($C79="","",IF(Recurring!$E$9="Weekly",Recurring!$F$9+7*11,IF(Recurring!$E$9="Every 2 Weeks",Recurring!$F$9+14*11,IF(Recurring!$E$9="Monthly",EDATE(Recurring!$F$9,11),IF(Recurring!$E$9="Twice a Month",IF(MOD((IF(DAY(Recurring!$F$9)&lt;=20,0,1)+11),2)=1,EOMONTH(Recurring!$F$9,INT((IF(DAY(Recurring!$F$9)&lt;=20,0,1)+11)/2)),DATE(YEAR(EDATE(Recurring!$F$9,INT((IF(DAY(Recurring!$F$9)&lt;=20,0,1)+11)/2))),MONTH(EDATE(Recurring!$F$9,INT((IF(DAY(Recurring!$F$9)&lt;=20,0,1)+11)/2))),15)),IF(Recurring!$E$9="One Time",IF(12=1,Recurring!$F$9,""),""))))))</f>
        <v>46604</v>
      </c>
      <c r="G79" s="119" t="n">
        <f aca="false">IF($L79="","",IF(SUMIFS(Overrides!$D$9:$D$108,Overrides!$B$9:$B$108,$C79,Overrides!$C$9:$C$108,$L79)&gt;0,SUMIFS(Overrides!$D$9:$D$108,Overrides!$B$9:$B$108,$C79,Overrides!$C$9:$C$108,$L79),$L79))</f>
        <v>46604</v>
      </c>
      <c r="H79" s="120" t="n">
        <f aca="false">IF($G79="",0,IF(AND($G79&gt;='Cash Flow'!$E$6,$G79&lt;'Cash Flow'!$E$6+91),1,0))</f>
        <v>0</v>
      </c>
      <c r="I79" s="120" t="str">
        <f aca="false">IF($H79=1,MAX(1,INT(($G79-'Cash Flow'!$E$6)/7)+1),"")</f>
        <v/>
      </c>
      <c r="J79" s="7" t="str">
        <f aca="false">IF($H79=1,$G79*10000+ROW(),"")</f>
        <v/>
      </c>
      <c r="K79" s="7" t="str">
        <f aca="false">IF($H79=1,$I79*1000+COUNTIFS($I$4:$I$483,$I79,$J$4:$J$483,"&lt;"&amp;$J79)+1,"")</f>
        <v/>
      </c>
      <c r="L79" s="121" t="n">
        <f aca="false">IF($F79="","",IF(Recurring!$G$9="Move Before",IF(WEEKDAY($F79,2)=6,$F79-1,IF(WEEKDAY($F79,2)=7,$F79-2,$F79)),IF(Recurring!$G$9="Move After",IF(WEEKDAY($F79,2)=6,$F79+2,IF(WEEKDAY($F79,2)=7,$F79+1,$F79)),$F79)))</f>
        <v>46604</v>
      </c>
      <c r="M79" s="0" t="str">
        <f aca="true">IF(AND($H79=1,$D79="Expense",$G79&gt;TODAY(),$E79&gt;=100),$G79*100000+ROW(),"")</f>
        <v/>
      </c>
      <c r="N79" s="0" t="str">
        <f aca="true">IF(AND($H79=1,$D79="Income",$G79&gt;TODAY()),$G79*100000+ROW(),"")</f>
        <v/>
      </c>
    </row>
    <row r="80" customFormat="false" ht="15" hidden="false" customHeight="true" outlineLevel="0" collapsed="false">
      <c r="A80" s="117" t="n">
        <v>5</v>
      </c>
      <c r="B80" s="117" t="n">
        <v>13</v>
      </c>
      <c r="C80" s="7" t="str">
        <f aca="false">IF(OR(Recurring!$B$9="",Recurring!$H$9&lt;&gt;"Yes",Recurring!$D$9=""),"",Recurring!$B$9)</f>
        <v>Obsidian</v>
      </c>
      <c r="D80" s="7" t="str">
        <f aca="false">IF($C80="","",Recurring!$C$9)</f>
        <v>Expense</v>
      </c>
      <c r="E80" s="118" t="n">
        <f aca="false">IF($C80="","",IF(SUMIFS(Overrides!$E$9:$E$108,Overrides!$B$9:$B$108,$C80,Overrides!$C$9:$C$108,$L80)&gt;0,SUMIFS(Overrides!$E$9:$E$108,Overrides!$B$9:$B$108,$C80,Overrides!$C$9:$C$108,$L80),Recurring!$D$9))</f>
        <v>10</v>
      </c>
      <c r="F80" s="119" t="n">
        <f aca="false">IF($C80="","",IF(Recurring!$E$9="Weekly",Recurring!$F$9+7*12,IF(Recurring!$E$9="Every 2 Weeks",Recurring!$F$9+14*12,IF(Recurring!$E$9="Monthly",EDATE(Recurring!$F$9,12),IF(Recurring!$E$9="Twice a Month",IF(MOD((IF(DAY(Recurring!$F$9)&lt;=20,0,1)+12),2)=1,EOMONTH(Recurring!$F$9,INT((IF(DAY(Recurring!$F$9)&lt;=20,0,1)+12)/2)),DATE(YEAR(EDATE(Recurring!$F$9,INT((IF(DAY(Recurring!$F$9)&lt;=20,0,1)+12)/2))),MONTH(EDATE(Recurring!$F$9,INT((IF(DAY(Recurring!$F$9)&lt;=20,0,1)+12)/2))),15)),IF(Recurring!$E$9="One Time",IF(13=1,Recurring!$F$9,""),""))))))</f>
        <v>46635</v>
      </c>
      <c r="G80" s="119" t="n">
        <f aca="false">IF($L80="","",IF(SUMIFS(Overrides!$D$9:$D$108,Overrides!$B$9:$B$108,$C80,Overrides!$C$9:$C$108,$L80)&gt;0,SUMIFS(Overrides!$D$9:$D$108,Overrides!$B$9:$B$108,$C80,Overrides!$C$9:$C$108,$L80),$L80))</f>
        <v>46635</v>
      </c>
      <c r="H80" s="120" t="n">
        <f aca="false">IF($G80="",0,IF(AND($G80&gt;='Cash Flow'!$E$6,$G80&lt;'Cash Flow'!$E$6+91),1,0))</f>
        <v>0</v>
      </c>
      <c r="I80" s="120" t="str">
        <f aca="false">IF($H80=1,MAX(1,INT(($G80-'Cash Flow'!$E$6)/7)+1),"")</f>
        <v/>
      </c>
      <c r="J80" s="7" t="str">
        <f aca="false">IF($H80=1,$G80*10000+ROW(),"")</f>
        <v/>
      </c>
      <c r="K80" s="7" t="str">
        <f aca="false">IF($H80=1,$I80*1000+COUNTIFS($I$4:$I$483,$I80,$J$4:$J$483,"&lt;"&amp;$J80)+1,"")</f>
        <v/>
      </c>
      <c r="L80" s="121" t="n">
        <f aca="false">IF($F80="","",IF(Recurring!$G$9="Move Before",IF(WEEKDAY($F80,2)=6,$F80-1,IF(WEEKDAY($F80,2)=7,$F80-2,$F80)),IF(Recurring!$G$9="Move After",IF(WEEKDAY($F80,2)=6,$F80+2,IF(WEEKDAY($F80,2)=7,$F80+1,$F80)),$F80)))</f>
        <v>46635</v>
      </c>
      <c r="M80" s="0" t="str">
        <f aca="true">IF(AND($H80=1,$D80="Expense",$G80&gt;TODAY(),$E80&gt;=100),$G80*100000+ROW(),"")</f>
        <v/>
      </c>
      <c r="N80" s="0" t="str">
        <f aca="true">IF(AND($H80=1,$D80="Income",$G80&gt;TODAY()),$G80*100000+ROW(),"")</f>
        <v/>
      </c>
    </row>
    <row r="81" customFormat="false" ht="15" hidden="false" customHeight="true" outlineLevel="0" collapsed="false">
      <c r="A81" s="117" t="n">
        <v>5</v>
      </c>
      <c r="B81" s="117" t="n">
        <v>14</v>
      </c>
      <c r="C81" s="7" t="str">
        <f aca="false">IF(OR(Recurring!$B$9="",Recurring!$H$9&lt;&gt;"Yes",Recurring!$D$9=""),"",Recurring!$B$9)</f>
        <v>Obsidian</v>
      </c>
      <c r="D81" s="7" t="str">
        <f aca="false">IF($C81="","",Recurring!$C$9)</f>
        <v>Expense</v>
      </c>
      <c r="E81" s="118" t="n">
        <f aca="false">IF($C81="","",IF(SUMIFS(Overrides!$E$9:$E$108,Overrides!$B$9:$B$108,$C81,Overrides!$C$9:$C$108,$L81)&gt;0,SUMIFS(Overrides!$E$9:$E$108,Overrides!$B$9:$B$108,$C81,Overrides!$C$9:$C$108,$L81),Recurring!$D$9))</f>
        <v>10</v>
      </c>
      <c r="F81" s="119" t="n">
        <f aca="false">IF($C81="","",IF(Recurring!$E$9="Weekly",Recurring!$F$9+7*13,IF(Recurring!$E$9="Every 2 Weeks",Recurring!$F$9+14*13,IF(Recurring!$E$9="Monthly",EDATE(Recurring!$F$9,13),IF(Recurring!$E$9="Twice a Month",IF(MOD((IF(DAY(Recurring!$F$9)&lt;=20,0,1)+13),2)=1,EOMONTH(Recurring!$F$9,INT((IF(DAY(Recurring!$F$9)&lt;=20,0,1)+13)/2)),DATE(YEAR(EDATE(Recurring!$F$9,INT((IF(DAY(Recurring!$F$9)&lt;=20,0,1)+13)/2))),MONTH(EDATE(Recurring!$F$9,INT((IF(DAY(Recurring!$F$9)&lt;=20,0,1)+13)/2))),15)),IF(Recurring!$E$9="One Time",IF(14=1,Recurring!$F$9,""),""))))))</f>
        <v>46665</v>
      </c>
      <c r="G81" s="119" t="n">
        <f aca="false">IF($L81="","",IF(SUMIFS(Overrides!$D$9:$D$108,Overrides!$B$9:$B$108,$C81,Overrides!$C$9:$C$108,$L81)&gt;0,SUMIFS(Overrides!$D$9:$D$108,Overrides!$B$9:$B$108,$C81,Overrides!$C$9:$C$108,$L81),$L81))</f>
        <v>46665</v>
      </c>
      <c r="H81" s="120" t="n">
        <f aca="false">IF($G81="",0,IF(AND($G81&gt;='Cash Flow'!$E$6,$G81&lt;'Cash Flow'!$E$6+91),1,0))</f>
        <v>0</v>
      </c>
      <c r="I81" s="120" t="str">
        <f aca="false">IF($H81=1,MAX(1,INT(($G81-'Cash Flow'!$E$6)/7)+1),"")</f>
        <v/>
      </c>
      <c r="J81" s="7" t="str">
        <f aca="false">IF($H81=1,$G81*10000+ROW(),"")</f>
        <v/>
      </c>
      <c r="K81" s="7" t="str">
        <f aca="false">IF($H81=1,$I81*1000+COUNTIFS($I$4:$I$483,$I81,$J$4:$J$483,"&lt;"&amp;$J81)+1,"")</f>
        <v/>
      </c>
      <c r="L81" s="121" t="n">
        <f aca="false">IF($F81="","",IF(Recurring!$G$9="Move Before",IF(WEEKDAY($F81,2)=6,$F81-1,IF(WEEKDAY($F81,2)=7,$F81-2,$F81)),IF(Recurring!$G$9="Move After",IF(WEEKDAY($F81,2)=6,$F81+2,IF(WEEKDAY($F81,2)=7,$F81+1,$F81)),$F81)))</f>
        <v>46665</v>
      </c>
      <c r="M81" s="0" t="str">
        <f aca="true">IF(AND($H81=1,$D81="Expense",$G81&gt;TODAY(),$E81&gt;=100),$G81*100000+ROW(),"")</f>
        <v/>
      </c>
      <c r="N81" s="0" t="str">
        <f aca="true">IF(AND($H81=1,$D81="Income",$G81&gt;TODAY()),$G81*100000+ROW(),"")</f>
        <v/>
      </c>
    </row>
    <row r="82" customFormat="false" ht="15" hidden="false" customHeight="true" outlineLevel="0" collapsed="false">
      <c r="A82" s="117" t="n">
        <v>5</v>
      </c>
      <c r="B82" s="117" t="n">
        <v>15</v>
      </c>
      <c r="C82" s="7" t="str">
        <f aca="false">IF(OR(Recurring!$B$9="",Recurring!$H$9&lt;&gt;"Yes",Recurring!$D$9=""),"",Recurring!$B$9)</f>
        <v>Obsidian</v>
      </c>
      <c r="D82" s="7" t="str">
        <f aca="false">IF($C82="","",Recurring!$C$9)</f>
        <v>Expense</v>
      </c>
      <c r="E82" s="118" t="n">
        <f aca="false">IF($C82="","",IF(SUMIFS(Overrides!$E$9:$E$108,Overrides!$B$9:$B$108,$C82,Overrides!$C$9:$C$108,$L82)&gt;0,SUMIFS(Overrides!$E$9:$E$108,Overrides!$B$9:$B$108,$C82,Overrides!$C$9:$C$108,$L82),Recurring!$D$9))</f>
        <v>10</v>
      </c>
      <c r="F82" s="119" t="n">
        <f aca="false">IF($C82="","",IF(Recurring!$E$9="Weekly",Recurring!$F$9+7*14,IF(Recurring!$E$9="Every 2 Weeks",Recurring!$F$9+14*14,IF(Recurring!$E$9="Monthly",EDATE(Recurring!$F$9,14),IF(Recurring!$E$9="Twice a Month",IF(MOD((IF(DAY(Recurring!$F$9)&lt;=20,0,1)+14),2)=1,EOMONTH(Recurring!$F$9,INT((IF(DAY(Recurring!$F$9)&lt;=20,0,1)+14)/2)),DATE(YEAR(EDATE(Recurring!$F$9,INT((IF(DAY(Recurring!$F$9)&lt;=20,0,1)+14)/2))),MONTH(EDATE(Recurring!$F$9,INT((IF(DAY(Recurring!$F$9)&lt;=20,0,1)+14)/2))),15)),IF(Recurring!$E$9="One Time",IF(15=1,Recurring!$F$9,""),""))))))</f>
        <v>46696</v>
      </c>
      <c r="G82" s="119" t="n">
        <f aca="false">IF($L82="","",IF(SUMIFS(Overrides!$D$9:$D$108,Overrides!$B$9:$B$108,$C82,Overrides!$C$9:$C$108,$L82)&gt;0,SUMIFS(Overrides!$D$9:$D$108,Overrides!$B$9:$B$108,$C82,Overrides!$C$9:$C$108,$L82),$L82))</f>
        <v>46696</v>
      </c>
      <c r="H82" s="120" t="n">
        <f aca="false">IF($G82="",0,IF(AND($G82&gt;='Cash Flow'!$E$6,$G82&lt;'Cash Flow'!$E$6+91),1,0))</f>
        <v>0</v>
      </c>
      <c r="I82" s="120" t="str">
        <f aca="false">IF($H82=1,MAX(1,INT(($G82-'Cash Flow'!$E$6)/7)+1),"")</f>
        <v/>
      </c>
      <c r="J82" s="7" t="str">
        <f aca="false">IF($H82=1,$G82*10000+ROW(),"")</f>
        <v/>
      </c>
      <c r="K82" s="7" t="str">
        <f aca="false">IF($H82=1,$I82*1000+COUNTIFS($I$4:$I$483,$I82,$J$4:$J$483,"&lt;"&amp;$J82)+1,"")</f>
        <v/>
      </c>
      <c r="L82" s="121" t="n">
        <f aca="false">IF($F82="","",IF(Recurring!$G$9="Move Before",IF(WEEKDAY($F82,2)=6,$F82-1,IF(WEEKDAY($F82,2)=7,$F82-2,$F82)),IF(Recurring!$G$9="Move After",IF(WEEKDAY($F82,2)=6,$F82+2,IF(WEEKDAY($F82,2)=7,$F82+1,$F82)),$F82)))</f>
        <v>46696</v>
      </c>
      <c r="M82" s="0" t="str">
        <f aca="true">IF(AND($H82=1,$D82="Expense",$G82&gt;TODAY(),$E82&gt;=100),$G82*100000+ROW(),"")</f>
        <v/>
      </c>
      <c r="N82" s="0" t="str">
        <f aca="true">IF(AND($H82=1,$D82="Income",$G82&gt;TODAY()),$G82*100000+ROW(),"")</f>
        <v/>
      </c>
    </row>
    <row r="83" customFormat="false" ht="15" hidden="false" customHeight="true" outlineLevel="0" collapsed="false">
      <c r="A83" s="117" t="n">
        <v>5</v>
      </c>
      <c r="B83" s="117" t="n">
        <v>16</v>
      </c>
      <c r="C83" s="7" t="str">
        <f aca="false">IF(OR(Recurring!$B$9="",Recurring!$H$9&lt;&gt;"Yes",Recurring!$D$9=""),"",Recurring!$B$9)</f>
        <v>Obsidian</v>
      </c>
      <c r="D83" s="7" t="str">
        <f aca="false">IF($C83="","",Recurring!$C$9)</f>
        <v>Expense</v>
      </c>
      <c r="E83" s="118" t="n">
        <f aca="false">IF($C83="","",IF(SUMIFS(Overrides!$E$9:$E$108,Overrides!$B$9:$B$108,$C83,Overrides!$C$9:$C$108,$L83)&gt;0,SUMIFS(Overrides!$E$9:$E$108,Overrides!$B$9:$B$108,$C83,Overrides!$C$9:$C$108,$L83),Recurring!$D$9))</f>
        <v>10</v>
      </c>
      <c r="F83" s="119" t="n">
        <f aca="false">IF($C83="","",IF(Recurring!$E$9="Weekly",Recurring!$F$9+7*15,IF(Recurring!$E$9="Every 2 Weeks",Recurring!$F$9+14*15,IF(Recurring!$E$9="Monthly",EDATE(Recurring!$F$9,15),IF(Recurring!$E$9="Twice a Month",IF(MOD((IF(DAY(Recurring!$F$9)&lt;=20,0,1)+15),2)=1,EOMONTH(Recurring!$F$9,INT((IF(DAY(Recurring!$F$9)&lt;=20,0,1)+15)/2)),DATE(YEAR(EDATE(Recurring!$F$9,INT((IF(DAY(Recurring!$F$9)&lt;=20,0,1)+15)/2))),MONTH(EDATE(Recurring!$F$9,INT((IF(DAY(Recurring!$F$9)&lt;=20,0,1)+15)/2))),15)),IF(Recurring!$E$9="One Time",IF(16=1,Recurring!$F$9,""),""))))))</f>
        <v>46726</v>
      </c>
      <c r="G83" s="119" t="n">
        <f aca="false">IF($L83="","",IF(SUMIFS(Overrides!$D$9:$D$108,Overrides!$B$9:$B$108,$C83,Overrides!$C$9:$C$108,$L83)&gt;0,SUMIFS(Overrides!$D$9:$D$108,Overrides!$B$9:$B$108,$C83,Overrides!$C$9:$C$108,$L83),$L83))</f>
        <v>46726</v>
      </c>
      <c r="H83" s="120" t="n">
        <f aca="false">IF($G83="",0,IF(AND($G83&gt;='Cash Flow'!$E$6,$G83&lt;'Cash Flow'!$E$6+91),1,0))</f>
        <v>0</v>
      </c>
      <c r="I83" s="120" t="str">
        <f aca="false">IF($H83=1,MAX(1,INT(($G83-'Cash Flow'!$E$6)/7)+1),"")</f>
        <v/>
      </c>
      <c r="J83" s="7" t="str">
        <f aca="false">IF($H83=1,$G83*10000+ROW(),"")</f>
        <v/>
      </c>
      <c r="K83" s="7" t="str">
        <f aca="false">IF($H83=1,$I83*1000+COUNTIFS($I$4:$I$483,$I83,$J$4:$J$483,"&lt;"&amp;$J83)+1,"")</f>
        <v/>
      </c>
      <c r="L83" s="121" t="n">
        <f aca="false">IF($F83="","",IF(Recurring!$G$9="Move Before",IF(WEEKDAY($F83,2)=6,$F83-1,IF(WEEKDAY($F83,2)=7,$F83-2,$F83)),IF(Recurring!$G$9="Move After",IF(WEEKDAY($F83,2)=6,$F83+2,IF(WEEKDAY($F83,2)=7,$F83+1,$F83)),$F83)))</f>
        <v>46726</v>
      </c>
      <c r="M83" s="0" t="str">
        <f aca="true">IF(AND($H83=1,$D83="Expense",$G83&gt;TODAY(),$E83&gt;=100),$G83*100000+ROW(),"")</f>
        <v/>
      </c>
      <c r="N83" s="0" t="str">
        <f aca="true">IF(AND($H83=1,$D83="Income",$G83&gt;TODAY()),$G83*100000+ROW(),"")</f>
        <v/>
      </c>
    </row>
    <row r="84" customFormat="false" ht="15" hidden="false" customHeight="true" outlineLevel="0" collapsed="false">
      <c r="A84" s="117" t="n">
        <v>6</v>
      </c>
      <c r="B84" s="117" t="n">
        <v>1</v>
      </c>
      <c r="C84" s="7" t="str">
        <f aca="false">IF(OR(Recurring!$B$10="",Recurring!$H$10&lt;&gt;"Yes",Recurring!$D$10=""),"",Recurring!$B$10)</f>
        <v>Google One</v>
      </c>
      <c r="D84" s="7" t="str">
        <f aca="false">IF($C84="","",Recurring!$C$10)</f>
        <v>Expense</v>
      </c>
      <c r="E84" s="118" t="n">
        <f aca="false">IF($C84="","",IF(SUMIFS(Overrides!$E$9:$E$108,Overrides!$B$9:$B$108,$C84,Overrides!$C$9:$C$108,$L84)&gt;0,SUMIFS(Overrides!$E$9:$E$108,Overrides!$B$9:$B$108,$C84,Overrides!$C$9:$C$108,$L84),Recurring!$D$10))</f>
        <v>4.99</v>
      </c>
      <c r="F84" s="119" t="n">
        <f aca="false">IF($C84="","",IF(Recurring!$E$10="Weekly",Recurring!$F$10+7*0,IF(Recurring!$E$10="Every 2 Weeks",Recurring!$F$10+14*0,IF(Recurring!$E$10="Monthly",EDATE(Recurring!$F$10,0),IF(Recurring!$E$10="Twice a Month",IF(MOD((IF(DAY(Recurring!$F$10)&lt;=20,0,1)+0),2)=1,EOMONTH(Recurring!$F$10,INT((IF(DAY(Recurring!$F$10)&lt;=20,0,1)+0)/2)),DATE(YEAR(EDATE(Recurring!$F$10,INT((IF(DAY(Recurring!$F$10)&lt;=20,0,1)+0)/2))),MONTH(EDATE(Recurring!$F$10,INT((IF(DAY(Recurring!$F$10)&lt;=20,0,1)+0)/2))),15)),IF(Recurring!$E$10="One Time",IF(1=1,Recurring!$F$10,""),""))))))</f>
        <v>46272</v>
      </c>
      <c r="G84" s="119" t="n">
        <f aca="false">IF($L84="","",IF(SUMIFS(Overrides!$D$9:$D$108,Overrides!$B$9:$B$108,$C84,Overrides!$C$9:$C$108,$L84)&gt;0,SUMIFS(Overrides!$D$9:$D$108,Overrides!$B$9:$B$108,$C84,Overrides!$C$9:$C$108,$L84),$L84))</f>
        <v>46272</v>
      </c>
      <c r="H84" s="120" t="n">
        <f aca="false">IF($G84="",0,IF(AND($G84&gt;='Cash Flow'!$E$6-90,$G84&lt;'Cash Flow'!$E$6+91),1,0))</f>
        <v>1</v>
      </c>
      <c r="I84" s="120" t="n">
        <f aca="false">IF($H84=1,MAX(1,INT(($G84-'Cash Flow'!$E$6)/7)+1),"")</f>
        <v>4</v>
      </c>
      <c r="J84" s="7" t="n">
        <f aca="false">IF($H84=1,$G84*10000+ROW(),"")</f>
        <v>462720084</v>
      </c>
      <c r="K84" s="7" t="n">
        <f aca="false">IF($H84=1,$I84*1000+COUNTIFS($I$4:$I$483,$I84,$J$4:$J$483,"&lt;"&amp;$J84)+1,"")</f>
        <v>4003</v>
      </c>
      <c r="L84" s="121" t="n">
        <f aca="false">IF($F84="","",IF(Recurring!$G$10="Move Before",IF(WEEKDAY($F84,2)=6,$F84-1,IF(WEEKDAY($F84,2)=7,$F84-2,$F84)),IF(Recurring!$G$10="Move After",IF(WEEKDAY($F84,2)=6,$F84+2,IF(WEEKDAY($F84,2)=7,$F84+1,$F84)),$F84)))</f>
        <v>46272</v>
      </c>
      <c r="M84" s="0" t="str">
        <f aca="true">IF(AND($H84=1,$D84="Expense",$G84&gt;TODAY(),$E84&gt;=100),$G84*100000+ROW(),"")</f>
        <v/>
      </c>
      <c r="N84" s="0" t="str">
        <f aca="true">IF(AND($H84=1,$D84="Income",$G84&gt;TODAY()),$G84*100000+ROW(),"")</f>
        <v/>
      </c>
    </row>
    <row r="85" customFormat="false" ht="15" hidden="false" customHeight="true" outlineLevel="0" collapsed="false">
      <c r="A85" s="117" t="n">
        <v>6</v>
      </c>
      <c r="B85" s="117" t="n">
        <v>2</v>
      </c>
      <c r="C85" s="7" t="str">
        <f aca="false">IF(OR(Recurring!$B$10="",Recurring!$H$10&lt;&gt;"Yes",Recurring!$D$10=""),"",Recurring!$B$10)</f>
        <v>Google One</v>
      </c>
      <c r="D85" s="7" t="str">
        <f aca="false">IF($C85="","",Recurring!$C$10)</f>
        <v>Expense</v>
      </c>
      <c r="E85" s="118" t="n">
        <f aca="false">IF($C85="","",IF(SUMIFS(Overrides!$E$9:$E$108,Overrides!$B$9:$B$108,$C85,Overrides!$C$9:$C$108,$L85)&gt;0,SUMIFS(Overrides!$E$9:$E$108,Overrides!$B$9:$B$108,$C85,Overrides!$C$9:$C$108,$L85),Recurring!$D$10))</f>
        <v>4.99</v>
      </c>
      <c r="F85" s="119" t="n">
        <f aca="false">IF($C85="","",IF(Recurring!$E$10="Weekly",Recurring!$F$10+7*1,IF(Recurring!$E$10="Every 2 Weeks",Recurring!$F$10+14*1,IF(Recurring!$E$10="Monthly",EDATE(Recurring!$F$10,1),IF(Recurring!$E$10="Twice a Month",IF(MOD((IF(DAY(Recurring!$F$10)&lt;=20,0,1)+1),2)=1,EOMONTH(Recurring!$F$10,INT((IF(DAY(Recurring!$F$10)&lt;=20,0,1)+1)/2)),DATE(YEAR(EDATE(Recurring!$F$10,INT((IF(DAY(Recurring!$F$10)&lt;=20,0,1)+1)/2))),MONTH(EDATE(Recurring!$F$10,INT((IF(DAY(Recurring!$F$10)&lt;=20,0,1)+1)/2))),15)),IF(Recurring!$E$10="One Time",IF(2=1,Recurring!$F$10,""),""))))))</f>
        <v>46302</v>
      </c>
      <c r="G85" s="119" t="n">
        <f aca="false">IF($L85="","",IF(SUMIFS(Overrides!$D$9:$D$108,Overrides!$B$9:$B$108,$C85,Overrides!$C$9:$C$108,$L85)&gt;0,SUMIFS(Overrides!$D$9:$D$108,Overrides!$B$9:$B$108,$C85,Overrides!$C$9:$C$108,$L85),$L85))</f>
        <v>46302</v>
      </c>
      <c r="H85" s="120" t="n">
        <f aca="false">IF($G85="",0,IF(AND($G85&gt;='Cash Flow'!$E$6,$G85&lt;'Cash Flow'!$E$6+91),1,0))</f>
        <v>1</v>
      </c>
      <c r="I85" s="120" t="n">
        <f aca="false">IF($H85=1,MAX(1,INT(($G85-'Cash Flow'!$E$6)/7)+1),"")</f>
        <v>8</v>
      </c>
      <c r="J85" s="7" t="n">
        <f aca="false">IF($H85=1,$G85*10000+ROW(),"")</f>
        <v>463020085</v>
      </c>
      <c r="K85" s="7" t="n">
        <f aca="false">IF($H85=1,$I85*1000+COUNTIFS($I$4:$I$483,$I85,$J$4:$J$483,"&lt;"&amp;$J85)+1,"")</f>
        <v>8005</v>
      </c>
      <c r="L85" s="121" t="n">
        <f aca="false">IF($F85="","",IF(Recurring!$G$10="Move Before",IF(WEEKDAY($F85,2)=6,$F85-1,IF(WEEKDAY($F85,2)=7,$F85-2,$F85)),IF(Recurring!$G$10="Move After",IF(WEEKDAY($F85,2)=6,$F85+2,IF(WEEKDAY($F85,2)=7,$F85+1,$F85)),$F85)))</f>
        <v>46302</v>
      </c>
      <c r="M85" s="0" t="str">
        <f aca="true">IF(AND($H85=1,$D85="Expense",$G85&gt;TODAY(),$E85&gt;=100),$G85*100000+ROW(),"")</f>
        <v/>
      </c>
      <c r="N85" s="0" t="str">
        <f aca="true">IF(AND($H85=1,$D85="Income",$G85&gt;TODAY()),$G85*100000+ROW(),"")</f>
        <v/>
      </c>
    </row>
    <row r="86" customFormat="false" ht="15" hidden="false" customHeight="true" outlineLevel="0" collapsed="false">
      <c r="A86" s="117" t="n">
        <v>6</v>
      </c>
      <c r="B86" s="117" t="n">
        <v>3</v>
      </c>
      <c r="C86" s="7" t="str">
        <f aca="false">IF(OR(Recurring!$B$10="",Recurring!$H$10&lt;&gt;"Yes",Recurring!$D$10=""),"",Recurring!$B$10)</f>
        <v>Google One</v>
      </c>
      <c r="D86" s="7" t="str">
        <f aca="false">IF($C86="","",Recurring!$C$10)</f>
        <v>Expense</v>
      </c>
      <c r="E86" s="118" t="n">
        <f aca="false">IF($C86="","",IF(SUMIFS(Overrides!$E$9:$E$108,Overrides!$B$9:$B$108,$C86,Overrides!$C$9:$C$108,$L86)&gt;0,SUMIFS(Overrides!$E$9:$E$108,Overrides!$B$9:$B$108,$C86,Overrides!$C$9:$C$108,$L86),Recurring!$D$10))</f>
        <v>4.99</v>
      </c>
      <c r="F86" s="119" t="n">
        <f aca="false">IF($C86="","",IF(Recurring!$E$10="Weekly",Recurring!$F$10+7*2,IF(Recurring!$E$10="Every 2 Weeks",Recurring!$F$10+14*2,IF(Recurring!$E$10="Monthly",EDATE(Recurring!$F$10,2),IF(Recurring!$E$10="Twice a Month",IF(MOD((IF(DAY(Recurring!$F$10)&lt;=20,0,1)+2),2)=1,EOMONTH(Recurring!$F$10,INT((IF(DAY(Recurring!$F$10)&lt;=20,0,1)+2)/2)),DATE(YEAR(EDATE(Recurring!$F$10,INT((IF(DAY(Recurring!$F$10)&lt;=20,0,1)+2)/2))),MONTH(EDATE(Recurring!$F$10,INT((IF(DAY(Recurring!$F$10)&lt;=20,0,1)+2)/2))),15)),IF(Recurring!$E$10="One Time",IF(3=1,Recurring!$F$10,""),""))))))</f>
        <v>46333</v>
      </c>
      <c r="G86" s="119" t="n">
        <f aca="false">IF($L86="","",IF(SUMIFS(Overrides!$D$9:$D$108,Overrides!$B$9:$B$108,$C86,Overrides!$C$9:$C$108,$L86)&gt;0,SUMIFS(Overrides!$D$9:$D$108,Overrides!$B$9:$B$108,$C86,Overrides!$C$9:$C$108,$L86),$L86))</f>
        <v>46333</v>
      </c>
      <c r="H86" s="120" t="n">
        <f aca="false">IF($G86="",0,IF(AND($G86&gt;='Cash Flow'!$E$6,$G86&lt;'Cash Flow'!$E$6+91),1,0))</f>
        <v>1</v>
      </c>
      <c r="I86" s="120" t="n">
        <f aca="false">IF($H86=1,MAX(1,INT(($G86-'Cash Flow'!$E$6)/7)+1),"")</f>
        <v>13</v>
      </c>
      <c r="J86" s="7" t="n">
        <f aca="false">IF($H86=1,$G86*10000+ROW(),"")</f>
        <v>463330086</v>
      </c>
      <c r="K86" s="7" t="n">
        <f aca="false">IF($H86=1,$I86*1000+COUNTIFS($I$4:$I$483,$I86,$J$4:$J$483,"&lt;"&amp;$J86)+1,"")</f>
        <v>13001</v>
      </c>
      <c r="L86" s="121" t="n">
        <f aca="false">IF($F86="","",IF(Recurring!$G$10="Move Before",IF(WEEKDAY($F86,2)=6,$F86-1,IF(WEEKDAY($F86,2)=7,$F86-2,$F86)),IF(Recurring!$G$10="Move After",IF(WEEKDAY($F86,2)=6,$F86+2,IF(WEEKDAY($F86,2)=7,$F86+1,$F86)),$F86)))</f>
        <v>46333</v>
      </c>
      <c r="M86" s="0" t="str">
        <f aca="true">IF(AND($H86=1,$D86="Expense",$G86&gt;TODAY(),$E86&gt;=100),$G86*100000+ROW(),"")</f>
        <v/>
      </c>
      <c r="N86" s="0" t="str">
        <f aca="true">IF(AND($H86=1,$D86="Income",$G86&gt;TODAY()),$G86*100000+ROW(),"")</f>
        <v/>
      </c>
    </row>
    <row r="87" customFormat="false" ht="15" hidden="false" customHeight="true" outlineLevel="0" collapsed="false">
      <c r="A87" s="117" t="n">
        <v>6</v>
      </c>
      <c r="B87" s="117" t="n">
        <v>4</v>
      </c>
      <c r="C87" s="7" t="str">
        <f aca="false">IF(OR(Recurring!$B$10="",Recurring!$H$10&lt;&gt;"Yes",Recurring!$D$10=""),"",Recurring!$B$10)</f>
        <v>Google One</v>
      </c>
      <c r="D87" s="7" t="str">
        <f aca="false">IF($C87="","",Recurring!$C$10)</f>
        <v>Expense</v>
      </c>
      <c r="E87" s="118" t="n">
        <f aca="false">IF($C87="","",IF(SUMIFS(Overrides!$E$9:$E$108,Overrides!$B$9:$B$108,$C87,Overrides!$C$9:$C$108,$L87)&gt;0,SUMIFS(Overrides!$E$9:$E$108,Overrides!$B$9:$B$108,$C87,Overrides!$C$9:$C$108,$L87),Recurring!$D$10))</f>
        <v>4.99</v>
      </c>
      <c r="F87" s="119" t="n">
        <f aca="false">IF($C87="","",IF(Recurring!$E$10="Weekly",Recurring!$F$10+7*3,IF(Recurring!$E$10="Every 2 Weeks",Recurring!$F$10+14*3,IF(Recurring!$E$10="Monthly",EDATE(Recurring!$F$10,3),IF(Recurring!$E$10="Twice a Month",IF(MOD((IF(DAY(Recurring!$F$10)&lt;=20,0,1)+3),2)=1,EOMONTH(Recurring!$F$10,INT((IF(DAY(Recurring!$F$10)&lt;=20,0,1)+3)/2)),DATE(YEAR(EDATE(Recurring!$F$10,INT((IF(DAY(Recurring!$F$10)&lt;=20,0,1)+3)/2))),MONTH(EDATE(Recurring!$F$10,INT((IF(DAY(Recurring!$F$10)&lt;=20,0,1)+3)/2))),15)),IF(Recurring!$E$10="One Time",IF(4=1,Recurring!$F$10,""),""))))))</f>
        <v>46363</v>
      </c>
      <c r="G87" s="119" t="n">
        <f aca="false">IF($L87="","",IF(SUMIFS(Overrides!$D$9:$D$108,Overrides!$B$9:$B$108,$C87,Overrides!$C$9:$C$108,$L87)&gt;0,SUMIFS(Overrides!$D$9:$D$108,Overrides!$B$9:$B$108,$C87,Overrides!$C$9:$C$108,$L87),$L87))</f>
        <v>46363</v>
      </c>
      <c r="H87" s="120" t="n">
        <f aca="false">IF($G87="",0,IF(AND($G87&gt;='Cash Flow'!$E$6,$G87&lt;'Cash Flow'!$E$6+91),1,0))</f>
        <v>0</v>
      </c>
      <c r="I87" s="120" t="str">
        <f aca="false">IF($H87=1,MAX(1,INT(($G87-'Cash Flow'!$E$6)/7)+1),"")</f>
        <v/>
      </c>
      <c r="J87" s="7" t="str">
        <f aca="false">IF($H87=1,$G87*10000+ROW(),"")</f>
        <v/>
      </c>
      <c r="K87" s="7" t="str">
        <f aca="false">IF($H87=1,$I87*1000+COUNTIFS($I$4:$I$483,$I87,$J$4:$J$483,"&lt;"&amp;$J87)+1,"")</f>
        <v/>
      </c>
      <c r="L87" s="121" t="n">
        <f aca="false">IF($F87="","",IF(Recurring!$G$10="Move Before",IF(WEEKDAY($F87,2)=6,$F87-1,IF(WEEKDAY($F87,2)=7,$F87-2,$F87)),IF(Recurring!$G$10="Move After",IF(WEEKDAY($F87,2)=6,$F87+2,IF(WEEKDAY($F87,2)=7,$F87+1,$F87)),$F87)))</f>
        <v>46363</v>
      </c>
      <c r="M87" s="0" t="str">
        <f aca="true">IF(AND($H87=1,$D87="Expense",$G87&gt;TODAY(),$E87&gt;=100),$G87*100000+ROW(),"")</f>
        <v/>
      </c>
      <c r="N87" s="0" t="str">
        <f aca="true">IF(AND($H87=1,$D87="Income",$G87&gt;TODAY()),$G87*100000+ROW(),"")</f>
        <v/>
      </c>
    </row>
    <row r="88" customFormat="false" ht="15" hidden="false" customHeight="true" outlineLevel="0" collapsed="false">
      <c r="A88" s="117" t="n">
        <v>6</v>
      </c>
      <c r="B88" s="117" t="n">
        <v>5</v>
      </c>
      <c r="C88" s="7" t="str">
        <f aca="false">IF(OR(Recurring!$B$10="",Recurring!$H$10&lt;&gt;"Yes",Recurring!$D$10=""),"",Recurring!$B$10)</f>
        <v>Google One</v>
      </c>
      <c r="D88" s="7" t="str">
        <f aca="false">IF($C88="","",Recurring!$C$10)</f>
        <v>Expense</v>
      </c>
      <c r="E88" s="118" t="n">
        <f aca="false">IF($C88="","",IF(SUMIFS(Overrides!$E$9:$E$108,Overrides!$B$9:$B$108,$C88,Overrides!$C$9:$C$108,$L88)&gt;0,SUMIFS(Overrides!$E$9:$E$108,Overrides!$B$9:$B$108,$C88,Overrides!$C$9:$C$108,$L88),Recurring!$D$10))</f>
        <v>4.99</v>
      </c>
      <c r="F88" s="119" t="n">
        <f aca="false">IF($C88="","",IF(Recurring!$E$10="Weekly",Recurring!$F$10+7*4,IF(Recurring!$E$10="Every 2 Weeks",Recurring!$F$10+14*4,IF(Recurring!$E$10="Monthly",EDATE(Recurring!$F$10,4),IF(Recurring!$E$10="Twice a Month",IF(MOD((IF(DAY(Recurring!$F$10)&lt;=20,0,1)+4),2)=1,EOMONTH(Recurring!$F$10,INT((IF(DAY(Recurring!$F$10)&lt;=20,0,1)+4)/2)),DATE(YEAR(EDATE(Recurring!$F$10,INT((IF(DAY(Recurring!$F$10)&lt;=20,0,1)+4)/2))),MONTH(EDATE(Recurring!$F$10,INT((IF(DAY(Recurring!$F$10)&lt;=20,0,1)+4)/2))),15)),IF(Recurring!$E$10="One Time",IF(5=1,Recurring!$F$10,""),""))))))</f>
        <v>46394</v>
      </c>
      <c r="G88" s="119" t="n">
        <f aca="false">IF($L88="","",IF(SUMIFS(Overrides!$D$9:$D$108,Overrides!$B$9:$B$108,$C88,Overrides!$C$9:$C$108,$L88)&gt;0,SUMIFS(Overrides!$D$9:$D$108,Overrides!$B$9:$B$108,$C88,Overrides!$C$9:$C$108,$L88),$L88))</f>
        <v>46394</v>
      </c>
      <c r="H88" s="120" t="n">
        <f aca="false">IF($G88="",0,IF(AND($G88&gt;='Cash Flow'!$E$6,$G88&lt;'Cash Flow'!$E$6+91),1,0))</f>
        <v>0</v>
      </c>
      <c r="I88" s="120" t="str">
        <f aca="false">IF($H88=1,MAX(1,INT(($G88-'Cash Flow'!$E$6)/7)+1),"")</f>
        <v/>
      </c>
      <c r="J88" s="7" t="str">
        <f aca="false">IF($H88=1,$G88*10000+ROW(),"")</f>
        <v/>
      </c>
      <c r="K88" s="7" t="str">
        <f aca="false">IF($H88=1,$I88*1000+COUNTIFS($I$4:$I$483,$I88,$J$4:$J$483,"&lt;"&amp;$J88)+1,"")</f>
        <v/>
      </c>
      <c r="L88" s="121" t="n">
        <f aca="false">IF($F88="","",IF(Recurring!$G$10="Move Before",IF(WEEKDAY($F88,2)=6,$F88-1,IF(WEEKDAY($F88,2)=7,$F88-2,$F88)),IF(Recurring!$G$10="Move After",IF(WEEKDAY($F88,2)=6,$F88+2,IF(WEEKDAY($F88,2)=7,$F88+1,$F88)),$F88)))</f>
        <v>46394</v>
      </c>
      <c r="M88" s="0" t="str">
        <f aca="true">IF(AND($H88=1,$D88="Expense",$G88&gt;TODAY(),$E88&gt;=100),$G88*100000+ROW(),"")</f>
        <v/>
      </c>
      <c r="N88" s="0" t="str">
        <f aca="true">IF(AND($H88=1,$D88="Income",$G88&gt;TODAY()),$G88*100000+ROW(),"")</f>
        <v/>
      </c>
    </row>
    <row r="89" customFormat="false" ht="15" hidden="false" customHeight="true" outlineLevel="0" collapsed="false">
      <c r="A89" s="117" t="n">
        <v>6</v>
      </c>
      <c r="B89" s="117" t="n">
        <v>6</v>
      </c>
      <c r="C89" s="7" t="str">
        <f aca="false">IF(OR(Recurring!$B$10="",Recurring!$H$10&lt;&gt;"Yes",Recurring!$D$10=""),"",Recurring!$B$10)</f>
        <v>Google One</v>
      </c>
      <c r="D89" s="7" t="str">
        <f aca="false">IF($C89="","",Recurring!$C$10)</f>
        <v>Expense</v>
      </c>
      <c r="E89" s="118" t="n">
        <f aca="false">IF($C89="","",IF(SUMIFS(Overrides!$E$9:$E$108,Overrides!$B$9:$B$108,$C89,Overrides!$C$9:$C$108,$L89)&gt;0,SUMIFS(Overrides!$E$9:$E$108,Overrides!$B$9:$B$108,$C89,Overrides!$C$9:$C$108,$L89),Recurring!$D$10))</f>
        <v>4.99</v>
      </c>
      <c r="F89" s="119" t="n">
        <f aca="false">IF($C89="","",IF(Recurring!$E$10="Weekly",Recurring!$F$10+7*5,IF(Recurring!$E$10="Every 2 Weeks",Recurring!$F$10+14*5,IF(Recurring!$E$10="Monthly",EDATE(Recurring!$F$10,5),IF(Recurring!$E$10="Twice a Month",IF(MOD((IF(DAY(Recurring!$F$10)&lt;=20,0,1)+5),2)=1,EOMONTH(Recurring!$F$10,INT((IF(DAY(Recurring!$F$10)&lt;=20,0,1)+5)/2)),DATE(YEAR(EDATE(Recurring!$F$10,INT((IF(DAY(Recurring!$F$10)&lt;=20,0,1)+5)/2))),MONTH(EDATE(Recurring!$F$10,INT((IF(DAY(Recurring!$F$10)&lt;=20,0,1)+5)/2))),15)),IF(Recurring!$E$10="One Time",IF(6=1,Recurring!$F$10,""),""))))))</f>
        <v>46425</v>
      </c>
      <c r="G89" s="119" t="n">
        <f aca="false">IF($L89="","",IF(SUMIFS(Overrides!$D$9:$D$108,Overrides!$B$9:$B$108,$C89,Overrides!$C$9:$C$108,$L89)&gt;0,SUMIFS(Overrides!$D$9:$D$108,Overrides!$B$9:$B$108,$C89,Overrides!$C$9:$C$108,$L89),$L89))</f>
        <v>46425</v>
      </c>
      <c r="H89" s="120" t="n">
        <f aca="false">IF($G89="",0,IF(AND($G89&gt;='Cash Flow'!$E$6,$G89&lt;'Cash Flow'!$E$6+91),1,0))</f>
        <v>0</v>
      </c>
      <c r="I89" s="120" t="str">
        <f aca="false">IF($H89=1,MAX(1,INT(($G89-'Cash Flow'!$E$6)/7)+1),"")</f>
        <v/>
      </c>
      <c r="J89" s="7" t="str">
        <f aca="false">IF($H89=1,$G89*10000+ROW(),"")</f>
        <v/>
      </c>
      <c r="K89" s="7" t="str">
        <f aca="false">IF($H89=1,$I89*1000+COUNTIFS($I$4:$I$483,$I89,$J$4:$J$483,"&lt;"&amp;$J89)+1,"")</f>
        <v/>
      </c>
      <c r="L89" s="121" t="n">
        <f aca="false">IF($F89="","",IF(Recurring!$G$10="Move Before",IF(WEEKDAY($F89,2)=6,$F89-1,IF(WEEKDAY($F89,2)=7,$F89-2,$F89)),IF(Recurring!$G$10="Move After",IF(WEEKDAY($F89,2)=6,$F89+2,IF(WEEKDAY($F89,2)=7,$F89+1,$F89)),$F89)))</f>
        <v>46425</v>
      </c>
      <c r="M89" s="0" t="str">
        <f aca="true">IF(AND($H89=1,$D89="Expense",$G89&gt;TODAY(),$E89&gt;=100),$G89*100000+ROW(),"")</f>
        <v/>
      </c>
      <c r="N89" s="0" t="str">
        <f aca="true">IF(AND($H89=1,$D89="Income",$G89&gt;TODAY()),$G89*100000+ROW(),"")</f>
        <v/>
      </c>
    </row>
    <row r="90" customFormat="false" ht="15" hidden="false" customHeight="true" outlineLevel="0" collapsed="false">
      <c r="A90" s="117" t="n">
        <v>6</v>
      </c>
      <c r="B90" s="117" t="n">
        <v>7</v>
      </c>
      <c r="C90" s="7" t="str">
        <f aca="false">IF(OR(Recurring!$B$10="",Recurring!$H$10&lt;&gt;"Yes",Recurring!$D$10=""),"",Recurring!$B$10)</f>
        <v>Google One</v>
      </c>
      <c r="D90" s="7" t="str">
        <f aca="false">IF($C90="","",Recurring!$C$10)</f>
        <v>Expense</v>
      </c>
      <c r="E90" s="118" t="n">
        <f aca="false">IF($C90="","",IF(SUMIFS(Overrides!$E$9:$E$108,Overrides!$B$9:$B$108,$C90,Overrides!$C$9:$C$108,$L90)&gt;0,SUMIFS(Overrides!$E$9:$E$108,Overrides!$B$9:$B$108,$C90,Overrides!$C$9:$C$108,$L90),Recurring!$D$10))</f>
        <v>4.99</v>
      </c>
      <c r="F90" s="119" t="n">
        <f aca="false">IF($C90="","",IF(Recurring!$E$10="Weekly",Recurring!$F$10+7*6,IF(Recurring!$E$10="Every 2 Weeks",Recurring!$F$10+14*6,IF(Recurring!$E$10="Monthly",EDATE(Recurring!$F$10,6),IF(Recurring!$E$10="Twice a Month",IF(MOD((IF(DAY(Recurring!$F$10)&lt;=20,0,1)+6),2)=1,EOMONTH(Recurring!$F$10,INT((IF(DAY(Recurring!$F$10)&lt;=20,0,1)+6)/2)),DATE(YEAR(EDATE(Recurring!$F$10,INT((IF(DAY(Recurring!$F$10)&lt;=20,0,1)+6)/2))),MONTH(EDATE(Recurring!$F$10,INT((IF(DAY(Recurring!$F$10)&lt;=20,0,1)+6)/2))),15)),IF(Recurring!$E$10="One Time",IF(7=1,Recurring!$F$10,""),""))))))</f>
        <v>46453</v>
      </c>
      <c r="G90" s="119" t="n">
        <f aca="false">IF($L90="","",IF(SUMIFS(Overrides!$D$9:$D$108,Overrides!$B$9:$B$108,$C90,Overrides!$C$9:$C$108,$L90)&gt;0,SUMIFS(Overrides!$D$9:$D$108,Overrides!$B$9:$B$108,$C90,Overrides!$C$9:$C$108,$L90),$L90))</f>
        <v>46453</v>
      </c>
      <c r="H90" s="120" t="n">
        <f aca="false">IF($G90="",0,IF(AND($G90&gt;='Cash Flow'!$E$6,$G90&lt;'Cash Flow'!$E$6+91),1,0))</f>
        <v>0</v>
      </c>
      <c r="I90" s="120" t="str">
        <f aca="false">IF($H90=1,MAX(1,INT(($G90-'Cash Flow'!$E$6)/7)+1),"")</f>
        <v/>
      </c>
      <c r="J90" s="7" t="str">
        <f aca="false">IF($H90=1,$G90*10000+ROW(),"")</f>
        <v/>
      </c>
      <c r="K90" s="7" t="str">
        <f aca="false">IF($H90=1,$I90*1000+COUNTIFS($I$4:$I$483,$I90,$J$4:$J$483,"&lt;"&amp;$J90)+1,"")</f>
        <v/>
      </c>
      <c r="L90" s="121" t="n">
        <f aca="false">IF($F90="","",IF(Recurring!$G$10="Move Before",IF(WEEKDAY($F90,2)=6,$F90-1,IF(WEEKDAY($F90,2)=7,$F90-2,$F90)),IF(Recurring!$G$10="Move After",IF(WEEKDAY($F90,2)=6,$F90+2,IF(WEEKDAY($F90,2)=7,$F90+1,$F90)),$F90)))</f>
        <v>46453</v>
      </c>
      <c r="M90" s="0" t="str">
        <f aca="true">IF(AND($H90=1,$D90="Expense",$G90&gt;TODAY(),$E90&gt;=100),$G90*100000+ROW(),"")</f>
        <v/>
      </c>
      <c r="N90" s="0" t="str">
        <f aca="true">IF(AND($H90=1,$D90="Income",$G90&gt;TODAY()),$G90*100000+ROW(),"")</f>
        <v/>
      </c>
    </row>
    <row r="91" customFormat="false" ht="15" hidden="false" customHeight="true" outlineLevel="0" collapsed="false">
      <c r="A91" s="117" t="n">
        <v>6</v>
      </c>
      <c r="B91" s="117" t="n">
        <v>8</v>
      </c>
      <c r="C91" s="7" t="str">
        <f aca="false">IF(OR(Recurring!$B$10="",Recurring!$H$10&lt;&gt;"Yes",Recurring!$D$10=""),"",Recurring!$B$10)</f>
        <v>Google One</v>
      </c>
      <c r="D91" s="7" t="str">
        <f aca="false">IF($C91="","",Recurring!$C$10)</f>
        <v>Expense</v>
      </c>
      <c r="E91" s="118" t="n">
        <f aca="false">IF($C91="","",IF(SUMIFS(Overrides!$E$9:$E$108,Overrides!$B$9:$B$108,$C91,Overrides!$C$9:$C$108,$L91)&gt;0,SUMIFS(Overrides!$E$9:$E$108,Overrides!$B$9:$B$108,$C91,Overrides!$C$9:$C$108,$L91),Recurring!$D$10))</f>
        <v>4.99</v>
      </c>
      <c r="F91" s="119" t="n">
        <f aca="false">IF($C91="","",IF(Recurring!$E$10="Weekly",Recurring!$F$10+7*7,IF(Recurring!$E$10="Every 2 Weeks",Recurring!$F$10+14*7,IF(Recurring!$E$10="Monthly",EDATE(Recurring!$F$10,7),IF(Recurring!$E$10="Twice a Month",IF(MOD((IF(DAY(Recurring!$F$10)&lt;=20,0,1)+7),2)=1,EOMONTH(Recurring!$F$10,INT((IF(DAY(Recurring!$F$10)&lt;=20,0,1)+7)/2)),DATE(YEAR(EDATE(Recurring!$F$10,INT((IF(DAY(Recurring!$F$10)&lt;=20,0,1)+7)/2))),MONTH(EDATE(Recurring!$F$10,INT((IF(DAY(Recurring!$F$10)&lt;=20,0,1)+7)/2))),15)),IF(Recurring!$E$10="One Time",IF(8=1,Recurring!$F$10,""),""))))))</f>
        <v>46484</v>
      </c>
      <c r="G91" s="119" t="n">
        <f aca="false">IF($L91="","",IF(SUMIFS(Overrides!$D$9:$D$108,Overrides!$B$9:$B$108,$C91,Overrides!$C$9:$C$108,$L91)&gt;0,SUMIFS(Overrides!$D$9:$D$108,Overrides!$B$9:$B$108,$C91,Overrides!$C$9:$C$108,$L91),$L91))</f>
        <v>46484</v>
      </c>
      <c r="H91" s="120" t="n">
        <f aca="false">IF($G91="",0,IF(AND($G91&gt;='Cash Flow'!$E$6,$G91&lt;'Cash Flow'!$E$6+91),1,0))</f>
        <v>0</v>
      </c>
      <c r="I91" s="120" t="str">
        <f aca="false">IF($H91=1,MAX(1,INT(($G91-'Cash Flow'!$E$6)/7)+1),"")</f>
        <v/>
      </c>
      <c r="J91" s="7" t="str">
        <f aca="false">IF($H91=1,$G91*10000+ROW(),"")</f>
        <v/>
      </c>
      <c r="K91" s="7" t="str">
        <f aca="false">IF($H91=1,$I91*1000+COUNTIFS($I$4:$I$483,$I91,$J$4:$J$483,"&lt;"&amp;$J91)+1,"")</f>
        <v/>
      </c>
      <c r="L91" s="121" t="n">
        <f aca="false">IF($F91="","",IF(Recurring!$G$10="Move Before",IF(WEEKDAY($F91,2)=6,$F91-1,IF(WEEKDAY($F91,2)=7,$F91-2,$F91)),IF(Recurring!$G$10="Move After",IF(WEEKDAY($F91,2)=6,$F91+2,IF(WEEKDAY($F91,2)=7,$F91+1,$F91)),$F91)))</f>
        <v>46484</v>
      </c>
      <c r="M91" s="0" t="str">
        <f aca="true">IF(AND($H91=1,$D91="Expense",$G91&gt;TODAY(),$E91&gt;=100),$G91*100000+ROW(),"")</f>
        <v/>
      </c>
      <c r="N91" s="0" t="str">
        <f aca="true">IF(AND($H91=1,$D91="Income",$G91&gt;TODAY()),$G91*100000+ROW(),"")</f>
        <v/>
      </c>
    </row>
    <row r="92" customFormat="false" ht="15" hidden="false" customHeight="true" outlineLevel="0" collapsed="false">
      <c r="A92" s="117" t="n">
        <v>6</v>
      </c>
      <c r="B92" s="117" t="n">
        <v>9</v>
      </c>
      <c r="C92" s="7" t="str">
        <f aca="false">IF(OR(Recurring!$B$10="",Recurring!$H$10&lt;&gt;"Yes",Recurring!$D$10=""),"",Recurring!$B$10)</f>
        <v>Google One</v>
      </c>
      <c r="D92" s="7" t="str">
        <f aca="false">IF($C92="","",Recurring!$C$10)</f>
        <v>Expense</v>
      </c>
      <c r="E92" s="118" t="n">
        <f aca="false">IF($C92="","",IF(SUMIFS(Overrides!$E$9:$E$108,Overrides!$B$9:$B$108,$C92,Overrides!$C$9:$C$108,$L92)&gt;0,SUMIFS(Overrides!$E$9:$E$108,Overrides!$B$9:$B$108,$C92,Overrides!$C$9:$C$108,$L92),Recurring!$D$10))</f>
        <v>4.99</v>
      </c>
      <c r="F92" s="119" t="n">
        <f aca="false">IF($C92="","",IF(Recurring!$E$10="Weekly",Recurring!$F$10+7*8,IF(Recurring!$E$10="Every 2 Weeks",Recurring!$F$10+14*8,IF(Recurring!$E$10="Monthly",EDATE(Recurring!$F$10,8),IF(Recurring!$E$10="Twice a Month",IF(MOD((IF(DAY(Recurring!$F$10)&lt;=20,0,1)+8),2)=1,EOMONTH(Recurring!$F$10,INT((IF(DAY(Recurring!$F$10)&lt;=20,0,1)+8)/2)),DATE(YEAR(EDATE(Recurring!$F$10,INT((IF(DAY(Recurring!$F$10)&lt;=20,0,1)+8)/2))),MONTH(EDATE(Recurring!$F$10,INT((IF(DAY(Recurring!$F$10)&lt;=20,0,1)+8)/2))),15)),IF(Recurring!$E$10="One Time",IF(9=1,Recurring!$F$10,""),""))))))</f>
        <v>46514</v>
      </c>
      <c r="G92" s="119" t="n">
        <f aca="false">IF($L92="","",IF(SUMIFS(Overrides!$D$9:$D$108,Overrides!$B$9:$B$108,$C92,Overrides!$C$9:$C$108,$L92)&gt;0,SUMIFS(Overrides!$D$9:$D$108,Overrides!$B$9:$B$108,$C92,Overrides!$C$9:$C$108,$L92),$L92))</f>
        <v>46514</v>
      </c>
      <c r="H92" s="120" t="n">
        <f aca="false">IF($G92="",0,IF(AND($G92&gt;='Cash Flow'!$E$6,$G92&lt;'Cash Flow'!$E$6+91),1,0))</f>
        <v>0</v>
      </c>
      <c r="I92" s="120" t="str">
        <f aca="false">IF($H92=1,MAX(1,INT(($G92-'Cash Flow'!$E$6)/7)+1),"")</f>
        <v/>
      </c>
      <c r="J92" s="7" t="str">
        <f aca="false">IF($H92=1,$G92*10000+ROW(),"")</f>
        <v/>
      </c>
      <c r="K92" s="7" t="str">
        <f aca="false">IF($H92=1,$I92*1000+COUNTIFS($I$4:$I$483,$I92,$J$4:$J$483,"&lt;"&amp;$J92)+1,"")</f>
        <v/>
      </c>
      <c r="L92" s="121" t="n">
        <f aca="false">IF($F92="","",IF(Recurring!$G$10="Move Before",IF(WEEKDAY($F92,2)=6,$F92-1,IF(WEEKDAY($F92,2)=7,$F92-2,$F92)),IF(Recurring!$G$10="Move After",IF(WEEKDAY($F92,2)=6,$F92+2,IF(WEEKDAY($F92,2)=7,$F92+1,$F92)),$F92)))</f>
        <v>46514</v>
      </c>
      <c r="M92" s="0" t="str">
        <f aca="true">IF(AND($H92=1,$D92="Expense",$G92&gt;TODAY(),$E92&gt;=100),$G92*100000+ROW(),"")</f>
        <v/>
      </c>
      <c r="N92" s="0" t="str">
        <f aca="true">IF(AND($H92=1,$D92="Income",$G92&gt;TODAY()),$G92*100000+ROW(),"")</f>
        <v/>
      </c>
    </row>
    <row r="93" customFormat="false" ht="15" hidden="false" customHeight="true" outlineLevel="0" collapsed="false">
      <c r="A93" s="117" t="n">
        <v>6</v>
      </c>
      <c r="B93" s="117" t="n">
        <v>10</v>
      </c>
      <c r="C93" s="7" t="str">
        <f aca="false">IF(OR(Recurring!$B$10="",Recurring!$H$10&lt;&gt;"Yes",Recurring!$D$10=""),"",Recurring!$B$10)</f>
        <v>Google One</v>
      </c>
      <c r="D93" s="7" t="str">
        <f aca="false">IF($C93="","",Recurring!$C$10)</f>
        <v>Expense</v>
      </c>
      <c r="E93" s="118" t="n">
        <f aca="false">IF($C93="","",IF(SUMIFS(Overrides!$E$9:$E$108,Overrides!$B$9:$B$108,$C93,Overrides!$C$9:$C$108,$L93)&gt;0,SUMIFS(Overrides!$E$9:$E$108,Overrides!$B$9:$B$108,$C93,Overrides!$C$9:$C$108,$L93),Recurring!$D$10))</f>
        <v>4.99</v>
      </c>
      <c r="F93" s="119" t="n">
        <f aca="false">IF($C93="","",IF(Recurring!$E$10="Weekly",Recurring!$F$10+7*9,IF(Recurring!$E$10="Every 2 Weeks",Recurring!$F$10+14*9,IF(Recurring!$E$10="Monthly",EDATE(Recurring!$F$10,9),IF(Recurring!$E$10="Twice a Month",IF(MOD((IF(DAY(Recurring!$F$10)&lt;=20,0,1)+9),2)=1,EOMONTH(Recurring!$F$10,INT((IF(DAY(Recurring!$F$10)&lt;=20,0,1)+9)/2)),DATE(YEAR(EDATE(Recurring!$F$10,INT((IF(DAY(Recurring!$F$10)&lt;=20,0,1)+9)/2))),MONTH(EDATE(Recurring!$F$10,INT((IF(DAY(Recurring!$F$10)&lt;=20,0,1)+9)/2))),15)),IF(Recurring!$E$10="One Time",IF(10=1,Recurring!$F$10,""),""))))))</f>
        <v>46545</v>
      </c>
      <c r="G93" s="119" t="n">
        <f aca="false">IF($L93="","",IF(SUMIFS(Overrides!$D$9:$D$108,Overrides!$B$9:$B$108,$C93,Overrides!$C$9:$C$108,$L93)&gt;0,SUMIFS(Overrides!$D$9:$D$108,Overrides!$B$9:$B$108,$C93,Overrides!$C$9:$C$108,$L93),$L93))</f>
        <v>46545</v>
      </c>
      <c r="H93" s="120" t="n">
        <f aca="false">IF($G93="",0,IF(AND($G93&gt;='Cash Flow'!$E$6,$G93&lt;'Cash Flow'!$E$6+91),1,0))</f>
        <v>0</v>
      </c>
      <c r="I93" s="120" t="str">
        <f aca="false">IF($H93=1,MAX(1,INT(($G93-'Cash Flow'!$E$6)/7)+1),"")</f>
        <v/>
      </c>
      <c r="J93" s="7" t="str">
        <f aca="false">IF($H93=1,$G93*10000+ROW(),"")</f>
        <v/>
      </c>
      <c r="K93" s="7" t="str">
        <f aca="false">IF($H93=1,$I93*1000+COUNTIFS($I$4:$I$483,$I93,$J$4:$J$483,"&lt;"&amp;$J93)+1,"")</f>
        <v/>
      </c>
      <c r="L93" s="121" t="n">
        <f aca="false">IF($F93="","",IF(Recurring!$G$10="Move Before",IF(WEEKDAY($F93,2)=6,$F93-1,IF(WEEKDAY($F93,2)=7,$F93-2,$F93)),IF(Recurring!$G$10="Move After",IF(WEEKDAY($F93,2)=6,$F93+2,IF(WEEKDAY($F93,2)=7,$F93+1,$F93)),$F93)))</f>
        <v>46545</v>
      </c>
      <c r="M93" s="0" t="str">
        <f aca="true">IF(AND($H93=1,$D93="Expense",$G93&gt;TODAY(),$E93&gt;=100),$G93*100000+ROW(),"")</f>
        <v/>
      </c>
      <c r="N93" s="0" t="str">
        <f aca="true">IF(AND($H93=1,$D93="Income",$G93&gt;TODAY()),$G93*100000+ROW(),"")</f>
        <v/>
      </c>
    </row>
    <row r="94" customFormat="false" ht="15" hidden="false" customHeight="true" outlineLevel="0" collapsed="false">
      <c r="A94" s="117" t="n">
        <v>6</v>
      </c>
      <c r="B94" s="117" t="n">
        <v>11</v>
      </c>
      <c r="C94" s="7" t="str">
        <f aca="false">IF(OR(Recurring!$B$10="",Recurring!$H$10&lt;&gt;"Yes",Recurring!$D$10=""),"",Recurring!$B$10)</f>
        <v>Google One</v>
      </c>
      <c r="D94" s="7" t="str">
        <f aca="false">IF($C94="","",Recurring!$C$10)</f>
        <v>Expense</v>
      </c>
      <c r="E94" s="118" t="n">
        <f aca="false">IF($C94="","",IF(SUMIFS(Overrides!$E$9:$E$108,Overrides!$B$9:$B$108,$C94,Overrides!$C$9:$C$108,$L94)&gt;0,SUMIFS(Overrides!$E$9:$E$108,Overrides!$B$9:$B$108,$C94,Overrides!$C$9:$C$108,$L94),Recurring!$D$10))</f>
        <v>4.99</v>
      </c>
      <c r="F94" s="119" t="n">
        <f aca="false">IF($C94="","",IF(Recurring!$E$10="Weekly",Recurring!$F$10+7*10,IF(Recurring!$E$10="Every 2 Weeks",Recurring!$F$10+14*10,IF(Recurring!$E$10="Monthly",EDATE(Recurring!$F$10,10),IF(Recurring!$E$10="Twice a Month",IF(MOD((IF(DAY(Recurring!$F$10)&lt;=20,0,1)+10),2)=1,EOMONTH(Recurring!$F$10,INT((IF(DAY(Recurring!$F$10)&lt;=20,0,1)+10)/2)),DATE(YEAR(EDATE(Recurring!$F$10,INT((IF(DAY(Recurring!$F$10)&lt;=20,0,1)+10)/2))),MONTH(EDATE(Recurring!$F$10,INT((IF(DAY(Recurring!$F$10)&lt;=20,0,1)+10)/2))),15)),IF(Recurring!$E$10="One Time",IF(11=1,Recurring!$F$10,""),""))))))</f>
        <v>46575</v>
      </c>
      <c r="G94" s="119" t="n">
        <f aca="false">IF($L94="","",IF(SUMIFS(Overrides!$D$9:$D$108,Overrides!$B$9:$B$108,$C94,Overrides!$C$9:$C$108,$L94)&gt;0,SUMIFS(Overrides!$D$9:$D$108,Overrides!$B$9:$B$108,$C94,Overrides!$C$9:$C$108,$L94),$L94))</f>
        <v>46575</v>
      </c>
      <c r="H94" s="120" t="n">
        <f aca="false">IF($G94="",0,IF(AND($G94&gt;='Cash Flow'!$E$6,$G94&lt;'Cash Flow'!$E$6+91),1,0))</f>
        <v>0</v>
      </c>
      <c r="I94" s="120" t="str">
        <f aca="false">IF($H94=1,MAX(1,INT(($G94-'Cash Flow'!$E$6)/7)+1),"")</f>
        <v/>
      </c>
      <c r="J94" s="7" t="str">
        <f aca="false">IF($H94=1,$G94*10000+ROW(),"")</f>
        <v/>
      </c>
      <c r="K94" s="7" t="str">
        <f aca="false">IF($H94=1,$I94*1000+COUNTIFS($I$4:$I$483,$I94,$J$4:$J$483,"&lt;"&amp;$J94)+1,"")</f>
        <v/>
      </c>
      <c r="L94" s="121" t="n">
        <f aca="false">IF($F94="","",IF(Recurring!$G$10="Move Before",IF(WEEKDAY($F94,2)=6,$F94-1,IF(WEEKDAY($F94,2)=7,$F94-2,$F94)),IF(Recurring!$G$10="Move After",IF(WEEKDAY($F94,2)=6,$F94+2,IF(WEEKDAY($F94,2)=7,$F94+1,$F94)),$F94)))</f>
        <v>46575</v>
      </c>
      <c r="M94" s="0" t="str">
        <f aca="true">IF(AND($H94=1,$D94="Expense",$G94&gt;TODAY(),$E94&gt;=100),$G94*100000+ROW(),"")</f>
        <v/>
      </c>
      <c r="N94" s="0" t="str">
        <f aca="true">IF(AND($H94=1,$D94="Income",$G94&gt;TODAY()),$G94*100000+ROW(),"")</f>
        <v/>
      </c>
    </row>
    <row r="95" customFormat="false" ht="15" hidden="false" customHeight="true" outlineLevel="0" collapsed="false">
      <c r="A95" s="117" t="n">
        <v>6</v>
      </c>
      <c r="B95" s="117" t="n">
        <v>12</v>
      </c>
      <c r="C95" s="7" t="str">
        <f aca="false">IF(OR(Recurring!$B$10="",Recurring!$H$10&lt;&gt;"Yes",Recurring!$D$10=""),"",Recurring!$B$10)</f>
        <v>Google One</v>
      </c>
      <c r="D95" s="7" t="str">
        <f aca="false">IF($C95="","",Recurring!$C$10)</f>
        <v>Expense</v>
      </c>
      <c r="E95" s="118" t="n">
        <f aca="false">IF($C95="","",IF(SUMIFS(Overrides!$E$9:$E$108,Overrides!$B$9:$B$108,$C95,Overrides!$C$9:$C$108,$L95)&gt;0,SUMIFS(Overrides!$E$9:$E$108,Overrides!$B$9:$B$108,$C95,Overrides!$C$9:$C$108,$L95),Recurring!$D$10))</f>
        <v>4.99</v>
      </c>
      <c r="F95" s="119" t="n">
        <f aca="false">IF($C95="","",IF(Recurring!$E$10="Weekly",Recurring!$F$10+7*11,IF(Recurring!$E$10="Every 2 Weeks",Recurring!$F$10+14*11,IF(Recurring!$E$10="Monthly",EDATE(Recurring!$F$10,11),IF(Recurring!$E$10="Twice a Month",IF(MOD((IF(DAY(Recurring!$F$10)&lt;=20,0,1)+11),2)=1,EOMONTH(Recurring!$F$10,INT((IF(DAY(Recurring!$F$10)&lt;=20,0,1)+11)/2)),DATE(YEAR(EDATE(Recurring!$F$10,INT((IF(DAY(Recurring!$F$10)&lt;=20,0,1)+11)/2))),MONTH(EDATE(Recurring!$F$10,INT((IF(DAY(Recurring!$F$10)&lt;=20,0,1)+11)/2))),15)),IF(Recurring!$E$10="One Time",IF(12=1,Recurring!$F$10,""),""))))))</f>
        <v>46606</v>
      </c>
      <c r="G95" s="119" t="n">
        <f aca="false">IF($L95="","",IF(SUMIFS(Overrides!$D$9:$D$108,Overrides!$B$9:$B$108,$C95,Overrides!$C$9:$C$108,$L95)&gt;0,SUMIFS(Overrides!$D$9:$D$108,Overrides!$B$9:$B$108,$C95,Overrides!$C$9:$C$108,$L95),$L95))</f>
        <v>46606</v>
      </c>
      <c r="H95" s="120" t="n">
        <f aca="false">IF($G95="",0,IF(AND($G95&gt;='Cash Flow'!$E$6,$G95&lt;'Cash Flow'!$E$6+91),1,0))</f>
        <v>0</v>
      </c>
      <c r="I95" s="120" t="str">
        <f aca="false">IF($H95=1,MAX(1,INT(($G95-'Cash Flow'!$E$6)/7)+1),"")</f>
        <v/>
      </c>
      <c r="J95" s="7" t="str">
        <f aca="false">IF($H95=1,$G95*10000+ROW(),"")</f>
        <v/>
      </c>
      <c r="K95" s="7" t="str">
        <f aca="false">IF($H95=1,$I95*1000+COUNTIFS($I$4:$I$483,$I95,$J$4:$J$483,"&lt;"&amp;$J95)+1,"")</f>
        <v/>
      </c>
      <c r="L95" s="121" t="n">
        <f aca="false">IF($F95="","",IF(Recurring!$G$10="Move Before",IF(WEEKDAY($F95,2)=6,$F95-1,IF(WEEKDAY($F95,2)=7,$F95-2,$F95)),IF(Recurring!$G$10="Move After",IF(WEEKDAY($F95,2)=6,$F95+2,IF(WEEKDAY($F95,2)=7,$F95+1,$F95)),$F95)))</f>
        <v>46606</v>
      </c>
      <c r="M95" s="0" t="str">
        <f aca="true">IF(AND($H95=1,$D95="Expense",$G95&gt;TODAY(),$E95&gt;=100),$G95*100000+ROW(),"")</f>
        <v/>
      </c>
      <c r="N95" s="0" t="str">
        <f aca="true">IF(AND($H95=1,$D95="Income",$G95&gt;TODAY()),$G95*100000+ROW(),"")</f>
        <v/>
      </c>
    </row>
    <row r="96" customFormat="false" ht="15" hidden="false" customHeight="true" outlineLevel="0" collapsed="false">
      <c r="A96" s="117" t="n">
        <v>6</v>
      </c>
      <c r="B96" s="117" t="n">
        <v>13</v>
      </c>
      <c r="C96" s="7" t="str">
        <f aca="false">IF(OR(Recurring!$B$10="",Recurring!$H$10&lt;&gt;"Yes",Recurring!$D$10=""),"",Recurring!$B$10)</f>
        <v>Google One</v>
      </c>
      <c r="D96" s="7" t="str">
        <f aca="false">IF($C96="","",Recurring!$C$10)</f>
        <v>Expense</v>
      </c>
      <c r="E96" s="118" t="n">
        <f aca="false">IF($C96="","",IF(SUMIFS(Overrides!$E$9:$E$108,Overrides!$B$9:$B$108,$C96,Overrides!$C$9:$C$108,$L96)&gt;0,SUMIFS(Overrides!$E$9:$E$108,Overrides!$B$9:$B$108,$C96,Overrides!$C$9:$C$108,$L96),Recurring!$D$10))</f>
        <v>4.99</v>
      </c>
      <c r="F96" s="119" t="n">
        <f aca="false">IF($C96="","",IF(Recurring!$E$10="Weekly",Recurring!$F$10+7*12,IF(Recurring!$E$10="Every 2 Weeks",Recurring!$F$10+14*12,IF(Recurring!$E$10="Monthly",EDATE(Recurring!$F$10,12),IF(Recurring!$E$10="Twice a Month",IF(MOD((IF(DAY(Recurring!$F$10)&lt;=20,0,1)+12),2)=1,EOMONTH(Recurring!$F$10,INT((IF(DAY(Recurring!$F$10)&lt;=20,0,1)+12)/2)),DATE(YEAR(EDATE(Recurring!$F$10,INT((IF(DAY(Recurring!$F$10)&lt;=20,0,1)+12)/2))),MONTH(EDATE(Recurring!$F$10,INT((IF(DAY(Recurring!$F$10)&lt;=20,0,1)+12)/2))),15)),IF(Recurring!$E$10="One Time",IF(13=1,Recurring!$F$10,""),""))))))</f>
        <v>46637</v>
      </c>
      <c r="G96" s="119" t="n">
        <f aca="false">IF($L96="","",IF(SUMIFS(Overrides!$D$9:$D$108,Overrides!$B$9:$B$108,$C96,Overrides!$C$9:$C$108,$L96)&gt;0,SUMIFS(Overrides!$D$9:$D$108,Overrides!$B$9:$B$108,$C96,Overrides!$C$9:$C$108,$L96),$L96))</f>
        <v>46637</v>
      </c>
      <c r="H96" s="120" t="n">
        <f aca="false">IF($G96="",0,IF(AND($G96&gt;='Cash Flow'!$E$6,$G96&lt;'Cash Flow'!$E$6+91),1,0))</f>
        <v>0</v>
      </c>
      <c r="I96" s="120" t="str">
        <f aca="false">IF($H96=1,MAX(1,INT(($G96-'Cash Flow'!$E$6)/7)+1),"")</f>
        <v/>
      </c>
      <c r="J96" s="7" t="str">
        <f aca="false">IF($H96=1,$G96*10000+ROW(),"")</f>
        <v/>
      </c>
      <c r="K96" s="7" t="str">
        <f aca="false">IF($H96=1,$I96*1000+COUNTIFS($I$4:$I$483,$I96,$J$4:$J$483,"&lt;"&amp;$J96)+1,"")</f>
        <v/>
      </c>
      <c r="L96" s="121" t="n">
        <f aca="false">IF($F96="","",IF(Recurring!$G$10="Move Before",IF(WEEKDAY($F96,2)=6,$F96-1,IF(WEEKDAY($F96,2)=7,$F96-2,$F96)),IF(Recurring!$G$10="Move After",IF(WEEKDAY($F96,2)=6,$F96+2,IF(WEEKDAY($F96,2)=7,$F96+1,$F96)),$F96)))</f>
        <v>46637</v>
      </c>
      <c r="M96" s="0" t="str">
        <f aca="true">IF(AND($H96=1,$D96="Expense",$G96&gt;TODAY(),$E96&gt;=100),$G96*100000+ROW(),"")</f>
        <v/>
      </c>
      <c r="N96" s="0" t="str">
        <f aca="true">IF(AND($H96=1,$D96="Income",$G96&gt;TODAY()),$G96*100000+ROW(),"")</f>
        <v/>
      </c>
    </row>
    <row r="97" customFormat="false" ht="15" hidden="false" customHeight="true" outlineLevel="0" collapsed="false">
      <c r="A97" s="117" t="n">
        <v>6</v>
      </c>
      <c r="B97" s="117" t="n">
        <v>14</v>
      </c>
      <c r="C97" s="7" t="str">
        <f aca="false">IF(OR(Recurring!$B$10="",Recurring!$H$10&lt;&gt;"Yes",Recurring!$D$10=""),"",Recurring!$B$10)</f>
        <v>Google One</v>
      </c>
      <c r="D97" s="7" t="str">
        <f aca="false">IF($C97="","",Recurring!$C$10)</f>
        <v>Expense</v>
      </c>
      <c r="E97" s="118" t="n">
        <f aca="false">IF($C97="","",IF(SUMIFS(Overrides!$E$9:$E$108,Overrides!$B$9:$B$108,$C97,Overrides!$C$9:$C$108,$L97)&gt;0,SUMIFS(Overrides!$E$9:$E$108,Overrides!$B$9:$B$108,$C97,Overrides!$C$9:$C$108,$L97),Recurring!$D$10))</f>
        <v>4.99</v>
      </c>
      <c r="F97" s="119" t="n">
        <f aca="false">IF($C97="","",IF(Recurring!$E$10="Weekly",Recurring!$F$10+7*13,IF(Recurring!$E$10="Every 2 Weeks",Recurring!$F$10+14*13,IF(Recurring!$E$10="Monthly",EDATE(Recurring!$F$10,13),IF(Recurring!$E$10="Twice a Month",IF(MOD((IF(DAY(Recurring!$F$10)&lt;=20,0,1)+13),2)=1,EOMONTH(Recurring!$F$10,INT((IF(DAY(Recurring!$F$10)&lt;=20,0,1)+13)/2)),DATE(YEAR(EDATE(Recurring!$F$10,INT((IF(DAY(Recurring!$F$10)&lt;=20,0,1)+13)/2))),MONTH(EDATE(Recurring!$F$10,INT((IF(DAY(Recurring!$F$10)&lt;=20,0,1)+13)/2))),15)),IF(Recurring!$E$10="One Time",IF(14=1,Recurring!$F$10,""),""))))))</f>
        <v>46667</v>
      </c>
      <c r="G97" s="119" t="n">
        <f aca="false">IF($L97="","",IF(SUMIFS(Overrides!$D$9:$D$108,Overrides!$B$9:$B$108,$C97,Overrides!$C$9:$C$108,$L97)&gt;0,SUMIFS(Overrides!$D$9:$D$108,Overrides!$B$9:$B$108,$C97,Overrides!$C$9:$C$108,$L97),$L97))</f>
        <v>46667</v>
      </c>
      <c r="H97" s="120" t="n">
        <f aca="false">IF($G97="",0,IF(AND($G97&gt;='Cash Flow'!$E$6,$G97&lt;'Cash Flow'!$E$6+91),1,0))</f>
        <v>0</v>
      </c>
      <c r="I97" s="120" t="str">
        <f aca="false">IF($H97=1,MAX(1,INT(($G97-'Cash Flow'!$E$6)/7)+1),"")</f>
        <v/>
      </c>
      <c r="J97" s="7" t="str">
        <f aca="false">IF($H97=1,$G97*10000+ROW(),"")</f>
        <v/>
      </c>
      <c r="K97" s="7" t="str">
        <f aca="false">IF($H97=1,$I97*1000+COUNTIFS($I$4:$I$483,$I97,$J$4:$J$483,"&lt;"&amp;$J97)+1,"")</f>
        <v/>
      </c>
      <c r="L97" s="121" t="n">
        <f aca="false">IF($F97="","",IF(Recurring!$G$10="Move Before",IF(WEEKDAY($F97,2)=6,$F97-1,IF(WEEKDAY($F97,2)=7,$F97-2,$F97)),IF(Recurring!$G$10="Move After",IF(WEEKDAY($F97,2)=6,$F97+2,IF(WEEKDAY($F97,2)=7,$F97+1,$F97)),$F97)))</f>
        <v>46667</v>
      </c>
      <c r="M97" s="0" t="str">
        <f aca="true">IF(AND($H97=1,$D97="Expense",$G97&gt;TODAY(),$E97&gt;=100),$G97*100000+ROW(),"")</f>
        <v/>
      </c>
      <c r="N97" s="0" t="str">
        <f aca="true">IF(AND($H97=1,$D97="Income",$G97&gt;TODAY()),$G97*100000+ROW(),"")</f>
        <v/>
      </c>
    </row>
    <row r="98" customFormat="false" ht="15" hidden="false" customHeight="true" outlineLevel="0" collapsed="false">
      <c r="A98" s="117" t="n">
        <v>6</v>
      </c>
      <c r="B98" s="117" t="n">
        <v>15</v>
      </c>
      <c r="C98" s="7" t="str">
        <f aca="false">IF(OR(Recurring!$B$10="",Recurring!$H$10&lt;&gt;"Yes",Recurring!$D$10=""),"",Recurring!$B$10)</f>
        <v>Google One</v>
      </c>
      <c r="D98" s="7" t="str">
        <f aca="false">IF($C98="","",Recurring!$C$10)</f>
        <v>Expense</v>
      </c>
      <c r="E98" s="118" t="n">
        <f aca="false">IF($C98="","",IF(SUMIFS(Overrides!$E$9:$E$108,Overrides!$B$9:$B$108,$C98,Overrides!$C$9:$C$108,$L98)&gt;0,SUMIFS(Overrides!$E$9:$E$108,Overrides!$B$9:$B$108,$C98,Overrides!$C$9:$C$108,$L98),Recurring!$D$10))</f>
        <v>4.99</v>
      </c>
      <c r="F98" s="119" t="n">
        <f aca="false">IF($C98="","",IF(Recurring!$E$10="Weekly",Recurring!$F$10+7*14,IF(Recurring!$E$10="Every 2 Weeks",Recurring!$F$10+14*14,IF(Recurring!$E$10="Monthly",EDATE(Recurring!$F$10,14),IF(Recurring!$E$10="Twice a Month",IF(MOD((IF(DAY(Recurring!$F$10)&lt;=20,0,1)+14),2)=1,EOMONTH(Recurring!$F$10,INT((IF(DAY(Recurring!$F$10)&lt;=20,0,1)+14)/2)),DATE(YEAR(EDATE(Recurring!$F$10,INT((IF(DAY(Recurring!$F$10)&lt;=20,0,1)+14)/2))),MONTH(EDATE(Recurring!$F$10,INT((IF(DAY(Recurring!$F$10)&lt;=20,0,1)+14)/2))),15)),IF(Recurring!$E$10="One Time",IF(15=1,Recurring!$F$10,""),""))))))</f>
        <v>46698</v>
      </c>
      <c r="G98" s="119" t="n">
        <f aca="false">IF($L98="","",IF(SUMIFS(Overrides!$D$9:$D$108,Overrides!$B$9:$B$108,$C98,Overrides!$C$9:$C$108,$L98)&gt;0,SUMIFS(Overrides!$D$9:$D$108,Overrides!$B$9:$B$108,$C98,Overrides!$C$9:$C$108,$L98),$L98))</f>
        <v>46698</v>
      </c>
      <c r="H98" s="120" t="n">
        <f aca="false">IF($G98="",0,IF(AND($G98&gt;='Cash Flow'!$E$6,$G98&lt;'Cash Flow'!$E$6+91),1,0))</f>
        <v>0</v>
      </c>
      <c r="I98" s="120" t="str">
        <f aca="false">IF($H98=1,MAX(1,INT(($G98-'Cash Flow'!$E$6)/7)+1),"")</f>
        <v/>
      </c>
      <c r="J98" s="7" t="str">
        <f aca="false">IF($H98=1,$G98*10000+ROW(),"")</f>
        <v/>
      </c>
      <c r="K98" s="7" t="str">
        <f aca="false">IF($H98=1,$I98*1000+COUNTIFS($I$4:$I$483,$I98,$J$4:$J$483,"&lt;"&amp;$J98)+1,"")</f>
        <v/>
      </c>
      <c r="L98" s="121" t="n">
        <f aca="false">IF($F98="","",IF(Recurring!$G$10="Move Before",IF(WEEKDAY($F98,2)=6,$F98-1,IF(WEEKDAY($F98,2)=7,$F98-2,$F98)),IF(Recurring!$G$10="Move After",IF(WEEKDAY($F98,2)=6,$F98+2,IF(WEEKDAY($F98,2)=7,$F98+1,$F98)),$F98)))</f>
        <v>46698</v>
      </c>
      <c r="M98" s="0" t="str">
        <f aca="true">IF(AND($H98=1,$D98="Expense",$G98&gt;TODAY(),$E98&gt;=100),$G98*100000+ROW(),"")</f>
        <v/>
      </c>
      <c r="N98" s="0" t="str">
        <f aca="true">IF(AND($H98=1,$D98="Income",$G98&gt;TODAY()),$G98*100000+ROW(),"")</f>
        <v/>
      </c>
    </row>
    <row r="99" customFormat="false" ht="15" hidden="false" customHeight="true" outlineLevel="0" collapsed="false">
      <c r="A99" s="117" t="n">
        <v>6</v>
      </c>
      <c r="B99" s="117" t="n">
        <v>16</v>
      </c>
      <c r="C99" s="7" t="str">
        <f aca="false">IF(OR(Recurring!$B$10="",Recurring!$H$10&lt;&gt;"Yes",Recurring!$D$10=""),"",Recurring!$B$10)</f>
        <v>Google One</v>
      </c>
      <c r="D99" s="7" t="str">
        <f aca="false">IF($C99="","",Recurring!$C$10)</f>
        <v>Expense</v>
      </c>
      <c r="E99" s="118" t="n">
        <f aca="false">IF($C99="","",IF(SUMIFS(Overrides!$E$9:$E$108,Overrides!$B$9:$B$108,$C99,Overrides!$C$9:$C$108,$L99)&gt;0,SUMIFS(Overrides!$E$9:$E$108,Overrides!$B$9:$B$108,$C99,Overrides!$C$9:$C$108,$L99),Recurring!$D$10))</f>
        <v>4.99</v>
      </c>
      <c r="F99" s="119" t="n">
        <f aca="false">IF($C99="","",IF(Recurring!$E$10="Weekly",Recurring!$F$10+7*15,IF(Recurring!$E$10="Every 2 Weeks",Recurring!$F$10+14*15,IF(Recurring!$E$10="Monthly",EDATE(Recurring!$F$10,15),IF(Recurring!$E$10="Twice a Month",IF(MOD((IF(DAY(Recurring!$F$10)&lt;=20,0,1)+15),2)=1,EOMONTH(Recurring!$F$10,INT((IF(DAY(Recurring!$F$10)&lt;=20,0,1)+15)/2)),DATE(YEAR(EDATE(Recurring!$F$10,INT((IF(DAY(Recurring!$F$10)&lt;=20,0,1)+15)/2))),MONTH(EDATE(Recurring!$F$10,INT((IF(DAY(Recurring!$F$10)&lt;=20,0,1)+15)/2))),15)),IF(Recurring!$E$10="One Time",IF(16=1,Recurring!$F$10,""),""))))))</f>
        <v>46728</v>
      </c>
      <c r="G99" s="119" t="n">
        <f aca="false">IF($L99="","",IF(SUMIFS(Overrides!$D$9:$D$108,Overrides!$B$9:$B$108,$C99,Overrides!$C$9:$C$108,$L99)&gt;0,SUMIFS(Overrides!$D$9:$D$108,Overrides!$B$9:$B$108,$C99,Overrides!$C$9:$C$108,$L99),$L99))</f>
        <v>46728</v>
      </c>
      <c r="H99" s="120" t="n">
        <f aca="false">IF($G99="",0,IF(AND($G99&gt;='Cash Flow'!$E$6,$G99&lt;'Cash Flow'!$E$6+91),1,0))</f>
        <v>0</v>
      </c>
      <c r="I99" s="120" t="str">
        <f aca="false">IF($H99=1,MAX(1,INT(($G99-'Cash Flow'!$E$6)/7)+1),"")</f>
        <v/>
      </c>
      <c r="J99" s="7" t="str">
        <f aca="false">IF($H99=1,$G99*10000+ROW(),"")</f>
        <v/>
      </c>
      <c r="K99" s="7" t="str">
        <f aca="false">IF($H99=1,$I99*1000+COUNTIFS($I$4:$I$483,$I99,$J$4:$J$483,"&lt;"&amp;$J99)+1,"")</f>
        <v/>
      </c>
      <c r="L99" s="121" t="n">
        <f aca="false">IF($F99="","",IF(Recurring!$G$10="Move Before",IF(WEEKDAY($F99,2)=6,$F99-1,IF(WEEKDAY($F99,2)=7,$F99-2,$F99)),IF(Recurring!$G$10="Move After",IF(WEEKDAY($F99,2)=6,$F99+2,IF(WEEKDAY($F99,2)=7,$F99+1,$F99)),$F99)))</f>
        <v>46728</v>
      </c>
      <c r="M99" s="0" t="str">
        <f aca="true">IF(AND($H99=1,$D99="Expense",$G99&gt;TODAY(),$E99&gt;=100),$G99*100000+ROW(),"")</f>
        <v/>
      </c>
      <c r="N99" s="0" t="str">
        <f aca="true">IF(AND($H99=1,$D99="Income",$G99&gt;TODAY()),$G99*100000+ROW(),"")</f>
        <v/>
      </c>
    </row>
    <row r="100" customFormat="false" ht="15" hidden="false" customHeight="true" outlineLevel="0" collapsed="false">
      <c r="A100" s="117" t="n">
        <v>7</v>
      </c>
      <c r="B100" s="117" t="n">
        <v>1</v>
      </c>
      <c r="C100" s="7" t="str">
        <f aca="false">IF(OR(Recurring!$B$11="",Recurring!$H$11&lt;&gt;"Yes",Recurring!$D$11=""),"",Recurring!$B$11)</f>
        <v>Upstart (loan)</v>
      </c>
      <c r="D100" s="7" t="str">
        <f aca="false">IF($C100="","",Recurring!$C$11)</f>
        <v>Expense</v>
      </c>
      <c r="E100" s="118" t="n">
        <f aca="false">IF($C100="","",IF(SUMIFS(Overrides!$E$9:$E$108,Overrides!$B$9:$B$108,$C100,Overrides!$C$9:$C$108,$L100)&gt;0,SUMIFS(Overrides!$E$9:$E$108,Overrides!$B$9:$B$108,$C100,Overrides!$C$9:$C$108,$L100),Recurring!$D$11))</f>
        <v>500</v>
      </c>
      <c r="F100" s="119" t="n">
        <f aca="false">IF($C100="","",IF(Recurring!$E$11="Weekly",Recurring!$F$11+7*0,IF(Recurring!$E$11="Every 2 Weeks",Recurring!$F$11+14*0,IF(Recurring!$E$11="Monthly",EDATE(Recurring!$F$11,0),IF(Recurring!$E$11="Twice a Month",IF(MOD((IF(DAY(Recurring!$F$11)&lt;=20,0,1)+0),2)=1,EOMONTH(Recurring!$F$11,INT((IF(DAY(Recurring!$F$11)&lt;=20,0,1)+0)/2)),DATE(YEAR(EDATE(Recurring!$F$11,INT((IF(DAY(Recurring!$F$11)&lt;=20,0,1)+0)/2))),MONTH(EDATE(Recurring!$F$11,INT((IF(DAY(Recurring!$F$11)&lt;=20,0,1)+0)/2))),15)),IF(Recurring!$E$11="One Time",IF(1=1,Recurring!$F$11,""),""))))))</f>
        <v>46272</v>
      </c>
      <c r="G100" s="119" t="n">
        <f aca="false">IF($L100="","",IF(SUMIFS(Overrides!$D$9:$D$108,Overrides!$B$9:$B$108,$C100,Overrides!$C$9:$C$108,$L100)&gt;0,SUMIFS(Overrides!$D$9:$D$108,Overrides!$B$9:$B$108,$C100,Overrides!$C$9:$C$108,$L100),$L100))</f>
        <v>46272</v>
      </c>
      <c r="H100" s="120" t="n">
        <f aca="false">IF($G100="",0,IF(AND($G100&gt;='Cash Flow'!$E$6-90,$G100&lt;'Cash Flow'!$E$6+91),1,0))</f>
        <v>1</v>
      </c>
      <c r="I100" s="120" t="n">
        <f aca="false">IF($H100=1,MAX(1,INT(($G100-'Cash Flow'!$E$6)/7)+1),"")</f>
        <v>4</v>
      </c>
      <c r="J100" s="7" t="n">
        <f aca="false">IF($H100=1,$G100*10000+ROW(),"")</f>
        <v>462720100</v>
      </c>
      <c r="K100" s="7" t="n">
        <f aca="false">IF($H100=1,$I100*1000+COUNTIFS($I$4:$I$483,$I100,$J$4:$J$483,"&lt;"&amp;$J100)+1,"")</f>
        <v>4004</v>
      </c>
      <c r="L100" s="121" t="n">
        <f aca="false">IF($F100="","",IF(Recurring!$G$11="Move Before",IF(WEEKDAY($F100,2)=6,$F100-1,IF(WEEKDAY($F100,2)=7,$F100-2,$F100)),IF(Recurring!$G$11="Move After",IF(WEEKDAY($F100,2)=6,$F100+2,IF(WEEKDAY($F100,2)=7,$F100+1,$F100)),$F100)))</f>
        <v>46272</v>
      </c>
      <c r="M100" s="122" t="n">
        <f aca="true">IF(AND($H100=1,$D100="Expense",$G100&gt;TODAY(),$E100&gt;=100),$G100*100000+ROW(),"")</f>
        <v>4627200100</v>
      </c>
      <c r="N100" s="0" t="str">
        <f aca="true">IF(AND($H100=1,$D100="Income",$G100&gt;TODAY()),$G100*100000+ROW(),"")</f>
        <v/>
      </c>
    </row>
    <row r="101" customFormat="false" ht="15" hidden="false" customHeight="true" outlineLevel="0" collapsed="false">
      <c r="A101" s="117" t="n">
        <v>7</v>
      </c>
      <c r="B101" s="117" t="n">
        <v>2</v>
      </c>
      <c r="C101" s="7" t="str">
        <f aca="false">IF(OR(Recurring!$B$11="",Recurring!$H$11&lt;&gt;"Yes",Recurring!$D$11=""),"",Recurring!$B$11)</f>
        <v>Upstart (loan)</v>
      </c>
      <c r="D101" s="7" t="str">
        <f aca="false">IF($C101="","",Recurring!$C$11)</f>
        <v>Expense</v>
      </c>
      <c r="E101" s="118" t="n">
        <f aca="false">IF($C101="","",IF(SUMIFS(Overrides!$E$9:$E$108,Overrides!$B$9:$B$108,$C101,Overrides!$C$9:$C$108,$L101)&gt;0,SUMIFS(Overrides!$E$9:$E$108,Overrides!$B$9:$B$108,$C101,Overrides!$C$9:$C$108,$L101),Recurring!$D$11))</f>
        <v>500</v>
      </c>
      <c r="F101" s="119" t="n">
        <f aca="false">IF($C101="","",IF(Recurring!$E$11="Weekly",Recurring!$F$11+7*1,IF(Recurring!$E$11="Every 2 Weeks",Recurring!$F$11+14*1,IF(Recurring!$E$11="Monthly",EDATE(Recurring!$F$11,1),IF(Recurring!$E$11="Twice a Month",IF(MOD((IF(DAY(Recurring!$F$11)&lt;=20,0,1)+1),2)=1,EOMONTH(Recurring!$F$11,INT((IF(DAY(Recurring!$F$11)&lt;=20,0,1)+1)/2)),DATE(YEAR(EDATE(Recurring!$F$11,INT((IF(DAY(Recurring!$F$11)&lt;=20,0,1)+1)/2))),MONTH(EDATE(Recurring!$F$11,INT((IF(DAY(Recurring!$F$11)&lt;=20,0,1)+1)/2))),15)),IF(Recurring!$E$11="One Time",IF(2=1,Recurring!$F$11,""),""))))))</f>
        <v>46302</v>
      </c>
      <c r="G101" s="119" t="n">
        <f aca="false">IF($L101="","",IF(SUMIFS(Overrides!$D$9:$D$108,Overrides!$B$9:$B$108,$C101,Overrides!$C$9:$C$108,$L101)&gt;0,SUMIFS(Overrides!$D$9:$D$108,Overrides!$B$9:$B$108,$C101,Overrides!$C$9:$C$108,$L101),$L101))</f>
        <v>46302</v>
      </c>
      <c r="H101" s="120" t="n">
        <f aca="false">IF($G101="",0,IF(AND($G101&gt;='Cash Flow'!$E$6,$G101&lt;'Cash Flow'!$E$6+91),1,0))</f>
        <v>1</v>
      </c>
      <c r="I101" s="120" t="n">
        <f aca="false">IF($H101=1,MAX(1,INT(($G101-'Cash Flow'!$E$6)/7)+1),"")</f>
        <v>8</v>
      </c>
      <c r="J101" s="7" t="n">
        <f aca="false">IF($H101=1,$G101*10000+ROW(),"")</f>
        <v>463020101</v>
      </c>
      <c r="K101" s="7" t="n">
        <f aca="false">IF($H101=1,$I101*1000+COUNTIFS($I$4:$I$483,$I101,$J$4:$J$483,"&lt;"&amp;$J101)+1,"")</f>
        <v>8006</v>
      </c>
      <c r="L101" s="121" t="n">
        <f aca="false">IF($F101="","",IF(Recurring!$G$11="Move Before",IF(WEEKDAY($F101,2)=6,$F101-1,IF(WEEKDAY($F101,2)=7,$F101-2,$F101)),IF(Recurring!$G$11="Move After",IF(WEEKDAY($F101,2)=6,$F101+2,IF(WEEKDAY($F101,2)=7,$F101+1,$F101)),$F101)))</f>
        <v>46302</v>
      </c>
      <c r="M101" s="122" t="n">
        <f aca="true">IF(AND($H101=1,$D101="Expense",$G101&gt;TODAY(),$E101&gt;=100),$G101*100000+ROW(),"")</f>
        <v>4630200101</v>
      </c>
      <c r="N101" s="0" t="str">
        <f aca="true">IF(AND($H101=1,$D101="Income",$G101&gt;TODAY()),$G101*100000+ROW(),"")</f>
        <v/>
      </c>
    </row>
    <row r="102" customFormat="false" ht="15" hidden="false" customHeight="true" outlineLevel="0" collapsed="false">
      <c r="A102" s="117" t="n">
        <v>7</v>
      </c>
      <c r="B102" s="117" t="n">
        <v>3</v>
      </c>
      <c r="C102" s="7" t="str">
        <f aca="false">IF(OR(Recurring!$B$11="",Recurring!$H$11&lt;&gt;"Yes",Recurring!$D$11=""),"",Recurring!$B$11)</f>
        <v>Upstart (loan)</v>
      </c>
      <c r="D102" s="7" t="str">
        <f aca="false">IF($C102="","",Recurring!$C$11)</f>
        <v>Expense</v>
      </c>
      <c r="E102" s="118" t="n">
        <f aca="false">IF($C102="","",IF(SUMIFS(Overrides!$E$9:$E$108,Overrides!$B$9:$B$108,$C102,Overrides!$C$9:$C$108,$L102)&gt;0,SUMIFS(Overrides!$E$9:$E$108,Overrides!$B$9:$B$108,$C102,Overrides!$C$9:$C$108,$L102),Recurring!$D$11))</f>
        <v>500</v>
      </c>
      <c r="F102" s="119" t="n">
        <f aca="false">IF($C102="","",IF(Recurring!$E$11="Weekly",Recurring!$F$11+7*2,IF(Recurring!$E$11="Every 2 Weeks",Recurring!$F$11+14*2,IF(Recurring!$E$11="Monthly",EDATE(Recurring!$F$11,2),IF(Recurring!$E$11="Twice a Month",IF(MOD((IF(DAY(Recurring!$F$11)&lt;=20,0,1)+2),2)=1,EOMONTH(Recurring!$F$11,INT((IF(DAY(Recurring!$F$11)&lt;=20,0,1)+2)/2)),DATE(YEAR(EDATE(Recurring!$F$11,INT((IF(DAY(Recurring!$F$11)&lt;=20,0,1)+2)/2))),MONTH(EDATE(Recurring!$F$11,INT((IF(DAY(Recurring!$F$11)&lt;=20,0,1)+2)/2))),15)),IF(Recurring!$E$11="One Time",IF(3=1,Recurring!$F$11,""),""))))))</f>
        <v>46333</v>
      </c>
      <c r="G102" s="119" t="n">
        <f aca="false">IF($L102="","",IF(SUMIFS(Overrides!$D$9:$D$108,Overrides!$B$9:$B$108,$C102,Overrides!$C$9:$C$108,$L102)&gt;0,SUMIFS(Overrides!$D$9:$D$108,Overrides!$B$9:$B$108,$C102,Overrides!$C$9:$C$108,$L102),$L102))</f>
        <v>46333</v>
      </c>
      <c r="H102" s="120" t="n">
        <f aca="false">IF($G102="",0,IF(AND($G102&gt;='Cash Flow'!$E$6,$G102&lt;'Cash Flow'!$E$6+91),1,0))</f>
        <v>1</v>
      </c>
      <c r="I102" s="120" t="n">
        <f aca="false">IF($H102=1,MAX(1,INT(($G102-'Cash Flow'!$E$6)/7)+1),"")</f>
        <v>13</v>
      </c>
      <c r="J102" s="7" t="n">
        <f aca="false">IF($H102=1,$G102*10000+ROW(),"")</f>
        <v>463330102</v>
      </c>
      <c r="K102" s="7" t="n">
        <f aca="false">IF($H102=1,$I102*1000+COUNTIFS($I$4:$I$483,$I102,$J$4:$J$483,"&lt;"&amp;$J102)+1,"")</f>
        <v>13002</v>
      </c>
      <c r="L102" s="121" t="n">
        <f aca="false">IF($F102="","",IF(Recurring!$G$11="Move Before",IF(WEEKDAY($F102,2)=6,$F102-1,IF(WEEKDAY($F102,2)=7,$F102-2,$F102)),IF(Recurring!$G$11="Move After",IF(WEEKDAY($F102,2)=6,$F102+2,IF(WEEKDAY($F102,2)=7,$F102+1,$F102)),$F102)))</f>
        <v>46333</v>
      </c>
      <c r="M102" s="122" t="n">
        <f aca="true">IF(AND($H102=1,$D102="Expense",$G102&gt;TODAY(),$E102&gt;=100),$G102*100000+ROW(),"")</f>
        <v>4633300102</v>
      </c>
      <c r="N102" s="0" t="str">
        <f aca="true">IF(AND($H102=1,$D102="Income",$G102&gt;TODAY()),$G102*100000+ROW(),"")</f>
        <v/>
      </c>
    </row>
    <row r="103" customFormat="false" ht="15" hidden="false" customHeight="true" outlineLevel="0" collapsed="false">
      <c r="A103" s="117" t="n">
        <v>7</v>
      </c>
      <c r="B103" s="117" t="n">
        <v>4</v>
      </c>
      <c r="C103" s="7" t="str">
        <f aca="false">IF(OR(Recurring!$B$11="",Recurring!$H$11&lt;&gt;"Yes",Recurring!$D$11=""),"",Recurring!$B$11)</f>
        <v>Upstart (loan)</v>
      </c>
      <c r="D103" s="7" t="str">
        <f aca="false">IF($C103="","",Recurring!$C$11)</f>
        <v>Expense</v>
      </c>
      <c r="E103" s="118" t="n">
        <f aca="false">IF($C103="","",IF(SUMIFS(Overrides!$E$9:$E$108,Overrides!$B$9:$B$108,$C103,Overrides!$C$9:$C$108,$L103)&gt;0,SUMIFS(Overrides!$E$9:$E$108,Overrides!$B$9:$B$108,$C103,Overrides!$C$9:$C$108,$L103),Recurring!$D$11))</f>
        <v>500</v>
      </c>
      <c r="F103" s="119" t="n">
        <f aca="false">IF($C103="","",IF(Recurring!$E$11="Weekly",Recurring!$F$11+7*3,IF(Recurring!$E$11="Every 2 Weeks",Recurring!$F$11+14*3,IF(Recurring!$E$11="Monthly",EDATE(Recurring!$F$11,3),IF(Recurring!$E$11="Twice a Month",IF(MOD((IF(DAY(Recurring!$F$11)&lt;=20,0,1)+3),2)=1,EOMONTH(Recurring!$F$11,INT((IF(DAY(Recurring!$F$11)&lt;=20,0,1)+3)/2)),DATE(YEAR(EDATE(Recurring!$F$11,INT((IF(DAY(Recurring!$F$11)&lt;=20,0,1)+3)/2))),MONTH(EDATE(Recurring!$F$11,INT((IF(DAY(Recurring!$F$11)&lt;=20,0,1)+3)/2))),15)),IF(Recurring!$E$11="One Time",IF(4=1,Recurring!$F$11,""),""))))))</f>
        <v>46363</v>
      </c>
      <c r="G103" s="119" t="n">
        <f aca="false">IF($L103="","",IF(SUMIFS(Overrides!$D$9:$D$108,Overrides!$B$9:$B$108,$C103,Overrides!$C$9:$C$108,$L103)&gt;0,SUMIFS(Overrides!$D$9:$D$108,Overrides!$B$9:$B$108,$C103,Overrides!$C$9:$C$108,$L103),$L103))</f>
        <v>46363</v>
      </c>
      <c r="H103" s="120" t="n">
        <f aca="false">IF($G103="",0,IF(AND($G103&gt;='Cash Flow'!$E$6,$G103&lt;'Cash Flow'!$E$6+91),1,0))</f>
        <v>0</v>
      </c>
      <c r="I103" s="120" t="str">
        <f aca="false">IF($H103=1,MAX(1,INT(($G103-'Cash Flow'!$E$6)/7)+1),"")</f>
        <v/>
      </c>
      <c r="J103" s="7" t="str">
        <f aca="false">IF($H103=1,$G103*10000+ROW(),"")</f>
        <v/>
      </c>
      <c r="K103" s="7" t="str">
        <f aca="false">IF($H103=1,$I103*1000+COUNTIFS($I$4:$I$483,$I103,$J$4:$J$483,"&lt;"&amp;$J103)+1,"")</f>
        <v/>
      </c>
      <c r="L103" s="121" t="n">
        <f aca="false">IF($F103="","",IF(Recurring!$G$11="Move Before",IF(WEEKDAY($F103,2)=6,$F103-1,IF(WEEKDAY($F103,2)=7,$F103-2,$F103)),IF(Recurring!$G$11="Move After",IF(WEEKDAY($F103,2)=6,$F103+2,IF(WEEKDAY($F103,2)=7,$F103+1,$F103)),$F103)))</f>
        <v>46363</v>
      </c>
      <c r="M103" s="0" t="str">
        <f aca="true">IF(AND($H103=1,$D103="Expense",$G103&gt;TODAY(),$E103&gt;=100),$G103*100000+ROW(),"")</f>
        <v/>
      </c>
      <c r="N103" s="0" t="str">
        <f aca="true">IF(AND($H103=1,$D103="Income",$G103&gt;TODAY()),$G103*100000+ROW(),"")</f>
        <v/>
      </c>
    </row>
    <row r="104" customFormat="false" ht="15" hidden="false" customHeight="true" outlineLevel="0" collapsed="false">
      <c r="A104" s="117" t="n">
        <v>7</v>
      </c>
      <c r="B104" s="117" t="n">
        <v>5</v>
      </c>
      <c r="C104" s="7" t="str">
        <f aca="false">IF(OR(Recurring!$B$11="",Recurring!$H$11&lt;&gt;"Yes",Recurring!$D$11=""),"",Recurring!$B$11)</f>
        <v>Upstart (loan)</v>
      </c>
      <c r="D104" s="7" t="str">
        <f aca="false">IF($C104="","",Recurring!$C$11)</f>
        <v>Expense</v>
      </c>
      <c r="E104" s="118" t="n">
        <f aca="false">IF($C104="","",IF(SUMIFS(Overrides!$E$9:$E$108,Overrides!$B$9:$B$108,$C104,Overrides!$C$9:$C$108,$L104)&gt;0,SUMIFS(Overrides!$E$9:$E$108,Overrides!$B$9:$B$108,$C104,Overrides!$C$9:$C$108,$L104),Recurring!$D$11))</f>
        <v>500</v>
      </c>
      <c r="F104" s="119" t="n">
        <f aca="false">IF($C104="","",IF(Recurring!$E$11="Weekly",Recurring!$F$11+7*4,IF(Recurring!$E$11="Every 2 Weeks",Recurring!$F$11+14*4,IF(Recurring!$E$11="Monthly",EDATE(Recurring!$F$11,4),IF(Recurring!$E$11="Twice a Month",IF(MOD((IF(DAY(Recurring!$F$11)&lt;=20,0,1)+4),2)=1,EOMONTH(Recurring!$F$11,INT((IF(DAY(Recurring!$F$11)&lt;=20,0,1)+4)/2)),DATE(YEAR(EDATE(Recurring!$F$11,INT((IF(DAY(Recurring!$F$11)&lt;=20,0,1)+4)/2))),MONTH(EDATE(Recurring!$F$11,INT((IF(DAY(Recurring!$F$11)&lt;=20,0,1)+4)/2))),15)),IF(Recurring!$E$11="One Time",IF(5=1,Recurring!$F$11,""),""))))))</f>
        <v>46394</v>
      </c>
      <c r="G104" s="119" t="n">
        <f aca="false">IF($L104="","",IF(SUMIFS(Overrides!$D$9:$D$108,Overrides!$B$9:$B$108,$C104,Overrides!$C$9:$C$108,$L104)&gt;0,SUMIFS(Overrides!$D$9:$D$108,Overrides!$B$9:$B$108,$C104,Overrides!$C$9:$C$108,$L104),$L104))</f>
        <v>46394</v>
      </c>
      <c r="H104" s="120" t="n">
        <f aca="false">IF($G104="",0,IF(AND($G104&gt;='Cash Flow'!$E$6,$G104&lt;'Cash Flow'!$E$6+91),1,0))</f>
        <v>0</v>
      </c>
      <c r="I104" s="120" t="str">
        <f aca="false">IF($H104=1,MAX(1,INT(($G104-'Cash Flow'!$E$6)/7)+1),"")</f>
        <v/>
      </c>
      <c r="J104" s="7" t="str">
        <f aca="false">IF($H104=1,$G104*10000+ROW(),"")</f>
        <v/>
      </c>
      <c r="K104" s="7" t="str">
        <f aca="false">IF($H104=1,$I104*1000+COUNTIFS($I$4:$I$483,$I104,$J$4:$J$483,"&lt;"&amp;$J104)+1,"")</f>
        <v/>
      </c>
      <c r="L104" s="121" t="n">
        <f aca="false">IF($F104="","",IF(Recurring!$G$11="Move Before",IF(WEEKDAY($F104,2)=6,$F104-1,IF(WEEKDAY($F104,2)=7,$F104-2,$F104)),IF(Recurring!$G$11="Move After",IF(WEEKDAY($F104,2)=6,$F104+2,IF(WEEKDAY($F104,2)=7,$F104+1,$F104)),$F104)))</f>
        <v>46394</v>
      </c>
      <c r="M104" s="0" t="str">
        <f aca="true">IF(AND($H104=1,$D104="Expense",$G104&gt;TODAY(),$E104&gt;=100),$G104*100000+ROW(),"")</f>
        <v/>
      </c>
      <c r="N104" s="0" t="str">
        <f aca="true">IF(AND($H104=1,$D104="Income",$G104&gt;TODAY()),$G104*100000+ROW(),"")</f>
        <v/>
      </c>
    </row>
    <row r="105" customFormat="false" ht="15" hidden="false" customHeight="true" outlineLevel="0" collapsed="false">
      <c r="A105" s="117" t="n">
        <v>7</v>
      </c>
      <c r="B105" s="117" t="n">
        <v>6</v>
      </c>
      <c r="C105" s="7" t="str">
        <f aca="false">IF(OR(Recurring!$B$11="",Recurring!$H$11&lt;&gt;"Yes",Recurring!$D$11=""),"",Recurring!$B$11)</f>
        <v>Upstart (loan)</v>
      </c>
      <c r="D105" s="7" t="str">
        <f aca="false">IF($C105="","",Recurring!$C$11)</f>
        <v>Expense</v>
      </c>
      <c r="E105" s="118" t="n">
        <f aca="false">IF($C105="","",IF(SUMIFS(Overrides!$E$9:$E$108,Overrides!$B$9:$B$108,$C105,Overrides!$C$9:$C$108,$L105)&gt;0,SUMIFS(Overrides!$E$9:$E$108,Overrides!$B$9:$B$108,$C105,Overrides!$C$9:$C$108,$L105),Recurring!$D$11))</f>
        <v>500</v>
      </c>
      <c r="F105" s="119" t="n">
        <f aca="false">IF($C105="","",IF(Recurring!$E$11="Weekly",Recurring!$F$11+7*5,IF(Recurring!$E$11="Every 2 Weeks",Recurring!$F$11+14*5,IF(Recurring!$E$11="Monthly",EDATE(Recurring!$F$11,5),IF(Recurring!$E$11="Twice a Month",IF(MOD((IF(DAY(Recurring!$F$11)&lt;=20,0,1)+5),2)=1,EOMONTH(Recurring!$F$11,INT((IF(DAY(Recurring!$F$11)&lt;=20,0,1)+5)/2)),DATE(YEAR(EDATE(Recurring!$F$11,INT((IF(DAY(Recurring!$F$11)&lt;=20,0,1)+5)/2))),MONTH(EDATE(Recurring!$F$11,INT((IF(DAY(Recurring!$F$11)&lt;=20,0,1)+5)/2))),15)),IF(Recurring!$E$11="One Time",IF(6=1,Recurring!$F$11,""),""))))))</f>
        <v>46425</v>
      </c>
      <c r="G105" s="119" t="n">
        <f aca="false">IF($L105="","",IF(SUMIFS(Overrides!$D$9:$D$108,Overrides!$B$9:$B$108,$C105,Overrides!$C$9:$C$108,$L105)&gt;0,SUMIFS(Overrides!$D$9:$D$108,Overrides!$B$9:$B$108,$C105,Overrides!$C$9:$C$108,$L105),$L105))</f>
        <v>46425</v>
      </c>
      <c r="H105" s="120" t="n">
        <f aca="false">IF($G105="",0,IF(AND($G105&gt;='Cash Flow'!$E$6,$G105&lt;'Cash Flow'!$E$6+91),1,0))</f>
        <v>0</v>
      </c>
      <c r="I105" s="120" t="str">
        <f aca="false">IF($H105=1,MAX(1,INT(($G105-'Cash Flow'!$E$6)/7)+1),"")</f>
        <v/>
      </c>
      <c r="J105" s="7" t="str">
        <f aca="false">IF($H105=1,$G105*10000+ROW(),"")</f>
        <v/>
      </c>
      <c r="K105" s="7" t="str">
        <f aca="false">IF($H105=1,$I105*1000+COUNTIFS($I$4:$I$483,$I105,$J$4:$J$483,"&lt;"&amp;$J105)+1,"")</f>
        <v/>
      </c>
      <c r="L105" s="121" t="n">
        <f aca="false">IF($F105="","",IF(Recurring!$G$11="Move Before",IF(WEEKDAY($F105,2)=6,$F105-1,IF(WEEKDAY($F105,2)=7,$F105-2,$F105)),IF(Recurring!$G$11="Move After",IF(WEEKDAY($F105,2)=6,$F105+2,IF(WEEKDAY($F105,2)=7,$F105+1,$F105)),$F105)))</f>
        <v>46425</v>
      </c>
      <c r="M105" s="0" t="str">
        <f aca="true">IF(AND($H105=1,$D105="Expense",$G105&gt;TODAY(),$E105&gt;=100),$G105*100000+ROW(),"")</f>
        <v/>
      </c>
      <c r="N105" s="0" t="str">
        <f aca="true">IF(AND($H105=1,$D105="Income",$G105&gt;TODAY()),$G105*100000+ROW(),"")</f>
        <v/>
      </c>
    </row>
    <row r="106" customFormat="false" ht="15" hidden="false" customHeight="true" outlineLevel="0" collapsed="false">
      <c r="A106" s="117" t="n">
        <v>7</v>
      </c>
      <c r="B106" s="117" t="n">
        <v>7</v>
      </c>
      <c r="C106" s="7" t="str">
        <f aca="false">IF(OR(Recurring!$B$11="",Recurring!$H$11&lt;&gt;"Yes",Recurring!$D$11=""),"",Recurring!$B$11)</f>
        <v>Upstart (loan)</v>
      </c>
      <c r="D106" s="7" t="str">
        <f aca="false">IF($C106="","",Recurring!$C$11)</f>
        <v>Expense</v>
      </c>
      <c r="E106" s="118" t="n">
        <f aca="false">IF($C106="","",IF(SUMIFS(Overrides!$E$9:$E$108,Overrides!$B$9:$B$108,$C106,Overrides!$C$9:$C$108,$L106)&gt;0,SUMIFS(Overrides!$E$9:$E$108,Overrides!$B$9:$B$108,$C106,Overrides!$C$9:$C$108,$L106),Recurring!$D$11))</f>
        <v>500</v>
      </c>
      <c r="F106" s="119" t="n">
        <f aca="false">IF($C106="","",IF(Recurring!$E$11="Weekly",Recurring!$F$11+7*6,IF(Recurring!$E$11="Every 2 Weeks",Recurring!$F$11+14*6,IF(Recurring!$E$11="Monthly",EDATE(Recurring!$F$11,6),IF(Recurring!$E$11="Twice a Month",IF(MOD((IF(DAY(Recurring!$F$11)&lt;=20,0,1)+6),2)=1,EOMONTH(Recurring!$F$11,INT((IF(DAY(Recurring!$F$11)&lt;=20,0,1)+6)/2)),DATE(YEAR(EDATE(Recurring!$F$11,INT((IF(DAY(Recurring!$F$11)&lt;=20,0,1)+6)/2))),MONTH(EDATE(Recurring!$F$11,INT((IF(DAY(Recurring!$F$11)&lt;=20,0,1)+6)/2))),15)),IF(Recurring!$E$11="One Time",IF(7=1,Recurring!$F$11,""),""))))))</f>
        <v>46453</v>
      </c>
      <c r="G106" s="119" t="n">
        <f aca="false">IF($L106="","",IF(SUMIFS(Overrides!$D$9:$D$108,Overrides!$B$9:$B$108,$C106,Overrides!$C$9:$C$108,$L106)&gt;0,SUMIFS(Overrides!$D$9:$D$108,Overrides!$B$9:$B$108,$C106,Overrides!$C$9:$C$108,$L106),$L106))</f>
        <v>46453</v>
      </c>
      <c r="H106" s="120" t="n">
        <f aca="false">IF($G106="",0,IF(AND($G106&gt;='Cash Flow'!$E$6,$G106&lt;'Cash Flow'!$E$6+91),1,0))</f>
        <v>0</v>
      </c>
      <c r="I106" s="120" t="str">
        <f aca="false">IF($H106=1,MAX(1,INT(($G106-'Cash Flow'!$E$6)/7)+1),"")</f>
        <v/>
      </c>
      <c r="J106" s="7" t="str">
        <f aca="false">IF($H106=1,$G106*10000+ROW(),"")</f>
        <v/>
      </c>
      <c r="K106" s="7" t="str">
        <f aca="false">IF($H106=1,$I106*1000+COUNTIFS($I$4:$I$483,$I106,$J$4:$J$483,"&lt;"&amp;$J106)+1,"")</f>
        <v/>
      </c>
      <c r="L106" s="121" t="n">
        <f aca="false">IF($F106="","",IF(Recurring!$G$11="Move Before",IF(WEEKDAY($F106,2)=6,$F106-1,IF(WEEKDAY($F106,2)=7,$F106-2,$F106)),IF(Recurring!$G$11="Move After",IF(WEEKDAY($F106,2)=6,$F106+2,IF(WEEKDAY($F106,2)=7,$F106+1,$F106)),$F106)))</f>
        <v>46453</v>
      </c>
      <c r="M106" s="0" t="str">
        <f aca="true">IF(AND($H106=1,$D106="Expense",$G106&gt;TODAY(),$E106&gt;=100),$G106*100000+ROW(),"")</f>
        <v/>
      </c>
      <c r="N106" s="0" t="str">
        <f aca="true">IF(AND($H106=1,$D106="Income",$G106&gt;TODAY()),$G106*100000+ROW(),"")</f>
        <v/>
      </c>
    </row>
    <row r="107" customFormat="false" ht="15" hidden="false" customHeight="true" outlineLevel="0" collapsed="false">
      <c r="A107" s="117" t="n">
        <v>7</v>
      </c>
      <c r="B107" s="117" t="n">
        <v>8</v>
      </c>
      <c r="C107" s="7" t="str">
        <f aca="false">IF(OR(Recurring!$B$11="",Recurring!$H$11&lt;&gt;"Yes",Recurring!$D$11=""),"",Recurring!$B$11)</f>
        <v>Upstart (loan)</v>
      </c>
      <c r="D107" s="7" t="str">
        <f aca="false">IF($C107="","",Recurring!$C$11)</f>
        <v>Expense</v>
      </c>
      <c r="E107" s="118" t="n">
        <f aca="false">IF($C107="","",IF(SUMIFS(Overrides!$E$9:$E$108,Overrides!$B$9:$B$108,$C107,Overrides!$C$9:$C$108,$L107)&gt;0,SUMIFS(Overrides!$E$9:$E$108,Overrides!$B$9:$B$108,$C107,Overrides!$C$9:$C$108,$L107),Recurring!$D$11))</f>
        <v>500</v>
      </c>
      <c r="F107" s="119" t="n">
        <f aca="false">IF($C107="","",IF(Recurring!$E$11="Weekly",Recurring!$F$11+7*7,IF(Recurring!$E$11="Every 2 Weeks",Recurring!$F$11+14*7,IF(Recurring!$E$11="Monthly",EDATE(Recurring!$F$11,7),IF(Recurring!$E$11="Twice a Month",IF(MOD((IF(DAY(Recurring!$F$11)&lt;=20,0,1)+7),2)=1,EOMONTH(Recurring!$F$11,INT((IF(DAY(Recurring!$F$11)&lt;=20,0,1)+7)/2)),DATE(YEAR(EDATE(Recurring!$F$11,INT((IF(DAY(Recurring!$F$11)&lt;=20,0,1)+7)/2))),MONTH(EDATE(Recurring!$F$11,INT((IF(DAY(Recurring!$F$11)&lt;=20,0,1)+7)/2))),15)),IF(Recurring!$E$11="One Time",IF(8=1,Recurring!$F$11,""),""))))))</f>
        <v>46484</v>
      </c>
      <c r="G107" s="119" t="n">
        <f aca="false">IF($L107="","",IF(SUMIFS(Overrides!$D$9:$D$108,Overrides!$B$9:$B$108,$C107,Overrides!$C$9:$C$108,$L107)&gt;0,SUMIFS(Overrides!$D$9:$D$108,Overrides!$B$9:$B$108,$C107,Overrides!$C$9:$C$108,$L107),$L107))</f>
        <v>46484</v>
      </c>
      <c r="H107" s="120" t="n">
        <f aca="false">IF($G107="",0,IF(AND($G107&gt;='Cash Flow'!$E$6,$G107&lt;'Cash Flow'!$E$6+91),1,0))</f>
        <v>0</v>
      </c>
      <c r="I107" s="120" t="str">
        <f aca="false">IF($H107=1,MAX(1,INT(($G107-'Cash Flow'!$E$6)/7)+1),"")</f>
        <v/>
      </c>
      <c r="J107" s="7" t="str">
        <f aca="false">IF($H107=1,$G107*10000+ROW(),"")</f>
        <v/>
      </c>
      <c r="K107" s="7" t="str">
        <f aca="false">IF($H107=1,$I107*1000+COUNTIFS($I$4:$I$483,$I107,$J$4:$J$483,"&lt;"&amp;$J107)+1,"")</f>
        <v/>
      </c>
      <c r="L107" s="121" t="n">
        <f aca="false">IF($F107="","",IF(Recurring!$G$11="Move Before",IF(WEEKDAY($F107,2)=6,$F107-1,IF(WEEKDAY($F107,2)=7,$F107-2,$F107)),IF(Recurring!$G$11="Move After",IF(WEEKDAY($F107,2)=6,$F107+2,IF(WEEKDAY($F107,2)=7,$F107+1,$F107)),$F107)))</f>
        <v>46484</v>
      </c>
      <c r="M107" s="0" t="str">
        <f aca="true">IF(AND($H107=1,$D107="Expense",$G107&gt;TODAY(),$E107&gt;=100),$G107*100000+ROW(),"")</f>
        <v/>
      </c>
      <c r="N107" s="0" t="str">
        <f aca="true">IF(AND($H107=1,$D107="Income",$G107&gt;TODAY()),$G107*100000+ROW(),"")</f>
        <v/>
      </c>
    </row>
    <row r="108" customFormat="false" ht="15" hidden="false" customHeight="true" outlineLevel="0" collapsed="false">
      <c r="A108" s="117" t="n">
        <v>7</v>
      </c>
      <c r="B108" s="117" t="n">
        <v>9</v>
      </c>
      <c r="C108" s="7" t="str">
        <f aca="false">IF(OR(Recurring!$B$11="",Recurring!$H$11&lt;&gt;"Yes",Recurring!$D$11=""),"",Recurring!$B$11)</f>
        <v>Upstart (loan)</v>
      </c>
      <c r="D108" s="7" t="str">
        <f aca="false">IF($C108="","",Recurring!$C$11)</f>
        <v>Expense</v>
      </c>
      <c r="E108" s="118" t="n">
        <f aca="false">IF($C108="","",IF(SUMIFS(Overrides!$E$9:$E$108,Overrides!$B$9:$B$108,$C108,Overrides!$C$9:$C$108,$L108)&gt;0,SUMIFS(Overrides!$E$9:$E$108,Overrides!$B$9:$B$108,$C108,Overrides!$C$9:$C$108,$L108),Recurring!$D$11))</f>
        <v>500</v>
      </c>
      <c r="F108" s="119" t="n">
        <f aca="false">IF($C108="","",IF(Recurring!$E$11="Weekly",Recurring!$F$11+7*8,IF(Recurring!$E$11="Every 2 Weeks",Recurring!$F$11+14*8,IF(Recurring!$E$11="Monthly",EDATE(Recurring!$F$11,8),IF(Recurring!$E$11="Twice a Month",IF(MOD((IF(DAY(Recurring!$F$11)&lt;=20,0,1)+8),2)=1,EOMONTH(Recurring!$F$11,INT((IF(DAY(Recurring!$F$11)&lt;=20,0,1)+8)/2)),DATE(YEAR(EDATE(Recurring!$F$11,INT((IF(DAY(Recurring!$F$11)&lt;=20,0,1)+8)/2))),MONTH(EDATE(Recurring!$F$11,INT((IF(DAY(Recurring!$F$11)&lt;=20,0,1)+8)/2))),15)),IF(Recurring!$E$11="One Time",IF(9=1,Recurring!$F$11,""),""))))))</f>
        <v>46514</v>
      </c>
      <c r="G108" s="119" t="n">
        <f aca="false">IF($L108="","",IF(SUMIFS(Overrides!$D$9:$D$108,Overrides!$B$9:$B$108,$C108,Overrides!$C$9:$C$108,$L108)&gt;0,SUMIFS(Overrides!$D$9:$D$108,Overrides!$B$9:$B$108,$C108,Overrides!$C$9:$C$108,$L108),$L108))</f>
        <v>46514</v>
      </c>
      <c r="H108" s="120" t="n">
        <f aca="false">IF($G108="",0,IF(AND($G108&gt;='Cash Flow'!$E$6,$G108&lt;'Cash Flow'!$E$6+91),1,0))</f>
        <v>0</v>
      </c>
      <c r="I108" s="120" t="str">
        <f aca="false">IF($H108=1,MAX(1,INT(($G108-'Cash Flow'!$E$6)/7)+1),"")</f>
        <v/>
      </c>
      <c r="J108" s="7" t="str">
        <f aca="false">IF($H108=1,$G108*10000+ROW(),"")</f>
        <v/>
      </c>
      <c r="K108" s="7" t="str">
        <f aca="false">IF($H108=1,$I108*1000+COUNTIFS($I$4:$I$483,$I108,$J$4:$J$483,"&lt;"&amp;$J108)+1,"")</f>
        <v/>
      </c>
      <c r="L108" s="121" t="n">
        <f aca="false">IF($F108="","",IF(Recurring!$G$11="Move Before",IF(WEEKDAY($F108,2)=6,$F108-1,IF(WEEKDAY($F108,2)=7,$F108-2,$F108)),IF(Recurring!$G$11="Move After",IF(WEEKDAY($F108,2)=6,$F108+2,IF(WEEKDAY($F108,2)=7,$F108+1,$F108)),$F108)))</f>
        <v>46514</v>
      </c>
      <c r="M108" s="0" t="str">
        <f aca="true">IF(AND($H108=1,$D108="Expense",$G108&gt;TODAY(),$E108&gt;=100),$G108*100000+ROW(),"")</f>
        <v/>
      </c>
      <c r="N108" s="0" t="str">
        <f aca="true">IF(AND($H108=1,$D108="Income",$G108&gt;TODAY()),$G108*100000+ROW(),"")</f>
        <v/>
      </c>
    </row>
    <row r="109" customFormat="false" ht="15" hidden="false" customHeight="true" outlineLevel="0" collapsed="false">
      <c r="A109" s="117" t="n">
        <v>7</v>
      </c>
      <c r="B109" s="117" t="n">
        <v>10</v>
      </c>
      <c r="C109" s="7" t="str">
        <f aca="false">IF(OR(Recurring!$B$11="",Recurring!$H$11&lt;&gt;"Yes",Recurring!$D$11=""),"",Recurring!$B$11)</f>
        <v>Upstart (loan)</v>
      </c>
      <c r="D109" s="7" t="str">
        <f aca="false">IF($C109="","",Recurring!$C$11)</f>
        <v>Expense</v>
      </c>
      <c r="E109" s="118" t="n">
        <f aca="false">IF($C109="","",IF(SUMIFS(Overrides!$E$9:$E$108,Overrides!$B$9:$B$108,$C109,Overrides!$C$9:$C$108,$L109)&gt;0,SUMIFS(Overrides!$E$9:$E$108,Overrides!$B$9:$B$108,$C109,Overrides!$C$9:$C$108,$L109),Recurring!$D$11))</f>
        <v>500</v>
      </c>
      <c r="F109" s="119" t="n">
        <f aca="false">IF($C109="","",IF(Recurring!$E$11="Weekly",Recurring!$F$11+7*9,IF(Recurring!$E$11="Every 2 Weeks",Recurring!$F$11+14*9,IF(Recurring!$E$11="Monthly",EDATE(Recurring!$F$11,9),IF(Recurring!$E$11="Twice a Month",IF(MOD((IF(DAY(Recurring!$F$11)&lt;=20,0,1)+9),2)=1,EOMONTH(Recurring!$F$11,INT((IF(DAY(Recurring!$F$11)&lt;=20,0,1)+9)/2)),DATE(YEAR(EDATE(Recurring!$F$11,INT((IF(DAY(Recurring!$F$11)&lt;=20,0,1)+9)/2))),MONTH(EDATE(Recurring!$F$11,INT((IF(DAY(Recurring!$F$11)&lt;=20,0,1)+9)/2))),15)),IF(Recurring!$E$11="One Time",IF(10=1,Recurring!$F$11,""),""))))))</f>
        <v>46545</v>
      </c>
      <c r="G109" s="119" t="n">
        <f aca="false">IF($L109="","",IF(SUMIFS(Overrides!$D$9:$D$108,Overrides!$B$9:$B$108,$C109,Overrides!$C$9:$C$108,$L109)&gt;0,SUMIFS(Overrides!$D$9:$D$108,Overrides!$B$9:$B$108,$C109,Overrides!$C$9:$C$108,$L109),$L109))</f>
        <v>46545</v>
      </c>
      <c r="H109" s="120" t="n">
        <f aca="false">IF($G109="",0,IF(AND($G109&gt;='Cash Flow'!$E$6,$G109&lt;'Cash Flow'!$E$6+91),1,0))</f>
        <v>0</v>
      </c>
      <c r="I109" s="120" t="str">
        <f aca="false">IF($H109=1,MAX(1,INT(($G109-'Cash Flow'!$E$6)/7)+1),"")</f>
        <v/>
      </c>
      <c r="J109" s="7" t="str">
        <f aca="false">IF($H109=1,$G109*10000+ROW(),"")</f>
        <v/>
      </c>
      <c r="K109" s="7" t="str">
        <f aca="false">IF($H109=1,$I109*1000+COUNTIFS($I$4:$I$483,$I109,$J$4:$J$483,"&lt;"&amp;$J109)+1,"")</f>
        <v/>
      </c>
      <c r="L109" s="121" t="n">
        <f aca="false">IF($F109="","",IF(Recurring!$G$11="Move Before",IF(WEEKDAY($F109,2)=6,$F109-1,IF(WEEKDAY($F109,2)=7,$F109-2,$F109)),IF(Recurring!$G$11="Move After",IF(WEEKDAY($F109,2)=6,$F109+2,IF(WEEKDAY($F109,2)=7,$F109+1,$F109)),$F109)))</f>
        <v>46545</v>
      </c>
      <c r="M109" s="0" t="str">
        <f aca="true">IF(AND($H109=1,$D109="Expense",$G109&gt;TODAY(),$E109&gt;=100),$G109*100000+ROW(),"")</f>
        <v/>
      </c>
      <c r="N109" s="0" t="str">
        <f aca="true">IF(AND($H109=1,$D109="Income",$G109&gt;TODAY()),$G109*100000+ROW(),"")</f>
        <v/>
      </c>
    </row>
    <row r="110" customFormat="false" ht="15" hidden="false" customHeight="true" outlineLevel="0" collapsed="false">
      <c r="A110" s="117" t="n">
        <v>7</v>
      </c>
      <c r="B110" s="117" t="n">
        <v>11</v>
      </c>
      <c r="C110" s="7" t="str">
        <f aca="false">IF(OR(Recurring!$B$11="",Recurring!$H$11&lt;&gt;"Yes",Recurring!$D$11=""),"",Recurring!$B$11)</f>
        <v>Upstart (loan)</v>
      </c>
      <c r="D110" s="7" t="str">
        <f aca="false">IF($C110="","",Recurring!$C$11)</f>
        <v>Expense</v>
      </c>
      <c r="E110" s="118" t="n">
        <f aca="false">IF($C110="","",IF(SUMIFS(Overrides!$E$9:$E$108,Overrides!$B$9:$B$108,$C110,Overrides!$C$9:$C$108,$L110)&gt;0,SUMIFS(Overrides!$E$9:$E$108,Overrides!$B$9:$B$108,$C110,Overrides!$C$9:$C$108,$L110),Recurring!$D$11))</f>
        <v>500</v>
      </c>
      <c r="F110" s="119" t="n">
        <f aca="false">IF($C110="","",IF(Recurring!$E$11="Weekly",Recurring!$F$11+7*10,IF(Recurring!$E$11="Every 2 Weeks",Recurring!$F$11+14*10,IF(Recurring!$E$11="Monthly",EDATE(Recurring!$F$11,10),IF(Recurring!$E$11="Twice a Month",IF(MOD((IF(DAY(Recurring!$F$11)&lt;=20,0,1)+10),2)=1,EOMONTH(Recurring!$F$11,INT((IF(DAY(Recurring!$F$11)&lt;=20,0,1)+10)/2)),DATE(YEAR(EDATE(Recurring!$F$11,INT((IF(DAY(Recurring!$F$11)&lt;=20,0,1)+10)/2))),MONTH(EDATE(Recurring!$F$11,INT((IF(DAY(Recurring!$F$11)&lt;=20,0,1)+10)/2))),15)),IF(Recurring!$E$11="One Time",IF(11=1,Recurring!$F$11,""),""))))))</f>
        <v>46575</v>
      </c>
      <c r="G110" s="119" t="n">
        <f aca="false">IF($L110="","",IF(SUMIFS(Overrides!$D$9:$D$108,Overrides!$B$9:$B$108,$C110,Overrides!$C$9:$C$108,$L110)&gt;0,SUMIFS(Overrides!$D$9:$D$108,Overrides!$B$9:$B$108,$C110,Overrides!$C$9:$C$108,$L110),$L110))</f>
        <v>46575</v>
      </c>
      <c r="H110" s="120" t="n">
        <f aca="false">IF($G110="",0,IF(AND($G110&gt;='Cash Flow'!$E$6,$G110&lt;'Cash Flow'!$E$6+91),1,0))</f>
        <v>0</v>
      </c>
      <c r="I110" s="120" t="str">
        <f aca="false">IF($H110=1,MAX(1,INT(($G110-'Cash Flow'!$E$6)/7)+1),"")</f>
        <v/>
      </c>
      <c r="J110" s="7" t="str">
        <f aca="false">IF($H110=1,$G110*10000+ROW(),"")</f>
        <v/>
      </c>
      <c r="K110" s="7" t="str">
        <f aca="false">IF($H110=1,$I110*1000+COUNTIFS($I$4:$I$483,$I110,$J$4:$J$483,"&lt;"&amp;$J110)+1,"")</f>
        <v/>
      </c>
      <c r="L110" s="121" t="n">
        <f aca="false">IF($F110="","",IF(Recurring!$G$11="Move Before",IF(WEEKDAY($F110,2)=6,$F110-1,IF(WEEKDAY($F110,2)=7,$F110-2,$F110)),IF(Recurring!$G$11="Move After",IF(WEEKDAY($F110,2)=6,$F110+2,IF(WEEKDAY($F110,2)=7,$F110+1,$F110)),$F110)))</f>
        <v>46575</v>
      </c>
      <c r="M110" s="0" t="str">
        <f aca="true">IF(AND($H110=1,$D110="Expense",$G110&gt;TODAY(),$E110&gt;=100),$G110*100000+ROW(),"")</f>
        <v/>
      </c>
      <c r="N110" s="0" t="str">
        <f aca="true">IF(AND($H110=1,$D110="Income",$G110&gt;TODAY()),$G110*100000+ROW(),"")</f>
        <v/>
      </c>
    </row>
    <row r="111" customFormat="false" ht="15" hidden="false" customHeight="true" outlineLevel="0" collapsed="false">
      <c r="A111" s="117" t="n">
        <v>7</v>
      </c>
      <c r="B111" s="117" t="n">
        <v>12</v>
      </c>
      <c r="C111" s="7" t="str">
        <f aca="false">IF(OR(Recurring!$B$11="",Recurring!$H$11&lt;&gt;"Yes",Recurring!$D$11=""),"",Recurring!$B$11)</f>
        <v>Upstart (loan)</v>
      </c>
      <c r="D111" s="7" t="str">
        <f aca="false">IF($C111="","",Recurring!$C$11)</f>
        <v>Expense</v>
      </c>
      <c r="E111" s="118" t="n">
        <f aca="false">IF($C111="","",IF(SUMIFS(Overrides!$E$9:$E$108,Overrides!$B$9:$B$108,$C111,Overrides!$C$9:$C$108,$L111)&gt;0,SUMIFS(Overrides!$E$9:$E$108,Overrides!$B$9:$B$108,$C111,Overrides!$C$9:$C$108,$L111),Recurring!$D$11))</f>
        <v>500</v>
      </c>
      <c r="F111" s="119" t="n">
        <f aca="false">IF($C111="","",IF(Recurring!$E$11="Weekly",Recurring!$F$11+7*11,IF(Recurring!$E$11="Every 2 Weeks",Recurring!$F$11+14*11,IF(Recurring!$E$11="Monthly",EDATE(Recurring!$F$11,11),IF(Recurring!$E$11="Twice a Month",IF(MOD((IF(DAY(Recurring!$F$11)&lt;=20,0,1)+11),2)=1,EOMONTH(Recurring!$F$11,INT((IF(DAY(Recurring!$F$11)&lt;=20,0,1)+11)/2)),DATE(YEAR(EDATE(Recurring!$F$11,INT((IF(DAY(Recurring!$F$11)&lt;=20,0,1)+11)/2))),MONTH(EDATE(Recurring!$F$11,INT((IF(DAY(Recurring!$F$11)&lt;=20,0,1)+11)/2))),15)),IF(Recurring!$E$11="One Time",IF(12=1,Recurring!$F$11,""),""))))))</f>
        <v>46606</v>
      </c>
      <c r="G111" s="119" t="n">
        <f aca="false">IF($L111="","",IF(SUMIFS(Overrides!$D$9:$D$108,Overrides!$B$9:$B$108,$C111,Overrides!$C$9:$C$108,$L111)&gt;0,SUMIFS(Overrides!$D$9:$D$108,Overrides!$B$9:$B$108,$C111,Overrides!$C$9:$C$108,$L111),$L111))</f>
        <v>46606</v>
      </c>
      <c r="H111" s="120" t="n">
        <f aca="false">IF($G111="",0,IF(AND($G111&gt;='Cash Flow'!$E$6,$G111&lt;'Cash Flow'!$E$6+91),1,0))</f>
        <v>0</v>
      </c>
      <c r="I111" s="120" t="str">
        <f aca="false">IF($H111=1,MAX(1,INT(($G111-'Cash Flow'!$E$6)/7)+1),"")</f>
        <v/>
      </c>
      <c r="J111" s="7" t="str">
        <f aca="false">IF($H111=1,$G111*10000+ROW(),"")</f>
        <v/>
      </c>
      <c r="K111" s="7" t="str">
        <f aca="false">IF($H111=1,$I111*1000+COUNTIFS($I$4:$I$483,$I111,$J$4:$J$483,"&lt;"&amp;$J111)+1,"")</f>
        <v/>
      </c>
      <c r="L111" s="121" t="n">
        <f aca="false">IF($F111="","",IF(Recurring!$G$11="Move Before",IF(WEEKDAY($F111,2)=6,$F111-1,IF(WEEKDAY($F111,2)=7,$F111-2,$F111)),IF(Recurring!$G$11="Move After",IF(WEEKDAY($F111,2)=6,$F111+2,IF(WEEKDAY($F111,2)=7,$F111+1,$F111)),$F111)))</f>
        <v>46606</v>
      </c>
      <c r="M111" s="0" t="str">
        <f aca="true">IF(AND($H111=1,$D111="Expense",$G111&gt;TODAY(),$E111&gt;=100),$G111*100000+ROW(),"")</f>
        <v/>
      </c>
      <c r="N111" s="0" t="str">
        <f aca="true">IF(AND($H111=1,$D111="Income",$G111&gt;TODAY()),$G111*100000+ROW(),"")</f>
        <v/>
      </c>
    </row>
    <row r="112" customFormat="false" ht="15" hidden="false" customHeight="true" outlineLevel="0" collapsed="false">
      <c r="A112" s="117" t="n">
        <v>7</v>
      </c>
      <c r="B112" s="117" t="n">
        <v>13</v>
      </c>
      <c r="C112" s="7" t="str">
        <f aca="false">IF(OR(Recurring!$B$11="",Recurring!$H$11&lt;&gt;"Yes",Recurring!$D$11=""),"",Recurring!$B$11)</f>
        <v>Upstart (loan)</v>
      </c>
      <c r="D112" s="7" t="str">
        <f aca="false">IF($C112="","",Recurring!$C$11)</f>
        <v>Expense</v>
      </c>
      <c r="E112" s="118" t="n">
        <f aca="false">IF($C112="","",IF(SUMIFS(Overrides!$E$9:$E$108,Overrides!$B$9:$B$108,$C112,Overrides!$C$9:$C$108,$L112)&gt;0,SUMIFS(Overrides!$E$9:$E$108,Overrides!$B$9:$B$108,$C112,Overrides!$C$9:$C$108,$L112),Recurring!$D$11))</f>
        <v>500</v>
      </c>
      <c r="F112" s="119" t="n">
        <f aca="false">IF($C112="","",IF(Recurring!$E$11="Weekly",Recurring!$F$11+7*12,IF(Recurring!$E$11="Every 2 Weeks",Recurring!$F$11+14*12,IF(Recurring!$E$11="Monthly",EDATE(Recurring!$F$11,12),IF(Recurring!$E$11="Twice a Month",IF(MOD((IF(DAY(Recurring!$F$11)&lt;=20,0,1)+12),2)=1,EOMONTH(Recurring!$F$11,INT((IF(DAY(Recurring!$F$11)&lt;=20,0,1)+12)/2)),DATE(YEAR(EDATE(Recurring!$F$11,INT((IF(DAY(Recurring!$F$11)&lt;=20,0,1)+12)/2))),MONTH(EDATE(Recurring!$F$11,INT((IF(DAY(Recurring!$F$11)&lt;=20,0,1)+12)/2))),15)),IF(Recurring!$E$11="One Time",IF(13=1,Recurring!$F$11,""),""))))))</f>
        <v>46637</v>
      </c>
      <c r="G112" s="119" t="n">
        <f aca="false">IF($L112="","",IF(SUMIFS(Overrides!$D$9:$D$108,Overrides!$B$9:$B$108,$C112,Overrides!$C$9:$C$108,$L112)&gt;0,SUMIFS(Overrides!$D$9:$D$108,Overrides!$B$9:$B$108,$C112,Overrides!$C$9:$C$108,$L112),$L112))</f>
        <v>46637</v>
      </c>
      <c r="H112" s="120" t="n">
        <f aca="false">IF($G112="",0,IF(AND($G112&gt;='Cash Flow'!$E$6,$G112&lt;'Cash Flow'!$E$6+91),1,0))</f>
        <v>0</v>
      </c>
      <c r="I112" s="120" t="str">
        <f aca="false">IF($H112=1,MAX(1,INT(($G112-'Cash Flow'!$E$6)/7)+1),"")</f>
        <v/>
      </c>
      <c r="J112" s="7" t="str">
        <f aca="false">IF($H112=1,$G112*10000+ROW(),"")</f>
        <v/>
      </c>
      <c r="K112" s="7" t="str">
        <f aca="false">IF($H112=1,$I112*1000+COUNTIFS($I$4:$I$483,$I112,$J$4:$J$483,"&lt;"&amp;$J112)+1,"")</f>
        <v/>
      </c>
      <c r="L112" s="121" t="n">
        <f aca="false">IF($F112="","",IF(Recurring!$G$11="Move Before",IF(WEEKDAY($F112,2)=6,$F112-1,IF(WEEKDAY($F112,2)=7,$F112-2,$F112)),IF(Recurring!$G$11="Move After",IF(WEEKDAY($F112,2)=6,$F112+2,IF(WEEKDAY($F112,2)=7,$F112+1,$F112)),$F112)))</f>
        <v>46637</v>
      </c>
      <c r="M112" s="0" t="str">
        <f aca="true">IF(AND($H112=1,$D112="Expense",$G112&gt;TODAY(),$E112&gt;=100),$G112*100000+ROW(),"")</f>
        <v/>
      </c>
      <c r="N112" s="0" t="str">
        <f aca="true">IF(AND($H112=1,$D112="Income",$G112&gt;TODAY()),$G112*100000+ROW(),"")</f>
        <v/>
      </c>
    </row>
    <row r="113" customFormat="false" ht="15" hidden="false" customHeight="true" outlineLevel="0" collapsed="false">
      <c r="A113" s="117" t="n">
        <v>7</v>
      </c>
      <c r="B113" s="117" t="n">
        <v>14</v>
      </c>
      <c r="C113" s="7" t="str">
        <f aca="false">IF(OR(Recurring!$B$11="",Recurring!$H$11&lt;&gt;"Yes",Recurring!$D$11=""),"",Recurring!$B$11)</f>
        <v>Upstart (loan)</v>
      </c>
      <c r="D113" s="7" t="str">
        <f aca="false">IF($C113="","",Recurring!$C$11)</f>
        <v>Expense</v>
      </c>
      <c r="E113" s="118" t="n">
        <f aca="false">IF($C113="","",IF(SUMIFS(Overrides!$E$9:$E$108,Overrides!$B$9:$B$108,$C113,Overrides!$C$9:$C$108,$L113)&gt;0,SUMIFS(Overrides!$E$9:$E$108,Overrides!$B$9:$B$108,$C113,Overrides!$C$9:$C$108,$L113),Recurring!$D$11))</f>
        <v>500</v>
      </c>
      <c r="F113" s="119" t="n">
        <f aca="false">IF($C113="","",IF(Recurring!$E$11="Weekly",Recurring!$F$11+7*13,IF(Recurring!$E$11="Every 2 Weeks",Recurring!$F$11+14*13,IF(Recurring!$E$11="Monthly",EDATE(Recurring!$F$11,13),IF(Recurring!$E$11="Twice a Month",IF(MOD((IF(DAY(Recurring!$F$11)&lt;=20,0,1)+13),2)=1,EOMONTH(Recurring!$F$11,INT((IF(DAY(Recurring!$F$11)&lt;=20,0,1)+13)/2)),DATE(YEAR(EDATE(Recurring!$F$11,INT((IF(DAY(Recurring!$F$11)&lt;=20,0,1)+13)/2))),MONTH(EDATE(Recurring!$F$11,INT((IF(DAY(Recurring!$F$11)&lt;=20,0,1)+13)/2))),15)),IF(Recurring!$E$11="One Time",IF(14=1,Recurring!$F$11,""),""))))))</f>
        <v>46667</v>
      </c>
      <c r="G113" s="119" t="n">
        <f aca="false">IF($L113="","",IF(SUMIFS(Overrides!$D$9:$D$108,Overrides!$B$9:$B$108,$C113,Overrides!$C$9:$C$108,$L113)&gt;0,SUMIFS(Overrides!$D$9:$D$108,Overrides!$B$9:$B$108,$C113,Overrides!$C$9:$C$108,$L113),$L113))</f>
        <v>46667</v>
      </c>
      <c r="H113" s="120" t="n">
        <f aca="false">IF($G113="",0,IF(AND($G113&gt;='Cash Flow'!$E$6,$G113&lt;'Cash Flow'!$E$6+91),1,0))</f>
        <v>0</v>
      </c>
      <c r="I113" s="120" t="str">
        <f aca="false">IF($H113=1,MAX(1,INT(($G113-'Cash Flow'!$E$6)/7)+1),"")</f>
        <v/>
      </c>
      <c r="J113" s="7" t="str">
        <f aca="false">IF($H113=1,$G113*10000+ROW(),"")</f>
        <v/>
      </c>
      <c r="K113" s="7" t="str">
        <f aca="false">IF($H113=1,$I113*1000+COUNTIFS($I$4:$I$483,$I113,$J$4:$J$483,"&lt;"&amp;$J113)+1,"")</f>
        <v/>
      </c>
      <c r="L113" s="121" t="n">
        <f aca="false">IF($F113="","",IF(Recurring!$G$11="Move Before",IF(WEEKDAY($F113,2)=6,$F113-1,IF(WEEKDAY($F113,2)=7,$F113-2,$F113)),IF(Recurring!$G$11="Move After",IF(WEEKDAY($F113,2)=6,$F113+2,IF(WEEKDAY($F113,2)=7,$F113+1,$F113)),$F113)))</f>
        <v>46667</v>
      </c>
      <c r="M113" s="0" t="str">
        <f aca="true">IF(AND($H113=1,$D113="Expense",$G113&gt;TODAY(),$E113&gt;=100),$G113*100000+ROW(),"")</f>
        <v/>
      </c>
      <c r="N113" s="0" t="str">
        <f aca="true">IF(AND($H113=1,$D113="Income",$G113&gt;TODAY()),$G113*100000+ROW(),"")</f>
        <v/>
      </c>
    </row>
    <row r="114" customFormat="false" ht="15" hidden="false" customHeight="true" outlineLevel="0" collapsed="false">
      <c r="A114" s="117" t="n">
        <v>7</v>
      </c>
      <c r="B114" s="117" t="n">
        <v>15</v>
      </c>
      <c r="C114" s="7" t="str">
        <f aca="false">IF(OR(Recurring!$B$11="",Recurring!$H$11&lt;&gt;"Yes",Recurring!$D$11=""),"",Recurring!$B$11)</f>
        <v>Upstart (loan)</v>
      </c>
      <c r="D114" s="7" t="str">
        <f aca="false">IF($C114="","",Recurring!$C$11)</f>
        <v>Expense</v>
      </c>
      <c r="E114" s="118" t="n">
        <f aca="false">IF($C114="","",IF(SUMIFS(Overrides!$E$9:$E$108,Overrides!$B$9:$B$108,$C114,Overrides!$C$9:$C$108,$L114)&gt;0,SUMIFS(Overrides!$E$9:$E$108,Overrides!$B$9:$B$108,$C114,Overrides!$C$9:$C$108,$L114),Recurring!$D$11))</f>
        <v>500</v>
      </c>
      <c r="F114" s="119" t="n">
        <f aca="false">IF($C114="","",IF(Recurring!$E$11="Weekly",Recurring!$F$11+7*14,IF(Recurring!$E$11="Every 2 Weeks",Recurring!$F$11+14*14,IF(Recurring!$E$11="Monthly",EDATE(Recurring!$F$11,14),IF(Recurring!$E$11="Twice a Month",IF(MOD((IF(DAY(Recurring!$F$11)&lt;=20,0,1)+14),2)=1,EOMONTH(Recurring!$F$11,INT((IF(DAY(Recurring!$F$11)&lt;=20,0,1)+14)/2)),DATE(YEAR(EDATE(Recurring!$F$11,INT((IF(DAY(Recurring!$F$11)&lt;=20,0,1)+14)/2))),MONTH(EDATE(Recurring!$F$11,INT((IF(DAY(Recurring!$F$11)&lt;=20,0,1)+14)/2))),15)),IF(Recurring!$E$11="One Time",IF(15=1,Recurring!$F$11,""),""))))))</f>
        <v>46698</v>
      </c>
      <c r="G114" s="119" t="n">
        <f aca="false">IF($L114="","",IF(SUMIFS(Overrides!$D$9:$D$108,Overrides!$B$9:$B$108,$C114,Overrides!$C$9:$C$108,$L114)&gt;0,SUMIFS(Overrides!$D$9:$D$108,Overrides!$B$9:$B$108,$C114,Overrides!$C$9:$C$108,$L114),$L114))</f>
        <v>46698</v>
      </c>
      <c r="H114" s="120" t="n">
        <f aca="false">IF($G114="",0,IF(AND($G114&gt;='Cash Flow'!$E$6,$G114&lt;'Cash Flow'!$E$6+91),1,0))</f>
        <v>0</v>
      </c>
      <c r="I114" s="120" t="str">
        <f aca="false">IF($H114=1,MAX(1,INT(($G114-'Cash Flow'!$E$6)/7)+1),"")</f>
        <v/>
      </c>
      <c r="J114" s="7" t="str">
        <f aca="false">IF($H114=1,$G114*10000+ROW(),"")</f>
        <v/>
      </c>
      <c r="K114" s="7" t="str">
        <f aca="false">IF($H114=1,$I114*1000+COUNTIFS($I$4:$I$483,$I114,$J$4:$J$483,"&lt;"&amp;$J114)+1,"")</f>
        <v/>
      </c>
      <c r="L114" s="121" t="n">
        <f aca="false">IF($F114="","",IF(Recurring!$G$11="Move Before",IF(WEEKDAY($F114,2)=6,$F114-1,IF(WEEKDAY($F114,2)=7,$F114-2,$F114)),IF(Recurring!$G$11="Move After",IF(WEEKDAY($F114,2)=6,$F114+2,IF(WEEKDAY($F114,2)=7,$F114+1,$F114)),$F114)))</f>
        <v>46698</v>
      </c>
      <c r="M114" s="0" t="str">
        <f aca="true">IF(AND($H114=1,$D114="Expense",$G114&gt;TODAY(),$E114&gt;=100),$G114*100000+ROW(),"")</f>
        <v/>
      </c>
      <c r="N114" s="0" t="str">
        <f aca="true">IF(AND($H114=1,$D114="Income",$G114&gt;TODAY()),$G114*100000+ROW(),"")</f>
        <v/>
      </c>
    </row>
    <row r="115" customFormat="false" ht="15" hidden="false" customHeight="true" outlineLevel="0" collapsed="false">
      <c r="A115" s="117" t="n">
        <v>7</v>
      </c>
      <c r="B115" s="117" t="n">
        <v>16</v>
      </c>
      <c r="C115" s="7" t="str">
        <f aca="false">IF(OR(Recurring!$B$11="",Recurring!$H$11&lt;&gt;"Yes",Recurring!$D$11=""),"",Recurring!$B$11)</f>
        <v>Upstart (loan)</v>
      </c>
      <c r="D115" s="7" t="str">
        <f aca="false">IF($C115="","",Recurring!$C$11)</f>
        <v>Expense</v>
      </c>
      <c r="E115" s="118" t="n">
        <f aca="false">IF($C115="","",IF(SUMIFS(Overrides!$E$9:$E$108,Overrides!$B$9:$B$108,$C115,Overrides!$C$9:$C$108,$L115)&gt;0,SUMIFS(Overrides!$E$9:$E$108,Overrides!$B$9:$B$108,$C115,Overrides!$C$9:$C$108,$L115),Recurring!$D$11))</f>
        <v>500</v>
      </c>
      <c r="F115" s="119" t="n">
        <f aca="false">IF($C115="","",IF(Recurring!$E$11="Weekly",Recurring!$F$11+7*15,IF(Recurring!$E$11="Every 2 Weeks",Recurring!$F$11+14*15,IF(Recurring!$E$11="Monthly",EDATE(Recurring!$F$11,15),IF(Recurring!$E$11="Twice a Month",IF(MOD((IF(DAY(Recurring!$F$11)&lt;=20,0,1)+15),2)=1,EOMONTH(Recurring!$F$11,INT((IF(DAY(Recurring!$F$11)&lt;=20,0,1)+15)/2)),DATE(YEAR(EDATE(Recurring!$F$11,INT((IF(DAY(Recurring!$F$11)&lt;=20,0,1)+15)/2))),MONTH(EDATE(Recurring!$F$11,INT((IF(DAY(Recurring!$F$11)&lt;=20,0,1)+15)/2))),15)),IF(Recurring!$E$11="One Time",IF(16=1,Recurring!$F$11,""),""))))))</f>
        <v>46728</v>
      </c>
      <c r="G115" s="119" t="n">
        <f aca="false">IF($L115="","",IF(SUMIFS(Overrides!$D$9:$D$108,Overrides!$B$9:$B$108,$C115,Overrides!$C$9:$C$108,$L115)&gt;0,SUMIFS(Overrides!$D$9:$D$108,Overrides!$B$9:$B$108,$C115,Overrides!$C$9:$C$108,$L115),$L115))</f>
        <v>46728</v>
      </c>
      <c r="H115" s="120" t="n">
        <f aca="false">IF($G115="",0,IF(AND($G115&gt;='Cash Flow'!$E$6,$G115&lt;'Cash Flow'!$E$6+91),1,0))</f>
        <v>0</v>
      </c>
      <c r="I115" s="120" t="str">
        <f aca="false">IF($H115=1,MAX(1,INT(($G115-'Cash Flow'!$E$6)/7)+1),"")</f>
        <v/>
      </c>
      <c r="J115" s="7" t="str">
        <f aca="false">IF($H115=1,$G115*10000+ROW(),"")</f>
        <v/>
      </c>
      <c r="K115" s="7" t="str">
        <f aca="false">IF($H115=1,$I115*1000+COUNTIFS($I$4:$I$483,$I115,$J$4:$J$483,"&lt;"&amp;$J115)+1,"")</f>
        <v/>
      </c>
      <c r="L115" s="121" t="n">
        <f aca="false">IF($F115="","",IF(Recurring!$G$11="Move Before",IF(WEEKDAY($F115,2)=6,$F115-1,IF(WEEKDAY($F115,2)=7,$F115-2,$F115)),IF(Recurring!$G$11="Move After",IF(WEEKDAY($F115,2)=6,$F115+2,IF(WEEKDAY($F115,2)=7,$F115+1,$F115)),$F115)))</f>
        <v>46728</v>
      </c>
      <c r="M115" s="0" t="str">
        <f aca="true">IF(AND($H115=1,$D115="Expense",$G115&gt;TODAY(),$E115&gt;=100),$G115*100000+ROW(),"")</f>
        <v/>
      </c>
      <c r="N115" s="0" t="str">
        <f aca="true">IF(AND($H115=1,$D115="Income",$G115&gt;TODAY()),$G115*100000+ROW(),"")</f>
        <v/>
      </c>
    </row>
    <row r="116" customFormat="false" ht="15" hidden="false" customHeight="true" outlineLevel="0" collapsed="false">
      <c r="A116" s="117" t="n">
        <v>8</v>
      </c>
      <c r="B116" s="117" t="n">
        <v>1</v>
      </c>
      <c r="C116" s="7" t="str">
        <f aca="false">IF(OR(Recurring!$B$12="",Recurring!$H$12&lt;&gt;"Yes",Recurring!$D$12=""),"",Recurring!$B$12)</f>
        <v>Central Maine Power Co.</v>
      </c>
      <c r="D116" s="7" t="str">
        <f aca="false">IF($C116="","",Recurring!$C$12)</f>
        <v>Expense</v>
      </c>
      <c r="E116" s="118" t="n">
        <f aca="false">IF($C116="","",IF(SUMIFS(Overrides!$E$9:$E$108,Overrides!$B$9:$B$108,$C116,Overrides!$C$9:$C$108,$L116)&gt;0,SUMIFS(Overrides!$E$9:$E$108,Overrides!$B$9:$B$108,$C116,Overrides!$C$9:$C$108,$L116),Recurring!$D$12))</f>
        <v>183.69</v>
      </c>
      <c r="F116" s="119" t="n">
        <f aca="false">IF($C116="","",IF(Recurring!$E$12="Weekly",Recurring!$F$12+7*0,IF(Recurring!$E$12="Every 2 Weeks",Recurring!$F$12+14*0,IF(Recurring!$E$12="Monthly",EDATE(Recurring!$F$12,0),IF(Recurring!$E$12="Twice a Month",IF(MOD((IF(DAY(Recurring!$F$12)&lt;=20,0,1)+0),2)=1,EOMONTH(Recurring!$F$12,INT((IF(DAY(Recurring!$F$12)&lt;=20,0,1)+0)/2)),DATE(YEAR(EDATE(Recurring!$F$12,INT((IF(DAY(Recurring!$F$12)&lt;=20,0,1)+0)/2))),MONTH(EDATE(Recurring!$F$12,INT((IF(DAY(Recurring!$F$12)&lt;=20,0,1)+0)/2))),15)),IF(Recurring!$E$12="One Time",IF(1=1,Recurring!$F$12,""),""))))))</f>
        <v>46273</v>
      </c>
      <c r="G116" s="119" t="n">
        <f aca="false">IF($L116="","",IF(SUMIFS(Overrides!$D$9:$D$108,Overrides!$B$9:$B$108,$C116,Overrides!$C$9:$C$108,$L116)&gt;0,SUMIFS(Overrides!$D$9:$D$108,Overrides!$B$9:$B$108,$C116,Overrides!$C$9:$C$108,$L116),$L116))</f>
        <v>46273</v>
      </c>
      <c r="H116" s="120" t="n">
        <f aca="false">IF($G116="",0,IF(AND($G116&gt;='Cash Flow'!$E$6-90,$G116&lt;'Cash Flow'!$E$6+91),1,0))</f>
        <v>1</v>
      </c>
      <c r="I116" s="120" t="n">
        <f aca="false">IF($H116=1,MAX(1,INT(($G116-'Cash Flow'!$E$6)/7)+1),"")</f>
        <v>4</v>
      </c>
      <c r="J116" s="7" t="n">
        <f aca="false">IF($H116=1,$G116*10000+ROW(),"")</f>
        <v>462730116</v>
      </c>
      <c r="K116" s="7" t="n">
        <f aca="false">IF($H116=1,$I116*1000+COUNTIFS($I$4:$I$483,$I116,$J$4:$J$483,"&lt;"&amp;$J116)+1,"")</f>
        <v>4005</v>
      </c>
      <c r="L116" s="121" t="n">
        <f aca="false">IF($F116="","",IF(Recurring!$G$12="Move Before",IF(WEEKDAY($F116,2)=6,$F116-1,IF(WEEKDAY($F116,2)=7,$F116-2,$F116)),IF(Recurring!$G$12="Move After",IF(WEEKDAY($F116,2)=6,$F116+2,IF(WEEKDAY($F116,2)=7,$F116+1,$F116)),$F116)))</f>
        <v>46273</v>
      </c>
      <c r="M116" s="122" t="n">
        <f aca="true">IF(AND($H116=1,$D116="Expense",$G116&gt;TODAY(),$E116&gt;=100),$G116*100000+ROW(),"")</f>
        <v>4627300116</v>
      </c>
      <c r="N116" s="0" t="str">
        <f aca="true">IF(AND($H116=1,$D116="Income",$G116&gt;TODAY()),$G116*100000+ROW(),"")</f>
        <v/>
      </c>
    </row>
    <row r="117" customFormat="false" ht="15" hidden="false" customHeight="true" outlineLevel="0" collapsed="false">
      <c r="A117" s="117" t="n">
        <v>8</v>
      </c>
      <c r="B117" s="117" t="n">
        <v>2</v>
      </c>
      <c r="C117" s="7" t="str">
        <f aca="false">IF(OR(Recurring!$B$12="",Recurring!$H$12&lt;&gt;"Yes",Recurring!$D$12=""),"",Recurring!$B$12)</f>
        <v>Central Maine Power Co.</v>
      </c>
      <c r="D117" s="7" t="str">
        <f aca="false">IF($C117="","",Recurring!$C$12)</f>
        <v>Expense</v>
      </c>
      <c r="E117" s="118" t="n">
        <f aca="false">IF($C117="","",IF(SUMIFS(Overrides!$E$9:$E$108,Overrides!$B$9:$B$108,$C117,Overrides!$C$9:$C$108,$L117)&gt;0,SUMIFS(Overrides!$E$9:$E$108,Overrides!$B$9:$B$108,$C117,Overrides!$C$9:$C$108,$L117),Recurring!$D$12))</f>
        <v>163.5</v>
      </c>
      <c r="F117" s="119" t="n">
        <f aca="false">IF($C117="","",IF(Recurring!$E$12="Weekly",Recurring!$F$12+7*1,IF(Recurring!$E$12="Every 2 Weeks",Recurring!$F$12+14*1,IF(Recurring!$E$12="Monthly",EDATE(Recurring!$F$12,1),IF(Recurring!$E$12="Twice a Month",IF(MOD((IF(DAY(Recurring!$F$12)&lt;=20,0,1)+1),2)=1,EOMONTH(Recurring!$F$12,INT((IF(DAY(Recurring!$F$12)&lt;=20,0,1)+1)/2)),DATE(YEAR(EDATE(Recurring!$F$12,INT((IF(DAY(Recurring!$F$12)&lt;=20,0,1)+1)/2))),MONTH(EDATE(Recurring!$F$12,INT((IF(DAY(Recurring!$F$12)&lt;=20,0,1)+1)/2))),15)),IF(Recurring!$E$12="One Time",IF(2=1,Recurring!$F$12,""),""))))))</f>
        <v>46303</v>
      </c>
      <c r="G117" s="119" t="n">
        <f aca="false">IF($L117="","",IF(SUMIFS(Overrides!$D$9:$D$108,Overrides!$B$9:$B$108,$C117,Overrides!$C$9:$C$108,$L117)&gt;0,SUMIFS(Overrides!$D$9:$D$108,Overrides!$B$9:$B$108,$C117,Overrides!$C$9:$C$108,$L117),$L117))</f>
        <v>46303</v>
      </c>
      <c r="H117" s="120" t="n">
        <f aca="false">IF($G117="",0,IF(AND($G117&gt;='Cash Flow'!$E$6,$G117&lt;'Cash Flow'!$E$6+91),1,0))</f>
        <v>1</v>
      </c>
      <c r="I117" s="120" t="n">
        <f aca="false">IF($H117=1,MAX(1,INT(($G117-'Cash Flow'!$E$6)/7)+1),"")</f>
        <v>8</v>
      </c>
      <c r="J117" s="7" t="n">
        <f aca="false">IF($H117=1,$G117*10000+ROW(),"")</f>
        <v>463030117</v>
      </c>
      <c r="K117" s="7" t="n">
        <f aca="false">IF($H117=1,$I117*1000+COUNTIFS($I$4:$I$483,$I117,$J$4:$J$483,"&lt;"&amp;$J117)+1,"")</f>
        <v>8007</v>
      </c>
      <c r="L117" s="121" t="n">
        <f aca="false">IF($F117="","",IF(Recurring!$G$12="Move Before",IF(WEEKDAY($F117,2)=6,$F117-1,IF(WEEKDAY($F117,2)=7,$F117-2,$F117)),IF(Recurring!$G$12="Move After",IF(WEEKDAY($F117,2)=6,$F117+2,IF(WEEKDAY($F117,2)=7,$F117+1,$F117)),$F117)))</f>
        <v>46303</v>
      </c>
      <c r="M117" s="122" t="n">
        <f aca="true">IF(AND($H117=1,$D117="Expense",$G117&gt;TODAY(),$E117&gt;=100),$G117*100000+ROW(),"")</f>
        <v>4630300117</v>
      </c>
      <c r="N117" s="0" t="str">
        <f aca="true">IF(AND($H117=1,$D117="Income",$G117&gt;TODAY()),$G117*100000+ROW(),"")</f>
        <v/>
      </c>
    </row>
    <row r="118" customFormat="false" ht="15" hidden="false" customHeight="true" outlineLevel="0" collapsed="false">
      <c r="A118" s="117" t="n">
        <v>8</v>
      </c>
      <c r="B118" s="117" t="n">
        <v>3</v>
      </c>
      <c r="C118" s="7" t="str">
        <f aca="false">IF(OR(Recurring!$B$12="",Recurring!$H$12&lt;&gt;"Yes",Recurring!$D$12=""),"",Recurring!$B$12)</f>
        <v>Central Maine Power Co.</v>
      </c>
      <c r="D118" s="7" t="str">
        <f aca="false">IF($C118="","",Recurring!$C$12)</f>
        <v>Expense</v>
      </c>
      <c r="E118" s="118" t="n">
        <f aca="false">IF($C118="","",IF(SUMIFS(Overrides!$E$9:$E$108,Overrides!$B$9:$B$108,$C118,Overrides!$C$9:$C$108,$L118)&gt;0,SUMIFS(Overrides!$E$9:$E$108,Overrides!$B$9:$B$108,$C118,Overrides!$C$9:$C$108,$L118),Recurring!$D$12))</f>
        <v>163.5</v>
      </c>
      <c r="F118" s="119" t="n">
        <f aca="false">IF($C118="","",IF(Recurring!$E$12="Weekly",Recurring!$F$12+7*2,IF(Recurring!$E$12="Every 2 Weeks",Recurring!$F$12+14*2,IF(Recurring!$E$12="Monthly",EDATE(Recurring!$F$12,2),IF(Recurring!$E$12="Twice a Month",IF(MOD((IF(DAY(Recurring!$F$12)&lt;=20,0,1)+2),2)=1,EOMONTH(Recurring!$F$12,INT((IF(DAY(Recurring!$F$12)&lt;=20,0,1)+2)/2)),DATE(YEAR(EDATE(Recurring!$F$12,INT((IF(DAY(Recurring!$F$12)&lt;=20,0,1)+2)/2))),MONTH(EDATE(Recurring!$F$12,INT((IF(DAY(Recurring!$F$12)&lt;=20,0,1)+2)/2))),15)),IF(Recurring!$E$12="One Time",IF(3=1,Recurring!$F$12,""),""))))))</f>
        <v>46334</v>
      </c>
      <c r="G118" s="119" t="n">
        <f aca="false">IF($L118="","",IF(SUMIFS(Overrides!$D$9:$D$108,Overrides!$B$9:$B$108,$C118,Overrides!$C$9:$C$108,$L118)&gt;0,SUMIFS(Overrides!$D$9:$D$108,Overrides!$B$9:$B$108,$C118,Overrides!$C$9:$C$108,$L118),$L118))</f>
        <v>46334</v>
      </c>
      <c r="H118" s="120" t="n">
        <f aca="false">IF($G118="",0,IF(AND($G118&gt;='Cash Flow'!$E$6,$G118&lt;'Cash Flow'!$E$6+91),1,0))</f>
        <v>1</v>
      </c>
      <c r="I118" s="120" t="n">
        <f aca="false">IF($H118=1,MAX(1,INT(($G118-'Cash Flow'!$E$6)/7)+1),"")</f>
        <v>13</v>
      </c>
      <c r="J118" s="7" t="n">
        <f aca="false">IF($H118=1,$G118*10000+ROW(),"")</f>
        <v>463340118</v>
      </c>
      <c r="K118" s="7" t="n">
        <f aca="false">IF($H118=1,$I118*1000+COUNTIFS($I$4:$I$483,$I118,$J$4:$J$483,"&lt;"&amp;$J118)+1,"")</f>
        <v>13003</v>
      </c>
      <c r="L118" s="121" t="n">
        <f aca="false">IF($F118="","",IF(Recurring!$G$12="Move Before",IF(WEEKDAY($F118,2)=6,$F118-1,IF(WEEKDAY($F118,2)=7,$F118-2,$F118)),IF(Recurring!$G$12="Move After",IF(WEEKDAY($F118,2)=6,$F118+2,IF(WEEKDAY($F118,2)=7,$F118+1,$F118)),$F118)))</f>
        <v>46334</v>
      </c>
      <c r="M118" s="122" t="n">
        <f aca="true">IF(AND($H118=1,$D118="Expense",$G118&gt;TODAY(),$E118&gt;=100),$G118*100000+ROW(),"")</f>
        <v>4633400118</v>
      </c>
      <c r="N118" s="0" t="str">
        <f aca="true">IF(AND($H118=1,$D118="Income",$G118&gt;TODAY()),$G118*100000+ROW(),"")</f>
        <v/>
      </c>
    </row>
    <row r="119" customFormat="false" ht="15" hidden="false" customHeight="true" outlineLevel="0" collapsed="false">
      <c r="A119" s="117" t="n">
        <v>8</v>
      </c>
      <c r="B119" s="117" t="n">
        <v>4</v>
      </c>
      <c r="C119" s="7" t="str">
        <f aca="false">IF(OR(Recurring!$B$12="",Recurring!$H$12&lt;&gt;"Yes",Recurring!$D$12=""),"",Recurring!$B$12)</f>
        <v>Central Maine Power Co.</v>
      </c>
      <c r="D119" s="7" t="str">
        <f aca="false">IF($C119="","",Recurring!$C$12)</f>
        <v>Expense</v>
      </c>
      <c r="E119" s="118" t="n">
        <f aca="false">IF($C119="","",IF(SUMIFS(Overrides!$E$9:$E$108,Overrides!$B$9:$B$108,$C119,Overrides!$C$9:$C$108,$L119)&gt;0,SUMIFS(Overrides!$E$9:$E$108,Overrides!$B$9:$B$108,$C119,Overrides!$C$9:$C$108,$L119),Recurring!$D$12))</f>
        <v>163.5</v>
      </c>
      <c r="F119" s="119" t="n">
        <f aca="false">IF($C119="","",IF(Recurring!$E$12="Weekly",Recurring!$F$12+7*3,IF(Recurring!$E$12="Every 2 Weeks",Recurring!$F$12+14*3,IF(Recurring!$E$12="Monthly",EDATE(Recurring!$F$12,3),IF(Recurring!$E$12="Twice a Month",IF(MOD((IF(DAY(Recurring!$F$12)&lt;=20,0,1)+3),2)=1,EOMONTH(Recurring!$F$12,INT((IF(DAY(Recurring!$F$12)&lt;=20,0,1)+3)/2)),DATE(YEAR(EDATE(Recurring!$F$12,INT((IF(DAY(Recurring!$F$12)&lt;=20,0,1)+3)/2))),MONTH(EDATE(Recurring!$F$12,INT((IF(DAY(Recurring!$F$12)&lt;=20,0,1)+3)/2))),15)),IF(Recurring!$E$12="One Time",IF(4=1,Recurring!$F$12,""),""))))))</f>
        <v>46364</v>
      </c>
      <c r="G119" s="119" t="n">
        <f aca="false">IF($L119="","",IF(SUMIFS(Overrides!$D$9:$D$108,Overrides!$B$9:$B$108,$C119,Overrides!$C$9:$C$108,$L119)&gt;0,SUMIFS(Overrides!$D$9:$D$108,Overrides!$B$9:$B$108,$C119,Overrides!$C$9:$C$108,$L119),$L119))</f>
        <v>46364</v>
      </c>
      <c r="H119" s="120" t="n">
        <f aca="false">IF($G119="",0,IF(AND($G119&gt;='Cash Flow'!$E$6,$G119&lt;'Cash Flow'!$E$6+91),1,0))</f>
        <v>0</v>
      </c>
      <c r="I119" s="120" t="str">
        <f aca="false">IF($H119=1,MAX(1,INT(($G119-'Cash Flow'!$E$6)/7)+1),"")</f>
        <v/>
      </c>
      <c r="J119" s="7" t="str">
        <f aca="false">IF($H119=1,$G119*10000+ROW(),"")</f>
        <v/>
      </c>
      <c r="K119" s="7" t="str">
        <f aca="false">IF($H119=1,$I119*1000+COUNTIFS($I$4:$I$483,$I119,$J$4:$J$483,"&lt;"&amp;$J119)+1,"")</f>
        <v/>
      </c>
      <c r="L119" s="121" t="n">
        <f aca="false">IF($F119="","",IF(Recurring!$G$12="Move Before",IF(WEEKDAY($F119,2)=6,$F119-1,IF(WEEKDAY($F119,2)=7,$F119-2,$F119)),IF(Recurring!$G$12="Move After",IF(WEEKDAY($F119,2)=6,$F119+2,IF(WEEKDAY($F119,2)=7,$F119+1,$F119)),$F119)))</f>
        <v>46364</v>
      </c>
      <c r="M119" s="0" t="str">
        <f aca="true">IF(AND($H119=1,$D119="Expense",$G119&gt;TODAY(),$E119&gt;=100),$G119*100000+ROW(),"")</f>
        <v/>
      </c>
      <c r="N119" s="0" t="str">
        <f aca="true">IF(AND($H119=1,$D119="Income",$G119&gt;TODAY()),$G119*100000+ROW(),"")</f>
        <v/>
      </c>
    </row>
    <row r="120" customFormat="false" ht="15" hidden="false" customHeight="true" outlineLevel="0" collapsed="false">
      <c r="A120" s="117" t="n">
        <v>8</v>
      </c>
      <c r="B120" s="117" t="n">
        <v>5</v>
      </c>
      <c r="C120" s="7" t="str">
        <f aca="false">IF(OR(Recurring!$B$12="",Recurring!$H$12&lt;&gt;"Yes",Recurring!$D$12=""),"",Recurring!$B$12)</f>
        <v>Central Maine Power Co.</v>
      </c>
      <c r="D120" s="7" t="str">
        <f aca="false">IF($C120="","",Recurring!$C$12)</f>
        <v>Expense</v>
      </c>
      <c r="E120" s="118" t="n">
        <f aca="false">IF($C120="","",IF(SUMIFS(Overrides!$E$9:$E$108,Overrides!$B$9:$B$108,$C120,Overrides!$C$9:$C$108,$L120)&gt;0,SUMIFS(Overrides!$E$9:$E$108,Overrides!$B$9:$B$108,$C120,Overrides!$C$9:$C$108,$L120),Recurring!$D$12))</f>
        <v>163.5</v>
      </c>
      <c r="F120" s="119" t="n">
        <f aca="false">IF($C120="","",IF(Recurring!$E$12="Weekly",Recurring!$F$12+7*4,IF(Recurring!$E$12="Every 2 Weeks",Recurring!$F$12+14*4,IF(Recurring!$E$12="Monthly",EDATE(Recurring!$F$12,4),IF(Recurring!$E$12="Twice a Month",IF(MOD((IF(DAY(Recurring!$F$12)&lt;=20,0,1)+4),2)=1,EOMONTH(Recurring!$F$12,INT((IF(DAY(Recurring!$F$12)&lt;=20,0,1)+4)/2)),DATE(YEAR(EDATE(Recurring!$F$12,INT((IF(DAY(Recurring!$F$12)&lt;=20,0,1)+4)/2))),MONTH(EDATE(Recurring!$F$12,INT((IF(DAY(Recurring!$F$12)&lt;=20,0,1)+4)/2))),15)),IF(Recurring!$E$12="One Time",IF(5=1,Recurring!$F$12,""),""))))))</f>
        <v>46395</v>
      </c>
      <c r="G120" s="119" t="n">
        <f aca="false">IF($L120="","",IF(SUMIFS(Overrides!$D$9:$D$108,Overrides!$B$9:$B$108,$C120,Overrides!$C$9:$C$108,$L120)&gt;0,SUMIFS(Overrides!$D$9:$D$108,Overrides!$B$9:$B$108,$C120,Overrides!$C$9:$C$108,$L120),$L120))</f>
        <v>46395</v>
      </c>
      <c r="H120" s="120" t="n">
        <f aca="false">IF($G120="",0,IF(AND($G120&gt;='Cash Flow'!$E$6,$G120&lt;'Cash Flow'!$E$6+91),1,0))</f>
        <v>0</v>
      </c>
      <c r="I120" s="120" t="str">
        <f aca="false">IF($H120=1,MAX(1,INT(($G120-'Cash Flow'!$E$6)/7)+1),"")</f>
        <v/>
      </c>
      <c r="J120" s="7" t="str">
        <f aca="false">IF($H120=1,$G120*10000+ROW(),"")</f>
        <v/>
      </c>
      <c r="K120" s="7" t="str">
        <f aca="false">IF($H120=1,$I120*1000+COUNTIFS($I$4:$I$483,$I120,$J$4:$J$483,"&lt;"&amp;$J120)+1,"")</f>
        <v/>
      </c>
      <c r="L120" s="121" t="n">
        <f aca="false">IF($F120="","",IF(Recurring!$G$12="Move Before",IF(WEEKDAY($F120,2)=6,$F120-1,IF(WEEKDAY($F120,2)=7,$F120-2,$F120)),IF(Recurring!$G$12="Move After",IF(WEEKDAY($F120,2)=6,$F120+2,IF(WEEKDAY($F120,2)=7,$F120+1,$F120)),$F120)))</f>
        <v>46395</v>
      </c>
      <c r="M120" s="0" t="str">
        <f aca="true">IF(AND($H120=1,$D120="Expense",$G120&gt;TODAY(),$E120&gt;=100),$G120*100000+ROW(),"")</f>
        <v/>
      </c>
      <c r="N120" s="0" t="str">
        <f aca="true">IF(AND($H120=1,$D120="Income",$G120&gt;TODAY()),$G120*100000+ROW(),"")</f>
        <v/>
      </c>
    </row>
    <row r="121" customFormat="false" ht="15" hidden="false" customHeight="true" outlineLevel="0" collapsed="false">
      <c r="A121" s="117" t="n">
        <v>8</v>
      </c>
      <c r="B121" s="117" t="n">
        <v>6</v>
      </c>
      <c r="C121" s="7" t="str">
        <f aca="false">IF(OR(Recurring!$B$12="",Recurring!$H$12&lt;&gt;"Yes",Recurring!$D$12=""),"",Recurring!$B$12)</f>
        <v>Central Maine Power Co.</v>
      </c>
      <c r="D121" s="7" t="str">
        <f aca="false">IF($C121="","",Recurring!$C$12)</f>
        <v>Expense</v>
      </c>
      <c r="E121" s="118" t="n">
        <f aca="false">IF($C121="","",IF(SUMIFS(Overrides!$E$9:$E$108,Overrides!$B$9:$B$108,$C121,Overrides!$C$9:$C$108,$L121)&gt;0,SUMIFS(Overrides!$E$9:$E$108,Overrides!$B$9:$B$108,$C121,Overrides!$C$9:$C$108,$L121),Recurring!$D$12))</f>
        <v>163.5</v>
      </c>
      <c r="F121" s="119" t="n">
        <f aca="false">IF($C121="","",IF(Recurring!$E$12="Weekly",Recurring!$F$12+7*5,IF(Recurring!$E$12="Every 2 Weeks",Recurring!$F$12+14*5,IF(Recurring!$E$12="Monthly",EDATE(Recurring!$F$12,5),IF(Recurring!$E$12="Twice a Month",IF(MOD((IF(DAY(Recurring!$F$12)&lt;=20,0,1)+5),2)=1,EOMONTH(Recurring!$F$12,INT((IF(DAY(Recurring!$F$12)&lt;=20,0,1)+5)/2)),DATE(YEAR(EDATE(Recurring!$F$12,INT((IF(DAY(Recurring!$F$12)&lt;=20,0,1)+5)/2))),MONTH(EDATE(Recurring!$F$12,INT((IF(DAY(Recurring!$F$12)&lt;=20,0,1)+5)/2))),15)),IF(Recurring!$E$12="One Time",IF(6=1,Recurring!$F$12,""),""))))))</f>
        <v>46426</v>
      </c>
      <c r="G121" s="119" t="n">
        <f aca="false">IF($L121="","",IF(SUMIFS(Overrides!$D$9:$D$108,Overrides!$B$9:$B$108,$C121,Overrides!$C$9:$C$108,$L121)&gt;0,SUMIFS(Overrides!$D$9:$D$108,Overrides!$B$9:$B$108,$C121,Overrides!$C$9:$C$108,$L121),$L121))</f>
        <v>46426</v>
      </c>
      <c r="H121" s="120" t="n">
        <f aca="false">IF($G121="",0,IF(AND($G121&gt;='Cash Flow'!$E$6,$G121&lt;'Cash Flow'!$E$6+91),1,0))</f>
        <v>0</v>
      </c>
      <c r="I121" s="120" t="str">
        <f aca="false">IF($H121=1,MAX(1,INT(($G121-'Cash Flow'!$E$6)/7)+1),"")</f>
        <v/>
      </c>
      <c r="J121" s="7" t="str">
        <f aca="false">IF($H121=1,$G121*10000+ROW(),"")</f>
        <v/>
      </c>
      <c r="K121" s="7" t="str">
        <f aca="false">IF($H121=1,$I121*1000+COUNTIFS($I$4:$I$483,$I121,$J$4:$J$483,"&lt;"&amp;$J121)+1,"")</f>
        <v/>
      </c>
      <c r="L121" s="121" t="n">
        <f aca="false">IF($F121="","",IF(Recurring!$G$12="Move Before",IF(WEEKDAY($F121,2)=6,$F121-1,IF(WEEKDAY($F121,2)=7,$F121-2,$F121)),IF(Recurring!$G$12="Move After",IF(WEEKDAY($F121,2)=6,$F121+2,IF(WEEKDAY($F121,2)=7,$F121+1,$F121)),$F121)))</f>
        <v>46426</v>
      </c>
      <c r="M121" s="0" t="str">
        <f aca="true">IF(AND($H121=1,$D121="Expense",$G121&gt;TODAY(),$E121&gt;=100),$G121*100000+ROW(),"")</f>
        <v/>
      </c>
      <c r="N121" s="0" t="str">
        <f aca="true">IF(AND($H121=1,$D121="Income",$G121&gt;TODAY()),$G121*100000+ROW(),"")</f>
        <v/>
      </c>
    </row>
    <row r="122" customFormat="false" ht="15" hidden="false" customHeight="true" outlineLevel="0" collapsed="false">
      <c r="A122" s="117" t="n">
        <v>8</v>
      </c>
      <c r="B122" s="117" t="n">
        <v>7</v>
      </c>
      <c r="C122" s="7" t="str">
        <f aca="false">IF(OR(Recurring!$B$12="",Recurring!$H$12&lt;&gt;"Yes",Recurring!$D$12=""),"",Recurring!$B$12)</f>
        <v>Central Maine Power Co.</v>
      </c>
      <c r="D122" s="7" t="str">
        <f aca="false">IF($C122="","",Recurring!$C$12)</f>
        <v>Expense</v>
      </c>
      <c r="E122" s="118" t="n">
        <f aca="false">IF($C122="","",IF(SUMIFS(Overrides!$E$9:$E$108,Overrides!$B$9:$B$108,$C122,Overrides!$C$9:$C$108,$L122)&gt;0,SUMIFS(Overrides!$E$9:$E$108,Overrides!$B$9:$B$108,$C122,Overrides!$C$9:$C$108,$L122),Recurring!$D$12))</f>
        <v>163.5</v>
      </c>
      <c r="F122" s="119" t="n">
        <f aca="false">IF($C122="","",IF(Recurring!$E$12="Weekly",Recurring!$F$12+7*6,IF(Recurring!$E$12="Every 2 Weeks",Recurring!$F$12+14*6,IF(Recurring!$E$12="Monthly",EDATE(Recurring!$F$12,6),IF(Recurring!$E$12="Twice a Month",IF(MOD((IF(DAY(Recurring!$F$12)&lt;=20,0,1)+6),2)=1,EOMONTH(Recurring!$F$12,INT((IF(DAY(Recurring!$F$12)&lt;=20,0,1)+6)/2)),DATE(YEAR(EDATE(Recurring!$F$12,INT((IF(DAY(Recurring!$F$12)&lt;=20,0,1)+6)/2))),MONTH(EDATE(Recurring!$F$12,INT((IF(DAY(Recurring!$F$12)&lt;=20,0,1)+6)/2))),15)),IF(Recurring!$E$12="One Time",IF(7=1,Recurring!$F$12,""),""))))))</f>
        <v>46454</v>
      </c>
      <c r="G122" s="119" t="n">
        <f aca="false">IF($L122="","",IF(SUMIFS(Overrides!$D$9:$D$108,Overrides!$B$9:$B$108,$C122,Overrides!$C$9:$C$108,$L122)&gt;0,SUMIFS(Overrides!$D$9:$D$108,Overrides!$B$9:$B$108,$C122,Overrides!$C$9:$C$108,$L122),$L122))</f>
        <v>46454</v>
      </c>
      <c r="H122" s="120" t="n">
        <f aca="false">IF($G122="",0,IF(AND($G122&gt;='Cash Flow'!$E$6,$G122&lt;'Cash Flow'!$E$6+91),1,0))</f>
        <v>0</v>
      </c>
      <c r="I122" s="120" t="str">
        <f aca="false">IF($H122=1,MAX(1,INT(($G122-'Cash Flow'!$E$6)/7)+1),"")</f>
        <v/>
      </c>
      <c r="J122" s="7" t="str">
        <f aca="false">IF($H122=1,$G122*10000+ROW(),"")</f>
        <v/>
      </c>
      <c r="K122" s="7" t="str">
        <f aca="false">IF($H122=1,$I122*1000+COUNTIFS($I$4:$I$483,$I122,$J$4:$J$483,"&lt;"&amp;$J122)+1,"")</f>
        <v/>
      </c>
      <c r="L122" s="121" t="n">
        <f aca="false">IF($F122="","",IF(Recurring!$G$12="Move Before",IF(WEEKDAY($F122,2)=6,$F122-1,IF(WEEKDAY($F122,2)=7,$F122-2,$F122)),IF(Recurring!$G$12="Move After",IF(WEEKDAY($F122,2)=6,$F122+2,IF(WEEKDAY($F122,2)=7,$F122+1,$F122)),$F122)))</f>
        <v>46454</v>
      </c>
      <c r="M122" s="0" t="str">
        <f aca="true">IF(AND($H122=1,$D122="Expense",$G122&gt;TODAY(),$E122&gt;=100),$G122*100000+ROW(),"")</f>
        <v/>
      </c>
      <c r="N122" s="0" t="str">
        <f aca="true">IF(AND($H122=1,$D122="Income",$G122&gt;TODAY()),$G122*100000+ROW(),"")</f>
        <v/>
      </c>
    </row>
    <row r="123" customFormat="false" ht="15" hidden="false" customHeight="true" outlineLevel="0" collapsed="false">
      <c r="A123" s="117" t="n">
        <v>8</v>
      </c>
      <c r="B123" s="117" t="n">
        <v>8</v>
      </c>
      <c r="C123" s="7" t="str">
        <f aca="false">IF(OR(Recurring!$B$12="",Recurring!$H$12&lt;&gt;"Yes",Recurring!$D$12=""),"",Recurring!$B$12)</f>
        <v>Central Maine Power Co.</v>
      </c>
      <c r="D123" s="7" t="str">
        <f aca="false">IF($C123="","",Recurring!$C$12)</f>
        <v>Expense</v>
      </c>
      <c r="E123" s="118" t="n">
        <f aca="false">IF($C123="","",IF(SUMIFS(Overrides!$E$9:$E$108,Overrides!$B$9:$B$108,$C123,Overrides!$C$9:$C$108,$L123)&gt;0,SUMIFS(Overrides!$E$9:$E$108,Overrides!$B$9:$B$108,$C123,Overrides!$C$9:$C$108,$L123),Recurring!$D$12))</f>
        <v>163.5</v>
      </c>
      <c r="F123" s="119" t="n">
        <f aca="false">IF($C123="","",IF(Recurring!$E$12="Weekly",Recurring!$F$12+7*7,IF(Recurring!$E$12="Every 2 Weeks",Recurring!$F$12+14*7,IF(Recurring!$E$12="Monthly",EDATE(Recurring!$F$12,7),IF(Recurring!$E$12="Twice a Month",IF(MOD((IF(DAY(Recurring!$F$12)&lt;=20,0,1)+7),2)=1,EOMONTH(Recurring!$F$12,INT((IF(DAY(Recurring!$F$12)&lt;=20,0,1)+7)/2)),DATE(YEAR(EDATE(Recurring!$F$12,INT((IF(DAY(Recurring!$F$12)&lt;=20,0,1)+7)/2))),MONTH(EDATE(Recurring!$F$12,INT((IF(DAY(Recurring!$F$12)&lt;=20,0,1)+7)/2))),15)),IF(Recurring!$E$12="One Time",IF(8=1,Recurring!$F$12,""),""))))))</f>
        <v>46485</v>
      </c>
      <c r="G123" s="119" t="n">
        <f aca="false">IF($L123="","",IF(SUMIFS(Overrides!$D$9:$D$108,Overrides!$B$9:$B$108,$C123,Overrides!$C$9:$C$108,$L123)&gt;0,SUMIFS(Overrides!$D$9:$D$108,Overrides!$B$9:$B$108,$C123,Overrides!$C$9:$C$108,$L123),$L123))</f>
        <v>46485</v>
      </c>
      <c r="H123" s="120" t="n">
        <f aca="false">IF($G123="",0,IF(AND($G123&gt;='Cash Flow'!$E$6,$G123&lt;'Cash Flow'!$E$6+91),1,0))</f>
        <v>0</v>
      </c>
      <c r="I123" s="120" t="str">
        <f aca="false">IF($H123=1,MAX(1,INT(($G123-'Cash Flow'!$E$6)/7)+1),"")</f>
        <v/>
      </c>
      <c r="J123" s="7" t="str">
        <f aca="false">IF($H123=1,$G123*10000+ROW(),"")</f>
        <v/>
      </c>
      <c r="K123" s="7" t="str">
        <f aca="false">IF($H123=1,$I123*1000+COUNTIFS($I$4:$I$483,$I123,$J$4:$J$483,"&lt;"&amp;$J123)+1,"")</f>
        <v/>
      </c>
      <c r="L123" s="121" t="n">
        <f aca="false">IF($F123="","",IF(Recurring!$G$12="Move Before",IF(WEEKDAY($F123,2)=6,$F123-1,IF(WEEKDAY($F123,2)=7,$F123-2,$F123)),IF(Recurring!$G$12="Move After",IF(WEEKDAY($F123,2)=6,$F123+2,IF(WEEKDAY($F123,2)=7,$F123+1,$F123)),$F123)))</f>
        <v>46485</v>
      </c>
      <c r="M123" s="0" t="str">
        <f aca="true">IF(AND($H123=1,$D123="Expense",$G123&gt;TODAY(),$E123&gt;=100),$G123*100000+ROW(),"")</f>
        <v/>
      </c>
      <c r="N123" s="0" t="str">
        <f aca="true">IF(AND($H123=1,$D123="Income",$G123&gt;TODAY()),$G123*100000+ROW(),"")</f>
        <v/>
      </c>
    </row>
    <row r="124" customFormat="false" ht="15" hidden="false" customHeight="true" outlineLevel="0" collapsed="false">
      <c r="A124" s="117" t="n">
        <v>8</v>
      </c>
      <c r="B124" s="117" t="n">
        <v>9</v>
      </c>
      <c r="C124" s="7" t="str">
        <f aca="false">IF(OR(Recurring!$B$12="",Recurring!$H$12&lt;&gt;"Yes",Recurring!$D$12=""),"",Recurring!$B$12)</f>
        <v>Central Maine Power Co.</v>
      </c>
      <c r="D124" s="7" t="str">
        <f aca="false">IF($C124="","",Recurring!$C$12)</f>
        <v>Expense</v>
      </c>
      <c r="E124" s="118" t="n">
        <f aca="false">IF($C124="","",IF(SUMIFS(Overrides!$E$9:$E$108,Overrides!$B$9:$B$108,$C124,Overrides!$C$9:$C$108,$L124)&gt;0,SUMIFS(Overrides!$E$9:$E$108,Overrides!$B$9:$B$108,$C124,Overrides!$C$9:$C$108,$L124),Recurring!$D$12))</f>
        <v>163.5</v>
      </c>
      <c r="F124" s="119" t="n">
        <f aca="false">IF($C124="","",IF(Recurring!$E$12="Weekly",Recurring!$F$12+7*8,IF(Recurring!$E$12="Every 2 Weeks",Recurring!$F$12+14*8,IF(Recurring!$E$12="Monthly",EDATE(Recurring!$F$12,8),IF(Recurring!$E$12="Twice a Month",IF(MOD((IF(DAY(Recurring!$F$12)&lt;=20,0,1)+8),2)=1,EOMONTH(Recurring!$F$12,INT((IF(DAY(Recurring!$F$12)&lt;=20,0,1)+8)/2)),DATE(YEAR(EDATE(Recurring!$F$12,INT((IF(DAY(Recurring!$F$12)&lt;=20,0,1)+8)/2))),MONTH(EDATE(Recurring!$F$12,INT((IF(DAY(Recurring!$F$12)&lt;=20,0,1)+8)/2))),15)),IF(Recurring!$E$12="One Time",IF(9=1,Recurring!$F$12,""),""))))))</f>
        <v>46515</v>
      </c>
      <c r="G124" s="119" t="n">
        <f aca="false">IF($L124="","",IF(SUMIFS(Overrides!$D$9:$D$108,Overrides!$B$9:$B$108,$C124,Overrides!$C$9:$C$108,$L124)&gt;0,SUMIFS(Overrides!$D$9:$D$108,Overrides!$B$9:$B$108,$C124,Overrides!$C$9:$C$108,$L124),$L124))</f>
        <v>46515</v>
      </c>
      <c r="H124" s="120" t="n">
        <f aca="false">IF($G124="",0,IF(AND($G124&gt;='Cash Flow'!$E$6,$G124&lt;'Cash Flow'!$E$6+91),1,0))</f>
        <v>0</v>
      </c>
      <c r="I124" s="120" t="str">
        <f aca="false">IF($H124=1,MAX(1,INT(($G124-'Cash Flow'!$E$6)/7)+1),"")</f>
        <v/>
      </c>
      <c r="J124" s="7" t="str">
        <f aca="false">IF($H124=1,$G124*10000+ROW(),"")</f>
        <v/>
      </c>
      <c r="K124" s="7" t="str">
        <f aca="false">IF($H124=1,$I124*1000+COUNTIFS($I$4:$I$483,$I124,$J$4:$J$483,"&lt;"&amp;$J124)+1,"")</f>
        <v/>
      </c>
      <c r="L124" s="121" t="n">
        <f aca="false">IF($F124="","",IF(Recurring!$G$12="Move Before",IF(WEEKDAY($F124,2)=6,$F124-1,IF(WEEKDAY($F124,2)=7,$F124-2,$F124)),IF(Recurring!$G$12="Move After",IF(WEEKDAY($F124,2)=6,$F124+2,IF(WEEKDAY($F124,2)=7,$F124+1,$F124)),$F124)))</f>
        <v>46515</v>
      </c>
      <c r="M124" s="0" t="str">
        <f aca="true">IF(AND($H124=1,$D124="Expense",$G124&gt;TODAY(),$E124&gt;=100),$G124*100000+ROW(),"")</f>
        <v/>
      </c>
      <c r="N124" s="0" t="str">
        <f aca="true">IF(AND($H124=1,$D124="Income",$G124&gt;TODAY()),$G124*100000+ROW(),"")</f>
        <v/>
      </c>
    </row>
    <row r="125" customFormat="false" ht="15" hidden="false" customHeight="true" outlineLevel="0" collapsed="false">
      <c r="A125" s="117" t="n">
        <v>8</v>
      </c>
      <c r="B125" s="117" t="n">
        <v>10</v>
      </c>
      <c r="C125" s="7" t="str">
        <f aca="false">IF(OR(Recurring!$B$12="",Recurring!$H$12&lt;&gt;"Yes",Recurring!$D$12=""),"",Recurring!$B$12)</f>
        <v>Central Maine Power Co.</v>
      </c>
      <c r="D125" s="7" t="str">
        <f aca="false">IF($C125="","",Recurring!$C$12)</f>
        <v>Expense</v>
      </c>
      <c r="E125" s="118" t="n">
        <f aca="false">IF($C125="","",IF(SUMIFS(Overrides!$E$9:$E$108,Overrides!$B$9:$B$108,$C125,Overrides!$C$9:$C$108,$L125)&gt;0,SUMIFS(Overrides!$E$9:$E$108,Overrides!$B$9:$B$108,$C125,Overrides!$C$9:$C$108,$L125),Recurring!$D$12))</f>
        <v>163.5</v>
      </c>
      <c r="F125" s="119" t="n">
        <f aca="false">IF($C125="","",IF(Recurring!$E$12="Weekly",Recurring!$F$12+7*9,IF(Recurring!$E$12="Every 2 Weeks",Recurring!$F$12+14*9,IF(Recurring!$E$12="Monthly",EDATE(Recurring!$F$12,9),IF(Recurring!$E$12="Twice a Month",IF(MOD((IF(DAY(Recurring!$F$12)&lt;=20,0,1)+9),2)=1,EOMONTH(Recurring!$F$12,INT((IF(DAY(Recurring!$F$12)&lt;=20,0,1)+9)/2)),DATE(YEAR(EDATE(Recurring!$F$12,INT((IF(DAY(Recurring!$F$12)&lt;=20,0,1)+9)/2))),MONTH(EDATE(Recurring!$F$12,INT((IF(DAY(Recurring!$F$12)&lt;=20,0,1)+9)/2))),15)),IF(Recurring!$E$12="One Time",IF(10=1,Recurring!$F$12,""),""))))))</f>
        <v>46546</v>
      </c>
      <c r="G125" s="119" t="n">
        <f aca="false">IF($L125="","",IF(SUMIFS(Overrides!$D$9:$D$108,Overrides!$B$9:$B$108,$C125,Overrides!$C$9:$C$108,$L125)&gt;0,SUMIFS(Overrides!$D$9:$D$108,Overrides!$B$9:$B$108,$C125,Overrides!$C$9:$C$108,$L125),$L125))</f>
        <v>46546</v>
      </c>
      <c r="H125" s="120" t="n">
        <f aca="false">IF($G125="",0,IF(AND($G125&gt;='Cash Flow'!$E$6,$G125&lt;'Cash Flow'!$E$6+91),1,0))</f>
        <v>0</v>
      </c>
      <c r="I125" s="120" t="str">
        <f aca="false">IF($H125=1,MAX(1,INT(($G125-'Cash Flow'!$E$6)/7)+1),"")</f>
        <v/>
      </c>
      <c r="J125" s="7" t="str">
        <f aca="false">IF($H125=1,$G125*10000+ROW(),"")</f>
        <v/>
      </c>
      <c r="K125" s="7" t="str">
        <f aca="false">IF($H125=1,$I125*1000+COUNTIFS($I$4:$I$483,$I125,$J$4:$J$483,"&lt;"&amp;$J125)+1,"")</f>
        <v/>
      </c>
      <c r="L125" s="121" t="n">
        <f aca="false">IF($F125="","",IF(Recurring!$G$12="Move Before",IF(WEEKDAY($F125,2)=6,$F125-1,IF(WEEKDAY($F125,2)=7,$F125-2,$F125)),IF(Recurring!$G$12="Move After",IF(WEEKDAY($F125,2)=6,$F125+2,IF(WEEKDAY($F125,2)=7,$F125+1,$F125)),$F125)))</f>
        <v>46546</v>
      </c>
      <c r="M125" s="0" t="str">
        <f aca="true">IF(AND($H125=1,$D125="Expense",$G125&gt;TODAY(),$E125&gt;=100),$G125*100000+ROW(),"")</f>
        <v/>
      </c>
      <c r="N125" s="0" t="str">
        <f aca="true">IF(AND($H125=1,$D125="Income",$G125&gt;TODAY()),$G125*100000+ROW(),"")</f>
        <v/>
      </c>
    </row>
    <row r="126" customFormat="false" ht="15" hidden="false" customHeight="true" outlineLevel="0" collapsed="false">
      <c r="A126" s="117" t="n">
        <v>8</v>
      </c>
      <c r="B126" s="117" t="n">
        <v>11</v>
      </c>
      <c r="C126" s="7" t="str">
        <f aca="false">IF(OR(Recurring!$B$12="",Recurring!$H$12&lt;&gt;"Yes",Recurring!$D$12=""),"",Recurring!$B$12)</f>
        <v>Central Maine Power Co.</v>
      </c>
      <c r="D126" s="7" t="str">
        <f aca="false">IF($C126="","",Recurring!$C$12)</f>
        <v>Expense</v>
      </c>
      <c r="E126" s="118" t="n">
        <f aca="false">IF($C126="","",IF(SUMIFS(Overrides!$E$9:$E$108,Overrides!$B$9:$B$108,$C126,Overrides!$C$9:$C$108,$L126)&gt;0,SUMIFS(Overrides!$E$9:$E$108,Overrides!$B$9:$B$108,$C126,Overrides!$C$9:$C$108,$L126),Recurring!$D$12))</f>
        <v>163.5</v>
      </c>
      <c r="F126" s="119" t="n">
        <f aca="false">IF($C126="","",IF(Recurring!$E$12="Weekly",Recurring!$F$12+7*10,IF(Recurring!$E$12="Every 2 Weeks",Recurring!$F$12+14*10,IF(Recurring!$E$12="Monthly",EDATE(Recurring!$F$12,10),IF(Recurring!$E$12="Twice a Month",IF(MOD((IF(DAY(Recurring!$F$12)&lt;=20,0,1)+10),2)=1,EOMONTH(Recurring!$F$12,INT((IF(DAY(Recurring!$F$12)&lt;=20,0,1)+10)/2)),DATE(YEAR(EDATE(Recurring!$F$12,INT((IF(DAY(Recurring!$F$12)&lt;=20,0,1)+10)/2))),MONTH(EDATE(Recurring!$F$12,INT((IF(DAY(Recurring!$F$12)&lt;=20,0,1)+10)/2))),15)),IF(Recurring!$E$12="One Time",IF(11=1,Recurring!$F$12,""),""))))))</f>
        <v>46576</v>
      </c>
      <c r="G126" s="119" t="n">
        <f aca="false">IF($L126="","",IF(SUMIFS(Overrides!$D$9:$D$108,Overrides!$B$9:$B$108,$C126,Overrides!$C$9:$C$108,$L126)&gt;0,SUMIFS(Overrides!$D$9:$D$108,Overrides!$B$9:$B$108,$C126,Overrides!$C$9:$C$108,$L126),$L126))</f>
        <v>46576</v>
      </c>
      <c r="H126" s="120" t="n">
        <f aca="false">IF($G126="",0,IF(AND($G126&gt;='Cash Flow'!$E$6,$G126&lt;'Cash Flow'!$E$6+91),1,0))</f>
        <v>0</v>
      </c>
      <c r="I126" s="120" t="str">
        <f aca="false">IF($H126=1,MAX(1,INT(($G126-'Cash Flow'!$E$6)/7)+1),"")</f>
        <v/>
      </c>
      <c r="J126" s="7" t="str">
        <f aca="false">IF($H126=1,$G126*10000+ROW(),"")</f>
        <v/>
      </c>
      <c r="K126" s="7" t="str">
        <f aca="false">IF($H126=1,$I126*1000+COUNTIFS($I$4:$I$483,$I126,$J$4:$J$483,"&lt;"&amp;$J126)+1,"")</f>
        <v/>
      </c>
      <c r="L126" s="121" t="n">
        <f aca="false">IF($F126="","",IF(Recurring!$G$12="Move Before",IF(WEEKDAY($F126,2)=6,$F126-1,IF(WEEKDAY($F126,2)=7,$F126-2,$F126)),IF(Recurring!$G$12="Move After",IF(WEEKDAY($F126,2)=6,$F126+2,IF(WEEKDAY($F126,2)=7,$F126+1,$F126)),$F126)))</f>
        <v>46576</v>
      </c>
      <c r="M126" s="0" t="str">
        <f aca="true">IF(AND($H126=1,$D126="Expense",$G126&gt;TODAY(),$E126&gt;=100),$G126*100000+ROW(),"")</f>
        <v/>
      </c>
      <c r="N126" s="0" t="str">
        <f aca="true">IF(AND($H126=1,$D126="Income",$G126&gt;TODAY()),$G126*100000+ROW(),"")</f>
        <v/>
      </c>
    </row>
    <row r="127" customFormat="false" ht="15" hidden="false" customHeight="true" outlineLevel="0" collapsed="false">
      <c r="A127" s="117" t="n">
        <v>8</v>
      </c>
      <c r="B127" s="117" t="n">
        <v>12</v>
      </c>
      <c r="C127" s="7" t="str">
        <f aca="false">IF(OR(Recurring!$B$12="",Recurring!$H$12&lt;&gt;"Yes",Recurring!$D$12=""),"",Recurring!$B$12)</f>
        <v>Central Maine Power Co.</v>
      </c>
      <c r="D127" s="7" t="str">
        <f aca="false">IF($C127="","",Recurring!$C$12)</f>
        <v>Expense</v>
      </c>
      <c r="E127" s="118" t="n">
        <f aca="false">IF($C127="","",IF(SUMIFS(Overrides!$E$9:$E$108,Overrides!$B$9:$B$108,$C127,Overrides!$C$9:$C$108,$L127)&gt;0,SUMIFS(Overrides!$E$9:$E$108,Overrides!$B$9:$B$108,$C127,Overrides!$C$9:$C$108,$L127),Recurring!$D$12))</f>
        <v>163.5</v>
      </c>
      <c r="F127" s="119" t="n">
        <f aca="false">IF($C127="","",IF(Recurring!$E$12="Weekly",Recurring!$F$12+7*11,IF(Recurring!$E$12="Every 2 Weeks",Recurring!$F$12+14*11,IF(Recurring!$E$12="Monthly",EDATE(Recurring!$F$12,11),IF(Recurring!$E$12="Twice a Month",IF(MOD((IF(DAY(Recurring!$F$12)&lt;=20,0,1)+11),2)=1,EOMONTH(Recurring!$F$12,INT((IF(DAY(Recurring!$F$12)&lt;=20,0,1)+11)/2)),DATE(YEAR(EDATE(Recurring!$F$12,INT((IF(DAY(Recurring!$F$12)&lt;=20,0,1)+11)/2))),MONTH(EDATE(Recurring!$F$12,INT((IF(DAY(Recurring!$F$12)&lt;=20,0,1)+11)/2))),15)),IF(Recurring!$E$12="One Time",IF(12=1,Recurring!$F$12,""),""))))))</f>
        <v>46607</v>
      </c>
      <c r="G127" s="119" t="n">
        <f aca="false">IF($L127="","",IF(SUMIFS(Overrides!$D$9:$D$108,Overrides!$B$9:$B$108,$C127,Overrides!$C$9:$C$108,$L127)&gt;0,SUMIFS(Overrides!$D$9:$D$108,Overrides!$B$9:$B$108,$C127,Overrides!$C$9:$C$108,$L127),$L127))</f>
        <v>46607</v>
      </c>
      <c r="H127" s="120" t="n">
        <f aca="false">IF($G127="",0,IF(AND($G127&gt;='Cash Flow'!$E$6,$G127&lt;'Cash Flow'!$E$6+91),1,0))</f>
        <v>0</v>
      </c>
      <c r="I127" s="120" t="str">
        <f aca="false">IF($H127=1,MAX(1,INT(($G127-'Cash Flow'!$E$6)/7)+1),"")</f>
        <v/>
      </c>
      <c r="J127" s="7" t="str">
        <f aca="false">IF($H127=1,$G127*10000+ROW(),"")</f>
        <v/>
      </c>
      <c r="K127" s="7" t="str">
        <f aca="false">IF($H127=1,$I127*1000+COUNTIFS($I$4:$I$483,$I127,$J$4:$J$483,"&lt;"&amp;$J127)+1,"")</f>
        <v/>
      </c>
      <c r="L127" s="121" t="n">
        <f aca="false">IF($F127="","",IF(Recurring!$G$12="Move Before",IF(WEEKDAY($F127,2)=6,$F127-1,IF(WEEKDAY($F127,2)=7,$F127-2,$F127)),IF(Recurring!$G$12="Move After",IF(WEEKDAY($F127,2)=6,$F127+2,IF(WEEKDAY($F127,2)=7,$F127+1,$F127)),$F127)))</f>
        <v>46607</v>
      </c>
      <c r="M127" s="0" t="str">
        <f aca="true">IF(AND($H127=1,$D127="Expense",$G127&gt;TODAY(),$E127&gt;=100),$G127*100000+ROW(),"")</f>
        <v/>
      </c>
      <c r="N127" s="0" t="str">
        <f aca="true">IF(AND($H127=1,$D127="Income",$G127&gt;TODAY()),$G127*100000+ROW(),"")</f>
        <v/>
      </c>
    </row>
    <row r="128" customFormat="false" ht="15" hidden="false" customHeight="true" outlineLevel="0" collapsed="false">
      <c r="A128" s="117" t="n">
        <v>8</v>
      </c>
      <c r="B128" s="117" t="n">
        <v>13</v>
      </c>
      <c r="C128" s="7" t="str">
        <f aca="false">IF(OR(Recurring!$B$12="",Recurring!$H$12&lt;&gt;"Yes",Recurring!$D$12=""),"",Recurring!$B$12)</f>
        <v>Central Maine Power Co.</v>
      </c>
      <c r="D128" s="7" t="str">
        <f aca="false">IF($C128="","",Recurring!$C$12)</f>
        <v>Expense</v>
      </c>
      <c r="E128" s="118" t="n">
        <f aca="false">IF($C128="","",IF(SUMIFS(Overrides!$E$9:$E$108,Overrides!$B$9:$B$108,$C128,Overrides!$C$9:$C$108,$L128)&gt;0,SUMIFS(Overrides!$E$9:$E$108,Overrides!$B$9:$B$108,$C128,Overrides!$C$9:$C$108,$L128),Recurring!$D$12))</f>
        <v>163.5</v>
      </c>
      <c r="F128" s="119" t="n">
        <f aca="false">IF($C128="","",IF(Recurring!$E$12="Weekly",Recurring!$F$12+7*12,IF(Recurring!$E$12="Every 2 Weeks",Recurring!$F$12+14*12,IF(Recurring!$E$12="Monthly",EDATE(Recurring!$F$12,12),IF(Recurring!$E$12="Twice a Month",IF(MOD((IF(DAY(Recurring!$F$12)&lt;=20,0,1)+12),2)=1,EOMONTH(Recurring!$F$12,INT((IF(DAY(Recurring!$F$12)&lt;=20,0,1)+12)/2)),DATE(YEAR(EDATE(Recurring!$F$12,INT((IF(DAY(Recurring!$F$12)&lt;=20,0,1)+12)/2))),MONTH(EDATE(Recurring!$F$12,INT((IF(DAY(Recurring!$F$12)&lt;=20,0,1)+12)/2))),15)),IF(Recurring!$E$12="One Time",IF(13=1,Recurring!$F$12,""),""))))))</f>
        <v>46638</v>
      </c>
      <c r="G128" s="119" t="n">
        <f aca="false">IF($L128="","",IF(SUMIFS(Overrides!$D$9:$D$108,Overrides!$B$9:$B$108,$C128,Overrides!$C$9:$C$108,$L128)&gt;0,SUMIFS(Overrides!$D$9:$D$108,Overrides!$B$9:$B$108,$C128,Overrides!$C$9:$C$108,$L128),$L128))</f>
        <v>46638</v>
      </c>
      <c r="H128" s="120" t="n">
        <f aca="false">IF($G128="",0,IF(AND($G128&gt;='Cash Flow'!$E$6,$G128&lt;'Cash Flow'!$E$6+91),1,0))</f>
        <v>0</v>
      </c>
      <c r="I128" s="120" t="str">
        <f aca="false">IF($H128=1,MAX(1,INT(($G128-'Cash Flow'!$E$6)/7)+1),"")</f>
        <v/>
      </c>
      <c r="J128" s="7" t="str">
        <f aca="false">IF($H128=1,$G128*10000+ROW(),"")</f>
        <v/>
      </c>
      <c r="K128" s="7" t="str">
        <f aca="false">IF($H128=1,$I128*1000+COUNTIFS($I$4:$I$483,$I128,$J$4:$J$483,"&lt;"&amp;$J128)+1,"")</f>
        <v/>
      </c>
      <c r="L128" s="121" t="n">
        <f aca="false">IF($F128="","",IF(Recurring!$G$12="Move Before",IF(WEEKDAY($F128,2)=6,$F128-1,IF(WEEKDAY($F128,2)=7,$F128-2,$F128)),IF(Recurring!$G$12="Move After",IF(WEEKDAY($F128,2)=6,$F128+2,IF(WEEKDAY($F128,2)=7,$F128+1,$F128)),$F128)))</f>
        <v>46638</v>
      </c>
      <c r="M128" s="0" t="str">
        <f aca="true">IF(AND($H128=1,$D128="Expense",$G128&gt;TODAY(),$E128&gt;=100),$G128*100000+ROW(),"")</f>
        <v/>
      </c>
      <c r="N128" s="0" t="str">
        <f aca="true">IF(AND($H128=1,$D128="Income",$G128&gt;TODAY()),$G128*100000+ROW(),"")</f>
        <v/>
      </c>
    </row>
    <row r="129" customFormat="false" ht="15" hidden="false" customHeight="true" outlineLevel="0" collapsed="false">
      <c r="A129" s="117" t="n">
        <v>8</v>
      </c>
      <c r="B129" s="117" t="n">
        <v>14</v>
      </c>
      <c r="C129" s="7" t="str">
        <f aca="false">IF(OR(Recurring!$B$12="",Recurring!$H$12&lt;&gt;"Yes",Recurring!$D$12=""),"",Recurring!$B$12)</f>
        <v>Central Maine Power Co.</v>
      </c>
      <c r="D129" s="7" t="str">
        <f aca="false">IF($C129="","",Recurring!$C$12)</f>
        <v>Expense</v>
      </c>
      <c r="E129" s="118" t="n">
        <f aca="false">IF($C129="","",IF(SUMIFS(Overrides!$E$9:$E$108,Overrides!$B$9:$B$108,$C129,Overrides!$C$9:$C$108,$L129)&gt;0,SUMIFS(Overrides!$E$9:$E$108,Overrides!$B$9:$B$108,$C129,Overrides!$C$9:$C$108,$L129),Recurring!$D$12))</f>
        <v>163.5</v>
      </c>
      <c r="F129" s="119" t="n">
        <f aca="false">IF($C129="","",IF(Recurring!$E$12="Weekly",Recurring!$F$12+7*13,IF(Recurring!$E$12="Every 2 Weeks",Recurring!$F$12+14*13,IF(Recurring!$E$12="Monthly",EDATE(Recurring!$F$12,13),IF(Recurring!$E$12="Twice a Month",IF(MOD((IF(DAY(Recurring!$F$12)&lt;=20,0,1)+13),2)=1,EOMONTH(Recurring!$F$12,INT((IF(DAY(Recurring!$F$12)&lt;=20,0,1)+13)/2)),DATE(YEAR(EDATE(Recurring!$F$12,INT((IF(DAY(Recurring!$F$12)&lt;=20,0,1)+13)/2))),MONTH(EDATE(Recurring!$F$12,INT((IF(DAY(Recurring!$F$12)&lt;=20,0,1)+13)/2))),15)),IF(Recurring!$E$12="One Time",IF(14=1,Recurring!$F$12,""),""))))))</f>
        <v>46668</v>
      </c>
      <c r="G129" s="119" t="n">
        <f aca="false">IF($L129="","",IF(SUMIFS(Overrides!$D$9:$D$108,Overrides!$B$9:$B$108,$C129,Overrides!$C$9:$C$108,$L129)&gt;0,SUMIFS(Overrides!$D$9:$D$108,Overrides!$B$9:$B$108,$C129,Overrides!$C$9:$C$108,$L129),$L129))</f>
        <v>46668</v>
      </c>
      <c r="H129" s="120" t="n">
        <f aca="false">IF($G129="",0,IF(AND($G129&gt;='Cash Flow'!$E$6,$G129&lt;'Cash Flow'!$E$6+91),1,0))</f>
        <v>0</v>
      </c>
      <c r="I129" s="120" t="str">
        <f aca="false">IF($H129=1,MAX(1,INT(($G129-'Cash Flow'!$E$6)/7)+1),"")</f>
        <v/>
      </c>
      <c r="J129" s="7" t="str">
        <f aca="false">IF($H129=1,$G129*10000+ROW(),"")</f>
        <v/>
      </c>
      <c r="K129" s="7" t="str">
        <f aca="false">IF($H129=1,$I129*1000+COUNTIFS($I$4:$I$483,$I129,$J$4:$J$483,"&lt;"&amp;$J129)+1,"")</f>
        <v/>
      </c>
      <c r="L129" s="121" t="n">
        <f aca="false">IF($F129="","",IF(Recurring!$G$12="Move Before",IF(WEEKDAY($F129,2)=6,$F129-1,IF(WEEKDAY($F129,2)=7,$F129-2,$F129)),IF(Recurring!$G$12="Move After",IF(WEEKDAY($F129,2)=6,$F129+2,IF(WEEKDAY($F129,2)=7,$F129+1,$F129)),$F129)))</f>
        <v>46668</v>
      </c>
      <c r="M129" s="0" t="str">
        <f aca="true">IF(AND($H129=1,$D129="Expense",$G129&gt;TODAY(),$E129&gt;=100),$G129*100000+ROW(),"")</f>
        <v/>
      </c>
      <c r="N129" s="0" t="str">
        <f aca="true">IF(AND($H129=1,$D129="Income",$G129&gt;TODAY()),$G129*100000+ROW(),"")</f>
        <v/>
      </c>
    </row>
    <row r="130" customFormat="false" ht="15" hidden="false" customHeight="true" outlineLevel="0" collapsed="false">
      <c r="A130" s="117" t="n">
        <v>8</v>
      </c>
      <c r="B130" s="117" t="n">
        <v>15</v>
      </c>
      <c r="C130" s="7" t="str">
        <f aca="false">IF(OR(Recurring!$B$12="",Recurring!$H$12&lt;&gt;"Yes",Recurring!$D$12=""),"",Recurring!$B$12)</f>
        <v>Central Maine Power Co.</v>
      </c>
      <c r="D130" s="7" t="str">
        <f aca="false">IF($C130="","",Recurring!$C$12)</f>
        <v>Expense</v>
      </c>
      <c r="E130" s="118" t="n">
        <f aca="false">IF($C130="","",IF(SUMIFS(Overrides!$E$9:$E$108,Overrides!$B$9:$B$108,$C130,Overrides!$C$9:$C$108,$L130)&gt;0,SUMIFS(Overrides!$E$9:$E$108,Overrides!$B$9:$B$108,$C130,Overrides!$C$9:$C$108,$L130),Recurring!$D$12))</f>
        <v>163.5</v>
      </c>
      <c r="F130" s="119" t="n">
        <f aca="false">IF($C130="","",IF(Recurring!$E$12="Weekly",Recurring!$F$12+7*14,IF(Recurring!$E$12="Every 2 Weeks",Recurring!$F$12+14*14,IF(Recurring!$E$12="Monthly",EDATE(Recurring!$F$12,14),IF(Recurring!$E$12="Twice a Month",IF(MOD((IF(DAY(Recurring!$F$12)&lt;=20,0,1)+14),2)=1,EOMONTH(Recurring!$F$12,INT((IF(DAY(Recurring!$F$12)&lt;=20,0,1)+14)/2)),DATE(YEAR(EDATE(Recurring!$F$12,INT((IF(DAY(Recurring!$F$12)&lt;=20,0,1)+14)/2))),MONTH(EDATE(Recurring!$F$12,INT((IF(DAY(Recurring!$F$12)&lt;=20,0,1)+14)/2))),15)),IF(Recurring!$E$12="One Time",IF(15=1,Recurring!$F$12,""),""))))))</f>
        <v>46699</v>
      </c>
      <c r="G130" s="119" t="n">
        <f aca="false">IF($L130="","",IF(SUMIFS(Overrides!$D$9:$D$108,Overrides!$B$9:$B$108,$C130,Overrides!$C$9:$C$108,$L130)&gt;0,SUMIFS(Overrides!$D$9:$D$108,Overrides!$B$9:$B$108,$C130,Overrides!$C$9:$C$108,$L130),$L130))</f>
        <v>46699</v>
      </c>
      <c r="H130" s="120" t="n">
        <f aca="false">IF($G130="",0,IF(AND($G130&gt;='Cash Flow'!$E$6,$G130&lt;'Cash Flow'!$E$6+91),1,0))</f>
        <v>0</v>
      </c>
      <c r="I130" s="120" t="str">
        <f aca="false">IF($H130=1,MAX(1,INT(($G130-'Cash Flow'!$E$6)/7)+1),"")</f>
        <v/>
      </c>
      <c r="J130" s="7" t="str">
        <f aca="false">IF($H130=1,$G130*10000+ROW(),"")</f>
        <v/>
      </c>
      <c r="K130" s="7" t="str">
        <f aca="false">IF($H130=1,$I130*1000+COUNTIFS($I$4:$I$483,$I130,$J$4:$J$483,"&lt;"&amp;$J130)+1,"")</f>
        <v/>
      </c>
      <c r="L130" s="121" t="n">
        <f aca="false">IF($F130="","",IF(Recurring!$G$12="Move Before",IF(WEEKDAY($F130,2)=6,$F130-1,IF(WEEKDAY($F130,2)=7,$F130-2,$F130)),IF(Recurring!$G$12="Move After",IF(WEEKDAY($F130,2)=6,$F130+2,IF(WEEKDAY($F130,2)=7,$F130+1,$F130)),$F130)))</f>
        <v>46699</v>
      </c>
      <c r="M130" s="0" t="str">
        <f aca="true">IF(AND($H130=1,$D130="Expense",$G130&gt;TODAY(),$E130&gt;=100),$G130*100000+ROW(),"")</f>
        <v/>
      </c>
      <c r="N130" s="0" t="str">
        <f aca="true">IF(AND($H130=1,$D130="Income",$G130&gt;TODAY()),$G130*100000+ROW(),"")</f>
        <v/>
      </c>
    </row>
    <row r="131" customFormat="false" ht="15" hidden="false" customHeight="true" outlineLevel="0" collapsed="false">
      <c r="A131" s="117" t="n">
        <v>8</v>
      </c>
      <c r="B131" s="117" t="n">
        <v>16</v>
      </c>
      <c r="C131" s="7" t="str">
        <f aca="false">IF(OR(Recurring!$B$12="",Recurring!$H$12&lt;&gt;"Yes",Recurring!$D$12=""),"",Recurring!$B$12)</f>
        <v>Central Maine Power Co.</v>
      </c>
      <c r="D131" s="7" t="str">
        <f aca="false">IF($C131="","",Recurring!$C$12)</f>
        <v>Expense</v>
      </c>
      <c r="E131" s="118" t="n">
        <f aca="false">IF($C131="","",IF(SUMIFS(Overrides!$E$9:$E$108,Overrides!$B$9:$B$108,$C131,Overrides!$C$9:$C$108,$L131)&gt;0,SUMIFS(Overrides!$E$9:$E$108,Overrides!$B$9:$B$108,$C131,Overrides!$C$9:$C$108,$L131),Recurring!$D$12))</f>
        <v>163.5</v>
      </c>
      <c r="F131" s="119" t="n">
        <f aca="false">IF($C131="","",IF(Recurring!$E$12="Weekly",Recurring!$F$12+7*15,IF(Recurring!$E$12="Every 2 Weeks",Recurring!$F$12+14*15,IF(Recurring!$E$12="Monthly",EDATE(Recurring!$F$12,15),IF(Recurring!$E$12="Twice a Month",IF(MOD((IF(DAY(Recurring!$F$12)&lt;=20,0,1)+15),2)=1,EOMONTH(Recurring!$F$12,INT((IF(DAY(Recurring!$F$12)&lt;=20,0,1)+15)/2)),DATE(YEAR(EDATE(Recurring!$F$12,INT((IF(DAY(Recurring!$F$12)&lt;=20,0,1)+15)/2))),MONTH(EDATE(Recurring!$F$12,INT((IF(DAY(Recurring!$F$12)&lt;=20,0,1)+15)/2))),15)),IF(Recurring!$E$12="One Time",IF(16=1,Recurring!$F$12,""),""))))))</f>
        <v>46729</v>
      </c>
      <c r="G131" s="119" t="n">
        <f aca="false">IF($L131="","",IF(SUMIFS(Overrides!$D$9:$D$108,Overrides!$B$9:$B$108,$C131,Overrides!$C$9:$C$108,$L131)&gt;0,SUMIFS(Overrides!$D$9:$D$108,Overrides!$B$9:$B$108,$C131,Overrides!$C$9:$C$108,$L131),$L131))</f>
        <v>46729</v>
      </c>
      <c r="H131" s="120" t="n">
        <f aca="false">IF($G131="",0,IF(AND($G131&gt;='Cash Flow'!$E$6,$G131&lt;'Cash Flow'!$E$6+91),1,0))</f>
        <v>0</v>
      </c>
      <c r="I131" s="120" t="str">
        <f aca="false">IF($H131=1,MAX(1,INT(($G131-'Cash Flow'!$E$6)/7)+1),"")</f>
        <v/>
      </c>
      <c r="J131" s="7" t="str">
        <f aca="false">IF($H131=1,$G131*10000+ROW(),"")</f>
        <v/>
      </c>
      <c r="K131" s="7" t="str">
        <f aca="false">IF($H131=1,$I131*1000+COUNTIFS($I$4:$I$483,$I131,$J$4:$J$483,"&lt;"&amp;$J131)+1,"")</f>
        <v/>
      </c>
      <c r="L131" s="121" t="n">
        <f aca="false">IF($F131="","",IF(Recurring!$G$12="Move Before",IF(WEEKDAY($F131,2)=6,$F131-1,IF(WEEKDAY($F131,2)=7,$F131-2,$F131)),IF(Recurring!$G$12="Move After",IF(WEEKDAY($F131,2)=6,$F131+2,IF(WEEKDAY($F131,2)=7,$F131+1,$F131)),$F131)))</f>
        <v>46729</v>
      </c>
      <c r="M131" s="0" t="str">
        <f aca="true">IF(AND($H131=1,$D131="Expense",$G131&gt;TODAY(),$E131&gt;=100),$G131*100000+ROW(),"")</f>
        <v/>
      </c>
      <c r="N131" s="0" t="str">
        <f aca="true">IF(AND($H131=1,$D131="Income",$G131&gt;TODAY()),$G131*100000+ROW(),"")</f>
        <v/>
      </c>
    </row>
    <row r="132" customFormat="false" ht="15" hidden="false" customHeight="true" outlineLevel="0" collapsed="false">
      <c r="A132" s="117" t="n">
        <v>9</v>
      </c>
      <c r="B132" s="117" t="n">
        <v>1</v>
      </c>
      <c r="C132" s="7" t="str">
        <f aca="false">IF(OR(Recurring!$B$13="",Recurring!$H$13&lt;&gt;"Yes",Recurring!$D$13=""),"",Recurring!$B$13)</f>
        <v>Apple: iCloud</v>
      </c>
      <c r="D132" s="7" t="str">
        <f aca="false">IF($C132="","",Recurring!$C$13)</f>
        <v>Expense</v>
      </c>
      <c r="E132" s="118" t="n">
        <f aca="false">IF($C132="","",IF(SUMIFS(Overrides!$E$9:$E$108,Overrides!$B$9:$B$108,$C132,Overrides!$C$9:$C$108,$L132)&gt;0,SUMIFS(Overrides!$E$9:$E$108,Overrides!$B$9:$B$108,$C132,Overrides!$C$9:$C$108,$L132),Recurring!$D$13))</f>
        <v>2.99</v>
      </c>
      <c r="F132" s="119" t="n">
        <f aca="false">IF($C132="","",IF(Recurring!$E$13="Weekly",Recurring!$F$13+7*0,IF(Recurring!$E$13="Every 2 Weeks",Recurring!$F$13+14*0,IF(Recurring!$E$13="Monthly",EDATE(Recurring!$F$13,0),IF(Recurring!$E$13="Twice a Month",IF(MOD((IF(DAY(Recurring!$F$13)&lt;=20,0,1)+0),2)=1,EOMONTH(Recurring!$F$13,INT((IF(DAY(Recurring!$F$13)&lt;=20,0,1)+0)/2)),DATE(YEAR(EDATE(Recurring!$F$13,INT((IF(DAY(Recurring!$F$13)&lt;=20,0,1)+0)/2))),MONTH(EDATE(Recurring!$F$13,INT((IF(DAY(Recurring!$F$13)&lt;=20,0,1)+0)/2))),15)),IF(Recurring!$E$13="One Time",IF(1=1,Recurring!$F$13,""),""))))))</f>
        <v>46278</v>
      </c>
      <c r="G132" s="119" t="n">
        <f aca="false">IF($L132="","",IF(SUMIFS(Overrides!$D$9:$D$108,Overrides!$B$9:$B$108,$C132,Overrides!$C$9:$C$108,$L132)&gt;0,SUMIFS(Overrides!$D$9:$D$108,Overrides!$B$9:$B$108,$C132,Overrides!$C$9:$C$108,$L132),$L132))</f>
        <v>46278</v>
      </c>
      <c r="H132" s="120" t="n">
        <f aca="false">IF($G132="",0,IF(AND($G132&gt;='Cash Flow'!$E$6-90,$G132&lt;'Cash Flow'!$E$6+91),1,0))</f>
        <v>1</v>
      </c>
      <c r="I132" s="120" t="n">
        <f aca="false">IF($H132=1,MAX(1,INT(($G132-'Cash Flow'!$E$6)/7)+1),"")</f>
        <v>5</v>
      </c>
      <c r="J132" s="7" t="n">
        <f aca="false">IF($H132=1,$G132*10000+ROW(),"")</f>
        <v>462780132</v>
      </c>
      <c r="K132" s="7" t="n">
        <f aca="false">IF($H132=1,$I132*1000+COUNTIFS($I$4:$I$483,$I132,$J$4:$J$483,"&lt;"&amp;$J132)+1,"")</f>
        <v>5001</v>
      </c>
      <c r="L132" s="121" t="n">
        <f aca="false">IF($F132="","",IF(Recurring!$G$13="Move Before",IF(WEEKDAY($F132,2)=6,$F132-1,IF(WEEKDAY($F132,2)=7,$F132-2,$F132)),IF(Recurring!$G$13="Move After",IF(WEEKDAY($F132,2)=6,$F132+2,IF(WEEKDAY($F132,2)=7,$F132+1,$F132)),$F132)))</f>
        <v>46278</v>
      </c>
      <c r="M132" s="0" t="str">
        <f aca="true">IF(AND($H132=1,$D132="Expense",$G132&gt;TODAY(),$E132&gt;=100),$G132*100000+ROW(),"")</f>
        <v/>
      </c>
      <c r="N132" s="0" t="str">
        <f aca="true">IF(AND($H132=1,$D132="Income",$G132&gt;TODAY()),$G132*100000+ROW(),"")</f>
        <v/>
      </c>
    </row>
    <row r="133" customFormat="false" ht="15" hidden="false" customHeight="true" outlineLevel="0" collapsed="false">
      <c r="A133" s="117" t="n">
        <v>9</v>
      </c>
      <c r="B133" s="117" t="n">
        <v>2</v>
      </c>
      <c r="C133" s="7" t="str">
        <f aca="false">IF(OR(Recurring!$B$13="",Recurring!$H$13&lt;&gt;"Yes",Recurring!$D$13=""),"",Recurring!$B$13)</f>
        <v>Apple: iCloud</v>
      </c>
      <c r="D133" s="7" t="str">
        <f aca="false">IF($C133="","",Recurring!$C$13)</f>
        <v>Expense</v>
      </c>
      <c r="E133" s="118" t="n">
        <f aca="false">IF($C133="","",IF(SUMIFS(Overrides!$E$9:$E$108,Overrides!$B$9:$B$108,$C133,Overrides!$C$9:$C$108,$L133)&gt;0,SUMIFS(Overrides!$E$9:$E$108,Overrides!$B$9:$B$108,$C133,Overrides!$C$9:$C$108,$L133),Recurring!$D$13))</f>
        <v>2.99</v>
      </c>
      <c r="F133" s="119" t="n">
        <f aca="false">IF($C133="","",IF(Recurring!$E$13="Weekly",Recurring!$F$13+7*1,IF(Recurring!$E$13="Every 2 Weeks",Recurring!$F$13+14*1,IF(Recurring!$E$13="Monthly",EDATE(Recurring!$F$13,1),IF(Recurring!$E$13="Twice a Month",IF(MOD((IF(DAY(Recurring!$F$13)&lt;=20,0,1)+1),2)=1,EOMONTH(Recurring!$F$13,INT((IF(DAY(Recurring!$F$13)&lt;=20,0,1)+1)/2)),DATE(YEAR(EDATE(Recurring!$F$13,INT((IF(DAY(Recurring!$F$13)&lt;=20,0,1)+1)/2))),MONTH(EDATE(Recurring!$F$13,INT((IF(DAY(Recurring!$F$13)&lt;=20,0,1)+1)/2))),15)),IF(Recurring!$E$13="One Time",IF(2=1,Recurring!$F$13,""),""))))))</f>
        <v>46308</v>
      </c>
      <c r="G133" s="119" t="n">
        <f aca="false">IF($L133="","",IF(SUMIFS(Overrides!$D$9:$D$108,Overrides!$B$9:$B$108,$C133,Overrides!$C$9:$C$108,$L133)&gt;0,SUMIFS(Overrides!$D$9:$D$108,Overrides!$B$9:$B$108,$C133,Overrides!$C$9:$C$108,$L133),$L133))</f>
        <v>46308</v>
      </c>
      <c r="H133" s="120" t="n">
        <f aca="false">IF($G133="",0,IF(AND($G133&gt;='Cash Flow'!$E$6,$G133&lt;'Cash Flow'!$E$6+91),1,0))</f>
        <v>1</v>
      </c>
      <c r="I133" s="120" t="n">
        <f aca="false">IF($H133=1,MAX(1,INT(($G133-'Cash Flow'!$E$6)/7)+1),"")</f>
        <v>9</v>
      </c>
      <c r="J133" s="7" t="n">
        <f aca="false">IF($H133=1,$G133*10000+ROW(),"")</f>
        <v>463080133</v>
      </c>
      <c r="K133" s="7" t="n">
        <f aca="false">IF($H133=1,$I133*1000+COUNTIFS($I$4:$I$483,$I133,$J$4:$J$483,"&lt;"&amp;$J133)+1,"")</f>
        <v>9001</v>
      </c>
      <c r="L133" s="121" t="n">
        <f aca="false">IF($F133="","",IF(Recurring!$G$13="Move Before",IF(WEEKDAY($F133,2)=6,$F133-1,IF(WEEKDAY($F133,2)=7,$F133-2,$F133)),IF(Recurring!$G$13="Move After",IF(WEEKDAY($F133,2)=6,$F133+2,IF(WEEKDAY($F133,2)=7,$F133+1,$F133)),$F133)))</f>
        <v>46308</v>
      </c>
      <c r="M133" s="0" t="str">
        <f aca="true">IF(AND($H133=1,$D133="Expense",$G133&gt;TODAY(),$E133&gt;=100),$G133*100000+ROW(),"")</f>
        <v/>
      </c>
      <c r="N133" s="0" t="str">
        <f aca="true">IF(AND($H133=1,$D133="Income",$G133&gt;TODAY()),$G133*100000+ROW(),"")</f>
        <v/>
      </c>
    </row>
    <row r="134" customFormat="false" ht="15" hidden="false" customHeight="true" outlineLevel="0" collapsed="false">
      <c r="A134" s="117" t="n">
        <v>9</v>
      </c>
      <c r="B134" s="117" t="n">
        <v>3</v>
      </c>
      <c r="C134" s="7" t="str">
        <f aca="false">IF(OR(Recurring!$B$13="",Recurring!$H$13&lt;&gt;"Yes",Recurring!$D$13=""),"",Recurring!$B$13)</f>
        <v>Apple: iCloud</v>
      </c>
      <c r="D134" s="7" t="str">
        <f aca="false">IF($C134="","",Recurring!$C$13)</f>
        <v>Expense</v>
      </c>
      <c r="E134" s="118" t="n">
        <f aca="false">IF($C134="","",IF(SUMIFS(Overrides!$E$9:$E$108,Overrides!$B$9:$B$108,$C134,Overrides!$C$9:$C$108,$L134)&gt;0,SUMIFS(Overrides!$E$9:$E$108,Overrides!$B$9:$B$108,$C134,Overrides!$C$9:$C$108,$L134),Recurring!$D$13))</f>
        <v>2.99</v>
      </c>
      <c r="F134" s="119" t="n">
        <f aca="false">IF($C134="","",IF(Recurring!$E$13="Weekly",Recurring!$F$13+7*2,IF(Recurring!$E$13="Every 2 Weeks",Recurring!$F$13+14*2,IF(Recurring!$E$13="Monthly",EDATE(Recurring!$F$13,2),IF(Recurring!$E$13="Twice a Month",IF(MOD((IF(DAY(Recurring!$F$13)&lt;=20,0,1)+2),2)=1,EOMONTH(Recurring!$F$13,INT((IF(DAY(Recurring!$F$13)&lt;=20,0,1)+2)/2)),DATE(YEAR(EDATE(Recurring!$F$13,INT((IF(DAY(Recurring!$F$13)&lt;=20,0,1)+2)/2))),MONTH(EDATE(Recurring!$F$13,INT((IF(DAY(Recurring!$F$13)&lt;=20,0,1)+2)/2))),15)),IF(Recurring!$E$13="One Time",IF(3=1,Recurring!$F$13,""),""))))))</f>
        <v>46339</v>
      </c>
      <c r="G134" s="119" t="n">
        <f aca="false">IF($L134="","",IF(SUMIFS(Overrides!$D$9:$D$108,Overrides!$B$9:$B$108,$C134,Overrides!$C$9:$C$108,$L134)&gt;0,SUMIFS(Overrides!$D$9:$D$108,Overrides!$B$9:$B$108,$C134,Overrides!$C$9:$C$108,$L134),$L134))</f>
        <v>46339</v>
      </c>
      <c r="H134" s="120" t="n">
        <f aca="false">IF($G134="",0,IF(AND($G134&gt;='Cash Flow'!$E$6,$G134&lt;'Cash Flow'!$E$6+91),1,0))</f>
        <v>1</v>
      </c>
      <c r="I134" s="120" t="n">
        <f aca="false">IF($H134=1,MAX(1,INT(($G134-'Cash Flow'!$E$6)/7)+1),"")</f>
        <v>13</v>
      </c>
      <c r="J134" s="7" t="n">
        <f aca="false">IF($H134=1,$G134*10000+ROW(),"")</f>
        <v>463390134</v>
      </c>
      <c r="K134" s="7" t="n">
        <f aca="false">IF($H134=1,$I134*1000+COUNTIFS($I$4:$I$483,$I134,$J$4:$J$483,"&lt;"&amp;$J134)+1,"")</f>
        <v>13006</v>
      </c>
      <c r="L134" s="121" t="n">
        <f aca="false">IF($F134="","",IF(Recurring!$G$13="Move Before",IF(WEEKDAY($F134,2)=6,$F134-1,IF(WEEKDAY($F134,2)=7,$F134-2,$F134)),IF(Recurring!$G$13="Move After",IF(WEEKDAY($F134,2)=6,$F134+2,IF(WEEKDAY($F134,2)=7,$F134+1,$F134)),$F134)))</f>
        <v>46339</v>
      </c>
      <c r="M134" s="0" t="str">
        <f aca="true">IF(AND($H134=1,$D134="Expense",$G134&gt;TODAY(),$E134&gt;=100),$G134*100000+ROW(),"")</f>
        <v/>
      </c>
      <c r="N134" s="0" t="str">
        <f aca="true">IF(AND($H134=1,$D134="Income",$G134&gt;TODAY()),$G134*100000+ROW(),"")</f>
        <v/>
      </c>
    </row>
    <row r="135" customFormat="false" ht="15" hidden="false" customHeight="true" outlineLevel="0" collapsed="false">
      <c r="A135" s="117" t="n">
        <v>9</v>
      </c>
      <c r="B135" s="117" t="n">
        <v>4</v>
      </c>
      <c r="C135" s="7" t="str">
        <f aca="false">IF(OR(Recurring!$B$13="",Recurring!$H$13&lt;&gt;"Yes",Recurring!$D$13=""),"",Recurring!$B$13)</f>
        <v>Apple: iCloud</v>
      </c>
      <c r="D135" s="7" t="str">
        <f aca="false">IF($C135="","",Recurring!$C$13)</f>
        <v>Expense</v>
      </c>
      <c r="E135" s="118" t="n">
        <f aca="false">IF($C135="","",IF(SUMIFS(Overrides!$E$9:$E$108,Overrides!$B$9:$B$108,$C135,Overrides!$C$9:$C$108,$L135)&gt;0,SUMIFS(Overrides!$E$9:$E$108,Overrides!$B$9:$B$108,$C135,Overrides!$C$9:$C$108,$L135),Recurring!$D$13))</f>
        <v>2.99</v>
      </c>
      <c r="F135" s="119" t="n">
        <f aca="false">IF($C135="","",IF(Recurring!$E$13="Weekly",Recurring!$F$13+7*3,IF(Recurring!$E$13="Every 2 Weeks",Recurring!$F$13+14*3,IF(Recurring!$E$13="Monthly",EDATE(Recurring!$F$13,3),IF(Recurring!$E$13="Twice a Month",IF(MOD((IF(DAY(Recurring!$F$13)&lt;=20,0,1)+3),2)=1,EOMONTH(Recurring!$F$13,INT((IF(DAY(Recurring!$F$13)&lt;=20,0,1)+3)/2)),DATE(YEAR(EDATE(Recurring!$F$13,INT((IF(DAY(Recurring!$F$13)&lt;=20,0,1)+3)/2))),MONTH(EDATE(Recurring!$F$13,INT((IF(DAY(Recurring!$F$13)&lt;=20,0,1)+3)/2))),15)),IF(Recurring!$E$13="One Time",IF(4=1,Recurring!$F$13,""),""))))))</f>
        <v>46369</v>
      </c>
      <c r="G135" s="119" t="n">
        <f aca="false">IF($L135="","",IF(SUMIFS(Overrides!$D$9:$D$108,Overrides!$B$9:$B$108,$C135,Overrides!$C$9:$C$108,$L135)&gt;0,SUMIFS(Overrides!$D$9:$D$108,Overrides!$B$9:$B$108,$C135,Overrides!$C$9:$C$108,$L135),$L135))</f>
        <v>46369</v>
      </c>
      <c r="H135" s="120" t="n">
        <f aca="false">IF($G135="",0,IF(AND($G135&gt;='Cash Flow'!$E$6,$G135&lt;'Cash Flow'!$E$6+91),1,0))</f>
        <v>0</v>
      </c>
      <c r="I135" s="120" t="str">
        <f aca="false">IF($H135=1,MAX(1,INT(($G135-'Cash Flow'!$E$6)/7)+1),"")</f>
        <v/>
      </c>
      <c r="J135" s="7" t="str">
        <f aca="false">IF($H135=1,$G135*10000+ROW(),"")</f>
        <v/>
      </c>
      <c r="K135" s="7" t="str">
        <f aca="false">IF($H135=1,$I135*1000+COUNTIFS($I$4:$I$483,$I135,$J$4:$J$483,"&lt;"&amp;$J135)+1,"")</f>
        <v/>
      </c>
      <c r="L135" s="121" t="n">
        <f aca="false">IF($F135="","",IF(Recurring!$G$13="Move Before",IF(WEEKDAY($F135,2)=6,$F135-1,IF(WEEKDAY($F135,2)=7,$F135-2,$F135)),IF(Recurring!$G$13="Move After",IF(WEEKDAY($F135,2)=6,$F135+2,IF(WEEKDAY($F135,2)=7,$F135+1,$F135)),$F135)))</f>
        <v>46369</v>
      </c>
      <c r="M135" s="0" t="str">
        <f aca="true">IF(AND($H135=1,$D135="Expense",$G135&gt;TODAY(),$E135&gt;=100),$G135*100000+ROW(),"")</f>
        <v/>
      </c>
      <c r="N135" s="0" t="str">
        <f aca="true">IF(AND($H135=1,$D135="Income",$G135&gt;TODAY()),$G135*100000+ROW(),"")</f>
        <v/>
      </c>
    </row>
    <row r="136" customFormat="false" ht="15" hidden="false" customHeight="true" outlineLevel="0" collapsed="false">
      <c r="A136" s="117" t="n">
        <v>9</v>
      </c>
      <c r="B136" s="117" t="n">
        <v>5</v>
      </c>
      <c r="C136" s="7" t="str">
        <f aca="false">IF(OR(Recurring!$B$13="",Recurring!$H$13&lt;&gt;"Yes",Recurring!$D$13=""),"",Recurring!$B$13)</f>
        <v>Apple: iCloud</v>
      </c>
      <c r="D136" s="7" t="str">
        <f aca="false">IF($C136="","",Recurring!$C$13)</f>
        <v>Expense</v>
      </c>
      <c r="E136" s="118" t="n">
        <f aca="false">IF($C136="","",IF(SUMIFS(Overrides!$E$9:$E$108,Overrides!$B$9:$B$108,$C136,Overrides!$C$9:$C$108,$L136)&gt;0,SUMIFS(Overrides!$E$9:$E$108,Overrides!$B$9:$B$108,$C136,Overrides!$C$9:$C$108,$L136),Recurring!$D$13))</f>
        <v>2.99</v>
      </c>
      <c r="F136" s="119" t="n">
        <f aca="false">IF($C136="","",IF(Recurring!$E$13="Weekly",Recurring!$F$13+7*4,IF(Recurring!$E$13="Every 2 Weeks",Recurring!$F$13+14*4,IF(Recurring!$E$13="Monthly",EDATE(Recurring!$F$13,4),IF(Recurring!$E$13="Twice a Month",IF(MOD((IF(DAY(Recurring!$F$13)&lt;=20,0,1)+4),2)=1,EOMONTH(Recurring!$F$13,INT((IF(DAY(Recurring!$F$13)&lt;=20,0,1)+4)/2)),DATE(YEAR(EDATE(Recurring!$F$13,INT((IF(DAY(Recurring!$F$13)&lt;=20,0,1)+4)/2))),MONTH(EDATE(Recurring!$F$13,INT((IF(DAY(Recurring!$F$13)&lt;=20,0,1)+4)/2))),15)),IF(Recurring!$E$13="One Time",IF(5=1,Recurring!$F$13,""),""))))))</f>
        <v>46400</v>
      </c>
      <c r="G136" s="119" t="n">
        <f aca="false">IF($L136="","",IF(SUMIFS(Overrides!$D$9:$D$108,Overrides!$B$9:$B$108,$C136,Overrides!$C$9:$C$108,$L136)&gt;0,SUMIFS(Overrides!$D$9:$D$108,Overrides!$B$9:$B$108,$C136,Overrides!$C$9:$C$108,$L136),$L136))</f>
        <v>46400</v>
      </c>
      <c r="H136" s="120" t="n">
        <f aca="false">IF($G136="",0,IF(AND($G136&gt;='Cash Flow'!$E$6,$G136&lt;'Cash Flow'!$E$6+91),1,0))</f>
        <v>0</v>
      </c>
      <c r="I136" s="120" t="str">
        <f aca="false">IF($H136=1,MAX(1,INT(($G136-'Cash Flow'!$E$6)/7)+1),"")</f>
        <v/>
      </c>
      <c r="J136" s="7" t="str">
        <f aca="false">IF($H136=1,$G136*10000+ROW(),"")</f>
        <v/>
      </c>
      <c r="K136" s="7" t="str">
        <f aca="false">IF($H136=1,$I136*1000+COUNTIFS($I$4:$I$483,$I136,$J$4:$J$483,"&lt;"&amp;$J136)+1,"")</f>
        <v/>
      </c>
      <c r="L136" s="121" t="n">
        <f aca="false">IF($F136="","",IF(Recurring!$G$13="Move Before",IF(WEEKDAY($F136,2)=6,$F136-1,IF(WEEKDAY($F136,2)=7,$F136-2,$F136)),IF(Recurring!$G$13="Move After",IF(WEEKDAY($F136,2)=6,$F136+2,IF(WEEKDAY($F136,2)=7,$F136+1,$F136)),$F136)))</f>
        <v>46400</v>
      </c>
      <c r="M136" s="0" t="str">
        <f aca="true">IF(AND($H136=1,$D136="Expense",$G136&gt;TODAY(),$E136&gt;=100),$G136*100000+ROW(),"")</f>
        <v/>
      </c>
      <c r="N136" s="0" t="str">
        <f aca="true">IF(AND($H136=1,$D136="Income",$G136&gt;TODAY()),$G136*100000+ROW(),"")</f>
        <v/>
      </c>
    </row>
    <row r="137" customFormat="false" ht="15" hidden="false" customHeight="true" outlineLevel="0" collapsed="false">
      <c r="A137" s="117" t="n">
        <v>9</v>
      </c>
      <c r="B137" s="117" t="n">
        <v>6</v>
      </c>
      <c r="C137" s="7" t="str">
        <f aca="false">IF(OR(Recurring!$B$13="",Recurring!$H$13&lt;&gt;"Yes",Recurring!$D$13=""),"",Recurring!$B$13)</f>
        <v>Apple: iCloud</v>
      </c>
      <c r="D137" s="7" t="str">
        <f aca="false">IF($C137="","",Recurring!$C$13)</f>
        <v>Expense</v>
      </c>
      <c r="E137" s="118" t="n">
        <f aca="false">IF($C137="","",IF(SUMIFS(Overrides!$E$9:$E$108,Overrides!$B$9:$B$108,$C137,Overrides!$C$9:$C$108,$L137)&gt;0,SUMIFS(Overrides!$E$9:$E$108,Overrides!$B$9:$B$108,$C137,Overrides!$C$9:$C$108,$L137),Recurring!$D$13))</f>
        <v>2.99</v>
      </c>
      <c r="F137" s="119" t="n">
        <f aca="false">IF($C137="","",IF(Recurring!$E$13="Weekly",Recurring!$F$13+7*5,IF(Recurring!$E$13="Every 2 Weeks",Recurring!$F$13+14*5,IF(Recurring!$E$13="Monthly",EDATE(Recurring!$F$13,5),IF(Recurring!$E$13="Twice a Month",IF(MOD((IF(DAY(Recurring!$F$13)&lt;=20,0,1)+5),2)=1,EOMONTH(Recurring!$F$13,INT((IF(DAY(Recurring!$F$13)&lt;=20,0,1)+5)/2)),DATE(YEAR(EDATE(Recurring!$F$13,INT((IF(DAY(Recurring!$F$13)&lt;=20,0,1)+5)/2))),MONTH(EDATE(Recurring!$F$13,INT((IF(DAY(Recurring!$F$13)&lt;=20,0,1)+5)/2))),15)),IF(Recurring!$E$13="One Time",IF(6=1,Recurring!$F$13,""),""))))))</f>
        <v>46431</v>
      </c>
      <c r="G137" s="119" t="n">
        <f aca="false">IF($L137="","",IF(SUMIFS(Overrides!$D$9:$D$108,Overrides!$B$9:$B$108,$C137,Overrides!$C$9:$C$108,$L137)&gt;0,SUMIFS(Overrides!$D$9:$D$108,Overrides!$B$9:$B$108,$C137,Overrides!$C$9:$C$108,$L137),$L137))</f>
        <v>46431</v>
      </c>
      <c r="H137" s="120" t="n">
        <f aca="false">IF($G137="",0,IF(AND($G137&gt;='Cash Flow'!$E$6,$G137&lt;'Cash Flow'!$E$6+91),1,0))</f>
        <v>0</v>
      </c>
      <c r="I137" s="120" t="str">
        <f aca="false">IF($H137=1,MAX(1,INT(($G137-'Cash Flow'!$E$6)/7)+1),"")</f>
        <v/>
      </c>
      <c r="J137" s="7" t="str">
        <f aca="false">IF($H137=1,$G137*10000+ROW(),"")</f>
        <v/>
      </c>
      <c r="K137" s="7" t="str">
        <f aca="false">IF($H137=1,$I137*1000+COUNTIFS($I$4:$I$483,$I137,$J$4:$J$483,"&lt;"&amp;$J137)+1,"")</f>
        <v/>
      </c>
      <c r="L137" s="121" t="n">
        <f aca="false">IF($F137="","",IF(Recurring!$G$13="Move Before",IF(WEEKDAY($F137,2)=6,$F137-1,IF(WEEKDAY($F137,2)=7,$F137-2,$F137)),IF(Recurring!$G$13="Move After",IF(WEEKDAY($F137,2)=6,$F137+2,IF(WEEKDAY($F137,2)=7,$F137+1,$F137)),$F137)))</f>
        <v>46431</v>
      </c>
      <c r="M137" s="0" t="str">
        <f aca="true">IF(AND($H137=1,$D137="Expense",$G137&gt;TODAY(),$E137&gt;=100),$G137*100000+ROW(),"")</f>
        <v/>
      </c>
      <c r="N137" s="0" t="str">
        <f aca="true">IF(AND($H137=1,$D137="Income",$G137&gt;TODAY()),$G137*100000+ROW(),"")</f>
        <v/>
      </c>
    </row>
    <row r="138" customFormat="false" ht="15" hidden="false" customHeight="true" outlineLevel="0" collapsed="false">
      <c r="A138" s="117" t="n">
        <v>9</v>
      </c>
      <c r="B138" s="117" t="n">
        <v>7</v>
      </c>
      <c r="C138" s="7" t="str">
        <f aca="false">IF(OR(Recurring!$B$13="",Recurring!$H$13&lt;&gt;"Yes",Recurring!$D$13=""),"",Recurring!$B$13)</f>
        <v>Apple: iCloud</v>
      </c>
      <c r="D138" s="7" t="str">
        <f aca="false">IF($C138="","",Recurring!$C$13)</f>
        <v>Expense</v>
      </c>
      <c r="E138" s="118" t="n">
        <f aca="false">IF($C138="","",IF(SUMIFS(Overrides!$E$9:$E$108,Overrides!$B$9:$B$108,$C138,Overrides!$C$9:$C$108,$L138)&gt;0,SUMIFS(Overrides!$E$9:$E$108,Overrides!$B$9:$B$108,$C138,Overrides!$C$9:$C$108,$L138),Recurring!$D$13))</f>
        <v>2.99</v>
      </c>
      <c r="F138" s="119" t="n">
        <f aca="false">IF($C138="","",IF(Recurring!$E$13="Weekly",Recurring!$F$13+7*6,IF(Recurring!$E$13="Every 2 Weeks",Recurring!$F$13+14*6,IF(Recurring!$E$13="Monthly",EDATE(Recurring!$F$13,6),IF(Recurring!$E$13="Twice a Month",IF(MOD((IF(DAY(Recurring!$F$13)&lt;=20,0,1)+6),2)=1,EOMONTH(Recurring!$F$13,INT((IF(DAY(Recurring!$F$13)&lt;=20,0,1)+6)/2)),DATE(YEAR(EDATE(Recurring!$F$13,INT((IF(DAY(Recurring!$F$13)&lt;=20,0,1)+6)/2))),MONTH(EDATE(Recurring!$F$13,INT((IF(DAY(Recurring!$F$13)&lt;=20,0,1)+6)/2))),15)),IF(Recurring!$E$13="One Time",IF(7=1,Recurring!$F$13,""),""))))))</f>
        <v>46459</v>
      </c>
      <c r="G138" s="119" t="n">
        <f aca="false">IF($L138="","",IF(SUMIFS(Overrides!$D$9:$D$108,Overrides!$B$9:$B$108,$C138,Overrides!$C$9:$C$108,$L138)&gt;0,SUMIFS(Overrides!$D$9:$D$108,Overrides!$B$9:$B$108,$C138,Overrides!$C$9:$C$108,$L138),$L138))</f>
        <v>46459</v>
      </c>
      <c r="H138" s="120" t="n">
        <f aca="false">IF($G138="",0,IF(AND($G138&gt;='Cash Flow'!$E$6,$G138&lt;'Cash Flow'!$E$6+91),1,0))</f>
        <v>0</v>
      </c>
      <c r="I138" s="120" t="str">
        <f aca="false">IF($H138=1,MAX(1,INT(($G138-'Cash Flow'!$E$6)/7)+1),"")</f>
        <v/>
      </c>
      <c r="J138" s="7" t="str">
        <f aca="false">IF($H138=1,$G138*10000+ROW(),"")</f>
        <v/>
      </c>
      <c r="K138" s="7" t="str">
        <f aca="false">IF($H138=1,$I138*1000+COUNTIFS($I$4:$I$483,$I138,$J$4:$J$483,"&lt;"&amp;$J138)+1,"")</f>
        <v/>
      </c>
      <c r="L138" s="121" t="n">
        <f aca="false">IF($F138="","",IF(Recurring!$G$13="Move Before",IF(WEEKDAY($F138,2)=6,$F138-1,IF(WEEKDAY($F138,2)=7,$F138-2,$F138)),IF(Recurring!$G$13="Move After",IF(WEEKDAY($F138,2)=6,$F138+2,IF(WEEKDAY($F138,2)=7,$F138+1,$F138)),$F138)))</f>
        <v>46459</v>
      </c>
      <c r="M138" s="0" t="str">
        <f aca="true">IF(AND($H138=1,$D138="Expense",$G138&gt;TODAY(),$E138&gt;=100),$G138*100000+ROW(),"")</f>
        <v/>
      </c>
      <c r="N138" s="0" t="str">
        <f aca="true">IF(AND($H138=1,$D138="Income",$G138&gt;TODAY()),$G138*100000+ROW(),"")</f>
        <v/>
      </c>
    </row>
    <row r="139" customFormat="false" ht="15" hidden="false" customHeight="true" outlineLevel="0" collapsed="false">
      <c r="A139" s="117" t="n">
        <v>9</v>
      </c>
      <c r="B139" s="117" t="n">
        <v>8</v>
      </c>
      <c r="C139" s="7" t="str">
        <f aca="false">IF(OR(Recurring!$B$13="",Recurring!$H$13&lt;&gt;"Yes",Recurring!$D$13=""),"",Recurring!$B$13)</f>
        <v>Apple: iCloud</v>
      </c>
      <c r="D139" s="7" t="str">
        <f aca="false">IF($C139="","",Recurring!$C$13)</f>
        <v>Expense</v>
      </c>
      <c r="E139" s="118" t="n">
        <f aca="false">IF($C139="","",IF(SUMIFS(Overrides!$E$9:$E$108,Overrides!$B$9:$B$108,$C139,Overrides!$C$9:$C$108,$L139)&gt;0,SUMIFS(Overrides!$E$9:$E$108,Overrides!$B$9:$B$108,$C139,Overrides!$C$9:$C$108,$L139),Recurring!$D$13))</f>
        <v>2.99</v>
      </c>
      <c r="F139" s="119" t="n">
        <f aca="false">IF($C139="","",IF(Recurring!$E$13="Weekly",Recurring!$F$13+7*7,IF(Recurring!$E$13="Every 2 Weeks",Recurring!$F$13+14*7,IF(Recurring!$E$13="Monthly",EDATE(Recurring!$F$13,7),IF(Recurring!$E$13="Twice a Month",IF(MOD((IF(DAY(Recurring!$F$13)&lt;=20,0,1)+7),2)=1,EOMONTH(Recurring!$F$13,INT((IF(DAY(Recurring!$F$13)&lt;=20,0,1)+7)/2)),DATE(YEAR(EDATE(Recurring!$F$13,INT((IF(DAY(Recurring!$F$13)&lt;=20,0,1)+7)/2))),MONTH(EDATE(Recurring!$F$13,INT((IF(DAY(Recurring!$F$13)&lt;=20,0,1)+7)/2))),15)),IF(Recurring!$E$13="One Time",IF(8=1,Recurring!$F$13,""),""))))))</f>
        <v>46490</v>
      </c>
      <c r="G139" s="119" t="n">
        <f aca="false">IF($L139="","",IF(SUMIFS(Overrides!$D$9:$D$108,Overrides!$B$9:$B$108,$C139,Overrides!$C$9:$C$108,$L139)&gt;0,SUMIFS(Overrides!$D$9:$D$108,Overrides!$B$9:$B$108,$C139,Overrides!$C$9:$C$108,$L139),$L139))</f>
        <v>46490</v>
      </c>
      <c r="H139" s="120" t="n">
        <f aca="false">IF($G139="",0,IF(AND($G139&gt;='Cash Flow'!$E$6,$G139&lt;'Cash Flow'!$E$6+91),1,0))</f>
        <v>0</v>
      </c>
      <c r="I139" s="120" t="str">
        <f aca="false">IF($H139=1,MAX(1,INT(($G139-'Cash Flow'!$E$6)/7)+1),"")</f>
        <v/>
      </c>
      <c r="J139" s="7" t="str">
        <f aca="false">IF($H139=1,$G139*10000+ROW(),"")</f>
        <v/>
      </c>
      <c r="K139" s="7" t="str">
        <f aca="false">IF($H139=1,$I139*1000+COUNTIFS($I$4:$I$483,$I139,$J$4:$J$483,"&lt;"&amp;$J139)+1,"")</f>
        <v/>
      </c>
      <c r="L139" s="121" t="n">
        <f aca="false">IF($F139="","",IF(Recurring!$G$13="Move Before",IF(WEEKDAY($F139,2)=6,$F139-1,IF(WEEKDAY($F139,2)=7,$F139-2,$F139)),IF(Recurring!$G$13="Move After",IF(WEEKDAY($F139,2)=6,$F139+2,IF(WEEKDAY($F139,2)=7,$F139+1,$F139)),$F139)))</f>
        <v>46490</v>
      </c>
      <c r="M139" s="0" t="str">
        <f aca="true">IF(AND($H139=1,$D139="Expense",$G139&gt;TODAY(),$E139&gt;=100),$G139*100000+ROW(),"")</f>
        <v/>
      </c>
      <c r="N139" s="0" t="str">
        <f aca="true">IF(AND($H139=1,$D139="Income",$G139&gt;TODAY()),$G139*100000+ROW(),"")</f>
        <v/>
      </c>
    </row>
    <row r="140" customFormat="false" ht="15" hidden="false" customHeight="true" outlineLevel="0" collapsed="false">
      <c r="A140" s="117" t="n">
        <v>9</v>
      </c>
      <c r="B140" s="117" t="n">
        <v>9</v>
      </c>
      <c r="C140" s="7" t="str">
        <f aca="false">IF(OR(Recurring!$B$13="",Recurring!$H$13&lt;&gt;"Yes",Recurring!$D$13=""),"",Recurring!$B$13)</f>
        <v>Apple: iCloud</v>
      </c>
      <c r="D140" s="7" t="str">
        <f aca="false">IF($C140="","",Recurring!$C$13)</f>
        <v>Expense</v>
      </c>
      <c r="E140" s="118" t="n">
        <f aca="false">IF($C140="","",IF(SUMIFS(Overrides!$E$9:$E$108,Overrides!$B$9:$B$108,$C140,Overrides!$C$9:$C$108,$L140)&gt;0,SUMIFS(Overrides!$E$9:$E$108,Overrides!$B$9:$B$108,$C140,Overrides!$C$9:$C$108,$L140),Recurring!$D$13))</f>
        <v>2.99</v>
      </c>
      <c r="F140" s="119" t="n">
        <f aca="false">IF($C140="","",IF(Recurring!$E$13="Weekly",Recurring!$F$13+7*8,IF(Recurring!$E$13="Every 2 Weeks",Recurring!$F$13+14*8,IF(Recurring!$E$13="Monthly",EDATE(Recurring!$F$13,8),IF(Recurring!$E$13="Twice a Month",IF(MOD((IF(DAY(Recurring!$F$13)&lt;=20,0,1)+8),2)=1,EOMONTH(Recurring!$F$13,INT((IF(DAY(Recurring!$F$13)&lt;=20,0,1)+8)/2)),DATE(YEAR(EDATE(Recurring!$F$13,INT((IF(DAY(Recurring!$F$13)&lt;=20,0,1)+8)/2))),MONTH(EDATE(Recurring!$F$13,INT((IF(DAY(Recurring!$F$13)&lt;=20,0,1)+8)/2))),15)),IF(Recurring!$E$13="One Time",IF(9=1,Recurring!$F$13,""),""))))))</f>
        <v>46520</v>
      </c>
      <c r="G140" s="119" t="n">
        <f aca="false">IF($L140="","",IF(SUMIFS(Overrides!$D$9:$D$108,Overrides!$B$9:$B$108,$C140,Overrides!$C$9:$C$108,$L140)&gt;0,SUMIFS(Overrides!$D$9:$D$108,Overrides!$B$9:$B$108,$C140,Overrides!$C$9:$C$108,$L140),$L140))</f>
        <v>46520</v>
      </c>
      <c r="H140" s="120" t="n">
        <f aca="false">IF($G140="",0,IF(AND($G140&gt;='Cash Flow'!$E$6,$G140&lt;'Cash Flow'!$E$6+91),1,0))</f>
        <v>0</v>
      </c>
      <c r="I140" s="120" t="str">
        <f aca="false">IF($H140=1,MAX(1,INT(($G140-'Cash Flow'!$E$6)/7)+1),"")</f>
        <v/>
      </c>
      <c r="J140" s="7" t="str">
        <f aca="false">IF($H140=1,$G140*10000+ROW(),"")</f>
        <v/>
      </c>
      <c r="K140" s="7" t="str">
        <f aca="false">IF($H140=1,$I140*1000+COUNTIFS($I$4:$I$483,$I140,$J$4:$J$483,"&lt;"&amp;$J140)+1,"")</f>
        <v/>
      </c>
      <c r="L140" s="121" t="n">
        <f aca="false">IF($F140="","",IF(Recurring!$G$13="Move Before",IF(WEEKDAY($F140,2)=6,$F140-1,IF(WEEKDAY($F140,2)=7,$F140-2,$F140)),IF(Recurring!$G$13="Move After",IF(WEEKDAY($F140,2)=6,$F140+2,IF(WEEKDAY($F140,2)=7,$F140+1,$F140)),$F140)))</f>
        <v>46520</v>
      </c>
      <c r="M140" s="0" t="str">
        <f aca="true">IF(AND($H140=1,$D140="Expense",$G140&gt;TODAY(),$E140&gt;=100),$G140*100000+ROW(),"")</f>
        <v/>
      </c>
      <c r="N140" s="0" t="str">
        <f aca="true">IF(AND($H140=1,$D140="Income",$G140&gt;TODAY()),$G140*100000+ROW(),"")</f>
        <v/>
      </c>
    </row>
    <row r="141" customFormat="false" ht="15" hidden="false" customHeight="true" outlineLevel="0" collapsed="false">
      <c r="A141" s="117" t="n">
        <v>9</v>
      </c>
      <c r="B141" s="117" t="n">
        <v>10</v>
      </c>
      <c r="C141" s="7" t="str">
        <f aca="false">IF(OR(Recurring!$B$13="",Recurring!$H$13&lt;&gt;"Yes",Recurring!$D$13=""),"",Recurring!$B$13)</f>
        <v>Apple: iCloud</v>
      </c>
      <c r="D141" s="7" t="str">
        <f aca="false">IF($C141="","",Recurring!$C$13)</f>
        <v>Expense</v>
      </c>
      <c r="E141" s="118" t="n">
        <f aca="false">IF($C141="","",IF(SUMIFS(Overrides!$E$9:$E$108,Overrides!$B$9:$B$108,$C141,Overrides!$C$9:$C$108,$L141)&gt;0,SUMIFS(Overrides!$E$9:$E$108,Overrides!$B$9:$B$108,$C141,Overrides!$C$9:$C$108,$L141),Recurring!$D$13))</f>
        <v>2.99</v>
      </c>
      <c r="F141" s="119" t="n">
        <f aca="false">IF($C141="","",IF(Recurring!$E$13="Weekly",Recurring!$F$13+7*9,IF(Recurring!$E$13="Every 2 Weeks",Recurring!$F$13+14*9,IF(Recurring!$E$13="Monthly",EDATE(Recurring!$F$13,9),IF(Recurring!$E$13="Twice a Month",IF(MOD((IF(DAY(Recurring!$F$13)&lt;=20,0,1)+9),2)=1,EOMONTH(Recurring!$F$13,INT((IF(DAY(Recurring!$F$13)&lt;=20,0,1)+9)/2)),DATE(YEAR(EDATE(Recurring!$F$13,INT((IF(DAY(Recurring!$F$13)&lt;=20,0,1)+9)/2))),MONTH(EDATE(Recurring!$F$13,INT((IF(DAY(Recurring!$F$13)&lt;=20,0,1)+9)/2))),15)),IF(Recurring!$E$13="One Time",IF(10=1,Recurring!$F$13,""),""))))))</f>
        <v>46551</v>
      </c>
      <c r="G141" s="119" t="n">
        <f aca="false">IF($L141="","",IF(SUMIFS(Overrides!$D$9:$D$108,Overrides!$B$9:$B$108,$C141,Overrides!$C$9:$C$108,$L141)&gt;0,SUMIFS(Overrides!$D$9:$D$108,Overrides!$B$9:$B$108,$C141,Overrides!$C$9:$C$108,$L141),$L141))</f>
        <v>46551</v>
      </c>
      <c r="H141" s="120" t="n">
        <f aca="false">IF($G141="",0,IF(AND($G141&gt;='Cash Flow'!$E$6,$G141&lt;'Cash Flow'!$E$6+91),1,0))</f>
        <v>0</v>
      </c>
      <c r="I141" s="120" t="str">
        <f aca="false">IF($H141=1,MAX(1,INT(($G141-'Cash Flow'!$E$6)/7)+1),"")</f>
        <v/>
      </c>
      <c r="J141" s="7" t="str">
        <f aca="false">IF($H141=1,$G141*10000+ROW(),"")</f>
        <v/>
      </c>
      <c r="K141" s="7" t="str">
        <f aca="false">IF($H141=1,$I141*1000+COUNTIFS($I$4:$I$483,$I141,$J$4:$J$483,"&lt;"&amp;$J141)+1,"")</f>
        <v/>
      </c>
      <c r="L141" s="121" t="n">
        <f aca="false">IF($F141="","",IF(Recurring!$G$13="Move Before",IF(WEEKDAY($F141,2)=6,$F141-1,IF(WEEKDAY($F141,2)=7,$F141-2,$F141)),IF(Recurring!$G$13="Move After",IF(WEEKDAY($F141,2)=6,$F141+2,IF(WEEKDAY($F141,2)=7,$F141+1,$F141)),$F141)))</f>
        <v>46551</v>
      </c>
      <c r="M141" s="0" t="str">
        <f aca="true">IF(AND($H141=1,$D141="Expense",$G141&gt;TODAY(),$E141&gt;=100),$G141*100000+ROW(),"")</f>
        <v/>
      </c>
      <c r="N141" s="0" t="str">
        <f aca="true">IF(AND($H141=1,$D141="Income",$G141&gt;TODAY()),$G141*100000+ROW(),"")</f>
        <v/>
      </c>
    </row>
    <row r="142" customFormat="false" ht="15" hidden="false" customHeight="true" outlineLevel="0" collapsed="false">
      <c r="A142" s="117" t="n">
        <v>9</v>
      </c>
      <c r="B142" s="117" t="n">
        <v>11</v>
      </c>
      <c r="C142" s="7" t="str">
        <f aca="false">IF(OR(Recurring!$B$13="",Recurring!$H$13&lt;&gt;"Yes",Recurring!$D$13=""),"",Recurring!$B$13)</f>
        <v>Apple: iCloud</v>
      </c>
      <c r="D142" s="7" t="str">
        <f aca="false">IF($C142="","",Recurring!$C$13)</f>
        <v>Expense</v>
      </c>
      <c r="E142" s="118" t="n">
        <f aca="false">IF($C142="","",IF(SUMIFS(Overrides!$E$9:$E$108,Overrides!$B$9:$B$108,$C142,Overrides!$C$9:$C$108,$L142)&gt;0,SUMIFS(Overrides!$E$9:$E$108,Overrides!$B$9:$B$108,$C142,Overrides!$C$9:$C$108,$L142),Recurring!$D$13))</f>
        <v>2.99</v>
      </c>
      <c r="F142" s="119" t="n">
        <f aca="false">IF($C142="","",IF(Recurring!$E$13="Weekly",Recurring!$F$13+7*10,IF(Recurring!$E$13="Every 2 Weeks",Recurring!$F$13+14*10,IF(Recurring!$E$13="Monthly",EDATE(Recurring!$F$13,10),IF(Recurring!$E$13="Twice a Month",IF(MOD((IF(DAY(Recurring!$F$13)&lt;=20,0,1)+10),2)=1,EOMONTH(Recurring!$F$13,INT((IF(DAY(Recurring!$F$13)&lt;=20,0,1)+10)/2)),DATE(YEAR(EDATE(Recurring!$F$13,INT((IF(DAY(Recurring!$F$13)&lt;=20,0,1)+10)/2))),MONTH(EDATE(Recurring!$F$13,INT((IF(DAY(Recurring!$F$13)&lt;=20,0,1)+10)/2))),15)),IF(Recurring!$E$13="One Time",IF(11=1,Recurring!$F$13,""),""))))))</f>
        <v>46581</v>
      </c>
      <c r="G142" s="119" t="n">
        <f aca="false">IF($L142="","",IF(SUMIFS(Overrides!$D$9:$D$108,Overrides!$B$9:$B$108,$C142,Overrides!$C$9:$C$108,$L142)&gt;0,SUMIFS(Overrides!$D$9:$D$108,Overrides!$B$9:$B$108,$C142,Overrides!$C$9:$C$108,$L142),$L142))</f>
        <v>46581</v>
      </c>
      <c r="H142" s="120" t="n">
        <f aca="false">IF($G142="",0,IF(AND($G142&gt;='Cash Flow'!$E$6,$G142&lt;'Cash Flow'!$E$6+91),1,0))</f>
        <v>0</v>
      </c>
      <c r="I142" s="120" t="str">
        <f aca="false">IF($H142=1,MAX(1,INT(($G142-'Cash Flow'!$E$6)/7)+1),"")</f>
        <v/>
      </c>
      <c r="J142" s="7" t="str">
        <f aca="false">IF($H142=1,$G142*10000+ROW(),"")</f>
        <v/>
      </c>
      <c r="K142" s="7" t="str">
        <f aca="false">IF($H142=1,$I142*1000+COUNTIFS($I$4:$I$483,$I142,$J$4:$J$483,"&lt;"&amp;$J142)+1,"")</f>
        <v/>
      </c>
      <c r="L142" s="121" t="n">
        <f aca="false">IF($F142="","",IF(Recurring!$G$13="Move Before",IF(WEEKDAY($F142,2)=6,$F142-1,IF(WEEKDAY($F142,2)=7,$F142-2,$F142)),IF(Recurring!$G$13="Move After",IF(WEEKDAY($F142,2)=6,$F142+2,IF(WEEKDAY($F142,2)=7,$F142+1,$F142)),$F142)))</f>
        <v>46581</v>
      </c>
      <c r="M142" s="0" t="str">
        <f aca="true">IF(AND($H142=1,$D142="Expense",$G142&gt;TODAY(),$E142&gt;=100),$G142*100000+ROW(),"")</f>
        <v/>
      </c>
      <c r="N142" s="0" t="str">
        <f aca="true">IF(AND($H142=1,$D142="Income",$G142&gt;TODAY()),$G142*100000+ROW(),"")</f>
        <v/>
      </c>
    </row>
    <row r="143" customFormat="false" ht="15" hidden="false" customHeight="true" outlineLevel="0" collapsed="false">
      <c r="A143" s="117" t="n">
        <v>9</v>
      </c>
      <c r="B143" s="117" t="n">
        <v>12</v>
      </c>
      <c r="C143" s="7" t="str">
        <f aca="false">IF(OR(Recurring!$B$13="",Recurring!$H$13&lt;&gt;"Yes",Recurring!$D$13=""),"",Recurring!$B$13)</f>
        <v>Apple: iCloud</v>
      </c>
      <c r="D143" s="7" t="str">
        <f aca="false">IF($C143="","",Recurring!$C$13)</f>
        <v>Expense</v>
      </c>
      <c r="E143" s="118" t="n">
        <f aca="false">IF($C143="","",IF(SUMIFS(Overrides!$E$9:$E$108,Overrides!$B$9:$B$108,$C143,Overrides!$C$9:$C$108,$L143)&gt;0,SUMIFS(Overrides!$E$9:$E$108,Overrides!$B$9:$B$108,$C143,Overrides!$C$9:$C$108,$L143),Recurring!$D$13))</f>
        <v>2.99</v>
      </c>
      <c r="F143" s="119" t="n">
        <f aca="false">IF($C143="","",IF(Recurring!$E$13="Weekly",Recurring!$F$13+7*11,IF(Recurring!$E$13="Every 2 Weeks",Recurring!$F$13+14*11,IF(Recurring!$E$13="Monthly",EDATE(Recurring!$F$13,11),IF(Recurring!$E$13="Twice a Month",IF(MOD((IF(DAY(Recurring!$F$13)&lt;=20,0,1)+11),2)=1,EOMONTH(Recurring!$F$13,INT((IF(DAY(Recurring!$F$13)&lt;=20,0,1)+11)/2)),DATE(YEAR(EDATE(Recurring!$F$13,INT((IF(DAY(Recurring!$F$13)&lt;=20,0,1)+11)/2))),MONTH(EDATE(Recurring!$F$13,INT((IF(DAY(Recurring!$F$13)&lt;=20,0,1)+11)/2))),15)),IF(Recurring!$E$13="One Time",IF(12=1,Recurring!$F$13,""),""))))))</f>
        <v>46612</v>
      </c>
      <c r="G143" s="119" t="n">
        <f aca="false">IF($L143="","",IF(SUMIFS(Overrides!$D$9:$D$108,Overrides!$B$9:$B$108,$C143,Overrides!$C$9:$C$108,$L143)&gt;0,SUMIFS(Overrides!$D$9:$D$108,Overrides!$B$9:$B$108,$C143,Overrides!$C$9:$C$108,$L143),$L143))</f>
        <v>46612</v>
      </c>
      <c r="H143" s="120" t="n">
        <f aca="false">IF($G143="",0,IF(AND($G143&gt;='Cash Flow'!$E$6,$G143&lt;'Cash Flow'!$E$6+91),1,0))</f>
        <v>0</v>
      </c>
      <c r="I143" s="120" t="str">
        <f aca="false">IF($H143=1,MAX(1,INT(($G143-'Cash Flow'!$E$6)/7)+1),"")</f>
        <v/>
      </c>
      <c r="J143" s="7" t="str">
        <f aca="false">IF($H143=1,$G143*10000+ROW(),"")</f>
        <v/>
      </c>
      <c r="K143" s="7" t="str">
        <f aca="false">IF($H143=1,$I143*1000+COUNTIFS($I$4:$I$483,$I143,$J$4:$J$483,"&lt;"&amp;$J143)+1,"")</f>
        <v/>
      </c>
      <c r="L143" s="121" t="n">
        <f aca="false">IF($F143="","",IF(Recurring!$G$13="Move Before",IF(WEEKDAY($F143,2)=6,$F143-1,IF(WEEKDAY($F143,2)=7,$F143-2,$F143)),IF(Recurring!$G$13="Move After",IF(WEEKDAY($F143,2)=6,$F143+2,IF(WEEKDAY($F143,2)=7,$F143+1,$F143)),$F143)))</f>
        <v>46612</v>
      </c>
      <c r="M143" s="0" t="str">
        <f aca="true">IF(AND($H143=1,$D143="Expense",$G143&gt;TODAY(),$E143&gt;=100),$G143*100000+ROW(),"")</f>
        <v/>
      </c>
      <c r="N143" s="0" t="str">
        <f aca="true">IF(AND($H143=1,$D143="Income",$G143&gt;TODAY()),$G143*100000+ROW(),"")</f>
        <v/>
      </c>
    </row>
    <row r="144" customFormat="false" ht="15" hidden="false" customHeight="true" outlineLevel="0" collapsed="false">
      <c r="A144" s="117" t="n">
        <v>9</v>
      </c>
      <c r="B144" s="117" t="n">
        <v>13</v>
      </c>
      <c r="C144" s="7" t="str">
        <f aca="false">IF(OR(Recurring!$B$13="",Recurring!$H$13&lt;&gt;"Yes",Recurring!$D$13=""),"",Recurring!$B$13)</f>
        <v>Apple: iCloud</v>
      </c>
      <c r="D144" s="7" t="str">
        <f aca="false">IF($C144="","",Recurring!$C$13)</f>
        <v>Expense</v>
      </c>
      <c r="E144" s="118" t="n">
        <f aca="false">IF($C144="","",IF(SUMIFS(Overrides!$E$9:$E$108,Overrides!$B$9:$B$108,$C144,Overrides!$C$9:$C$108,$L144)&gt;0,SUMIFS(Overrides!$E$9:$E$108,Overrides!$B$9:$B$108,$C144,Overrides!$C$9:$C$108,$L144),Recurring!$D$13))</f>
        <v>2.99</v>
      </c>
      <c r="F144" s="119" t="n">
        <f aca="false">IF($C144="","",IF(Recurring!$E$13="Weekly",Recurring!$F$13+7*12,IF(Recurring!$E$13="Every 2 Weeks",Recurring!$F$13+14*12,IF(Recurring!$E$13="Monthly",EDATE(Recurring!$F$13,12),IF(Recurring!$E$13="Twice a Month",IF(MOD((IF(DAY(Recurring!$F$13)&lt;=20,0,1)+12),2)=1,EOMONTH(Recurring!$F$13,INT((IF(DAY(Recurring!$F$13)&lt;=20,0,1)+12)/2)),DATE(YEAR(EDATE(Recurring!$F$13,INT((IF(DAY(Recurring!$F$13)&lt;=20,0,1)+12)/2))),MONTH(EDATE(Recurring!$F$13,INT((IF(DAY(Recurring!$F$13)&lt;=20,0,1)+12)/2))),15)),IF(Recurring!$E$13="One Time",IF(13=1,Recurring!$F$13,""),""))))))</f>
        <v>46643</v>
      </c>
      <c r="G144" s="119" t="n">
        <f aca="false">IF($L144="","",IF(SUMIFS(Overrides!$D$9:$D$108,Overrides!$B$9:$B$108,$C144,Overrides!$C$9:$C$108,$L144)&gt;0,SUMIFS(Overrides!$D$9:$D$108,Overrides!$B$9:$B$108,$C144,Overrides!$C$9:$C$108,$L144),$L144))</f>
        <v>46643</v>
      </c>
      <c r="H144" s="120" t="n">
        <f aca="false">IF($G144="",0,IF(AND($G144&gt;='Cash Flow'!$E$6,$G144&lt;'Cash Flow'!$E$6+91),1,0))</f>
        <v>0</v>
      </c>
      <c r="I144" s="120" t="str">
        <f aca="false">IF($H144=1,MAX(1,INT(($G144-'Cash Flow'!$E$6)/7)+1),"")</f>
        <v/>
      </c>
      <c r="J144" s="7" t="str">
        <f aca="false">IF($H144=1,$G144*10000+ROW(),"")</f>
        <v/>
      </c>
      <c r="K144" s="7" t="str">
        <f aca="false">IF($H144=1,$I144*1000+COUNTIFS($I$4:$I$483,$I144,$J$4:$J$483,"&lt;"&amp;$J144)+1,"")</f>
        <v/>
      </c>
      <c r="L144" s="121" t="n">
        <f aca="false">IF($F144="","",IF(Recurring!$G$13="Move Before",IF(WEEKDAY($F144,2)=6,$F144-1,IF(WEEKDAY($F144,2)=7,$F144-2,$F144)),IF(Recurring!$G$13="Move After",IF(WEEKDAY($F144,2)=6,$F144+2,IF(WEEKDAY($F144,2)=7,$F144+1,$F144)),$F144)))</f>
        <v>46643</v>
      </c>
      <c r="M144" s="0" t="str">
        <f aca="true">IF(AND($H144=1,$D144="Expense",$G144&gt;TODAY(),$E144&gt;=100),$G144*100000+ROW(),"")</f>
        <v/>
      </c>
      <c r="N144" s="0" t="str">
        <f aca="true">IF(AND($H144=1,$D144="Income",$G144&gt;TODAY()),$G144*100000+ROW(),"")</f>
        <v/>
      </c>
    </row>
    <row r="145" customFormat="false" ht="15" hidden="false" customHeight="true" outlineLevel="0" collapsed="false">
      <c r="A145" s="117" t="n">
        <v>9</v>
      </c>
      <c r="B145" s="117" t="n">
        <v>14</v>
      </c>
      <c r="C145" s="7" t="str">
        <f aca="false">IF(OR(Recurring!$B$13="",Recurring!$H$13&lt;&gt;"Yes",Recurring!$D$13=""),"",Recurring!$B$13)</f>
        <v>Apple: iCloud</v>
      </c>
      <c r="D145" s="7" t="str">
        <f aca="false">IF($C145="","",Recurring!$C$13)</f>
        <v>Expense</v>
      </c>
      <c r="E145" s="118" t="n">
        <f aca="false">IF($C145="","",IF(SUMIFS(Overrides!$E$9:$E$108,Overrides!$B$9:$B$108,$C145,Overrides!$C$9:$C$108,$L145)&gt;0,SUMIFS(Overrides!$E$9:$E$108,Overrides!$B$9:$B$108,$C145,Overrides!$C$9:$C$108,$L145),Recurring!$D$13))</f>
        <v>2.99</v>
      </c>
      <c r="F145" s="119" t="n">
        <f aca="false">IF($C145="","",IF(Recurring!$E$13="Weekly",Recurring!$F$13+7*13,IF(Recurring!$E$13="Every 2 Weeks",Recurring!$F$13+14*13,IF(Recurring!$E$13="Monthly",EDATE(Recurring!$F$13,13),IF(Recurring!$E$13="Twice a Month",IF(MOD((IF(DAY(Recurring!$F$13)&lt;=20,0,1)+13),2)=1,EOMONTH(Recurring!$F$13,INT((IF(DAY(Recurring!$F$13)&lt;=20,0,1)+13)/2)),DATE(YEAR(EDATE(Recurring!$F$13,INT((IF(DAY(Recurring!$F$13)&lt;=20,0,1)+13)/2))),MONTH(EDATE(Recurring!$F$13,INT((IF(DAY(Recurring!$F$13)&lt;=20,0,1)+13)/2))),15)),IF(Recurring!$E$13="One Time",IF(14=1,Recurring!$F$13,""),""))))))</f>
        <v>46673</v>
      </c>
      <c r="G145" s="119" t="n">
        <f aca="false">IF($L145="","",IF(SUMIFS(Overrides!$D$9:$D$108,Overrides!$B$9:$B$108,$C145,Overrides!$C$9:$C$108,$L145)&gt;0,SUMIFS(Overrides!$D$9:$D$108,Overrides!$B$9:$B$108,$C145,Overrides!$C$9:$C$108,$L145),$L145))</f>
        <v>46673</v>
      </c>
      <c r="H145" s="120" t="n">
        <f aca="false">IF($G145="",0,IF(AND($G145&gt;='Cash Flow'!$E$6,$G145&lt;'Cash Flow'!$E$6+91),1,0))</f>
        <v>0</v>
      </c>
      <c r="I145" s="120" t="str">
        <f aca="false">IF($H145=1,MAX(1,INT(($G145-'Cash Flow'!$E$6)/7)+1),"")</f>
        <v/>
      </c>
      <c r="J145" s="7" t="str">
        <f aca="false">IF($H145=1,$G145*10000+ROW(),"")</f>
        <v/>
      </c>
      <c r="K145" s="7" t="str">
        <f aca="false">IF($H145=1,$I145*1000+COUNTIFS($I$4:$I$483,$I145,$J$4:$J$483,"&lt;"&amp;$J145)+1,"")</f>
        <v/>
      </c>
      <c r="L145" s="121" t="n">
        <f aca="false">IF($F145="","",IF(Recurring!$G$13="Move Before",IF(WEEKDAY($F145,2)=6,$F145-1,IF(WEEKDAY($F145,2)=7,$F145-2,$F145)),IF(Recurring!$G$13="Move After",IF(WEEKDAY($F145,2)=6,$F145+2,IF(WEEKDAY($F145,2)=7,$F145+1,$F145)),$F145)))</f>
        <v>46673</v>
      </c>
      <c r="M145" s="0" t="str">
        <f aca="true">IF(AND($H145=1,$D145="Expense",$G145&gt;TODAY(),$E145&gt;=100),$G145*100000+ROW(),"")</f>
        <v/>
      </c>
      <c r="N145" s="0" t="str">
        <f aca="true">IF(AND($H145=1,$D145="Income",$G145&gt;TODAY()),$G145*100000+ROW(),"")</f>
        <v/>
      </c>
    </row>
    <row r="146" customFormat="false" ht="15" hidden="false" customHeight="true" outlineLevel="0" collapsed="false">
      <c r="A146" s="117" t="n">
        <v>9</v>
      </c>
      <c r="B146" s="117" t="n">
        <v>15</v>
      </c>
      <c r="C146" s="7" t="str">
        <f aca="false">IF(OR(Recurring!$B$13="",Recurring!$H$13&lt;&gt;"Yes",Recurring!$D$13=""),"",Recurring!$B$13)</f>
        <v>Apple: iCloud</v>
      </c>
      <c r="D146" s="7" t="str">
        <f aca="false">IF($C146="","",Recurring!$C$13)</f>
        <v>Expense</v>
      </c>
      <c r="E146" s="118" t="n">
        <f aca="false">IF($C146="","",IF(SUMIFS(Overrides!$E$9:$E$108,Overrides!$B$9:$B$108,$C146,Overrides!$C$9:$C$108,$L146)&gt;0,SUMIFS(Overrides!$E$9:$E$108,Overrides!$B$9:$B$108,$C146,Overrides!$C$9:$C$108,$L146),Recurring!$D$13))</f>
        <v>2.99</v>
      </c>
      <c r="F146" s="119" t="n">
        <f aca="false">IF($C146="","",IF(Recurring!$E$13="Weekly",Recurring!$F$13+7*14,IF(Recurring!$E$13="Every 2 Weeks",Recurring!$F$13+14*14,IF(Recurring!$E$13="Monthly",EDATE(Recurring!$F$13,14),IF(Recurring!$E$13="Twice a Month",IF(MOD((IF(DAY(Recurring!$F$13)&lt;=20,0,1)+14),2)=1,EOMONTH(Recurring!$F$13,INT((IF(DAY(Recurring!$F$13)&lt;=20,0,1)+14)/2)),DATE(YEAR(EDATE(Recurring!$F$13,INT((IF(DAY(Recurring!$F$13)&lt;=20,0,1)+14)/2))),MONTH(EDATE(Recurring!$F$13,INT((IF(DAY(Recurring!$F$13)&lt;=20,0,1)+14)/2))),15)),IF(Recurring!$E$13="One Time",IF(15=1,Recurring!$F$13,""),""))))))</f>
        <v>46704</v>
      </c>
      <c r="G146" s="119" t="n">
        <f aca="false">IF($L146="","",IF(SUMIFS(Overrides!$D$9:$D$108,Overrides!$B$9:$B$108,$C146,Overrides!$C$9:$C$108,$L146)&gt;0,SUMIFS(Overrides!$D$9:$D$108,Overrides!$B$9:$B$108,$C146,Overrides!$C$9:$C$108,$L146),$L146))</f>
        <v>46704</v>
      </c>
      <c r="H146" s="120" t="n">
        <f aca="false">IF($G146="",0,IF(AND($G146&gt;='Cash Flow'!$E$6,$G146&lt;'Cash Flow'!$E$6+91),1,0))</f>
        <v>0</v>
      </c>
      <c r="I146" s="120" t="str">
        <f aca="false">IF($H146=1,MAX(1,INT(($G146-'Cash Flow'!$E$6)/7)+1),"")</f>
        <v/>
      </c>
      <c r="J146" s="7" t="str">
        <f aca="false">IF($H146=1,$G146*10000+ROW(),"")</f>
        <v/>
      </c>
      <c r="K146" s="7" t="str">
        <f aca="false">IF($H146=1,$I146*1000+COUNTIFS($I$4:$I$483,$I146,$J$4:$J$483,"&lt;"&amp;$J146)+1,"")</f>
        <v/>
      </c>
      <c r="L146" s="121" t="n">
        <f aca="false">IF($F146="","",IF(Recurring!$G$13="Move Before",IF(WEEKDAY($F146,2)=6,$F146-1,IF(WEEKDAY($F146,2)=7,$F146-2,$F146)),IF(Recurring!$G$13="Move After",IF(WEEKDAY($F146,2)=6,$F146+2,IF(WEEKDAY($F146,2)=7,$F146+1,$F146)),$F146)))</f>
        <v>46704</v>
      </c>
      <c r="M146" s="0" t="str">
        <f aca="true">IF(AND($H146=1,$D146="Expense",$G146&gt;TODAY(),$E146&gt;=100),$G146*100000+ROW(),"")</f>
        <v/>
      </c>
      <c r="N146" s="0" t="str">
        <f aca="true">IF(AND($H146=1,$D146="Income",$G146&gt;TODAY()),$G146*100000+ROW(),"")</f>
        <v/>
      </c>
    </row>
    <row r="147" customFormat="false" ht="15" hidden="false" customHeight="true" outlineLevel="0" collapsed="false">
      <c r="A147" s="117" t="n">
        <v>9</v>
      </c>
      <c r="B147" s="117" t="n">
        <v>16</v>
      </c>
      <c r="C147" s="7" t="str">
        <f aca="false">IF(OR(Recurring!$B$13="",Recurring!$H$13&lt;&gt;"Yes",Recurring!$D$13=""),"",Recurring!$B$13)</f>
        <v>Apple: iCloud</v>
      </c>
      <c r="D147" s="7" t="str">
        <f aca="false">IF($C147="","",Recurring!$C$13)</f>
        <v>Expense</v>
      </c>
      <c r="E147" s="118" t="n">
        <f aca="false">IF($C147="","",IF(SUMIFS(Overrides!$E$9:$E$108,Overrides!$B$9:$B$108,$C147,Overrides!$C$9:$C$108,$L147)&gt;0,SUMIFS(Overrides!$E$9:$E$108,Overrides!$B$9:$B$108,$C147,Overrides!$C$9:$C$108,$L147),Recurring!$D$13))</f>
        <v>2.99</v>
      </c>
      <c r="F147" s="119" t="n">
        <f aca="false">IF($C147="","",IF(Recurring!$E$13="Weekly",Recurring!$F$13+7*15,IF(Recurring!$E$13="Every 2 Weeks",Recurring!$F$13+14*15,IF(Recurring!$E$13="Monthly",EDATE(Recurring!$F$13,15),IF(Recurring!$E$13="Twice a Month",IF(MOD((IF(DAY(Recurring!$F$13)&lt;=20,0,1)+15),2)=1,EOMONTH(Recurring!$F$13,INT((IF(DAY(Recurring!$F$13)&lt;=20,0,1)+15)/2)),DATE(YEAR(EDATE(Recurring!$F$13,INT((IF(DAY(Recurring!$F$13)&lt;=20,0,1)+15)/2))),MONTH(EDATE(Recurring!$F$13,INT((IF(DAY(Recurring!$F$13)&lt;=20,0,1)+15)/2))),15)),IF(Recurring!$E$13="One Time",IF(16=1,Recurring!$F$13,""),""))))))</f>
        <v>46734</v>
      </c>
      <c r="G147" s="119" t="n">
        <f aca="false">IF($L147="","",IF(SUMIFS(Overrides!$D$9:$D$108,Overrides!$B$9:$B$108,$C147,Overrides!$C$9:$C$108,$L147)&gt;0,SUMIFS(Overrides!$D$9:$D$108,Overrides!$B$9:$B$108,$C147,Overrides!$C$9:$C$108,$L147),$L147))</f>
        <v>46734</v>
      </c>
      <c r="H147" s="120" t="n">
        <f aca="false">IF($G147="",0,IF(AND($G147&gt;='Cash Flow'!$E$6,$G147&lt;'Cash Flow'!$E$6+91),1,0))</f>
        <v>0</v>
      </c>
      <c r="I147" s="120" t="str">
        <f aca="false">IF($H147=1,MAX(1,INT(($G147-'Cash Flow'!$E$6)/7)+1),"")</f>
        <v/>
      </c>
      <c r="J147" s="7" t="str">
        <f aca="false">IF($H147=1,$G147*10000+ROW(),"")</f>
        <v/>
      </c>
      <c r="K147" s="7" t="str">
        <f aca="false">IF($H147=1,$I147*1000+COUNTIFS($I$4:$I$483,$I147,$J$4:$J$483,"&lt;"&amp;$J147)+1,"")</f>
        <v/>
      </c>
      <c r="L147" s="121" t="n">
        <f aca="false">IF($F147="","",IF(Recurring!$G$13="Move Before",IF(WEEKDAY($F147,2)=6,$F147-1,IF(WEEKDAY($F147,2)=7,$F147-2,$F147)),IF(Recurring!$G$13="Move After",IF(WEEKDAY($F147,2)=6,$F147+2,IF(WEEKDAY($F147,2)=7,$F147+1,$F147)),$F147)))</f>
        <v>46734</v>
      </c>
      <c r="M147" s="0" t="str">
        <f aca="true">IF(AND($H147=1,$D147="Expense",$G147&gt;TODAY(),$E147&gt;=100),$G147*100000+ROW(),"")</f>
        <v/>
      </c>
      <c r="N147" s="0" t="str">
        <f aca="true">IF(AND($H147=1,$D147="Income",$G147&gt;TODAY()),$G147*100000+ROW(),"")</f>
        <v/>
      </c>
    </row>
    <row r="148" customFormat="false" ht="15" hidden="false" customHeight="true" outlineLevel="0" collapsed="false">
      <c r="A148" s="117" t="n">
        <v>10</v>
      </c>
      <c r="B148" s="117" t="n">
        <v>1</v>
      </c>
      <c r="C148" s="7" t="str">
        <f aca="false">IF(OR(Recurring!$B$14="",Recurring!$H$14&lt;&gt;"Yes",Recurring!$D$14=""),"",Recurring!$B$14)</f>
        <v>Patrick Rombalski (rent)</v>
      </c>
      <c r="D148" s="7" t="str">
        <f aca="false">IF($C148="","",Recurring!$C$14)</f>
        <v>Expense</v>
      </c>
      <c r="E148" s="118" t="n">
        <f aca="false">IF($C148="","",IF(SUMIFS(Overrides!$E$9:$E$108,Overrides!$B$9:$B$108,$C148,Overrides!$C$9:$C$108,$L148)&gt;0,SUMIFS(Overrides!$E$9:$E$108,Overrides!$B$9:$B$108,$C148,Overrides!$C$9:$C$108,$L148),Recurring!$D$14))</f>
        <v>350</v>
      </c>
      <c r="F148" s="119" t="n">
        <f aca="false">IF($C148="","",IF(Recurring!$E$14="Weekly",Recurring!$F$14+7*0,IF(Recurring!$E$14="Every 2 Weeks",Recurring!$F$14+14*0,IF(Recurring!$E$14="Monthly",EDATE(Recurring!$F$14,0),IF(Recurring!$E$14="Twice a Month",IF(MOD((IF(DAY(Recurring!$F$14)&lt;=20,0,1)+0),2)=1,EOMONTH(Recurring!$F$14,INT((IF(DAY(Recurring!$F$14)&lt;=20,0,1)+0)/2)),DATE(YEAR(EDATE(Recurring!$F$14,INT((IF(DAY(Recurring!$F$14)&lt;=20,0,1)+0)/2))),MONTH(EDATE(Recurring!$F$14,INT((IF(DAY(Recurring!$F$14)&lt;=20,0,1)+0)/2))),15)),IF(Recurring!$E$14="One Time",IF(1=1,Recurring!$F$14,""),""))))))</f>
        <v>46265</v>
      </c>
      <c r="G148" s="119" t="n">
        <f aca="false">IF($L148="","",IF(SUMIFS(Overrides!$D$9:$D$108,Overrides!$B$9:$B$108,$C148,Overrides!$C$9:$C$108,$L148)&gt;0,SUMIFS(Overrides!$D$9:$D$108,Overrides!$B$9:$B$108,$C148,Overrides!$C$9:$C$108,$L148),$L148))</f>
        <v>46265</v>
      </c>
      <c r="H148" s="120" t="n">
        <f aca="false">IF($G148="",0,IF(AND($G148&gt;='Cash Flow'!$E$6-90,$G148&lt;'Cash Flow'!$E$6+91),1,0))</f>
        <v>1</v>
      </c>
      <c r="I148" s="120" t="n">
        <f aca="false">IF($H148=1,MAX(1,INT(($G148-'Cash Flow'!$E$6)/7)+1),"")</f>
        <v>3</v>
      </c>
      <c r="J148" s="7" t="n">
        <f aca="false">IF($H148=1,$G148*10000+ROW(),"")</f>
        <v>462650148</v>
      </c>
      <c r="K148" s="7" t="n">
        <f aca="false">IF($H148=1,$I148*1000+COUNTIFS($I$4:$I$483,$I148,$J$4:$J$483,"&lt;"&amp;$J148)+1,"")</f>
        <v>3002</v>
      </c>
      <c r="L148" s="121" t="n">
        <f aca="false">IF($F148="","",IF(Recurring!$G$14="Move Before",IF(WEEKDAY($F148,2)=6,$F148-1,IF(WEEKDAY($F148,2)=7,$F148-2,$F148)),IF(Recurring!$G$14="Move After",IF(WEEKDAY($F148,2)=6,$F148+2,IF(WEEKDAY($F148,2)=7,$F148+1,$F148)),$F148)))</f>
        <v>46265</v>
      </c>
      <c r="M148" s="122" t="n">
        <f aca="true">IF(AND($H148=1,$D148="Expense",$G148&gt;TODAY(),$E148&gt;=100),$G148*100000+ROW(),"")</f>
        <v>4626500148</v>
      </c>
      <c r="N148" s="0" t="str">
        <f aca="true">IF(AND($H148=1,$D148="Income",$G148&gt;TODAY()),$G148*100000+ROW(),"")</f>
        <v/>
      </c>
    </row>
    <row r="149" customFormat="false" ht="15" hidden="false" customHeight="true" outlineLevel="0" collapsed="false">
      <c r="A149" s="117" t="n">
        <v>10</v>
      </c>
      <c r="B149" s="117" t="n">
        <v>2</v>
      </c>
      <c r="C149" s="7" t="str">
        <f aca="false">IF(OR(Recurring!$B$14="",Recurring!$H$14&lt;&gt;"Yes",Recurring!$D$14=""),"",Recurring!$B$14)</f>
        <v>Patrick Rombalski (rent)</v>
      </c>
      <c r="D149" s="7" t="str">
        <f aca="false">IF($C149="","",Recurring!$C$14)</f>
        <v>Expense</v>
      </c>
      <c r="E149" s="118" t="n">
        <f aca="false">IF($C149="","",IF(SUMIFS(Overrides!$E$9:$E$108,Overrides!$B$9:$B$108,$C149,Overrides!$C$9:$C$108,$L149)&gt;0,SUMIFS(Overrides!$E$9:$E$108,Overrides!$B$9:$B$108,$C149,Overrides!$C$9:$C$108,$L149),Recurring!$D$14))</f>
        <v>350</v>
      </c>
      <c r="F149" s="119" t="n">
        <f aca="false">IF($C149="","",IF(Recurring!$E$14="Weekly",Recurring!$F$14+7*1,IF(Recurring!$E$14="Every 2 Weeks",Recurring!$F$14+14*1,IF(Recurring!$E$14="Monthly",EDATE(Recurring!$F$14,1),IF(Recurring!$E$14="Twice a Month",IF(MOD((IF(DAY(Recurring!$F$14)&lt;=20,0,1)+1),2)=1,EOMONTH(Recurring!$F$14,INT((IF(DAY(Recurring!$F$14)&lt;=20,0,1)+1)/2)),DATE(YEAR(EDATE(Recurring!$F$14,INT((IF(DAY(Recurring!$F$14)&lt;=20,0,1)+1)/2))),MONTH(EDATE(Recurring!$F$14,INT((IF(DAY(Recurring!$F$14)&lt;=20,0,1)+1)/2))),15)),IF(Recurring!$E$14="One Time",IF(2=1,Recurring!$F$14,""),""))))))</f>
        <v>46280</v>
      </c>
      <c r="G149" s="119" t="n">
        <f aca="false">IF($L149="","",IF(SUMIFS(Overrides!$D$9:$D$108,Overrides!$B$9:$B$108,$C149,Overrides!$C$9:$C$108,$L149)&gt;0,SUMIFS(Overrides!$D$9:$D$108,Overrides!$B$9:$B$108,$C149,Overrides!$C$9:$C$108,$L149),$L149))</f>
        <v>46280</v>
      </c>
      <c r="H149" s="120" t="n">
        <f aca="false">IF($G149="",0,IF(AND($G149&gt;='Cash Flow'!$E$6,$G149&lt;'Cash Flow'!$E$6+91),1,0))</f>
        <v>1</v>
      </c>
      <c r="I149" s="120" t="n">
        <f aca="false">IF($H149=1,MAX(1,INT(($G149-'Cash Flow'!$E$6)/7)+1),"")</f>
        <v>5</v>
      </c>
      <c r="J149" s="7" t="n">
        <f aca="false">IF($H149=1,$G149*10000+ROW(),"")</f>
        <v>462800149</v>
      </c>
      <c r="K149" s="7" t="n">
        <f aca="false">IF($H149=1,$I149*1000+COUNTIFS($I$4:$I$483,$I149,$J$4:$J$483,"&lt;"&amp;$J149)+1,"")</f>
        <v>5002</v>
      </c>
      <c r="L149" s="121" t="n">
        <f aca="false">IF($F149="","",IF(Recurring!$G$14="Move Before",IF(WEEKDAY($F149,2)=6,$F149-1,IF(WEEKDAY($F149,2)=7,$F149-2,$F149)),IF(Recurring!$G$14="Move After",IF(WEEKDAY($F149,2)=6,$F149+2,IF(WEEKDAY($F149,2)=7,$F149+1,$F149)),$F149)))</f>
        <v>46280</v>
      </c>
      <c r="M149" s="122" t="n">
        <f aca="true">IF(AND($H149=1,$D149="Expense",$G149&gt;TODAY(),$E149&gt;=100),$G149*100000+ROW(),"")</f>
        <v>4628000149</v>
      </c>
      <c r="N149" s="0" t="str">
        <f aca="true">IF(AND($H149=1,$D149="Income",$G149&gt;TODAY()),$G149*100000+ROW(),"")</f>
        <v/>
      </c>
    </row>
    <row r="150" customFormat="false" ht="15" hidden="false" customHeight="true" outlineLevel="0" collapsed="false">
      <c r="A150" s="117" t="n">
        <v>10</v>
      </c>
      <c r="B150" s="117" t="n">
        <v>3</v>
      </c>
      <c r="C150" s="7" t="str">
        <f aca="false">IF(OR(Recurring!$B$14="",Recurring!$H$14&lt;&gt;"Yes",Recurring!$D$14=""),"",Recurring!$B$14)</f>
        <v>Patrick Rombalski (rent)</v>
      </c>
      <c r="D150" s="7" t="str">
        <f aca="false">IF($C150="","",Recurring!$C$14)</f>
        <v>Expense</v>
      </c>
      <c r="E150" s="118" t="n">
        <f aca="false">IF($C150="","",IF(SUMIFS(Overrides!$E$9:$E$108,Overrides!$B$9:$B$108,$C150,Overrides!$C$9:$C$108,$L150)&gt;0,SUMIFS(Overrides!$E$9:$E$108,Overrides!$B$9:$B$108,$C150,Overrides!$C$9:$C$108,$L150),Recurring!$D$14))</f>
        <v>350</v>
      </c>
      <c r="F150" s="119" t="n">
        <f aca="false">IF($C150="","",IF(Recurring!$E$14="Weekly",Recurring!$F$14+7*2,IF(Recurring!$E$14="Every 2 Weeks",Recurring!$F$14+14*2,IF(Recurring!$E$14="Monthly",EDATE(Recurring!$F$14,2),IF(Recurring!$E$14="Twice a Month",IF(MOD((IF(DAY(Recurring!$F$14)&lt;=20,0,1)+2),2)=1,EOMONTH(Recurring!$F$14,INT((IF(DAY(Recurring!$F$14)&lt;=20,0,1)+2)/2)),DATE(YEAR(EDATE(Recurring!$F$14,INT((IF(DAY(Recurring!$F$14)&lt;=20,0,1)+2)/2))),MONTH(EDATE(Recurring!$F$14,INT((IF(DAY(Recurring!$F$14)&lt;=20,0,1)+2)/2))),15)),IF(Recurring!$E$14="One Time",IF(3=1,Recurring!$F$14,""),""))))))</f>
        <v>46295</v>
      </c>
      <c r="G150" s="119" t="n">
        <f aca="false">IF($L150="","",IF(SUMIFS(Overrides!$D$9:$D$108,Overrides!$B$9:$B$108,$C150,Overrides!$C$9:$C$108,$L150)&gt;0,SUMIFS(Overrides!$D$9:$D$108,Overrides!$B$9:$B$108,$C150,Overrides!$C$9:$C$108,$L150),$L150))</f>
        <v>46295</v>
      </c>
      <c r="H150" s="120" t="n">
        <f aca="false">IF($G150="",0,IF(AND($G150&gt;='Cash Flow'!$E$6,$G150&lt;'Cash Flow'!$E$6+91),1,0))</f>
        <v>1</v>
      </c>
      <c r="I150" s="120" t="n">
        <f aca="false">IF($H150=1,MAX(1,INT(($G150-'Cash Flow'!$E$6)/7)+1),"")</f>
        <v>7</v>
      </c>
      <c r="J150" s="7" t="n">
        <f aca="false">IF($H150=1,$G150*10000+ROW(),"")</f>
        <v>462950150</v>
      </c>
      <c r="K150" s="7" t="n">
        <f aca="false">IF($H150=1,$I150*1000+COUNTIFS($I$4:$I$483,$I150,$J$4:$J$483,"&lt;"&amp;$J150)+1,"")</f>
        <v>7002</v>
      </c>
      <c r="L150" s="121" t="n">
        <f aca="false">IF($F150="","",IF(Recurring!$G$14="Move Before",IF(WEEKDAY($F150,2)=6,$F150-1,IF(WEEKDAY($F150,2)=7,$F150-2,$F150)),IF(Recurring!$G$14="Move After",IF(WEEKDAY($F150,2)=6,$F150+2,IF(WEEKDAY($F150,2)=7,$F150+1,$F150)),$F150)))</f>
        <v>46295</v>
      </c>
      <c r="M150" s="122" t="n">
        <f aca="true">IF(AND($H150=1,$D150="Expense",$G150&gt;TODAY(),$E150&gt;=100),$G150*100000+ROW(),"")</f>
        <v>4629500150</v>
      </c>
      <c r="N150" s="0" t="str">
        <f aca="true">IF(AND($H150=1,$D150="Income",$G150&gt;TODAY()),$G150*100000+ROW(),"")</f>
        <v/>
      </c>
    </row>
    <row r="151" customFormat="false" ht="15" hidden="false" customHeight="true" outlineLevel="0" collapsed="false">
      <c r="A151" s="117" t="n">
        <v>10</v>
      </c>
      <c r="B151" s="117" t="n">
        <v>4</v>
      </c>
      <c r="C151" s="7" t="str">
        <f aca="false">IF(OR(Recurring!$B$14="",Recurring!$H$14&lt;&gt;"Yes",Recurring!$D$14=""),"",Recurring!$B$14)</f>
        <v>Patrick Rombalski (rent)</v>
      </c>
      <c r="D151" s="7" t="str">
        <f aca="false">IF($C151="","",Recurring!$C$14)</f>
        <v>Expense</v>
      </c>
      <c r="E151" s="118" t="n">
        <f aca="false">IF($C151="","",IF(SUMIFS(Overrides!$E$9:$E$108,Overrides!$B$9:$B$108,$C151,Overrides!$C$9:$C$108,$L151)&gt;0,SUMIFS(Overrides!$E$9:$E$108,Overrides!$B$9:$B$108,$C151,Overrides!$C$9:$C$108,$L151),Recurring!$D$14))</f>
        <v>350</v>
      </c>
      <c r="F151" s="119" t="n">
        <f aca="false">IF($C151="","",IF(Recurring!$E$14="Weekly",Recurring!$F$14+7*3,IF(Recurring!$E$14="Every 2 Weeks",Recurring!$F$14+14*3,IF(Recurring!$E$14="Monthly",EDATE(Recurring!$F$14,3),IF(Recurring!$E$14="Twice a Month",IF(MOD((IF(DAY(Recurring!$F$14)&lt;=20,0,1)+3),2)=1,EOMONTH(Recurring!$F$14,INT((IF(DAY(Recurring!$F$14)&lt;=20,0,1)+3)/2)),DATE(YEAR(EDATE(Recurring!$F$14,INT((IF(DAY(Recurring!$F$14)&lt;=20,0,1)+3)/2))),MONTH(EDATE(Recurring!$F$14,INT((IF(DAY(Recurring!$F$14)&lt;=20,0,1)+3)/2))),15)),IF(Recurring!$E$14="One Time",IF(4=1,Recurring!$F$14,""),""))))))</f>
        <v>46310</v>
      </c>
      <c r="G151" s="119" t="n">
        <f aca="false">IF($L151="","",IF(SUMIFS(Overrides!$D$9:$D$108,Overrides!$B$9:$B$108,$C151,Overrides!$C$9:$C$108,$L151)&gt;0,SUMIFS(Overrides!$D$9:$D$108,Overrides!$B$9:$B$108,$C151,Overrides!$C$9:$C$108,$L151),$L151))</f>
        <v>46310</v>
      </c>
      <c r="H151" s="120" t="n">
        <f aca="false">IF($G151="",0,IF(AND($G151&gt;='Cash Flow'!$E$6,$G151&lt;'Cash Flow'!$E$6+91),1,0))</f>
        <v>1</v>
      </c>
      <c r="I151" s="120" t="n">
        <f aca="false">IF($H151=1,MAX(1,INT(($G151-'Cash Flow'!$E$6)/7)+1),"")</f>
        <v>9</v>
      </c>
      <c r="J151" s="7" t="n">
        <f aca="false">IF($H151=1,$G151*10000+ROW(),"")</f>
        <v>463100151</v>
      </c>
      <c r="K151" s="7" t="n">
        <f aca="false">IF($H151=1,$I151*1000+COUNTIFS($I$4:$I$483,$I151,$J$4:$J$483,"&lt;"&amp;$J151)+1,"")</f>
        <v>9003</v>
      </c>
      <c r="L151" s="121" t="n">
        <f aca="false">IF($F151="","",IF(Recurring!$G$14="Move Before",IF(WEEKDAY($F151,2)=6,$F151-1,IF(WEEKDAY($F151,2)=7,$F151-2,$F151)),IF(Recurring!$G$14="Move After",IF(WEEKDAY($F151,2)=6,$F151+2,IF(WEEKDAY($F151,2)=7,$F151+1,$F151)),$F151)))</f>
        <v>46310</v>
      </c>
      <c r="M151" s="122" t="n">
        <f aca="true">IF(AND($H151=1,$D151="Expense",$G151&gt;TODAY(),$E151&gt;=100),$G151*100000+ROW(),"")</f>
        <v>4631000151</v>
      </c>
      <c r="N151" s="0" t="str">
        <f aca="true">IF(AND($H151=1,$D151="Income",$G151&gt;TODAY()),$G151*100000+ROW(),"")</f>
        <v/>
      </c>
    </row>
    <row r="152" customFormat="false" ht="15" hidden="false" customHeight="true" outlineLevel="0" collapsed="false">
      <c r="A152" s="117" t="n">
        <v>10</v>
      </c>
      <c r="B152" s="117" t="n">
        <v>5</v>
      </c>
      <c r="C152" s="7" t="str">
        <f aca="false">IF(OR(Recurring!$B$14="",Recurring!$H$14&lt;&gt;"Yes",Recurring!$D$14=""),"",Recurring!$B$14)</f>
        <v>Patrick Rombalski (rent)</v>
      </c>
      <c r="D152" s="7" t="str">
        <f aca="false">IF($C152="","",Recurring!$C$14)</f>
        <v>Expense</v>
      </c>
      <c r="E152" s="118" t="n">
        <f aca="false">IF($C152="","",IF(SUMIFS(Overrides!$E$9:$E$108,Overrides!$B$9:$B$108,$C152,Overrides!$C$9:$C$108,$L152)&gt;0,SUMIFS(Overrides!$E$9:$E$108,Overrides!$B$9:$B$108,$C152,Overrides!$C$9:$C$108,$L152),Recurring!$D$14))</f>
        <v>350</v>
      </c>
      <c r="F152" s="119" t="n">
        <f aca="false">IF($C152="","",IF(Recurring!$E$14="Weekly",Recurring!$F$14+7*4,IF(Recurring!$E$14="Every 2 Weeks",Recurring!$F$14+14*4,IF(Recurring!$E$14="Monthly",EDATE(Recurring!$F$14,4),IF(Recurring!$E$14="Twice a Month",IF(MOD((IF(DAY(Recurring!$F$14)&lt;=20,0,1)+4),2)=1,EOMONTH(Recurring!$F$14,INT((IF(DAY(Recurring!$F$14)&lt;=20,0,1)+4)/2)),DATE(YEAR(EDATE(Recurring!$F$14,INT((IF(DAY(Recurring!$F$14)&lt;=20,0,1)+4)/2))),MONTH(EDATE(Recurring!$F$14,INT((IF(DAY(Recurring!$F$14)&lt;=20,0,1)+4)/2))),15)),IF(Recurring!$E$14="One Time",IF(5=1,Recurring!$F$14,""),""))))))</f>
        <v>46326</v>
      </c>
      <c r="G152" s="119" t="n">
        <f aca="false">IF($L152="","",IF(SUMIFS(Overrides!$D$9:$D$108,Overrides!$B$9:$B$108,$C152,Overrides!$C$9:$C$108,$L152)&gt;0,SUMIFS(Overrides!$D$9:$D$108,Overrides!$B$9:$B$108,$C152,Overrides!$C$9:$C$108,$L152),$L152))</f>
        <v>46325</v>
      </c>
      <c r="H152" s="120" t="n">
        <f aca="false">IF($G152="",0,IF(AND($G152&gt;='Cash Flow'!$E$6,$G152&lt;'Cash Flow'!$E$6+91),1,0))</f>
        <v>1</v>
      </c>
      <c r="I152" s="120" t="n">
        <f aca="false">IF($H152=1,MAX(1,INT(($G152-'Cash Flow'!$E$6)/7)+1),"")</f>
        <v>11</v>
      </c>
      <c r="J152" s="7" t="n">
        <f aca="false">IF($H152=1,$G152*10000+ROW(),"")</f>
        <v>463250152</v>
      </c>
      <c r="K152" s="7" t="n">
        <f aca="false">IF($H152=1,$I152*1000+COUNTIFS($I$4:$I$483,$I152,$J$4:$J$483,"&lt;"&amp;$J152)+1,"")</f>
        <v>11003</v>
      </c>
      <c r="L152" s="121" t="n">
        <f aca="false">IF($F152="","",IF(Recurring!$G$14="Move Before",IF(WEEKDAY($F152,2)=6,$F152-1,IF(WEEKDAY($F152,2)=7,$F152-2,$F152)),IF(Recurring!$G$14="Move After",IF(WEEKDAY($F152,2)=6,$F152+2,IF(WEEKDAY($F152,2)=7,$F152+1,$F152)),$F152)))</f>
        <v>46325</v>
      </c>
      <c r="M152" s="122" t="n">
        <f aca="true">IF(AND($H152=1,$D152="Expense",$G152&gt;TODAY(),$E152&gt;=100),$G152*100000+ROW(),"")</f>
        <v>4632500152</v>
      </c>
      <c r="N152" s="0" t="str">
        <f aca="true">IF(AND($H152=1,$D152="Income",$G152&gt;TODAY()),$G152*100000+ROW(),"")</f>
        <v/>
      </c>
    </row>
    <row r="153" customFormat="false" ht="15" hidden="false" customHeight="true" outlineLevel="0" collapsed="false">
      <c r="A153" s="117" t="n">
        <v>10</v>
      </c>
      <c r="B153" s="117" t="n">
        <v>6</v>
      </c>
      <c r="C153" s="7" t="str">
        <f aca="false">IF(OR(Recurring!$B$14="",Recurring!$H$14&lt;&gt;"Yes",Recurring!$D$14=""),"",Recurring!$B$14)</f>
        <v>Patrick Rombalski (rent)</v>
      </c>
      <c r="D153" s="7" t="str">
        <f aca="false">IF($C153="","",Recurring!$C$14)</f>
        <v>Expense</v>
      </c>
      <c r="E153" s="118" t="n">
        <f aca="false">IF($C153="","",IF(SUMIFS(Overrides!$E$9:$E$108,Overrides!$B$9:$B$108,$C153,Overrides!$C$9:$C$108,$L153)&gt;0,SUMIFS(Overrides!$E$9:$E$108,Overrides!$B$9:$B$108,$C153,Overrides!$C$9:$C$108,$L153),Recurring!$D$14))</f>
        <v>350</v>
      </c>
      <c r="F153" s="119" t="n">
        <f aca="false">IF($C153="","",IF(Recurring!$E$14="Weekly",Recurring!$F$14+7*5,IF(Recurring!$E$14="Every 2 Weeks",Recurring!$F$14+14*5,IF(Recurring!$E$14="Monthly",EDATE(Recurring!$F$14,5),IF(Recurring!$E$14="Twice a Month",IF(MOD((IF(DAY(Recurring!$F$14)&lt;=20,0,1)+5),2)=1,EOMONTH(Recurring!$F$14,INT((IF(DAY(Recurring!$F$14)&lt;=20,0,1)+5)/2)),DATE(YEAR(EDATE(Recurring!$F$14,INT((IF(DAY(Recurring!$F$14)&lt;=20,0,1)+5)/2))),MONTH(EDATE(Recurring!$F$14,INT((IF(DAY(Recurring!$F$14)&lt;=20,0,1)+5)/2))),15)),IF(Recurring!$E$14="One Time",IF(6=1,Recurring!$F$14,""),""))))))</f>
        <v>46341</v>
      </c>
      <c r="G153" s="119" t="n">
        <f aca="false">IF($L153="","",IF(SUMIFS(Overrides!$D$9:$D$108,Overrides!$B$9:$B$108,$C153,Overrides!$C$9:$C$108,$L153)&gt;0,SUMIFS(Overrides!$D$9:$D$108,Overrides!$B$9:$B$108,$C153,Overrides!$C$9:$C$108,$L153),$L153))</f>
        <v>46339</v>
      </c>
      <c r="H153" s="120" t="n">
        <f aca="false">IF($G153="",0,IF(AND($G153&gt;='Cash Flow'!$E$6,$G153&lt;'Cash Flow'!$E$6+91),1,0))</f>
        <v>1</v>
      </c>
      <c r="I153" s="120" t="n">
        <f aca="false">IF($H153=1,MAX(1,INT(($G153-'Cash Flow'!$E$6)/7)+1),"")</f>
        <v>13</v>
      </c>
      <c r="J153" s="7" t="n">
        <f aca="false">IF($H153=1,$G153*10000+ROW(),"")</f>
        <v>463390153</v>
      </c>
      <c r="K153" s="7" t="n">
        <f aca="false">IF($H153=1,$I153*1000+COUNTIFS($I$4:$I$483,$I153,$J$4:$J$483,"&lt;"&amp;$J153)+1,"")</f>
        <v>13007</v>
      </c>
      <c r="L153" s="121" t="n">
        <f aca="false">IF($F153="","",IF(Recurring!$G$14="Move Before",IF(WEEKDAY($F153,2)=6,$F153-1,IF(WEEKDAY($F153,2)=7,$F153-2,$F153)),IF(Recurring!$G$14="Move After",IF(WEEKDAY($F153,2)=6,$F153+2,IF(WEEKDAY($F153,2)=7,$F153+1,$F153)),$F153)))</f>
        <v>46339</v>
      </c>
      <c r="M153" s="122" t="n">
        <f aca="true">IF(AND($H153=1,$D153="Expense",$G153&gt;TODAY(),$E153&gt;=100),$G153*100000+ROW(),"")</f>
        <v>4633900153</v>
      </c>
      <c r="N153" s="0" t="str">
        <f aca="true">IF(AND($H153=1,$D153="Income",$G153&gt;TODAY()),$G153*100000+ROW(),"")</f>
        <v/>
      </c>
    </row>
    <row r="154" customFormat="false" ht="15" hidden="false" customHeight="true" outlineLevel="0" collapsed="false">
      <c r="A154" s="117" t="n">
        <v>10</v>
      </c>
      <c r="B154" s="117" t="n">
        <v>7</v>
      </c>
      <c r="C154" s="7" t="str">
        <f aca="false">IF(OR(Recurring!$B$14="",Recurring!$H$14&lt;&gt;"Yes",Recurring!$D$14=""),"",Recurring!$B$14)</f>
        <v>Patrick Rombalski (rent)</v>
      </c>
      <c r="D154" s="7" t="str">
        <f aca="false">IF($C154="","",Recurring!$C$14)</f>
        <v>Expense</v>
      </c>
      <c r="E154" s="118" t="n">
        <f aca="false">IF($C154="","",IF(SUMIFS(Overrides!$E$9:$E$108,Overrides!$B$9:$B$108,$C154,Overrides!$C$9:$C$108,$L154)&gt;0,SUMIFS(Overrides!$E$9:$E$108,Overrides!$B$9:$B$108,$C154,Overrides!$C$9:$C$108,$L154),Recurring!$D$14))</f>
        <v>350</v>
      </c>
      <c r="F154" s="119" t="n">
        <f aca="false">IF($C154="","",IF(Recurring!$E$14="Weekly",Recurring!$F$14+7*6,IF(Recurring!$E$14="Every 2 Weeks",Recurring!$F$14+14*6,IF(Recurring!$E$14="Monthly",EDATE(Recurring!$F$14,6),IF(Recurring!$E$14="Twice a Month",IF(MOD((IF(DAY(Recurring!$F$14)&lt;=20,0,1)+6),2)=1,EOMONTH(Recurring!$F$14,INT((IF(DAY(Recurring!$F$14)&lt;=20,0,1)+6)/2)),DATE(YEAR(EDATE(Recurring!$F$14,INT((IF(DAY(Recurring!$F$14)&lt;=20,0,1)+6)/2))),MONTH(EDATE(Recurring!$F$14,INT((IF(DAY(Recurring!$F$14)&lt;=20,0,1)+6)/2))),15)),IF(Recurring!$E$14="One Time",IF(7=1,Recurring!$F$14,""),""))))))</f>
        <v>46356</v>
      </c>
      <c r="G154" s="119" t="n">
        <f aca="false">IF($L154="","",IF(SUMIFS(Overrides!$D$9:$D$108,Overrides!$B$9:$B$108,$C154,Overrides!$C$9:$C$108,$L154)&gt;0,SUMIFS(Overrides!$D$9:$D$108,Overrides!$B$9:$B$108,$C154,Overrides!$C$9:$C$108,$L154),$L154))</f>
        <v>46356</v>
      </c>
      <c r="H154" s="120" t="n">
        <f aca="false">IF($G154="",0,IF(AND($G154&gt;='Cash Flow'!$E$6,$G154&lt;'Cash Flow'!$E$6+91),1,0))</f>
        <v>0</v>
      </c>
      <c r="I154" s="120" t="str">
        <f aca="false">IF($H154=1,MAX(1,INT(($G154-'Cash Flow'!$E$6)/7)+1),"")</f>
        <v/>
      </c>
      <c r="J154" s="7" t="str">
        <f aca="false">IF($H154=1,$G154*10000+ROW(),"")</f>
        <v/>
      </c>
      <c r="K154" s="7" t="str">
        <f aca="false">IF($H154=1,$I154*1000+COUNTIFS($I$4:$I$483,$I154,$J$4:$J$483,"&lt;"&amp;$J154)+1,"")</f>
        <v/>
      </c>
      <c r="L154" s="121" t="n">
        <f aca="false">IF($F154="","",IF(Recurring!$G$14="Move Before",IF(WEEKDAY($F154,2)=6,$F154-1,IF(WEEKDAY($F154,2)=7,$F154-2,$F154)),IF(Recurring!$G$14="Move After",IF(WEEKDAY($F154,2)=6,$F154+2,IF(WEEKDAY($F154,2)=7,$F154+1,$F154)),$F154)))</f>
        <v>46356</v>
      </c>
      <c r="M154" s="0" t="str">
        <f aca="true">IF(AND($H154=1,$D154="Expense",$G154&gt;TODAY(),$E154&gt;=100),$G154*100000+ROW(),"")</f>
        <v/>
      </c>
      <c r="N154" s="0" t="str">
        <f aca="true">IF(AND($H154=1,$D154="Income",$G154&gt;TODAY()),$G154*100000+ROW(),"")</f>
        <v/>
      </c>
    </row>
    <row r="155" customFormat="false" ht="15" hidden="false" customHeight="true" outlineLevel="0" collapsed="false">
      <c r="A155" s="117" t="n">
        <v>10</v>
      </c>
      <c r="B155" s="117" t="n">
        <v>8</v>
      </c>
      <c r="C155" s="7" t="str">
        <f aca="false">IF(OR(Recurring!$B$14="",Recurring!$H$14&lt;&gt;"Yes",Recurring!$D$14=""),"",Recurring!$B$14)</f>
        <v>Patrick Rombalski (rent)</v>
      </c>
      <c r="D155" s="7" t="str">
        <f aca="false">IF($C155="","",Recurring!$C$14)</f>
        <v>Expense</v>
      </c>
      <c r="E155" s="118" t="n">
        <f aca="false">IF($C155="","",IF(SUMIFS(Overrides!$E$9:$E$108,Overrides!$B$9:$B$108,$C155,Overrides!$C$9:$C$108,$L155)&gt;0,SUMIFS(Overrides!$E$9:$E$108,Overrides!$B$9:$B$108,$C155,Overrides!$C$9:$C$108,$L155),Recurring!$D$14))</f>
        <v>350</v>
      </c>
      <c r="F155" s="119" t="n">
        <f aca="false">IF($C155="","",IF(Recurring!$E$14="Weekly",Recurring!$F$14+7*7,IF(Recurring!$E$14="Every 2 Weeks",Recurring!$F$14+14*7,IF(Recurring!$E$14="Monthly",EDATE(Recurring!$F$14,7),IF(Recurring!$E$14="Twice a Month",IF(MOD((IF(DAY(Recurring!$F$14)&lt;=20,0,1)+7),2)=1,EOMONTH(Recurring!$F$14,INT((IF(DAY(Recurring!$F$14)&lt;=20,0,1)+7)/2)),DATE(YEAR(EDATE(Recurring!$F$14,INT((IF(DAY(Recurring!$F$14)&lt;=20,0,1)+7)/2))),MONTH(EDATE(Recurring!$F$14,INT((IF(DAY(Recurring!$F$14)&lt;=20,0,1)+7)/2))),15)),IF(Recurring!$E$14="One Time",IF(8=1,Recurring!$F$14,""),""))))))</f>
        <v>46371</v>
      </c>
      <c r="G155" s="119" t="n">
        <f aca="false">IF($L155="","",IF(SUMIFS(Overrides!$D$9:$D$108,Overrides!$B$9:$B$108,$C155,Overrides!$C$9:$C$108,$L155)&gt;0,SUMIFS(Overrides!$D$9:$D$108,Overrides!$B$9:$B$108,$C155,Overrides!$C$9:$C$108,$L155),$L155))</f>
        <v>46371</v>
      </c>
      <c r="H155" s="120" t="n">
        <f aca="false">IF($G155="",0,IF(AND($G155&gt;='Cash Flow'!$E$6,$G155&lt;'Cash Flow'!$E$6+91),1,0))</f>
        <v>0</v>
      </c>
      <c r="I155" s="120" t="str">
        <f aca="false">IF($H155=1,MAX(1,INT(($G155-'Cash Flow'!$E$6)/7)+1),"")</f>
        <v/>
      </c>
      <c r="J155" s="7" t="str">
        <f aca="false">IF($H155=1,$G155*10000+ROW(),"")</f>
        <v/>
      </c>
      <c r="K155" s="7" t="str">
        <f aca="false">IF($H155=1,$I155*1000+COUNTIFS($I$4:$I$483,$I155,$J$4:$J$483,"&lt;"&amp;$J155)+1,"")</f>
        <v/>
      </c>
      <c r="L155" s="121" t="n">
        <f aca="false">IF($F155="","",IF(Recurring!$G$14="Move Before",IF(WEEKDAY($F155,2)=6,$F155-1,IF(WEEKDAY($F155,2)=7,$F155-2,$F155)),IF(Recurring!$G$14="Move After",IF(WEEKDAY($F155,2)=6,$F155+2,IF(WEEKDAY($F155,2)=7,$F155+1,$F155)),$F155)))</f>
        <v>46371</v>
      </c>
      <c r="M155" s="0" t="str">
        <f aca="true">IF(AND($H155=1,$D155="Expense",$G155&gt;TODAY(),$E155&gt;=100),$G155*100000+ROW(),"")</f>
        <v/>
      </c>
      <c r="N155" s="0" t="str">
        <f aca="true">IF(AND($H155=1,$D155="Income",$G155&gt;TODAY()),$G155*100000+ROW(),"")</f>
        <v/>
      </c>
    </row>
    <row r="156" customFormat="false" ht="15" hidden="false" customHeight="true" outlineLevel="0" collapsed="false">
      <c r="A156" s="117" t="n">
        <v>10</v>
      </c>
      <c r="B156" s="117" t="n">
        <v>9</v>
      </c>
      <c r="C156" s="7" t="str">
        <f aca="false">IF(OR(Recurring!$B$14="",Recurring!$H$14&lt;&gt;"Yes",Recurring!$D$14=""),"",Recurring!$B$14)</f>
        <v>Patrick Rombalski (rent)</v>
      </c>
      <c r="D156" s="7" t="str">
        <f aca="false">IF($C156="","",Recurring!$C$14)</f>
        <v>Expense</v>
      </c>
      <c r="E156" s="118" t="n">
        <f aca="false">IF($C156="","",IF(SUMIFS(Overrides!$E$9:$E$108,Overrides!$B$9:$B$108,$C156,Overrides!$C$9:$C$108,$L156)&gt;0,SUMIFS(Overrides!$E$9:$E$108,Overrides!$B$9:$B$108,$C156,Overrides!$C$9:$C$108,$L156),Recurring!$D$14))</f>
        <v>350</v>
      </c>
      <c r="F156" s="119" t="n">
        <f aca="false">IF($C156="","",IF(Recurring!$E$14="Weekly",Recurring!$F$14+7*8,IF(Recurring!$E$14="Every 2 Weeks",Recurring!$F$14+14*8,IF(Recurring!$E$14="Monthly",EDATE(Recurring!$F$14,8),IF(Recurring!$E$14="Twice a Month",IF(MOD((IF(DAY(Recurring!$F$14)&lt;=20,0,1)+8),2)=1,EOMONTH(Recurring!$F$14,INT((IF(DAY(Recurring!$F$14)&lt;=20,0,1)+8)/2)),DATE(YEAR(EDATE(Recurring!$F$14,INT((IF(DAY(Recurring!$F$14)&lt;=20,0,1)+8)/2))),MONTH(EDATE(Recurring!$F$14,INT((IF(DAY(Recurring!$F$14)&lt;=20,0,1)+8)/2))),15)),IF(Recurring!$E$14="One Time",IF(9=1,Recurring!$F$14,""),""))))))</f>
        <v>46387</v>
      </c>
      <c r="G156" s="119" t="n">
        <f aca="false">IF($L156="","",IF(SUMIFS(Overrides!$D$9:$D$108,Overrides!$B$9:$B$108,$C156,Overrides!$C$9:$C$108,$L156)&gt;0,SUMIFS(Overrides!$D$9:$D$108,Overrides!$B$9:$B$108,$C156,Overrides!$C$9:$C$108,$L156),$L156))</f>
        <v>46387</v>
      </c>
      <c r="H156" s="120" t="n">
        <f aca="false">IF($G156="",0,IF(AND($G156&gt;='Cash Flow'!$E$6,$G156&lt;'Cash Flow'!$E$6+91),1,0))</f>
        <v>0</v>
      </c>
      <c r="I156" s="120" t="str">
        <f aca="false">IF($H156=1,MAX(1,INT(($G156-'Cash Flow'!$E$6)/7)+1),"")</f>
        <v/>
      </c>
      <c r="J156" s="7" t="str">
        <f aca="false">IF($H156=1,$G156*10000+ROW(),"")</f>
        <v/>
      </c>
      <c r="K156" s="7" t="str">
        <f aca="false">IF($H156=1,$I156*1000+COUNTIFS($I$4:$I$483,$I156,$J$4:$J$483,"&lt;"&amp;$J156)+1,"")</f>
        <v/>
      </c>
      <c r="L156" s="121" t="n">
        <f aca="false">IF($F156="","",IF(Recurring!$G$14="Move Before",IF(WEEKDAY($F156,2)=6,$F156-1,IF(WEEKDAY($F156,2)=7,$F156-2,$F156)),IF(Recurring!$G$14="Move After",IF(WEEKDAY($F156,2)=6,$F156+2,IF(WEEKDAY($F156,2)=7,$F156+1,$F156)),$F156)))</f>
        <v>46387</v>
      </c>
      <c r="M156" s="0" t="str">
        <f aca="true">IF(AND($H156=1,$D156="Expense",$G156&gt;TODAY(),$E156&gt;=100),$G156*100000+ROW(),"")</f>
        <v/>
      </c>
      <c r="N156" s="0" t="str">
        <f aca="true">IF(AND($H156=1,$D156="Income",$G156&gt;TODAY()),$G156*100000+ROW(),"")</f>
        <v/>
      </c>
    </row>
    <row r="157" customFormat="false" ht="15" hidden="false" customHeight="true" outlineLevel="0" collapsed="false">
      <c r="A157" s="117" t="n">
        <v>10</v>
      </c>
      <c r="B157" s="117" t="n">
        <v>10</v>
      </c>
      <c r="C157" s="7" t="str">
        <f aca="false">IF(OR(Recurring!$B$14="",Recurring!$H$14&lt;&gt;"Yes",Recurring!$D$14=""),"",Recurring!$B$14)</f>
        <v>Patrick Rombalski (rent)</v>
      </c>
      <c r="D157" s="7" t="str">
        <f aca="false">IF($C157="","",Recurring!$C$14)</f>
        <v>Expense</v>
      </c>
      <c r="E157" s="118" t="n">
        <f aca="false">IF($C157="","",IF(SUMIFS(Overrides!$E$9:$E$108,Overrides!$B$9:$B$108,$C157,Overrides!$C$9:$C$108,$L157)&gt;0,SUMIFS(Overrides!$E$9:$E$108,Overrides!$B$9:$B$108,$C157,Overrides!$C$9:$C$108,$L157),Recurring!$D$14))</f>
        <v>350</v>
      </c>
      <c r="F157" s="119" t="n">
        <f aca="false">IF($C157="","",IF(Recurring!$E$14="Weekly",Recurring!$F$14+7*9,IF(Recurring!$E$14="Every 2 Weeks",Recurring!$F$14+14*9,IF(Recurring!$E$14="Monthly",EDATE(Recurring!$F$14,9),IF(Recurring!$E$14="Twice a Month",IF(MOD((IF(DAY(Recurring!$F$14)&lt;=20,0,1)+9),2)=1,EOMONTH(Recurring!$F$14,INT((IF(DAY(Recurring!$F$14)&lt;=20,0,1)+9)/2)),DATE(YEAR(EDATE(Recurring!$F$14,INT((IF(DAY(Recurring!$F$14)&lt;=20,0,1)+9)/2))),MONTH(EDATE(Recurring!$F$14,INT((IF(DAY(Recurring!$F$14)&lt;=20,0,1)+9)/2))),15)),IF(Recurring!$E$14="One Time",IF(10=1,Recurring!$F$14,""),""))))))</f>
        <v>46402</v>
      </c>
      <c r="G157" s="119" t="n">
        <f aca="false">IF($L157="","",IF(SUMIFS(Overrides!$D$9:$D$108,Overrides!$B$9:$B$108,$C157,Overrides!$C$9:$C$108,$L157)&gt;0,SUMIFS(Overrides!$D$9:$D$108,Overrides!$B$9:$B$108,$C157,Overrides!$C$9:$C$108,$L157),$L157))</f>
        <v>46402</v>
      </c>
      <c r="H157" s="120" t="n">
        <f aca="false">IF($G157="",0,IF(AND($G157&gt;='Cash Flow'!$E$6,$G157&lt;'Cash Flow'!$E$6+91),1,0))</f>
        <v>0</v>
      </c>
      <c r="I157" s="120" t="str">
        <f aca="false">IF($H157=1,MAX(1,INT(($G157-'Cash Flow'!$E$6)/7)+1),"")</f>
        <v/>
      </c>
      <c r="J157" s="7" t="str">
        <f aca="false">IF($H157=1,$G157*10000+ROW(),"")</f>
        <v/>
      </c>
      <c r="K157" s="7" t="str">
        <f aca="false">IF($H157=1,$I157*1000+COUNTIFS($I$4:$I$483,$I157,$J$4:$J$483,"&lt;"&amp;$J157)+1,"")</f>
        <v/>
      </c>
      <c r="L157" s="121" t="n">
        <f aca="false">IF($F157="","",IF(Recurring!$G$14="Move Before",IF(WEEKDAY($F157,2)=6,$F157-1,IF(WEEKDAY($F157,2)=7,$F157-2,$F157)),IF(Recurring!$G$14="Move After",IF(WEEKDAY($F157,2)=6,$F157+2,IF(WEEKDAY($F157,2)=7,$F157+1,$F157)),$F157)))</f>
        <v>46402</v>
      </c>
      <c r="M157" s="0" t="str">
        <f aca="true">IF(AND($H157=1,$D157="Expense",$G157&gt;TODAY(),$E157&gt;=100),$G157*100000+ROW(),"")</f>
        <v/>
      </c>
      <c r="N157" s="0" t="str">
        <f aca="true">IF(AND($H157=1,$D157="Income",$G157&gt;TODAY()),$G157*100000+ROW(),"")</f>
        <v/>
      </c>
    </row>
    <row r="158" customFormat="false" ht="15" hidden="false" customHeight="true" outlineLevel="0" collapsed="false">
      <c r="A158" s="117" t="n">
        <v>10</v>
      </c>
      <c r="B158" s="117" t="n">
        <v>11</v>
      </c>
      <c r="C158" s="7" t="str">
        <f aca="false">IF(OR(Recurring!$B$14="",Recurring!$H$14&lt;&gt;"Yes",Recurring!$D$14=""),"",Recurring!$B$14)</f>
        <v>Patrick Rombalski (rent)</v>
      </c>
      <c r="D158" s="7" t="str">
        <f aca="false">IF($C158="","",Recurring!$C$14)</f>
        <v>Expense</v>
      </c>
      <c r="E158" s="118" t="n">
        <f aca="false">IF($C158="","",IF(SUMIFS(Overrides!$E$9:$E$108,Overrides!$B$9:$B$108,$C158,Overrides!$C$9:$C$108,$L158)&gt;0,SUMIFS(Overrides!$E$9:$E$108,Overrides!$B$9:$B$108,$C158,Overrides!$C$9:$C$108,$L158),Recurring!$D$14))</f>
        <v>350</v>
      </c>
      <c r="F158" s="119" t="n">
        <f aca="false">IF($C158="","",IF(Recurring!$E$14="Weekly",Recurring!$F$14+7*10,IF(Recurring!$E$14="Every 2 Weeks",Recurring!$F$14+14*10,IF(Recurring!$E$14="Monthly",EDATE(Recurring!$F$14,10),IF(Recurring!$E$14="Twice a Month",IF(MOD((IF(DAY(Recurring!$F$14)&lt;=20,0,1)+10),2)=1,EOMONTH(Recurring!$F$14,INT((IF(DAY(Recurring!$F$14)&lt;=20,0,1)+10)/2)),DATE(YEAR(EDATE(Recurring!$F$14,INT((IF(DAY(Recurring!$F$14)&lt;=20,0,1)+10)/2))),MONTH(EDATE(Recurring!$F$14,INT((IF(DAY(Recurring!$F$14)&lt;=20,0,1)+10)/2))),15)),IF(Recurring!$E$14="One Time",IF(11=1,Recurring!$F$14,""),""))))))</f>
        <v>46418</v>
      </c>
      <c r="G158" s="119" t="n">
        <f aca="false">IF($L158="","",IF(SUMIFS(Overrides!$D$9:$D$108,Overrides!$B$9:$B$108,$C158,Overrides!$C$9:$C$108,$L158)&gt;0,SUMIFS(Overrides!$D$9:$D$108,Overrides!$B$9:$B$108,$C158,Overrides!$C$9:$C$108,$L158),$L158))</f>
        <v>46416</v>
      </c>
      <c r="H158" s="120" t="n">
        <f aca="false">IF($G158="",0,IF(AND($G158&gt;='Cash Flow'!$E$6,$G158&lt;'Cash Flow'!$E$6+91),1,0))</f>
        <v>0</v>
      </c>
      <c r="I158" s="120" t="str">
        <f aca="false">IF($H158=1,MAX(1,INT(($G158-'Cash Flow'!$E$6)/7)+1),"")</f>
        <v/>
      </c>
      <c r="J158" s="7" t="str">
        <f aca="false">IF($H158=1,$G158*10000+ROW(),"")</f>
        <v/>
      </c>
      <c r="K158" s="7" t="str">
        <f aca="false">IF($H158=1,$I158*1000+COUNTIFS($I$4:$I$483,$I158,$J$4:$J$483,"&lt;"&amp;$J158)+1,"")</f>
        <v/>
      </c>
      <c r="L158" s="121" t="n">
        <f aca="false">IF($F158="","",IF(Recurring!$G$14="Move Before",IF(WEEKDAY($F158,2)=6,$F158-1,IF(WEEKDAY($F158,2)=7,$F158-2,$F158)),IF(Recurring!$G$14="Move After",IF(WEEKDAY($F158,2)=6,$F158+2,IF(WEEKDAY($F158,2)=7,$F158+1,$F158)),$F158)))</f>
        <v>46416</v>
      </c>
      <c r="M158" s="0" t="str">
        <f aca="true">IF(AND($H158=1,$D158="Expense",$G158&gt;TODAY(),$E158&gt;=100),$G158*100000+ROW(),"")</f>
        <v/>
      </c>
      <c r="N158" s="0" t="str">
        <f aca="true">IF(AND($H158=1,$D158="Income",$G158&gt;TODAY()),$G158*100000+ROW(),"")</f>
        <v/>
      </c>
    </row>
    <row r="159" customFormat="false" ht="15" hidden="false" customHeight="true" outlineLevel="0" collapsed="false">
      <c r="A159" s="117" t="n">
        <v>10</v>
      </c>
      <c r="B159" s="117" t="n">
        <v>12</v>
      </c>
      <c r="C159" s="7" t="str">
        <f aca="false">IF(OR(Recurring!$B$14="",Recurring!$H$14&lt;&gt;"Yes",Recurring!$D$14=""),"",Recurring!$B$14)</f>
        <v>Patrick Rombalski (rent)</v>
      </c>
      <c r="D159" s="7" t="str">
        <f aca="false">IF($C159="","",Recurring!$C$14)</f>
        <v>Expense</v>
      </c>
      <c r="E159" s="118" t="n">
        <f aca="false">IF($C159="","",IF(SUMIFS(Overrides!$E$9:$E$108,Overrides!$B$9:$B$108,$C159,Overrides!$C$9:$C$108,$L159)&gt;0,SUMIFS(Overrides!$E$9:$E$108,Overrides!$B$9:$B$108,$C159,Overrides!$C$9:$C$108,$L159),Recurring!$D$14))</f>
        <v>350</v>
      </c>
      <c r="F159" s="119" t="n">
        <f aca="false">IF($C159="","",IF(Recurring!$E$14="Weekly",Recurring!$F$14+7*11,IF(Recurring!$E$14="Every 2 Weeks",Recurring!$F$14+14*11,IF(Recurring!$E$14="Monthly",EDATE(Recurring!$F$14,11),IF(Recurring!$E$14="Twice a Month",IF(MOD((IF(DAY(Recurring!$F$14)&lt;=20,0,1)+11),2)=1,EOMONTH(Recurring!$F$14,INT((IF(DAY(Recurring!$F$14)&lt;=20,0,1)+11)/2)),DATE(YEAR(EDATE(Recurring!$F$14,INT((IF(DAY(Recurring!$F$14)&lt;=20,0,1)+11)/2))),MONTH(EDATE(Recurring!$F$14,INT((IF(DAY(Recurring!$F$14)&lt;=20,0,1)+11)/2))),15)),IF(Recurring!$E$14="One Time",IF(12=1,Recurring!$F$14,""),""))))))</f>
        <v>46433</v>
      </c>
      <c r="G159" s="119" t="n">
        <f aca="false">IF($L159="","",IF(SUMIFS(Overrides!$D$9:$D$108,Overrides!$B$9:$B$108,$C159,Overrides!$C$9:$C$108,$L159)&gt;0,SUMIFS(Overrides!$D$9:$D$108,Overrides!$B$9:$B$108,$C159,Overrides!$C$9:$C$108,$L159),$L159))</f>
        <v>46433</v>
      </c>
      <c r="H159" s="120" t="n">
        <f aca="false">IF($G159="",0,IF(AND($G159&gt;='Cash Flow'!$E$6,$G159&lt;'Cash Flow'!$E$6+91),1,0))</f>
        <v>0</v>
      </c>
      <c r="I159" s="120" t="str">
        <f aca="false">IF($H159=1,MAX(1,INT(($G159-'Cash Flow'!$E$6)/7)+1),"")</f>
        <v/>
      </c>
      <c r="J159" s="7" t="str">
        <f aca="false">IF($H159=1,$G159*10000+ROW(),"")</f>
        <v/>
      </c>
      <c r="K159" s="7" t="str">
        <f aca="false">IF($H159=1,$I159*1000+COUNTIFS($I$4:$I$483,$I159,$J$4:$J$483,"&lt;"&amp;$J159)+1,"")</f>
        <v/>
      </c>
      <c r="L159" s="121" t="n">
        <f aca="false">IF($F159="","",IF(Recurring!$G$14="Move Before",IF(WEEKDAY($F159,2)=6,$F159-1,IF(WEEKDAY($F159,2)=7,$F159-2,$F159)),IF(Recurring!$G$14="Move After",IF(WEEKDAY($F159,2)=6,$F159+2,IF(WEEKDAY($F159,2)=7,$F159+1,$F159)),$F159)))</f>
        <v>46433</v>
      </c>
      <c r="M159" s="0" t="str">
        <f aca="true">IF(AND($H159=1,$D159="Expense",$G159&gt;TODAY(),$E159&gt;=100),$G159*100000+ROW(),"")</f>
        <v/>
      </c>
      <c r="N159" s="0" t="str">
        <f aca="true">IF(AND($H159=1,$D159="Income",$G159&gt;TODAY()),$G159*100000+ROW(),"")</f>
        <v/>
      </c>
    </row>
    <row r="160" customFormat="false" ht="15" hidden="false" customHeight="true" outlineLevel="0" collapsed="false">
      <c r="A160" s="117" t="n">
        <v>10</v>
      </c>
      <c r="B160" s="117" t="n">
        <v>13</v>
      </c>
      <c r="C160" s="7" t="str">
        <f aca="false">IF(OR(Recurring!$B$14="",Recurring!$H$14&lt;&gt;"Yes",Recurring!$D$14=""),"",Recurring!$B$14)</f>
        <v>Patrick Rombalski (rent)</v>
      </c>
      <c r="D160" s="7" t="str">
        <f aca="false">IF($C160="","",Recurring!$C$14)</f>
        <v>Expense</v>
      </c>
      <c r="E160" s="118" t="n">
        <f aca="false">IF($C160="","",IF(SUMIFS(Overrides!$E$9:$E$108,Overrides!$B$9:$B$108,$C160,Overrides!$C$9:$C$108,$L160)&gt;0,SUMIFS(Overrides!$E$9:$E$108,Overrides!$B$9:$B$108,$C160,Overrides!$C$9:$C$108,$L160),Recurring!$D$14))</f>
        <v>350</v>
      </c>
      <c r="F160" s="119" t="n">
        <f aca="false">IF($C160="","",IF(Recurring!$E$14="Weekly",Recurring!$F$14+7*12,IF(Recurring!$E$14="Every 2 Weeks",Recurring!$F$14+14*12,IF(Recurring!$E$14="Monthly",EDATE(Recurring!$F$14,12),IF(Recurring!$E$14="Twice a Month",IF(MOD((IF(DAY(Recurring!$F$14)&lt;=20,0,1)+12),2)=1,EOMONTH(Recurring!$F$14,INT((IF(DAY(Recurring!$F$14)&lt;=20,0,1)+12)/2)),DATE(YEAR(EDATE(Recurring!$F$14,INT((IF(DAY(Recurring!$F$14)&lt;=20,0,1)+12)/2))),MONTH(EDATE(Recurring!$F$14,INT((IF(DAY(Recurring!$F$14)&lt;=20,0,1)+12)/2))),15)),IF(Recurring!$E$14="One Time",IF(13=1,Recurring!$F$14,""),""))))))</f>
        <v>46446</v>
      </c>
      <c r="G160" s="119" t="n">
        <f aca="false">IF($L160="","",IF(SUMIFS(Overrides!$D$9:$D$108,Overrides!$B$9:$B$108,$C160,Overrides!$C$9:$C$108,$L160)&gt;0,SUMIFS(Overrides!$D$9:$D$108,Overrides!$B$9:$B$108,$C160,Overrides!$C$9:$C$108,$L160),$L160))</f>
        <v>46444</v>
      </c>
      <c r="H160" s="120" t="n">
        <f aca="false">IF($G160="",0,IF(AND($G160&gt;='Cash Flow'!$E$6,$G160&lt;'Cash Flow'!$E$6+91),1,0))</f>
        <v>0</v>
      </c>
      <c r="I160" s="120" t="str">
        <f aca="false">IF($H160=1,MAX(1,INT(($G160-'Cash Flow'!$E$6)/7)+1),"")</f>
        <v/>
      </c>
      <c r="J160" s="7" t="str">
        <f aca="false">IF($H160=1,$G160*10000+ROW(),"")</f>
        <v/>
      </c>
      <c r="K160" s="7" t="str">
        <f aca="false">IF($H160=1,$I160*1000+COUNTIFS($I$4:$I$483,$I160,$J$4:$J$483,"&lt;"&amp;$J160)+1,"")</f>
        <v/>
      </c>
      <c r="L160" s="121" t="n">
        <f aca="false">IF($F160="","",IF(Recurring!$G$14="Move Before",IF(WEEKDAY($F160,2)=6,$F160-1,IF(WEEKDAY($F160,2)=7,$F160-2,$F160)),IF(Recurring!$G$14="Move After",IF(WEEKDAY($F160,2)=6,$F160+2,IF(WEEKDAY($F160,2)=7,$F160+1,$F160)),$F160)))</f>
        <v>46444</v>
      </c>
      <c r="M160" s="0" t="str">
        <f aca="true">IF(AND($H160=1,$D160="Expense",$G160&gt;TODAY(),$E160&gt;=100),$G160*100000+ROW(),"")</f>
        <v/>
      </c>
      <c r="N160" s="0" t="str">
        <f aca="true">IF(AND($H160=1,$D160="Income",$G160&gt;TODAY()),$G160*100000+ROW(),"")</f>
        <v/>
      </c>
    </row>
    <row r="161" customFormat="false" ht="15" hidden="false" customHeight="true" outlineLevel="0" collapsed="false">
      <c r="A161" s="117" t="n">
        <v>10</v>
      </c>
      <c r="B161" s="117" t="n">
        <v>14</v>
      </c>
      <c r="C161" s="7" t="str">
        <f aca="false">IF(OR(Recurring!$B$14="",Recurring!$H$14&lt;&gt;"Yes",Recurring!$D$14=""),"",Recurring!$B$14)</f>
        <v>Patrick Rombalski (rent)</v>
      </c>
      <c r="D161" s="7" t="str">
        <f aca="false">IF($C161="","",Recurring!$C$14)</f>
        <v>Expense</v>
      </c>
      <c r="E161" s="118" t="n">
        <f aca="false">IF($C161="","",IF(SUMIFS(Overrides!$E$9:$E$108,Overrides!$B$9:$B$108,$C161,Overrides!$C$9:$C$108,$L161)&gt;0,SUMIFS(Overrides!$E$9:$E$108,Overrides!$B$9:$B$108,$C161,Overrides!$C$9:$C$108,$L161),Recurring!$D$14))</f>
        <v>350</v>
      </c>
      <c r="F161" s="119" t="n">
        <f aca="false">IF($C161="","",IF(Recurring!$E$14="Weekly",Recurring!$F$14+7*13,IF(Recurring!$E$14="Every 2 Weeks",Recurring!$F$14+14*13,IF(Recurring!$E$14="Monthly",EDATE(Recurring!$F$14,13),IF(Recurring!$E$14="Twice a Month",IF(MOD((IF(DAY(Recurring!$F$14)&lt;=20,0,1)+13),2)=1,EOMONTH(Recurring!$F$14,INT((IF(DAY(Recurring!$F$14)&lt;=20,0,1)+13)/2)),DATE(YEAR(EDATE(Recurring!$F$14,INT((IF(DAY(Recurring!$F$14)&lt;=20,0,1)+13)/2))),MONTH(EDATE(Recurring!$F$14,INT((IF(DAY(Recurring!$F$14)&lt;=20,0,1)+13)/2))),15)),IF(Recurring!$E$14="One Time",IF(14=1,Recurring!$F$14,""),""))))))</f>
        <v>46461</v>
      </c>
      <c r="G161" s="119" t="n">
        <f aca="false">IF($L161="","",IF(SUMIFS(Overrides!$D$9:$D$108,Overrides!$B$9:$B$108,$C161,Overrides!$C$9:$C$108,$L161)&gt;0,SUMIFS(Overrides!$D$9:$D$108,Overrides!$B$9:$B$108,$C161,Overrides!$C$9:$C$108,$L161),$L161))</f>
        <v>46461</v>
      </c>
      <c r="H161" s="120" t="n">
        <f aca="false">IF($G161="",0,IF(AND($G161&gt;='Cash Flow'!$E$6,$G161&lt;'Cash Flow'!$E$6+91),1,0))</f>
        <v>0</v>
      </c>
      <c r="I161" s="120" t="str">
        <f aca="false">IF($H161=1,MAX(1,INT(($G161-'Cash Flow'!$E$6)/7)+1),"")</f>
        <v/>
      </c>
      <c r="J161" s="7" t="str">
        <f aca="false">IF($H161=1,$G161*10000+ROW(),"")</f>
        <v/>
      </c>
      <c r="K161" s="7" t="str">
        <f aca="false">IF($H161=1,$I161*1000+COUNTIFS($I$4:$I$483,$I161,$J$4:$J$483,"&lt;"&amp;$J161)+1,"")</f>
        <v/>
      </c>
      <c r="L161" s="121" t="n">
        <f aca="false">IF($F161="","",IF(Recurring!$G$14="Move Before",IF(WEEKDAY($F161,2)=6,$F161-1,IF(WEEKDAY($F161,2)=7,$F161-2,$F161)),IF(Recurring!$G$14="Move After",IF(WEEKDAY($F161,2)=6,$F161+2,IF(WEEKDAY($F161,2)=7,$F161+1,$F161)),$F161)))</f>
        <v>46461</v>
      </c>
      <c r="M161" s="0" t="str">
        <f aca="true">IF(AND($H161=1,$D161="Expense",$G161&gt;TODAY(),$E161&gt;=100),$G161*100000+ROW(),"")</f>
        <v/>
      </c>
      <c r="N161" s="0" t="str">
        <f aca="true">IF(AND($H161=1,$D161="Income",$G161&gt;TODAY()),$G161*100000+ROW(),"")</f>
        <v/>
      </c>
    </row>
    <row r="162" customFormat="false" ht="15" hidden="false" customHeight="true" outlineLevel="0" collapsed="false">
      <c r="A162" s="117" t="n">
        <v>10</v>
      </c>
      <c r="B162" s="117" t="n">
        <v>15</v>
      </c>
      <c r="C162" s="7" t="str">
        <f aca="false">IF(OR(Recurring!$B$14="",Recurring!$H$14&lt;&gt;"Yes",Recurring!$D$14=""),"",Recurring!$B$14)</f>
        <v>Patrick Rombalski (rent)</v>
      </c>
      <c r="D162" s="7" t="str">
        <f aca="false">IF($C162="","",Recurring!$C$14)</f>
        <v>Expense</v>
      </c>
      <c r="E162" s="118" t="n">
        <f aca="false">IF($C162="","",IF(SUMIFS(Overrides!$E$9:$E$108,Overrides!$B$9:$B$108,$C162,Overrides!$C$9:$C$108,$L162)&gt;0,SUMIFS(Overrides!$E$9:$E$108,Overrides!$B$9:$B$108,$C162,Overrides!$C$9:$C$108,$L162),Recurring!$D$14))</f>
        <v>350</v>
      </c>
      <c r="F162" s="119" t="n">
        <f aca="false">IF($C162="","",IF(Recurring!$E$14="Weekly",Recurring!$F$14+7*14,IF(Recurring!$E$14="Every 2 Weeks",Recurring!$F$14+14*14,IF(Recurring!$E$14="Monthly",EDATE(Recurring!$F$14,14),IF(Recurring!$E$14="Twice a Month",IF(MOD((IF(DAY(Recurring!$F$14)&lt;=20,0,1)+14),2)=1,EOMONTH(Recurring!$F$14,INT((IF(DAY(Recurring!$F$14)&lt;=20,0,1)+14)/2)),DATE(YEAR(EDATE(Recurring!$F$14,INT((IF(DAY(Recurring!$F$14)&lt;=20,0,1)+14)/2))),MONTH(EDATE(Recurring!$F$14,INT((IF(DAY(Recurring!$F$14)&lt;=20,0,1)+14)/2))),15)),IF(Recurring!$E$14="One Time",IF(15=1,Recurring!$F$14,""),""))))))</f>
        <v>46477</v>
      </c>
      <c r="G162" s="119" t="n">
        <f aca="false">IF($L162="","",IF(SUMIFS(Overrides!$D$9:$D$108,Overrides!$B$9:$B$108,$C162,Overrides!$C$9:$C$108,$L162)&gt;0,SUMIFS(Overrides!$D$9:$D$108,Overrides!$B$9:$B$108,$C162,Overrides!$C$9:$C$108,$L162),$L162))</f>
        <v>46477</v>
      </c>
      <c r="H162" s="120" t="n">
        <f aca="false">IF($G162="",0,IF(AND($G162&gt;='Cash Flow'!$E$6,$G162&lt;'Cash Flow'!$E$6+91),1,0))</f>
        <v>0</v>
      </c>
      <c r="I162" s="120" t="str">
        <f aca="false">IF($H162=1,MAX(1,INT(($G162-'Cash Flow'!$E$6)/7)+1),"")</f>
        <v/>
      </c>
      <c r="J162" s="7" t="str">
        <f aca="false">IF($H162=1,$G162*10000+ROW(),"")</f>
        <v/>
      </c>
      <c r="K162" s="7" t="str">
        <f aca="false">IF($H162=1,$I162*1000+COUNTIFS($I$4:$I$483,$I162,$J$4:$J$483,"&lt;"&amp;$J162)+1,"")</f>
        <v/>
      </c>
      <c r="L162" s="121" t="n">
        <f aca="false">IF($F162="","",IF(Recurring!$G$14="Move Before",IF(WEEKDAY($F162,2)=6,$F162-1,IF(WEEKDAY($F162,2)=7,$F162-2,$F162)),IF(Recurring!$G$14="Move After",IF(WEEKDAY($F162,2)=6,$F162+2,IF(WEEKDAY($F162,2)=7,$F162+1,$F162)),$F162)))</f>
        <v>46477</v>
      </c>
      <c r="M162" s="0" t="str">
        <f aca="true">IF(AND($H162=1,$D162="Expense",$G162&gt;TODAY(),$E162&gt;=100),$G162*100000+ROW(),"")</f>
        <v/>
      </c>
      <c r="N162" s="0" t="str">
        <f aca="true">IF(AND($H162=1,$D162="Income",$G162&gt;TODAY()),$G162*100000+ROW(),"")</f>
        <v/>
      </c>
    </row>
    <row r="163" customFormat="false" ht="15" hidden="false" customHeight="true" outlineLevel="0" collapsed="false">
      <c r="A163" s="117" t="n">
        <v>10</v>
      </c>
      <c r="B163" s="117" t="n">
        <v>16</v>
      </c>
      <c r="C163" s="7" t="str">
        <f aca="false">IF(OR(Recurring!$B$14="",Recurring!$H$14&lt;&gt;"Yes",Recurring!$D$14=""),"",Recurring!$B$14)</f>
        <v>Patrick Rombalski (rent)</v>
      </c>
      <c r="D163" s="7" t="str">
        <f aca="false">IF($C163="","",Recurring!$C$14)</f>
        <v>Expense</v>
      </c>
      <c r="E163" s="118" t="n">
        <f aca="false">IF($C163="","",IF(SUMIFS(Overrides!$E$9:$E$108,Overrides!$B$9:$B$108,$C163,Overrides!$C$9:$C$108,$L163)&gt;0,SUMIFS(Overrides!$E$9:$E$108,Overrides!$B$9:$B$108,$C163,Overrides!$C$9:$C$108,$L163),Recurring!$D$14))</f>
        <v>350</v>
      </c>
      <c r="F163" s="119" t="n">
        <f aca="false">IF($C163="","",IF(Recurring!$E$14="Weekly",Recurring!$F$14+7*15,IF(Recurring!$E$14="Every 2 Weeks",Recurring!$F$14+14*15,IF(Recurring!$E$14="Monthly",EDATE(Recurring!$F$14,15),IF(Recurring!$E$14="Twice a Month",IF(MOD((IF(DAY(Recurring!$F$14)&lt;=20,0,1)+15),2)=1,EOMONTH(Recurring!$F$14,INT((IF(DAY(Recurring!$F$14)&lt;=20,0,1)+15)/2)),DATE(YEAR(EDATE(Recurring!$F$14,INT((IF(DAY(Recurring!$F$14)&lt;=20,0,1)+15)/2))),MONTH(EDATE(Recurring!$F$14,INT((IF(DAY(Recurring!$F$14)&lt;=20,0,1)+15)/2))),15)),IF(Recurring!$E$14="One Time",IF(16=1,Recurring!$F$14,""),""))))))</f>
        <v>46492</v>
      </c>
      <c r="G163" s="119" t="n">
        <f aca="false">IF($L163="","",IF(SUMIFS(Overrides!$D$9:$D$108,Overrides!$B$9:$B$108,$C163,Overrides!$C$9:$C$108,$L163)&gt;0,SUMIFS(Overrides!$D$9:$D$108,Overrides!$B$9:$B$108,$C163,Overrides!$C$9:$C$108,$L163),$L163))</f>
        <v>46492</v>
      </c>
      <c r="H163" s="120" t="n">
        <f aca="false">IF($G163="",0,IF(AND($G163&gt;='Cash Flow'!$E$6,$G163&lt;'Cash Flow'!$E$6+91),1,0))</f>
        <v>0</v>
      </c>
      <c r="I163" s="120" t="str">
        <f aca="false">IF($H163=1,MAX(1,INT(($G163-'Cash Flow'!$E$6)/7)+1),"")</f>
        <v/>
      </c>
      <c r="J163" s="7" t="str">
        <f aca="false">IF($H163=1,$G163*10000+ROW(),"")</f>
        <v/>
      </c>
      <c r="K163" s="7" t="str">
        <f aca="false">IF($H163=1,$I163*1000+COUNTIFS($I$4:$I$483,$I163,$J$4:$J$483,"&lt;"&amp;$J163)+1,"")</f>
        <v/>
      </c>
      <c r="L163" s="121" t="n">
        <f aca="false">IF($F163="","",IF(Recurring!$G$14="Move Before",IF(WEEKDAY($F163,2)=6,$F163-1,IF(WEEKDAY($F163,2)=7,$F163-2,$F163)),IF(Recurring!$G$14="Move After",IF(WEEKDAY($F163,2)=6,$F163+2,IF(WEEKDAY($F163,2)=7,$F163+1,$F163)),$F163)))</f>
        <v>46492</v>
      </c>
      <c r="M163" s="0" t="str">
        <f aca="true">IF(AND($H163=1,$D163="Expense",$G163&gt;TODAY(),$E163&gt;=100),$G163*100000+ROW(),"")</f>
        <v/>
      </c>
      <c r="N163" s="0" t="str">
        <f aca="true">IF(AND($H163=1,$D163="Income",$G163&gt;TODAY()),$G163*100000+ROW(),"")</f>
        <v/>
      </c>
    </row>
    <row r="164" customFormat="false" ht="15" hidden="false" customHeight="true" outlineLevel="0" collapsed="false">
      <c r="A164" s="117" t="n">
        <v>11</v>
      </c>
      <c r="B164" s="117" t="n">
        <v>1</v>
      </c>
      <c r="C164" s="7" t="str">
        <f aca="false">IF(OR(Recurring!$B$15="",Recurring!$H$15&lt;&gt;"Yes",Recurring!$D$15=""),"",Recurring!$B$15)</f>
        <v>Spectrum</v>
      </c>
      <c r="D164" s="7" t="str">
        <f aca="false">IF($C164="","",Recurring!$C$15)</f>
        <v>Expense</v>
      </c>
      <c r="E164" s="118" t="n">
        <f aca="false">IF($C164="","",IF(SUMIFS(Overrides!$E$9:$E$108,Overrides!$B$9:$B$108,$C164,Overrides!$C$9:$C$108,$L164)&gt;0,SUMIFS(Overrides!$E$9:$E$108,Overrides!$B$9:$B$108,$C164,Overrides!$C$9:$C$108,$L164),Recurring!$D$15))</f>
        <v>171.1</v>
      </c>
      <c r="F164" s="119" t="n">
        <f aca="false">IF($C164="","",IF(Recurring!$E$15="Weekly",Recurring!$F$15+7*0,IF(Recurring!$E$15="Every 2 Weeks",Recurring!$F$15+14*0,IF(Recurring!$E$15="Monthly",EDATE(Recurring!$F$15,0),IF(Recurring!$E$15="Twice a Month",IF(MOD((IF(DAY(Recurring!$F$15)&lt;=20,0,1)+0),2)=1,EOMONTH(Recurring!$F$15,INT((IF(DAY(Recurring!$F$15)&lt;=20,0,1)+0)/2)),DATE(YEAR(EDATE(Recurring!$F$15,INT((IF(DAY(Recurring!$F$15)&lt;=20,0,1)+0)/2))),MONTH(EDATE(Recurring!$F$15,INT((IF(DAY(Recurring!$F$15)&lt;=20,0,1)+0)/2))),15)),IF(Recurring!$E$15="One Time",IF(1=1,Recurring!$F$15,""),""))))))</f>
        <v>46255</v>
      </c>
      <c r="G164" s="119" t="n">
        <f aca="false">IF($L164="","",IF(SUMIFS(Overrides!$D$9:$D$108,Overrides!$B$9:$B$108,$C164,Overrides!$C$9:$C$108,$L164)&gt;0,SUMIFS(Overrides!$D$9:$D$108,Overrides!$B$9:$B$108,$C164,Overrides!$C$9:$C$108,$L164),$L164))</f>
        <v>46255</v>
      </c>
      <c r="H164" s="120" t="n">
        <f aca="false">IF($G164="",0,IF(AND($G164&gt;='Cash Flow'!$E$6-90,$G164&lt;'Cash Flow'!$E$6+91),1,0))</f>
        <v>1</v>
      </c>
      <c r="I164" s="120" t="n">
        <f aca="false">IF($H164=1,MAX(1,INT(($G164-'Cash Flow'!$E$6)/7)+1),"")</f>
        <v>1</v>
      </c>
      <c r="J164" s="7" t="n">
        <f aca="false">IF($H164=1,$G164*10000+ROW(),"")</f>
        <v>462550164</v>
      </c>
      <c r="K164" s="7" t="n">
        <f aca="false">IF($H164=1,$I164*1000+COUNTIFS($I$4:$I$483,$I164,$J$4:$J$483,"&lt;"&amp;$J164)+1,"")</f>
        <v>1004</v>
      </c>
      <c r="L164" s="121" t="n">
        <f aca="false">IF($F164="","",IF(Recurring!$G$15="Move Before",IF(WEEKDAY($F164,2)=6,$F164-1,IF(WEEKDAY($F164,2)=7,$F164-2,$F164)),IF(Recurring!$G$15="Move After",IF(WEEKDAY($F164,2)=6,$F164+2,IF(WEEKDAY($F164,2)=7,$F164+1,$F164)),$F164)))</f>
        <v>46255</v>
      </c>
      <c r="M164" s="0" t="str">
        <f aca="true">IF(AND($H164=1,$D164="Expense",$G164&gt;TODAY(),$E164&gt;=100),$G164*100000+ROW(),"")</f>
        <v/>
      </c>
      <c r="N164" s="0" t="str">
        <f aca="true">IF(AND($H164=1,$D164="Income",$G164&gt;TODAY()),$G164*100000+ROW(),"")</f>
        <v/>
      </c>
    </row>
    <row r="165" customFormat="false" ht="15" hidden="false" customHeight="true" outlineLevel="0" collapsed="false">
      <c r="A165" s="117" t="n">
        <v>11</v>
      </c>
      <c r="B165" s="117" t="n">
        <v>2</v>
      </c>
      <c r="C165" s="7" t="str">
        <f aca="false">IF(OR(Recurring!$B$15="",Recurring!$H$15&lt;&gt;"Yes",Recurring!$D$15=""),"",Recurring!$B$15)</f>
        <v>Spectrum</v>
      </c>
      <c r="D165" s="7" t="str">
        <f aca="false">IF($C165="","",Recurring!$C$15)</f>
        <v>Expense</v>
      </c>
      <c r="E165" s="118" t="n">
        <f aca="false">IF($C165="","",IF(SUMIFS(Overrides!$E$9:$E$108,Overrides!$B$9:$B$108,$C165,Overrides!$C$9:$C$108,$L165)&gt;0,SUMIFS(Overrides!$E$9:$E$108,Overrides!$B$9:$B$108,$C165,Overrides!$C$9:$C$108,$L165),Recurring!$D$15))</f>
        <v>171.1</v>
      </c>
      <c r="F165" s="119" t="n">
        <f aca="false">IF($C165="","",IF(Recurring!$E$15="Weekly",Recurring!$F$15+7*1,IF(Recurring!$E$15="Every 2 Weeks",Recurring!$F$15+14*1,IF(Recurring!$E$15="Monthly",EDATE(Recurring!$F$15,1),IF(Recurring!$E$15="Twice a Month",IF(MOD((IF(DAY(Recurring!$F$15)&lt;=20,0,1)+1),2)=1,EOMONTH(Recurring!$F$15,INT((IF(DAY(Recurring!$F$15)&lt;=20,0,1)+1)/2)),DATE(YEAR(EDATE(Recurring!$F$15,INT((IF(DAY(Recurring!$F$15)&lt;=20,0,1)+1)/2))),MONTH(EDATE(Recurring!$F$15,INT((IF(DAY(Recurring!$F$15)&lt;=20,0,1)+1)/2))),15)),IF(Recurring!$E$15="One Time",IF(2=1,Recurring!$F$15,""),""))))))</f>
        <v>46286</v>
      </c>
      <c r="G165" s="119" t="n">
        <f aca="false">IF($L165="","",IF(SUMIFS(Overrides!$D$9:$D$108,Overrides!$B$9:$B$108,$C165,Overrides!$C$9:$C$108,$L165)&gt;0,SUMIFS(Overrides!$D$9:$D$108,Overrides!$B$9:$B$108,$C165,Overrides!$C$9:$C$108,$L165),$L165))</f>
        <v>46286</v>
      </c>
      <c r="H165" s="120" t="n">
        <f aca="false">IF($G165="",0,IF(AND($G165&gt;='Cash Flow'!$E$6,$G165&lt;'Cash Flow'!$E$6+91),1,0))</f>
        <v>1</v>
      </c>
      <c r="I165" s="120" t="n">
        <f aca="false">IF($H165=1,MAX(1,INT(($G165-'Cash Flow'!$E$6)/7)+1),"")</f>
        <v>6</v>
      </c>
      <c r="J165" s="7" t="n">
        <f aca="false">IF($H165=1,$G165*10000+ROW(),"")</f>
        <v>462860165</v>
      </c>
      <c r="K165" s="7" t="n">
        <f aca="false">IF($H165=1,$I165*1000+COUNTIFS($I$4:$I$483,$I165,$J$4:$J$483,"&lt;"&amp;$J165)+1,"")</f>
        <v>6001</v>
      </c>
      <c r="L165" s="121" t="n">
        <f aca="false">IF($F165="","",IF(Recurring!$G$15="Move Before",IF(WEEKDAY($F165,2)=6,$F165-1,IF(WEEKDAY($F165,2)=7,$F165-2,$F165)),IF(Recurring!$G$15="Move After",IF(WEEKDAY($F165,2)=6,$F165+2,IF(WEEKDAY($F165,2)=7,$F165+1,$F165)),$F165)))</f>
        <v>46286</v>
      </c>
      <c r="M165" s="122" t="n">
        <f aca="true">IF(AND($H165=1,$D165="Expense",$G165&gt;TODAY(),$E165&gt;=100),$G165*100000+ROW(),"")</f>
        <v>4628600165</v>
      </c>
      <c r="N165" s="0" t="str">
        <f aca="true">IF(AND($H165=1,$D165="Income",$G165&gt;TODAY()),$G165*100000+ROW(),"")</f>
        <v/>
      </c>
    </row>
    <row r="166" customFormat="false" ht="15" hidden="false" customHeight="true" outlineLevel="0" collapsed="false">
      <c r="A166" s="117" t="n">
        <v>11</v>
      </c>
      <c r="B166" s="117" t="n">
        <v>3</v>
      </c>
      <c r="C166" s="7" t="str">
        <f aca="false">IF(OR(Recurring!$B$15="",Recurring!$H$15&lt;&gt;"Yes",Recurring!$D$15=""),"",Recurring!$B$15)</f>
        <v>Spectrum</v>
      </c>
      <c r="D166" s="7" t="str">
        <f aca="false">IF($C166="","",Recurring!$C$15)</f>
        <v>Expense</v>
      </c>
      <c r="E166" s="118" t="n">
        <f aca="false">IF($C166="","",IF(SUMIFS(Overrides!$E$9:$E$108,Overrides!$B$9:$B$108,$C166,Overrides!$C$9:$C$108,$L166)&gt;0,SUMIFS(Overrides!$E$9:$E$108,Overrides!$B$9:$B$108,$C166,Overrides!$C$9:$C$108,$L166),Recurring!$D$15))</f>
        <v>171.1</v>
      </c>
      <c r="F166" s="119" t="n">
        <f aca="false">IF($C166="","",IF(Recurring!$E$15="Weekly",Recurring!$F$15+7*2,IF(Recurring!$E$15="Every 2 Weeks",Recurring!$F$15+14*2,IF(Recurring!$E$15="Monthly",EDATE(Recurring!$F$15,2),IF(Recurring!$E$15="Twice a Month",IF(MOD((IF(DAY(Recurring!$F$15)&lt;=20,0,1)+2),2)=1,EOMONTH(Recurring!$F$15,INT((IF(DAY(Recurring!$F$15)&lt;=20,0,1)+2)/2)),DATE(YEAR(EDATE(Recurring!$F$15,INT((IF(DAY(Recurring!$F$15)&lt;=20,0,1)+2)/2))),MONTH(EDATE(Recurring!$F$15,INT((IF(DAY(Recurring!$F$15)&lt;=20,0,1)+2)/2))),15)),IF(Recurring!$E$15="One Time",IF(3=1,Recurring!$F$15,""),""))))))</f>
        <v>46316</v>
      </c>
      <c r="G166" s="119" t="n">
        <f aca="false">IF($L166="","",IF(SUMIFS(Overrides!$D$9:$D$108,Overrides!$B$9:$B$108,$C166,Overrides!$C$9:$C$108,$L166)&gt;0,SUMIFS(Overrides!$D$9:$D$108,Overrides!$B$9:$B$108,$C166,Overrides!$C$9:$C$108,$L166),$L166))</f>
        <v>46316</v>
      </c>
      <c r="H166" s="120" t="n">
        <f aca="false">IF($G166="",0,IF(AND($G166&gt;='Cash Flow'!$E$6,$G166&lt;'Cash Flow'!$E$6+91),1,0))</f>
        <v>1</v>
      </c>
      <c r="I166" s="120" t="n">
        <f aca="false">IF($H166=1,MAX(1,INT(($G166-'Cash Flow'!$E$6)/7)+1),"")</f>
        <v>10</v>
      </c>
      <c r="J166" s="7" t="n">
        <f aca="false">IF($H166=1,$G166*10000+ROW(),"")</f>
        <v>463160166</v>
      </c>
      <c r="K166" s="7" t="n">
        <f aca="false">IF($H166=1,$I166*1000+COUNTIFS($I$4:$I$483,$I166,$J$4:$J$483,"&lt;"&amp;$J166)+1,"")</f>
        <v>10002</v>
      </c>
      <c r="L166" s="121" t="n">
        <f aca="false">IF($F166="","",IF(Recurring!$G$15="Move Before",IF(WEEKDAY($F166,2)=6,$F166-1,IF(WEEKDAY($F166,2)=7,$F166-2,$F166)),IF(Recurring!$G$15="Move After",IF(WEEKDAY($F166,2)=6,$F166+2,IF(WEEKDAY($F166,2)=7,$F166+1,$F166)),$F166)))</f>
        <v>46316</v>
      </c>
      <c r="M166" s="122" t="n">
        <f aca="true">IF(AND($H166=1,$D166="Expense",$G166&gt;TODAY(),$E166&gt;=100),$G166*100000+ROW(),"")</f>
        <v>4631600166</v>
      </c>
      <c r="N166" s="0" t="str">
        <f aca="true">IF(AND($H166=1,$D166="Income",$G166&gt;TODAY()),$G166*100000+ROW(),"")</f>
        <v/>
      </c>
    </row>
    <row r="167" customFormat="false" ht="15" hidden="false" customHeight="true" outlineLevel="0" collapsed="false">
      <c r="A167" s="117" t="n">
        <v>11</v>
      </c>
      <c r="B167" s="117" t="n">
        <v>4</v>
      </c>
      <c r="C167" s="7" t="str">
        <f aca="false">IF(OR(Recurring!$B$15="",Recurring!$H$15&lt;&gt;"Yes",Recurring!$D$15=""),"",Recurring!$B$15)</f>
        <v>Spectrum</v>
      </c>
      <c r="D167" s="7" t="str">
        <f aca="false">IF($C167="","",Recurring!$C$15)</f>
        <v>Expense</v>
      </c>
      <c r="E167" s="118" t="n">
        <f aca="false">IF($C167="","",IF(SUMIFS(Overrides!$E$9:$E$108,Overrides!$B$9:$B$108,$C167,Overrides!$C$9:$C$108,$L167)&gt;0,SUMIFS(Overrides!$E$9:$E$108,Overrides!$B$9:$B$108,$C167,Overrides!$C$9:$C$108,$L167),Recurring!$D$15))</f>
        <v>171.1</v>
      </c>
      <c r="F167" s="119" t="n">
        <f aca="false">IF($C167="","",IF(Recurring!$E$15="Weekly",Recurring!$F$15+7*3,IF(Recurring!$E$15="Every 2 Weeks",Recurring!$F$15+14*3,IF(Recurring!$E$15="Monthly",EDATE(Recurring!$F$15,3),IF(Recurring!$E$15="Twice a Month",IF(MOD((IF(DAY(Recurring!$F$15)&lt;=20,0,1)+3),2)=1,EOMONTH(Recurring!$F$15,INT((IF(DAY(Recurring!$F$15)&lt;=20,0,1)+3)/2)),DATE(YEAR(EDATE(Recurring!$F$15,INT((IF(DAY(Recurring!$F$15)&lt;=20,0,1)+3)/2))),MONTH(EDATE(Recurring!$F$15,INT((IF(DAY(Recurring!$F$15)&lt;=20,0,1)+3)/2))),15)),IF(Recurring!$E$15="One Time",IF(4=1,Recurring!$F$15,""),""))))))</f>
        <v>46347</v>
      </c>
      <c r="G167" s="119" t="n">
        <f aca="false">IF($L167="","",IF(SUMIFS(Overrides!$D$9:$D$108,Overrides!$B$9:$B$108,$C167,Overrides!$C$9:$C$108,$L167)&gt;0,SUMIFS(Overrides!$D$9:$D$108,Overrides!$B$9:$B$108,$C167,Overrides!$C$9:$C$108,$L167),$L167))</f>
        <v>46347</v>
      </c>
      <c r="H167" s="120" t="n">
        <f aca="false">IF($G167="",0,IF(AND($G167&gt;='Cash Flow'!$E$6,$G167&lt;'Cash Flow'!$E$6+91),1,0))</f>
        <v>0</v>
      </c>
      <c r="I167" s="120" t="str">
        <f aca="false">IF($H167=1,MAX(1,INT(($G167-'Cash Flow'!$E$6)/7)+1),"")</f>
        <v/>
      </c>
      <c r="J167" s="7" t="str">
        <f aca="false">IF($H167=1,$G167*10000+ROW(),"")</f>
        <v/>
      </c>
      <c r="K167" s="7" t="str">
        <f aca="false">IF($H167=1,$I167*1000+COUNTIFS($I$4:$I$483,$I167,$J$4:$J$483,"&lt;"&amp;$J167)+1,"")</f>
        <v/>
      </c>
      <c r="L167" s="121" t="n">
        <f aca="false">IF($F167="","",IF(Recurring!$G$15="Move Before",IF(WEEKDAY($F167,2)=6,$F167-1,IF(WEEKDAY($F167,2)=7,$F167-2,$F167)),IF(Recurring!$G$15="Move After",IF(WEEKDAY($F167,2)=6,$F167+2,IF(WEEKDAY($F167,2)=7,$F167+1,$F167)),$F167)))</f>
        <v>46347</v>
      </c>
      <c r="M167" s="0" t="str">
        <f aca="true">IF(AND($H167=1,$D167="Expense",$G167&gt;TODAY(),$E167&gt;=100),$G167*100000+ROW(),"")</f>
        <v/>
      </c>
      <c r="N167" s="0" t="str">
        <f aca="true">IF(AND($H167=1,$D167="Income",$G167&gt;TODAY()),$G167*100000+ROW(),"")</f>
        <v/>
      </c>
    </row>
    <row r="168" customFormat="false" ht="15" hidden="false" customHeight="true" outlineLevel="0" collapsed="false">
      <c r="A168" s="117" t="n">
        <v>11</v>
      </c>
      <c r="B168" s="117" t="n">
        <v>5</v>
      </c>
      <c r="C168" s="7" t="str">
        <f aca="false">IF(OR(Recurring!$B$15="",Recurring!$H$15&lt;&gt;"Yes",Recurring!$D$15=""),"",Recurring!$B$15)</f>
        <v>Spectrum</v>
      </c>
      <c r="D168" s="7" t="str">
        <f aca="false">IF($C168="","",Recurring!$C$15)</f>
        <v>Expense</v>
      </c>
      <c r="E168" s="118" t="n">
        <f aca="false">IF($C168="","",IF(SUMIFS(Overrides!$E$9:$E$108,Overrides!$B$9:$B$108,$C168,Overrides!$C$9:$C$108,$L168)&gt;0,SUMIFS(Overrides!$E$9:$E$108,Overrides!$B$9:$B$108,$C168,Overrides!$C$9:$C$108,$L168),Recurring!$D$15))</f>
        <v>171.1</v>
      </c>
      <c r="F168" s="119" t="n">
        <f aca="false">IF($C168="","",IF(Recurring!$E$15="Weekly",Recurring!$F$15+7*4,IF(Recurring!$E$15="Every 2 Weeks",Recurring!$F$15+14*4,IF(Recurring!$E$15="Monthly",EDATE(Recurring!$F$15,4),IF(Recurring!$E$15="Twice a Month",IF(MOD((IF(DAY(Recurring!$F$15)&lt;=20,0,1)+4),2)=1,EOMONTH(Recurring!$F$15,INT((IF(DAY(Recurring!$F$15)&lt;=20,0,1)+4)/2)),DATE(YEAR(EDATE(Recurring!$F$15,INT((IF(DAY(Recurring!$F$15)&lt;=20,0,1)+4)/2))),MONTH(EDATE(Recurring!$F$15,INT((IF(DAY(Recurring!$F$15)&lt;=20,0,1)+4)/2))),15)),IF(Recurring!$E$15="One Time",IF(5=1,Recurring!$F$15,""),""))))))</f>
        <v>46377</v>
      </c>
      <c r="G168" s="119" t="n">
        <f aca="false">IF($L168="","",IF(SUMIFS(Overrides!$D$9:$D$108,Overrides!$B$9:$B$108,$C168,Overrides!$C$9:$C$108,$L168)&gt;0,SUMIFS(Overrides!$D$9:$D$108,Overrides!$B$9:$B$108,$C168,Overrides!$C$9:$C$108,$L168),$L168))</f>
        <v>46377</v>
      </c>
      <c r="H168" s="120" t="n">
        <f aca="false">IF($G168="",0,IF(AND($G168&gt;='Cash Flow'!$E$6,$G168&lt;'Cash Flow'!$E$6+91),1,0))</f>
        <v>0</v>
      </c>
      <c r="I168" s="120" t="str">
        <f aca="false">IF($H168=1,MAX(1,INT(($G168-'Cash Flow'!$E$6)/7)+1),"")</f>
        <v/>
      </c>
      <c r="J168" s="7" t="str">
        <f aca="false">IF($H168=1,$G168*10000+ROW(),"")</f>
        <v/>
      </c>
      <c r="K168" s="7" t="str">
        <f aca="false">IF($H168=1,$I168*1000+COUNTIFS($I$4:$I$483,$I168,$J$4:$J$483,"&lt;"&amp;$J168)+1,"")</f>
        <v/>
      </c>
      <c r="L168" s="121" t="n">
        <f aca="false">IF($F168="","",IF(Recurring!$G$15="Move Before",IF(WEEKDAY($F168,2)=6,$F168-1,IF(WEEKDAY($F168,2)=7,$F168-2,$F168)),IF(Recurring!$G$15="Move After",IF(WEEKDAY($F168,2)=6,$F168+2,IF(WEEKDAY($F168,2)=7,$F168+1,$F168)),$F168)))</f>
        <v>46377</v>
      </c>
      <c r="M168" s="0" t="str">
        <f aca="true">IF(AND($H168=1,$D168="Expense",$G168&gt;TODAY(),$E168&gt;=100),$G168*100000+ROW(),"")</f>
        <v/>
      </c>
      <c r="N168" s="0" t="str">
        <f aca="true">IF(AND($H168=1,$D168="Income",$G168&gt;TODAY()),$G168*100000+ROW(),"")</f>
        <v/>
      </c>
    </row>
    <row r="169" customFormat="false" ht="15" hidden="false" customHeight="true" outlineLevel="0" collapsed="false">
      <c r="A169" s="117" t="n">
        <v>11</v>
      </c>
      <c r="B169" s="117" t="n">
        <v>6</v>
      </c>
      <c r="C169" s="7" t="str">
        <f aca="false">IF(OR(Recurring!$B$15="",Recurring!$H$15&lt;&gt;"Yes",Recurring!$D$15=""),"",Recurring!$B$15)</f>
        <v>Spectrum</v>
      </c>
      <c r="D169" s="7" t="str">
        <f aca="false">IF($C169="","",Recurring!$C$15)</f>
        <v>Expense</v>
      </c>
      <c r="E169" s="118" t="n">
        <f aca="false">IF($C169="","",IF(SUMIFS(Overrides!$E$9:$E$108,Overrides!$B$9:$B$108,$C169,Overrides!$C$9:$C$108,$L169)&gt;0,SUMIFS(Overrides!$E$9:$E$108,Overrides!$B$9:$B$108,$C169,Overrides!$C$9:$C$108,$L169),Recurring!$D$15))</f>
        <v>171.1</v>
      </c>
      <c r="F169" s="119" t="n">
        <f aca="false">IF($C169="","",IF(Recurring!$E$15="Weekly",Recurring!$F$15+7*5,IF(Recurring!$E$15="Every 2 Weeks",Recurring!$F$15+14*5,IF(Recurring!$E$15="Monthly",EDATE(Recurring!$F$15,5),IF(Recurring!$E$15="Twice a Month",IF(MOD((IF(DAY(Recurring!$F$15)&lt;=20,0,1)+5),2)=1,EOMONTH(Recurring!$F$15,INT((IF(DAY(Recurring!$F$15)&lt;=20,0,1)+5)/2)),DATE(YEAR(EDATE(Recurring!$F$15,INT((IF(DAY(Recurring!$F$15)&lt;=20,0,1)+5)/2))),MONTH(EDATE(Recurring!$F$15,INT((IF(DAY(Recurring!$F$15)&lt;=20,0,1)+5)/2))),15)),IF(Recurring!$E$15="One Time",IF(6=1,Recurring!$F$15,""),""))))))</f>
        <v>46408</v>
      </c>
      <c r="G169" s="119" t="n">
        <f aca="false">IF($L169="","",IF(SUMIFS(Overrides!$D$9:$D$108,Overrides!$B$9:$B$108,$C169,Overrides!$C$9:$C$108,$L169)&gt;0,SUMIFS(Overrides!$D$9:$D$108,Overrides!$B$9:$B$108,$C169,Overrides!$C$9:$C$108,$L169),$L169))</f>
        <v>46408</v>
      </c>
      <c r="H169" s="120" t="n">
        <f aca="false">IF($G169="",0,IF(AND($G169&gt;='Cash Flow'!$E$6,$G169&lt;'Cash Flow'!$E$6+91),1,0))</f>
        <v>0</v>
      </c>
      <c r="I169" s="120" t="str">
        <f aca="false">IF($H169=1,MAX(1,INT(($G169-'Cash Flow'!$E$6)/7)+1),"")</f>
        <v/>
      </c>
      <c r="J169" s="7" t="str">
        <f aca="false">IF($H169=1,$G169*10000+ROW(),"")</f>
        <v/>
      </c>
      <c r="K169" s="7" t="str">
        <f aca="false">IF($H169=1,$I169*1000+COUNTIFS($I$4:$I$483,$I169,$J$4:$J$483,"&lt;"&amp;$J169)+1,"")</f>
        <v/>
      </c>
      <c r="L169" s="121" t="n">
        <f aca="false">IF($F169="","",IF(Recurring!$G$15="Move Before",IF(WEEKDAY($F169,2)=6,$F169-1,IF(WEEKDAY($F169,2)=7,$F169-2,$F169)),IF(Recurring!$G$15="Move After",IF(WEEKDAY($F169,2)=6,$F169+2,IF(WEEKDAY($F169,2)=7,$F169+1,$F169)),$F169)))</f>
        <v>46408</v>
      </c>
      <c r="M169" s="0" t="str">
        <f aca="true">IF(AND($H169=1,$D169="Expense",$G169&gt;TODAY(),$E169&gt;=100),$G169*100000+ROW(),"")</f>
        <v/>
      </c>
      <c r="N169" s="0" t="str">
        <f aca="true">IF(AND($H169=1,$D169="Income",$G169&gt;TODAY()),$G169*100000+ROW(),"")</f>
        <v/>
      </c>
    </row>
    <row r="170" customFormat="false" ht="15" hidden="false" customHeight="true" outlineLevel="0" collapsed="false">
      <c r="A170" s="117" t="n">
        <v>11</v>
      </c>
      <c r="B170" s="117" t="n">
        <v>7</v>
      </c>
      <c r="C170" s="7" t="str">
        <f aca="false">IF(OR(Recurring!$B$15="",Recurring!$H$15&lt;&gt;"Yes",Recurring!$D$15=""),"",Recurring!$B$15)</f>
        <v>Spectrum</v>
      </c>
      <c r="D170" s="7" t="str">
        <f aca="false">IF($C170="","",Recurring!$C$15)</f>
        <v>Expense</v>
      </c>
      <c r="E170" s="118" t="n">
        <f aca="false">IF($C170="","",IF(SUMIFS(Overrides!$E$9:$E$108,Overrides!$B$9:$B$108,$C170,Overrides!$C$9:$C$108,$L170)&gt;0,SUMIFS(Overrides!$E$9:$E$108,Overrides!$B$9:$B$108,$C170,Overrides!$C$9:$C$108,$L170),Recurring!$D$15))</f>
        <v>171.1</v>
      </c>
      <c r="F170" s="119" t="n">
        <f aca="false">IF($C170="","",IF(Recurring!$E$15="Weekly",Recurring!$F$15+7*6,IF(Recurring!$E$15="Every 2 Weeks",Recurring!$F$15+14*6,IF(Recurring!$E$15="Monthly",EDATE(Recurring!$F$15,6),IF(Recurring!$E$15="Twice a Month",IF(MOD((IF(DAY(Recurring!$F$15)&lt;=20,0,1)+6),2)=1,EOMONTH(Recurring!$F$15,INT((IF(DAY(Recurring!$F$15)&lt;=20,0,1)+6)/2)),DATE(YEAR(EDATE(Recurring!$F$15,INT((IF(DAY(Recurring!$F$15)&lt;=20,0,1)+6)/2))),MONTH(EDATE(Recurring!$F$15,INT((IF(DAY(Recurring!$F$15)&lt;=20,0,1)+6)/2))),15)),IF(Recurring!$E$15="One Time",IF(7=1,Recurring!$F$15,""),""))))))</f>
        <v>46439</v>
      </c>
      <c r="G170" s="119" t="n">
        <f aca="false">IF($L170="","",IF(SUMIFS(Overrides!$D$9:$D$108,Overrides!$B$9:$B$108,$C170,Overrides!$C$9:$C$108,$L170)&gt;0,SUMIFS(Overrides!$D$9:$D$108,Overrides!$B$9:$B$108,$C170,Overrides!$C$9:$C$108,$L170),$L170))</f>
        <v>46439</v>
      </c>
      <c r="H170" s="120" t="n">
        <f aca="false">IF($G170="",0,IF(AND($G170&gt;='Cash Flow'!$E$6,$G170&lt;'Cash Flow'!$E$6+91),1,0))</f>
        <v>0</v>
      </c>
      <c r="I170" s="120" t="str">
        <f aca="false">IF($H170=1,MAX(1,INT(($G170-'Cash Flow'!$E$6)/7)+1),"")</f>
        <v/>
      </c>
      <c r="J170" s="7" t="str">
        <f aca="false">IF($H170=1,$G170*10000+ROW(),"")</f>
        <v/>
      </c>
      <c r="K170" s="7" t="str">
        <f aca="false">IF($H170=1,$I170*1000+COUNTIFS($I$4:$I$483,$I170,$J$4:$J$483,"&lt;"&amp;$J170)+1,"")</f>
        <v/>
      </c>
      <c r="L170" s="121" t="n">
        <f aca="false">IF($F170="","",IF(Recurring!$G$15="Move Before",IF(WEEKDAY($F170,2)=6,$F170-1,IF(WEEKDAY($F170,2)=7,$F170-2,$F170)),IF(Recurring!$G$15="Move After",IF(WEEKDAY($F170,2)=6,$F170+2,IF(WEEKDAY($F170,2)=7,$F170+1,$F170)),$F170)))</f>
        <v>46439</v>
      </c>
      <c r="M170" s="0" t="str">
        <f aca="true">IF(AND($H170=1,$D170="Expense",$G170&gt;TODAY(),$E170&gt;=100),$G170*100000+ROW(),"")</f>
        <v/>
      </c>
      <c r="N170" s="0" t="str">
        <f aca="true">IF(AND($H170=1,$D170="Income",$G170&gt;TODAY()),$G170*100000+ROW(),"")</f>
        <v/>
      </c>
    </row>
    <row r="171" customFormat="false" ht="15" hidden="false" customHeight="true" outlineLevel="0" collapsed="false">
      <c r="A171" s="117" t="n">
        <v>11</v>
      </c>
      <c r="B171" s="117" t="n">
        <v>8</v>
      </c>
      <c r="C171" s="7" t="str">
        <f aca="false">IF(OR(Recurring!$B$15="",Recurring!$H$15&lt;&gt;"Yes",Recurring!$D$15=""),"",Recurring!$B$15)</f>
        <v>Spectrum</v>
      </c>
      <c r="D171" s="7" t="str">
        <f aca="false">IF($C171="","",Recurring!$C$15)</f>
        <v>Expense</v>
      </c>
      <c r="E171" s="118" t="n">
        <f aca="false">IF($C171="","",IF(SUMIFS(Overrides!$E$9:$E$108,Overrides!$B$9:$B$108,$C171,Overrides!$C$9:$C$108,$L171)&gt;0,SUMIFS(Overrides!$E$9:$E$108,Overrides!$B$9:$B$108,$C171,Overrides!$C$9:$C$108,$L171),Recurring!$D$15))</f>
        <v>171.1</v>
      </c>
      <c r="F171" s="119" t="n">
        <f aca="false">IF($C171="","",IF(Recurring!$E$15="Weekly",Recurring!$F$15+7*7,IF(Recurring!$E$15="Every 2 Weeks",Recurring!$F$15+14*7,IF(Recurring!$E$15="Monthly",EDATE(Recurring!$F$15,7),IF(Recurring!$E$15="Twice a Month",IF(MOD((IF(DAY(Recurring!$F$15)&lt;=20,0,1)+7),2)=1,EOMONTH(Recurring!$F$15,INT((IF(DAY(Recurring!$F$15)&lt;=20,0,1)+7)/2)),DATE(YEAR(EDATE(Recurring!$F$15,INT((IF(DAY(Recurring!$F$15)&lt;=20,0,1)+7)/2))),MONTH(EDATE(Recurring!$F$15,INT((IF(DAY(Recurring!$F$15)&lt;=20,0,1)+7)/2))),15)),IF(Recurring!$E$15="One Time",IF(8=1,Recurring!$F$15,""),""))))))</f>
        <v>46467</v>
      </c>
      <c r="G171" s="119" t="n">
        <f aca="false">IF($L171="","",IF(SUMIFS(Overrides!$D$9:$D$108,Overrides!$B$9:$B$108,$C171,Overrides!$C$9:$C$108,$L171)&gt;0,SUMIFS(Overrides!$D$9:$D$108,Overrides!$B$9:$B$108,$C171,Overrides!$C$9:$C$108,$L171),$L171))</f>
        <v>46467</v>
      </c>
      <c r="H171" s="120" t="n">
        <f aca="false">IF($G171="",0,IF(AND($G171&gt;='Cash Flow'!$E$6,$G171&lt;'Cash Flow'!$E$6+91),1,0))</f>
        <v>0</v>
      </c>
      <c r="I171" s="120" t="str">
        <f aca="false">IF($H171=1,MAX(1,INT(($G171-'Cash Flow'!$E$6)/7)+1),"")</f>
        <v/>
      </c>
      <c r="J171" s="7" t="str">
        <f aca="false">IF($H171=1,$G171*10000+ROW(),"")</f>
        <v/>
      </c>
      <c r="K171" s="7" t="str">
        <f aca="false">IF($H171=1,$I171*1000+COUNTIFS($I$4:$I$483,$I171,$J$4:$J$483,"&lt;"&amp;$J171)+1,"")</f>
        <v/>
      </c>
      <c r="L171" s="121" t="n">
        <f aca="false">IF($F171="","",IF(Recurring!$G$15="Move Before",IF(WEEKDAY($F171,2)=6,$F171-1,IF(WEEKDAY($F171,2)=7,$F171-2,$F171)),IF(Recurring!$G$15="Move After",IF(WEEKDAY($F171,2)=6,$F171+2,IF(WEEKDAY($F171,2)=7,$F171+1,$F171)),$F171)))</f>
        <v>46467</v>
      </c>
      <c r="M171" s="0" t="str">
        <f aca="true">IF(AND($H171=1,$D171="Expense",$G171&gt;TODAY(),$E171&gt;=100),$G171*100000+ROW(),"")</f>
        <v/>
      </c>
      <c r="N171" s="0" t="str">
        <f aca="true">IF(AND($H171=1,$D171="Income",$G171&gt;TODAY()),$G171*100000+ROW(),"")</f>
        <v/>
      </c>
    </row>
    <row r="172" customFormat="false" ht="15" hidden="false" customHeight="true" outlineLevel="0" collapsed="false">
      <c r="A172" s="117" t="n">
        <v>11</v>
      </c>
      <c r="B172" s="117" t="n">
        <v>9</v>
      </c>
      <c r="C172" s="7" t="str">
        <f aca="false">IF(OR(Recurring!$B$15="",Recurring!$H$15&lt;&gt;"Yes",Recurring!$D$15=""),"",Recurring!$B$15)</f>
        <v>Spectrum</v>
      </c>
      <c r="D172" s="7" t="str">
        <f aca="false">IF($C172="","",Recurring!$C$15)</f>
        <v>Expense</v>
      </c>
      <c r="E172" s="118" t="n">
        <f aca="false">IF($C172="","",IF(SUMIFS(Overrides!$E$9:$E$108,Overrides!$B$9:$B$108,$C172,Overrides!$C$9:$C$108,$L172)&gt;0,SUMIFS(Overrides!$E$9:$E$108,Overrides!$B$9:$B$108,$C172,Overrides!$C$9:$C$108,$L172),Recurring!$D$15))</f>
        <v>171.1</v>
      </c>
      <c r="F172" s="119" t="n">
        <f aca="false">IF($C172="","",IF(Recurring!$E$15="Weekly",Recurring!$F$15+7*8,IF(Recurring!$E$15="Every 2 Weeks",Recurring!$F$15+14*8,IF(Recurring!$E$15="Monthly",EDATE(Recurring!$F$15,8),IF(Recurring!$E$15="Twice a Month",IF(MOD((IF(DAY(Recurring!$F$15)&lt;=20,0,1)+8),2)=1,EOMONTH(Recurring!$F$15,INT((IF(DAY(Recurring!$F$15)&lt;=20,0,1)+8)/2)),DATE(YEAR(EDATE(Recurring!$F$15,INT((IF(DAY(Recurring!$F$15)&lt;=20,0,1)+8)/2))),MONTH(EDATE(Recurring!$F$15,INT((IF(DAY(Recurring!$F$15)&lt;=20,0,1)+8)/2))),15)),IF(Recurring!$E$15="One Time",IF(9=1,Recurring!$F$15,""),""))))))</f>
        <v>46498</v>
      </c>
      <c r="G172" s="119" t="n">
        <f aca="false">IF($L172="","",IF(SUMIFS(Overrides!$D$9:$D$108,Overrides!$B$9:$B$108,$C172,Overrides!$C$9:$C$108,$L172)&gt;0,SUMIFS(Overrides!$D$9:$D$108,Overrides!$B$9:$B$108,$C172,Overrides!$C$9:$C$108,$L172),$L172))</f>
        <v>46498</v>
      </c>
      <c r="H172" s="120" t="n">
        <f aca="false">IF($G172="",0,IF(AND($G172&gt;='Cash Flow'!$E$6,$G172&lt;'Cash Flow'!$E$6+91),1,0))</f>
        <v>0</v>
      </c>
      <c r="I172" s="120" t="str">
        <f aca="false">IF($H172=1,MAX(1,INT(($G172-'Cash Flow'!$E$6)/7)+1),"")</f>
        <v/>
      </c>
      <c r="J172" s="7" t="str">
        <f aca="false">IF($H172=1,$G172*10000+ROW(),"")</f>
        <v/>
      </c>
      <c r="K172" s="7" t="str">
        <f aca="false">IF($H172=1,$I172*1000+COUNTIFS($I$4:$I$483,$I172,$J$4:$J$483,"&lt;"&amp;$J172)+1,"")</f>
        <v/>
      </c>
      <c r="L172" s="121" t="n">
        <f aca="false">IF($F172="","",IF(Recurring!$G$15="Move Before",IF(WEEKDAY($F172,2)=6,$F172-1,IF(WEEKDAY($F172,2)=7,$F172-2,$F172)),IF(Recurring!$G$15="Move After",IF(WEEKDAY($F172,2)=6,$F172+2,IF(WEEKDAY($F172,2)=7,$F172+1,$F172)),$F172)))</f>
        <v>46498</v>
      </c>
      <c r="M172" s="0" t="str">
        <f aca="true">IF(AND($H172=1,$D172="Expense",$G172&gt;TODAY(),$E172&gt;=100),$G172*100000+ROW(),"")</f>
        <v/>
      </c>
      <c r="N172" s="0" t="str">
        <f aca="true">IF(AND($H172=1,$D172="Income",$G172&gt;TODAY()),$G172*100000+ROW(),"")</f>
        <v/>
      </c>
    </row>
    <row r="173" customFormat="false" ht="15" hidden="false" customHeight="true" outlineLevel="0" collapsed="false">
      <c r="A173" s="117" t="n">
        <v>11</v>
      </c>
      <c r="B173" s="117" t="n">
        <v>10</v>
      </c>
      <c r="C173" s="7" t="str">
        <f aca="false">IF(OR(Recurring!$B$15="",Recurring!$H$15&lt;&gt;"Yes",Recurring!$D$15=""),"",Recurring!$B$15)</f>
        <v>Spectrum</v>
      </c>
      <c r="D173" s="7" t="str">
        <f aca="false">IF($C173="","",Recurring!$C$15)</f>
        <v>Expense</v>
      </c>
      <c r="E173" s="118" t="n">
        <f aca="false">IF($C173="","",IF(SUMIFS(Overrides!$E$9:$E$108,Overrides!$B$9:$B$108,$C173,Overrides!$C$9:$C$108,$L173)&gt;0,SUMIFS(Overrides!$E$9:$E$108,Overrides!$B$9:$B$108,$C173,Overrides!$C$9:$C$108,$L173),Recurring!$D$15))</f>
        <v>171.1</v>
      </c>
      <c r="F173" s="119" t="n">
        <f aca="false">IF($C173="","",IF(Recurring!$E$15="Weekly",Recurring!$F$15+7*9,IF(Recurring!$E$15="Every 2 Weeks",Recurring!$F$15+14*9,IF(Recurring!$E$15="Monthly",EDATE(Recurring!$F$15,9),IF(Recurring!$E$15="Twice a Month",IF(MOD((IF(DAY(Recurring!$F$15)&lt;=20,0,1)+9),2)=1,EOMONTH(Recurring!$F$15,INT((IF(DAY(Recurring!$F$15)&lt;=20,0,1)+9)/2)),DATE(YEAR(EDATE(Recurring!$F$15,INT((IF(DAY(Recurring!$F$15)&lt;=20,0,1)+9)/2))),MONTH(EDATE(Recurring!$F$15,INT((IF(DAY(Recurring!$F$15)&lt;=20,0,1)+9)/2))),15)),IF(Recurring!$E$15="One Time",IF(10=1,Recurring!$F$15,""),""))))))</f>
        <v>46528</v>
      </c>
      <c r="G173" s="119" t="n">
        <f aca="false">IF($L173="","",IF(SUMIFS(Overrides!$D$9:$D$108,Overrides!$B$9:$B$108,$C173,Overrides!$C$9:$C$108,$L173)&gt;0,SUMIFS(Overrides!$D$9:$D$108,Overrides!$B$9:$B$108,$C173,Overrides!$C$9:$C$108,$L173),$L173))</f>
        <v>46528</v>
      </c>
      <c r="H173" s="120" t="n">
        <f aca="false">IF($G173="",0,IF(AND($G173&gt;='Cash Flow'!$E$6,$G173&lt;'Cash Flow'!$E$6+91),1,0))</f>
        <v>0</v>
      </c>
      <c r="I173" s="120" t="str">
        <f aca="false">IF($H173=1,MAX(1,INT(($G173-'Cash Flow'!$E$6)/7)+1),"")</f>
        <v/>
      </c>
      <c r="J173" s="7" t="str">
        <f aca="false">IF($H173=1,$G173*10000+ROW(),"")</f>
        <v/>
      </c>
      <c r="K173" s="7" t="str">
        <f aca="false">IF($H173=1,$I173*1000+COUNTIFS($I$4:$I$483,$I173,$J$4:$J$483,"&lt;"&amp;$J173)+1,"")</f>
        <v/>
      </c>
      <c r="L173" s="121" t="n">
        <f aca="false">IF($F173="","",IF(Recurring!$G$15="Move Before",IF(WEEKDAY($F173,2)=6,$F173-1,IF(WEEKDAY($F173,2)=7,$F173-2,$F173)),IF(Recurring!$G$15="Move After",IF(WEEKDAY($F173,2)=6,$F173+2,IF(WEEKDAY($F173,2)=7,$F173+1,$F173)),$F173)))</f>
        <v>46528</v>
      </c>
      <c r="M173" s="0" t="str">
        <f aca="true">IF(AND($H173=1,$D173="Expense",$G173&gt;TODAY(),$E173&gt;=100),$G173*100000+ROW(),"")</f>
        <v/>
      </c>
      <c r="N173" s="0" t="str">
        <f aca="true">IF(AND($H173=1,$D173="Income",$G173&gt;TODAY()),$G173*100000+ROW(),"")</f>
        <v/>
      </c>
    </row>
    <row r="174" customFormat="false" ht="15" hidden="false" customHeight="true" outlineLevel="0" collapsed="false">
      <c r="A174" s="117" t="n">
        <v>11</v>
      </c>
      <c r="B174" s="117" t="n">
        <v>11</v>
      </c>
      <c r="C174" s="7" t="str">
        <f aca="false">IF(OR(Recurring!$B$15="",Recurring!$H$15&lt;&gt;"Yes",Recurring!$D$15=""),"",Recurring!$B$15)</f>
        <v>Spectrum</v>
      </c>
      <c r="D174" s="7" t="str">
        <f aca="false">IF($C174="","",Recurring!$C$15)</f>
        <v>Expense</v>
      </c>
      <c r="E174" s="118" t="n">
        <f aca="false">IF($C174="","",IF(SUMIFS(Overrides!$E$9:$E$108,Overrides!$B$9:$B$108,$C174,Overrides!$C$9:$C$108,$L174)&gt;0,SUMIFS(Overrides!$E$9:$E$108,Overrides!$B$9:$B$108,$C174,Overrides!$C$9:$C$108,$L174),Recurring!$D$15))</f>
        <v>171.1</v>
      </c>
      <c r="F174" s="119" t="n">
        <f aca="false">IF($C174="","",IF(Recurring!$E$15="Weekly",Recurring!$F$15+7*10,IF(Recurring!$E$15="Every 2 Weeks",Recurring!$F$15+14*10,IF(Recurring!$E$15="Monthly",EDATE(Recurring!$F$15,10),IF(Recurring!$E$15="Twice a Month",IF(MOD((IF(DAY(Recurring!$F$15)&lt;=20,0,1)+10),2)=1,EOMONTH(Recurring!$F$15,INT((IF(DAY(Recurring!$F$15)&lt;=20,0,1)+10)/2)),DATE(YEAR(EDATE(Recurring!$F$15,INT((IF(DAY(Recurring!$F$15)&lt;=20,0,1)+10)/2))),MONTH(EDATE(Recurring!$F$15,INT((IF(DAY(Recurring!$F$15)&lt;=20,0,1)+10)/2))),15)),IF(Recurring!$E$15="One Time",IF(11=1,Recurring!$F$15,""),""))))))</f>
        <v>46559</v>
      </c>
      <c r="G174" s="119" t="n">
        <f aca="false">IF($L174="","",IF(SUMIFS(Overrides!$D$9:$D$108,Overrides!$B$9:$B$108,$C174,Overrides!$C$9:$C$108,$L174)&gt;0,SUMIFS(Overrides!$D$9:$D$108,Overrides!$B$9:$B$108,$C174,Overrides!$C$9:$C$108,$L174),$L174))</f>
        <v>46559</v>
      </c>
      <c r="H174" s="120" t="n">
        <f aca="false">IF($G174="",0,IF(AND($G174&gt;='Cash Flow'!$E$6,$G174&lt;'Cash Flow'!$E$6+91),1,0))</f>
        <v>0</v>
      </c>
      <c r="I174" s="120" t="str">
        <f aca="false">IF($H174=1,MAX(1,INT(($G174-'Cash Flow'!$E$6)/7)+1),"")</f>
        <v/>
      </c>
      <c r="J174" s="7" t="str">
        <f aca="false">IF($H174=1,$G174*10000+ROW(),"")</f>
        <v/>
      </c>
      <c r="K174" s="7" t="str">
        <f aca="false">IF($H174=1,$I174*1000+COUNTIFS($I$4:$I$483,$I174,$J$4:$J$483,"&lt;"&amp;$J174)+1,"")</f>
        <v/>
      </c>
      <c r="L174" s="121" t="n">
        <f aca="false">IF($F174="","",IF(Recurring!$G$15="Move Before",IF(WEEKDAY($F174,2)=6,$F174-1,IF(WEEKDAY($F174,2)=7,$F174-2,$F174)),IF(Recurring!$G$15="Move After",IF(WEEKDAY($F174,2)=6,$F174+2,IF(WEEKDAY($F174,2)=7,$F174+1,$F174)),$F174)))</f>
        <v>46559</v>
      </c>
      <c r="M174" s="0" t="str">
        <f aca="true">IF(AND($H174=1,$D174="Expense",$G174&gt;TODAY(),$E174&gt;=100),$G174*100000+ROW(),"")</f>
        <v/>
      </c>
      <c r="N174" s="0" t="str">
        <f aca="true">IF(AND($H174=1,$D174="Income",$G174&gt;TODAY()),$G174*100000+ROW(),"")</f>
        <v/>
      </c>
    </row>
    <row r="175" customFormat="false" ht="15" hidden="false" customHeight="true" outlineLevel="0" collapsed="false">
      <c r="A175" s="117" t="n">
        <v>11</v>
      </c>
      <c r="B175" s="117" t="n">
        <v>12</v>
      </c>
      <c r="C175" s="7" t="str">
        <f aca="false">IF(OR(Recurring!$B$15="",Recurring!$H$15&lt;&gt;"Yes",Recurring!$D$15=""),"",Recurring!$B$15)</f>
        <v>Spectrum</v>
      </c>
      <c r="D175" s="7" t="str">
        <f aca="false">IF($C175="","",Recurring!$C$15)</f>
        <v>Expense</v>
      </c>
      <c r="E175" s="118" t="n">
        <f aca="false">IF($C175="","",IF(SUMIFS(Overrides!$E$9:$E$108,Overrides!$B$9:$B$108,$C175,Overrides!$C$9:$C$108,$L175)&gt;0,SUMIFS(Overrides!$E$9:$E$108,Overrides!$B$9:$B$108,$C175,Overrides!$C$9:$C$108,$L175),Recurring!$D$15))</f>
        <v>171.1</v>
      </c>
      <c r="F175" s="119" t="n">
        <f aca="false">IF($C175="","",IF(Recurring!$E$15="Weekly",Recurring!$F$15+7*11,IF(Recurring!$E$15="Every 2 Weeks",Recurring!$F$15+14*11,IF(Recurring!$E$15="Monthly",EDATE(Recurring!$F$15,11),IF(Recurring!$E$15="Twice a Month",IF(MOD((IF(DAY(Recurring!$F$15)&lt;=20,0,1)+11),2)=1,EOMONTH(Recurring!$F$15,INT((IF(DAY(Recurring!$F$15)&lt;=20,0,1)+11)/2)),DATE(YEAR(EDATE(Recurring!$F$15,INT((IF(DAY(Recurring!$F$15)&lt;=20,0,1)+11)/2))),MONTH(EDATE(Recurring!$F$15,INT((IF(DAY(Recurring!$F$15)&lt;=20,0,1)+11)/2))),15)),IF(Recurring!$E$15="One Time",IF(12=1,Recurring!$F$15,""),""))))))</f>
        <v>46589</v>
      </c>
      <c r="G175" s="119" t="n">
        <f aca="false">IF($L175="","",IF(SUMIFS(Overrides!$D$9:$D$108,Overrides!$B$9:$B$108,$C175,Overrides!$C$9:$C$108,$L175)&gt;0,SUMIFS(Overrides!$D$9:$D$108,Overrides!$B$9:$B$108,$C175,Overrides!$C$9:$C$108,$L175),$L175))</f>
        <v>46589</v>
      </c>
      <c r="H175" s="120" t="n">
        <f aca="false">IF($G175="",0,IF(AND($G175&gt;='Cash Flow'!$E$6,$G175&lt;'Cash Flow'!$E$6+91),1,0))</f>
        <v>0</v>
      </c>
      <c r="I175" s="120" t="str">
        <f aca="false">IF($H175=1,MAX(1,INT(($G175-'Cash Flow'!$E$6)/7)+1),"")</f>
        <v/>
      </c>
      <c r="J175" s="7" t="str">
        <f aca="false">IF($H175=1,$G175*10000+ROW(),"")</f>
        <v/>
      </c>
      <c r="K175" s="7" t="str">
        <f aca="false">IF($H175=1,$I175*1000+COUNTIFS($I$4:$I$483,$I175,$J$4:$J$483,"&lt;"&amp;$J175)+1,"")</f>
        <v/>
      </c>
      <c r="L175" s="121" t="n">
        <f aca="false">IF($F175="","",IF(Recurring!$G$15="Move Before",IF(WEEKDAY($F175,2)=6,$F175-1,IF(WEEKDAY($F175,2)=7,$F175-2,$F175)),IF(Recurring!$G$15="Move After",IF(WEEKDAY($F175,2)=6,$F175+2,IF(WEEKDAY($F175,2)=7,$F175+1,$F175)),$F175)))</f>
        <v>46589</v>
      </c>
      <c r="M175" s="0" t="str">
        <f aca="true">IF(AND($H175=1,$D175="Expense",$G175&gt;TODAY(),$E175&gt;=100),$G175*100000+ROW(),"")</f>
        <v/>
      </c>
      <c r="N175" s="0" t="str">
        <f aca="true">IF(AND($H175=1,$D175="Income",$G175&gt;TODAY()),$G175*100000+ROW(),"")</f>
        <v/>
      </c>
    </row>
    <row r="176" customFormat="false" ht="15" hidden="false" customHeight="true" outlineLevel="0" collapsed="false">
      <c r="A176" s="117" t="n">
        <v>11</v>
      </c>
      <c r="B176" s="117" t="n">
        <v>13</v>
      </c>
      <c r="C176" s="7" t="str">
        <f aca="false">IF(OR(Recurring!$B$15="",Recurring!$H$15&lt;&gt;"Yes",Recurring!$D$15=""),"",Recurring!$B$15)</f>
        <v>Spectrum</v>
      </c>
      <c r="D176" s="7" t="str">
        <f aca="false">IF($C176="","",Recurring!$C$15)</f>
        <v>Expense</v>
      </c>
      <c r="E176" s="118" t="n">
        <f aca="false">IF($C176="","",IF(SUMIFS(Overrides!$E$9:$E$108,Overrides!$B$9:$B$108,$C176,Overrides!$C$9:$C$108,$L176)&gt;0,SUMIFS(Overrides!$E$9:$E$108,Overrides!$B$9:$B$108,$C176,Overrides!$C$9:$C$108,$L176),Recurring!$D$15))</f>
        <v>171.1</v>
      </c>
      <c r="F176" s="119" t="n">
        <f aca="false">IF($C176="","",IF(Recurring!$E$15="Weekly",Recurring!$F$15+7*12,IF(Recurring!$E$15="Every 2 Weeks",Recurring!$F$15+14*12,IF(Recurring!$E$15="Monthly",EDATE(Recurring!$F$15,12),IF(Recurring!$E$15="Twice a Month",IF(MOD((IF(DAY(Recurring!$F$15)&lt;=20,0,1)+12),2)=1,EOMONTH(Recurring!$F$15,INT((IF(DAY(Recurring!$F$15)&lt;=20,0,1)+12)/2)),DATE(YEAR(EDATE(Recurring!$F$15,INT((IF(DAY(Recurring!$F$15)&lt;=20,0,1)+12)/2))),MONTH(EDATE(Recurring!$F$15,INT((IF(DAY(Recurring!$F$15)&lt;=20,0,1)+12)/2))),15)),IF(Recurring!$E$15="One Time",IF(13=1,Recurring!$F$15,""),""))))))</f>
        <v>46620</v>
      </c>
      <c r="G176" s="119" t="n">
        <f aca="false">IF($L176="","",IF(SUMIFS(Overrides!$D$9:$D$108,Overrides!$B$9:$B$108,$C176,Overrides!$C$9:$C$108,$L176)&gt;0,SUMIFS(Overrides!$D$9:$D$108,Overrides!$B$9:$B$108,$C176,Overrides!$C$9:$C$108,$L176),$L176))</f>
        <v>46620</v>
      </c>
      <c r="H176" s="120" t="n">
        <f aca="false">IF($G176="",0,IF(AND($G176&gt;='Cash Flow'!$E$6,$G176&lt;'Cash Flow'!$E$6+91),1,0))</f>
        <v>0</v>
      </c>
      <c r="I176" s="120" t="str">
        <f aca="false">IF($H176=1,MAX(1,INT(($G176-'Cash Flow'!$E$6)/7)+1),"")</f>
        <v/>
      </c>
      <c r="J176" s="7" t="str">
        <f aca="false">IF($H176=1,$G176*10000+ROW(),"")</f>
        <v/>
      </c>
      <c r="K176" s="7" t="str">
        <f aca="false">IF($H176=1,$I176*1000+COUNTIFS($I$4:$I$483,$I176,$J$4:$J$483,"&lt;"&amp;$J176)+1,"")</f>
        <v/>
      </c>
      <c r="L176" s="121" t="n">
        <f aca="false">IF($F176="","",IF(Recurring!$G$15="Move Before",IF(WEEKDAY($F176,2)=6,$F176-1,IF(WEEKDAY($F176,2)=7,$F176-2,$F176)),IF(Recurring!$G$15="Move After",IF(WEEKDAY($F176,2)=6,$F176+2,IF(WEEKDAY($F176,2)=7,$F176+1,$F176)),$F176)))</f>
        <v>46620</v>
      </c>
      <c r="M176" s="0" t="str">
        <f aca="true">IF(AND($H176=1,$D176="Expense",$G176&gt;TODAY(),$E176&gt;=100),$G176*100000+ROW(),"")</f>
        <v/>
      </c>
      <c r="N176" s="0" t="str">
        <f aca="true">IF(AND($H176=1,$D176="Income",$G176&gt;TODAY()),$G176*100000+ROW(),"")</f>
        <v/>
      </c>
    </row>
    <row r="177" customFormat="false" ht="15" hidden="false" customHeight="true" outlineLevel="0" collapsed="false">
      <c r="A177" s="117" t="n">
        <v>11</v>
      </c>
      <c r="B177" s="117" t="n">
        <v>14</v>
      </c>
      <c r="C177" s="7" t="str">
        <f aca="false">IF(OR(Recurring!$B$15="",Recurring!$H$15&lt;&gt;"Yes",Recurring!$D$15=""),"",Recurring!$B$15)</f>
        <v>Spectrum</v>
      </c>
      <c r="D177" s="7" t="str">
        <f aca="false">IF($C177="","",Recurring!$C$15)</f>
        <v>Expense</v>
      </c>
      <c r="E177" s="118" t="n">
        <f aca="false">IF($C177="","",IF(SUMIFS(Overrides!$E$9:$E$108,Overrides!$B$9:$B$108,$C177,Overrides!$C$9:$C$108,$L177)&gt;0,SUMIFS(Overrides!$E$9:$E$108,Overrides!$B$9:$B$108,$C177,Overrides!$C$9:$C$108,$L177),Recurring!$D$15))</f>
        <v>171.1</v>
      </c>
      <c r="F177" s="119" t="n">
        <f aca="false">IF($C177="","",IF(Recurring!$E$15="Weekly",Recurring!$F$15+7*13,IF(Recurring!$E$15="Every 2 Weeks",Recurring!$F$15+14*13,IF(Recurring!$E$15="Monthly",EDATE(Recurring!$F$15,13),IF(Recurring!$E$15="Twice a Month",IF(MOD((IF(DAY(Recurring!$F$15)&lt;=20,0,1)+13),2)=1,EOMONTH(Recurring!$F$15,INT((IF(DAY(Recurring!$F$15)&lt;=20,0,1)+13)/2)),DATE(YEAR(EDATE(Recurring!$F$15,INT((IF(DAY(Recurring!$F$15)&lt;=20,0,1)+13)/2))),MONTH(EDATE(Recurring!$F$15,INT((IF(DAY(Recurring!$F$15)&lt;=20,0,1)+13)/2))),15)),IF(Recurring!$E$15="One Time",IF(14=1,Recurring!$F$15,""),""))))))</f>
        <v>46651</v>
      </c>
      <c r="G177" s="119" t="n">
        <f aca="false">IF($L177="","",IF(SUMIFS(Overrides!$D$9:$D$108,Overrides!$B$9:$B$108,$C177,Overrides!$C$9:$C$108,$L177)&gt;0,SUMIFS(Overrides!$D$9:$D$108,Overrides!$B$9:$B$108,$C177,Overrides!$C$9:$C$108,$L177),$L177))</f>
        <v>46651</v>
      </c>
      <c r="H177" s="120" t="n">
        <f aca="false">IF($G177="",0,IF(AND($G177&gt;='Cash Flow'!$E$6,$G177&lt;'Cash Flow'!$E$6+91),1,0))</f>
        <v>0</v>
      </c>
      <c r="I177" s="120" t="str">
        <f aca="false">IF($H177=1,MAX(1,INT(($G177-'Cash Flow'!$E$6)/7)+1),"")</f>
        <v/>
      </c>
      <c r="J177" s="7" t="str">
        <f aca="false">IF($H177=1,$G177*10000+ROW(),"")</f>
        <v/>
      </c>
      <c r="K177" s="7" t="str">
        <f aca="false">IF($H177=1,$I177*1000+COUNTIFS($I$4:$I$483,$I177,$J$4:$J$483,"&lt;"&amp;$J177)+1,"")</f>
        <v/>
      </c>
      <c r="L177" s="121" t="n">
        <f aca="false">IF($F177="","",IF(Recurring!$G$15="Move Before",IF(WEEKDAY($F177,2)=6,$F177-1,IF(WEEKDAY($F177,2)=7,$F177-2,$F177)),IF(Recurring!$G$15="Move After",IF(WEEKDAY($F177,2)=6,$F177+2,IF(WEEKDAY($F177,2)=7,$F177+1,$F177)),$F177)))</f>
        <v>46651</v>
      </c>
      <c r="M177" s="0" t="str">
        <f aca="true">IF(AND($H177=1,$D177="Expense",$G177&gt;TODAY(),$E177&gt;=100),$G177*100000+ROW(),"")</f>
        <v/>
      </c>
      <c r="N177" s="0" t="str">
        <f aca="true">IF(AND($H177=1,$D177="Income",$G177&gt;TODAY()),$G177*100000+ROW(),"")</f>
        <v/>
      </c>
    </row>
    <row r="178" customFormat="false" ht="15" hidden="false" customHeight="true" outlineLevel="0" collapsed="false">
      <c r="A178" s="117" t="n">
        <v>11</v>
      </c>
      <c r="B178" s="117" t="n">
        <v>15</v>
      </c>
      <c r="C178" s="7" t="str">
        <f aca="false">IF(OR(Recurring!$B$15="",Recurring!$H$15&lt;&gt;"Yes",Recurring!$D$15=""),"",Recurring!$B$15)</f>
        <v>Spectrum</v>
      </c>
      <c r="D178" s="7" t="str">
        <f aca="false">IF($C178="","",Recurring!$C$15)</f>
        <v>Expense</v>
      </c>
      <c r="E178" s="118" t="n">
        <f aca="false">IF($C178="","",IF(SUMIFS(Overrides!$E$9:$E$108,Overrides!$B$9:$B$108,$C178,Overrides!$C$9:$C$108,$L178)&gt;0,SUMIFS(Overrides!$E$9:$E$108,Overrides!$B$9:$B$108,$C178,Overrides!$C$9:$C$108,$L178),Recurring!$D$15))</f>
        <v>171.1</v>
      </c>
      <c r="F178" s="119" t="n">
        <f aca="false">IF($C178="","",IF(Recurring!$E$15="Weekly",Recurring!$F$15+7*14,IF(Recurring!$E$15="Every 2 Weeks",Recurring!$F$15+14*14,IF(Recurring!$E$15="Monthly",EDATE(Recurring!$F$15,14),IF(Recurring!$E$15="Twice a Month",IF(MOD((IF(DAY(Recurring!$F$15)&lt;=20,0,1)+14),2)=1,EOMONTH(Recurring!$F$15,INT((IF(DAY(Recurring!$F$15)&lt;=20,0,1)+14)/2)),DATE(YEAR(EDATE(Recurring!$F$15,INT((IF(DAY(Recurring!$F$15)&lt;=20,0,1)+14)/2))),MONTH(EDATE(Recurring!$F$15,INT((IF(DAY(Recurring!$F$15)&lt;=20,0,1)+14)/2))),15)),IF(Recurring!$E$15="One Time",IF(15=1,Recurring!$F$15,""),""))))))</f>
        <v>46681</v>
      </c>
      <c r="G178" s="119" t="n">
        <f aca="false">IF($L178="","",IF(SUMIFS(Overrides!$D$9:$D$108,Overrides!$B$9:$B$108,$C178,Overrides!$C$9:$C$108,$L178)&gt;0,SUMIFS(Overrides!$D$9:$D$108,Overrides!$B$9:$B$108,$C178,Overrides!$C$9:$C$108,$L178),$L178))</f>
        <v>46681</v>
      </c>
      <c r="H178" s="120" t="n">
        <f aca="false">IF($G178="",0,IF(AND($G178&gt;='Cash Flow'!$E$6,$G178&lt;'Cash Flow'!$E$6+91),1,0))</f>
        <v>0</v>
      </c>
      <c r="I178" s="120" t="str">
        <f aca="false">IF($H178=1,MAX(1,INT(($G178-'Cash Flow'!$E$6)/7)+1),"")</f>
        <v/>
      </c>
      <c r="J178" s="7" t="str">
        <f aca="false">IF($H178=1,$G178*10000+ROW(),"")</f>
        <v/>
      </c>
      <c r="K178" s="7" t="str">
        <f aca="false">IF($H178=1,$I178*1000+COUNTIFS($I$4:$I$483,$I178,$J$4:$J$483,"&lt;"&amp;$J178)+1,"")</f>
        <v/>
      </c>
      <c r="L178" s="121" t="n">
        <f aca="false">IF($F178="","",IF(Recurring!$G$15="Move Before",IF(WEEKDAY($F178,2)=6,$F178-1,IF(WEEKDAY($F178,2)=7,$F178-2,$F178)),IF(Recurring!$G$15="Move After",IF(WEEKDAY($F178,2)=6,$F178+2,IF(WEEKDAY($F178,2)=7,$F178+1,$F178)),$F178)))</f>
        <v>46681</v>
      </c>
      <c r="M178" s="0" t="str">
        <f aca="true">IF(AND($H178=1,$D178="Expense",$G178&gt;TODAY(),$E178&gt;=100),$G178*100000+ROW(),"")</f>
        <v/>
      </c>
      <c r="N178" s="0" t="str">
        <f aca="true">IF(AND($H178=1,$D178="Income",$G178&gt;TODAY()),$G178*100000+ROW(),"")</f>
        <v/>
      </c>
    </row>
    <row r="179" customFormat="false" ht="15" hidden="false" customHeight="true" outlineLevel="0" collapsed="false">
      <c r="A179" s="117" t="n">
        <v>11</v>
      </c>
      <c r="B179" s="117" t="n">
        <v>16</v>
      </c>
      <c r="C179" s="7" t="str">
        <f aca="false">IF(OR(Recurring!$B$15="",Recurring!$H$15&lt;&gt;"Yes",Recurring!$D$15=""),"",Recurring!$B$15)</f>
        <v>Spectrum</v>
      </c>
      <c r="D179" s="7" t="str">
        <f aca="false">IF($C179="","",Recurring!$C$15)</f>
        <v>Expense</v>
      </c>
      <c r="E179" s="118" t="n">
        <f aca="false">IF($C179="","",IF(SUMIFS(Overrides!$E$9:$E$108,Overrides!$B$9:$B$108,$C179,Overrides!$C$9:$C$108,$L179)&gt;0,SUMIFS(Overrides!$E$9:$E$108,Overrides!$B$9:$B$108,$C179,Overrides!$C$9:$C$108,$L179),Recurring!$D$15))</f>
        <v>171.1</v>
      </c>
      <c r="F179" s="119" t="n">
        <f aca="false">IF($C179="","",IF(Recurring!$E$15="Weekly",Recurring!$F$15+7*15,IF(Recurring!$E$15="Every 2 Weeks",Recurring!$F$15+14*15,IF(Recurring!$E$15="Monthly",EDATE(Recurring!$F$15,15),IF(Recurring!$E$15="Twice a Month",IF(MOD((IF(DAY(Recurring!$F$15)&lt;=20,0,1)+15),2)=1,EOMONTH(Recurring!$F$15,INT((IF(DAY(Recurring!$F$15)&lt;=20,0,1)+15)/2)),DATE(YEAR(EDATE(Recurring!$F$15,INT((IF(DAY(Recurring!$F$15)&lt;=20,0,1)+15)/2))),MONTH(EDATE(Recurring!$F$15,INT((IF(DAY(Recurring!$F$15)&lt;=20,0,1)+15)/2))),15)),IF(Recurring!$E$15="One Time",IF(16=1,Recurring!$F$15,""),""))))))</f>
        <v>46712</v>
      </c>
      <c r="G179" s="119" t="n">
        <f aca="false">IF($L179="","",IF(SUMIFS(Overrides!$D$9:$D$108,Overrides!$B$9:$B$108,$C179,Overrides!$C$9:$C$108,$L179)&gt;0,SUMIFS(Overrides!$D$9:$D$108,Overrides!$B$9:$B$108,$C179,Overrides!$C$9:$C$108,$L179),$L179))</f>
        <v>46712</v>
      </c>
      <c r="H179" s="120" t="n">
        <f aca="false">IF($G179="",0,IF(AND($G179&gt;='Cash Flow'!$E$6,$G179&lt;'Cash Flow'!$E$6+91),1,0))</f>
        <v>0</v>
      </c>
      <c r="I179" s="120" t="str">
        <f aca="false">IF($H179=1,MAX(1,INT(($G179-'Cash Flow'!$E$6)/7)+1),"")</f>
        <v/>
      </c>
      <c r="J179" s="7" t="str">
        <f aca="false">IF($H179=1,$G179*10000+ROW(),"")</f>
        <v/>
      </c>
      <c r="K179" s="7" t="str">
        <f aca="false">IF($H179=1,$I179*1000+COUNTIFS($I$4:$I$483,$I179,$J$4:$J$483,"&lt;"&amp;$J179)+1,"")</f>
        <v/>
      </c>
      <c r="L179" s="121" t="n">
        <f aca="false">IF($F179="","",IF(Recurring!$G$15="Move Before",IF(WEEKDAY($F179,2)=6,$F179-1,IF(WEEKDAY($F179,2)=7,$F179-2,$F179)),IF(Recurring!$G$15="Move After",IF(WEEKDAY($F179,2)=6,$F179+2,IF(WEEKDAY($F179,2)=7,$F179+1,$F179)),$F179)))</f>
        <v>46712</v>
      </c>
      <c r="M179" s="0" t="str">
        <f aca="true">IF(AND($H179=1,$D179="Expense",$G179&gt;TODAY(),$E179&gt;=100),$G179*100000+ROW(),"")</f>
        <v/>
      </c>
      <c r="N179" s="0" t="str">
        <f aca="true">IF(AND($H179=1,$D179="Income",$G179&gt;TODAY()),$G179*100000+ROW(),"")</f>
        <v/>
      </c>
    </row>
    <row r="180" customFormat="false" ht="15" hidden="false" customHeight="true" outlineLevel="0" collapsed="false">
      <c r="A180" s="117" t="n">
        <v>12</v>
      </c>
      <c r="B180" s="117" t="n">
        <v>1</v>
      </c>
      <c r="C180" s="7" t="str">
        <f aca="false">IF(OR(Recurring!$B$16="",Recurring!$H$16&lt;&gt;"Yes",Recurring!$D$16=""),"",Recurring!$B$16)</f>
        <v>Maine Revenue Services</v>
      </c>
      <c r="D180" s="7" t="str">
        <f aca="false">IF($C180="","",Recurring!$C$16)</f>
        <v>Expense</v>
      </c>
      <c r="E180" s="118" t="n">
        <f aca="false">IF($C180="","",IF(SUMIFS(Overrides!$E$9:$E$108,Overrides!$B$9:$B$108,$C180,Overrides!$C$9:$C$108,$L180)&gt;0,SUMIFS(Overrides!$E$9:$E$108,Overrides!$B$9:$B$108,$C180,Overrides!$C$9:$C$108,$L180),Recurring!$D$16))</f>
        <v>45</v>
      </c>
      <c r="F180" s="119" t="n">
        <f aca="false">IF($C180="","",IF(Recurring!$E$16="Weekly",Recurring!$F$16+7*0,IF(Recurring!$E$16="Every 2 Weeks",Recurring!$F$16+14*0,IF(Recurring!$E$16="Monthly",EDATE(Recurring!$F$16,0),IF(Recurring!$E$16="Twice a Month",IF(MOD((IF(DAY(Recurring!$F$16)&lt;=20,0,1)+0),2)=1,EOMONTH(Recurring!$F$16,INT((IF(DAY(Recurring!$F$16)&lt;=20,0,1)+0)/2)),DATE(YEAR(EDATE(Recurring!$F$16,INT((IF(DAY(Recurring!$F$16)&lt;=20,0,1)+0)/2))),MONTH(EDATE(Recurring!$F$16,INT((IF(DAY(Recurring!$F$16)&lt;=20,0,1)+0)/2))),15)),IF(Recurring!$E$16="One Time",IF(1=1,Recurring!$F$16,""),""))))))</f>
        <v>46250</v>
      </c>
      <c r="G180" s="119" t="n">
        <f aca="false">IF($L180="","",IF(SUMIFS(Overrides!$D$9:$D$108,Overrides!$B$9:$B$108,$C180,Overrides!$C$9:$C$108,$L180)&gt;0,SUMIFS(Overrides!$D$9:$D$108,Overrides!$B$9:$B$108,$C180,Overrides!$C$9:$C$108,$L180),$L180))</f>
        <v>46250</v>
      </c>
      <c r="H180" s="120" t="n">
        <f aca="false">IF($G180="",0,IF(AND($G180&gt;='Cash Flow'!$E$6-90,$G180&lt;'Cash Flow'!$E$6+91),1,0))</f>
        <v>1</v>
      </c>
      <c r="I180" s="120" t="n">
        <f aca="false">IF($H180=1,MAX(1,INT(($G180-'Cash Flow'!$E$6)/7)+1),"")</f>
        <v>1</v>
      </c>
      <c r="J180" s="7" t="n">
        <f aca="false">IF($H180=1,$G180*10000+ROW(),"")</f>
        <v>462500180</v>
      </c>
      <c r="K180" s="7" t="n">
        <f aca="false">IF($H180=1,$I180*1000+COUNTIFS($I$4:$I$483,$I180,$J$4:$J$483,"&lt;"&amp;$J180)+1,"")</f>
        <v>1001</v>
      </c>
      <c r="L180" s="121" t="n">
        <f aca="false">IF($F180="","",IF(Recurring!$G$16="Move Before",IF(WEEKDAY($F180,2)=6,$F180-1,IF(WEEKDAY($F180,2)=7,$F180-2,$F180)),IF(Recurring!$G$16="Move After",IF(WEEKDAY($F180,2)=6,$F180+2,IF(WEEKDAY($F180,2)=7,$F180+1,$F180)),$F180)))</f>
        <v>46250</v>
      </c>
      <c r="M180" s="0" t="str">
        <f aca="true">IF(AND($H180=1,$D180="Expense",$G180&gt;TODAY(),$E180&gt;=100),$G180*100000+ROW(),"")</f>
        <v/>
      </c>
      <c r="N180" s="0" t="str">
        <f aca="true">IF(AND($H180=1,$D180="Income",$G180&gt;TODAY()),$G180*100000+ROW(),"")</f>
        <v/>
      </c>
    </row>
    <row r="181" customFormat="false" ht="15" hidden="false" customHeight="true" outlineLevel="0" collapsed="false">
      <c r="A181" s="117" t="n">
        <v>12</v>
      </c>
      <c r="B181" s="117" t="n">
        <v>2</v>
      </c>
      <c r="C181" s="7" t="str">
        <f aca="false">IF(OR(Recurring!$B$16="",Recurring!$H$16&lt;&gt;"Yes",Recurring!$D$16=""),"",Recurring!$B$16)</f>
        <v>Maine Revenue Services</v>
      </c>
      <c r="D181" s="7" t="str">
        <f aca="false">IF($C181="","",Recurring!$C$16)</f>
        <v>Expense</v>
      </c>
      <c r="E181" s="118" t="n">
        <f aca="false">IF($C181="","",IF(SUMIFS(Overrides!$E$9:$E$108,Overrides!$B$9:$B$108,$C181,Overrides!$C$9:$C$108,$L181)&gt;0,SUMIFS(Overrides!$E$9:$E$108,Overrides!$B$9:$B$108,$C181,Overrides!$C$9:$C$108,$L181),Recurring!$D$16))</f>
        <v>45</v>
      </c>
      <c r="F181" s="119" t="n">
        <f aca="false">IF($C181="","",IF(Recurring!$E$16="Weekly",Recurring!$F$16+7*1,IF(Recurring!$E$16="Every 2 Weeks",Recurring!$F$16+14*1,IF(Recurring!$E$16="Monthly",EDATE(Recurring!$F$16,1),IF(Recurring!$E$16="Twice a Month",IF(MOD((IF(DAY(Recurring!$F$16)&lt;=20,0,1)+1),2)=1,EOMONTH(Recurring!$F$16,INT((IF(DAY(Recurring!$F$16)&lt;=20,0,1)+1)/2)),DATE(YEAR(EDATE(Recurring!$F$16,INT((IF(DAY(Recurring!$F$16)&lt;=20,0,1)+1)/2))),MONTH(EDATE(Recurring!$F$16,INT((IF(DAY(Recurring!$F$16)&lt;=20,0,1)+1)/2))),15)),IF(Recurring!$E$16="One Time",IF(2=1,Recurring!$F$16,""),""))))))</f>
        <v>46281</v>
      </c>
      <c r="G181" s="119" t="n">
        <f aca="false">IF($L181="","",IF(SUMIFS(Overrides!$D$9:$D$108,Overrides!$B$9:$B$108,$C181,Overrides!$C$9:$C$108,$L181)&gt;0,SUMIFS(Overrides!$D$9:$D$108,Overrides!$B$9:$B$108,$C181,Overrides!$C$9:$C$108,$L181),$L181))</f>
        <v>46281</v>
      </c>
      <c r="H181" s="120" t="n">
        <f aca="false">IF($G181="",0,IF(AND($G181&gt;='Cash Flow'!$E$6,$G181&lt;'Cash Flow'!$E$6+91),1,0))</f>
        <v>1</v>
      </c>
      <c r="I181" s="120" t="n">
        <f aca="false">IF($H181=1,MAX(1,INT(($G181-'Cash Flow'!$E$6)/7)+1),"")</f>
        <v>5</v>
      </c>
      <c r="J181" s="7" t="n">
        <f aca="false">IF($H181=1,$G181*10000+ROW(),"")</f>
        <v>462810181</v>
      </c>
      <c r="K181" s="7" t="n">
        <f aca="false">IF($H181=1,$I181*1000+COUNTIFS($I$4:$I$483,$I181,$J$4:$J$483,"&lt;"&amp;$J181)+1,"")</f>
        <v>5004</v>
      </c>
      <c r="L181" s="121" t="n">
        <f aca="false">IF($F181="","",IF(Recurring!$G$16="Move Before",IF(WEEKDAY($F181,2)=6,$F181-1,IF(WEEKDAY($F181,2)=7,$F181-2,$F181)),IF(Recurring!$G$16="Move After",IF(WEEKDAY($F181,2)=6,$F181+2,IF(WEEKDAY($F181,2)=7,$F181+1,$F181)),$F181)))</f>
        <v>46281</v>
      </c>
      <c r="M181" s="0" t="str">
        <f aca="true">IF(AND($H181=1,$D181="Expense",$G181&gt;TODAY(),$E181&gt;=100),$G181*100000+ROW(),"")</f>
        <v/>
      </c>
      <c r="N181" s="0" t="str">
        <f aca="true">IF(AND($H181=1,$D181="Income",$G181&gt;TODAY()),$G181*100000+ROW(),"")</f>
        <v/>
      </c>
    </row>
    <row r="182" customFormat="false" ht="15" hidden="false" customHeight="true" outlineLevel="0" collapsed="false">
      <c r="A182" s="117" t="n">
        <v>12</v>
      </c>
      <c r="B182" s="117" t="n">
        <v>3</v>
      </c>
      <c r="C182" s="7" t="str">
        <f aca="false">IF(OR(Recurring!$B$16="",Recurring!$H$16&lt;&gt;"Yes",Recurring!$D$16=""),"",Recurring!$B$16)</f>
        <v>Maine Revenue Services</v>
      </c>
      <c r="D182" s="7" t="str">
        <f aca="false">IF($C182="","",Recurring!$C$16)</f>
        <v>Expense</v>
      </c>
      <c r="E182" s="118" t="n">
        <f aca="false">IF($C182="","",IF(SUMIFS(Overrides!$E$9:$E$108,Overrides!$B$9:$B$108,$C182,Overrides!$C$9:$C$108,$L182)&gt;0,SUMIFS(Overrides!$E$9:$E$108,Overrides!$B$9:$B$108,$C182,Overrides!$C$9:$C$108,$L182),Recurring!$D$16))</f>
        <v>45</v>
      </c>
      <c r="F182" s="119" t="n">
        <f aca="false">IF($C182="","",IF(Recurring!$E$16="Weekly",Recurring!$F$16+7*2,IF(Recurring!$E$16="Every 2 Weeks",Recurring!$F$16+14*2,IF(Recurring!$E$16="Monthly",EDATE(Recurring!$F$16,2),IF(Recurring!$E$16="Twice a Month",IF(MOD((IF(DAY(Recurring!$F$16)&lt;=20,0,1)+2),2)=1,EOMONTH(Recurring!$F$16,INT((IF(DAY(Recurring!$F$16)&lt;=20,0,1)+2)/2)),DATE(YEAR(EDATE(Recurring!$F$16,INT((IF(DAY(Recurring!$F$16)&lt;=20,0,1)+2)/2))),MONTH(EDATE(Recurring!$F$16,INT((IF(DAY(Recurring!$F$16)&lt;=20,0,1)+2)/2))),15)),IF(Recurring!$E$16="One Time",IF(3=1,Recurring!$F$16,""),""))))))</f>
        <v>46311</v>
      </c>
      <c r="G182" s="119" t="n">
        <f aca="false">IF($L182="","",IF(SUMIFS(Overrides!$D$9:$D$108,Overrides!$B$9:$B$108,$C182,Overrides!$C$9:$C$108,$L182)&gt;0,SUMIFS(Overrides!$D$9:$D$108,Overrides!$B$9:$B$108,$C182,Overrides!$C$9:$C$108,$L182),$L182))</f>
        <v>46311</v>
      </c>
      <c r="H182" s="120" t="n">
        <f aca="false">IF($G182="",0,IF(AND($G182&gt;='Cash Flow'!$E$6,$G182&lt;'Cash Flow'!$E$6+91),1,0))</f>
        <v>1</v>
      </c>
      <c r="I182" s="120" t="n">
        <f aca="false">IF($H182=1,MAX(1,INT(($G182-'Cash Flow'!$E$6)/7)+1),"")</f>
        <v>9</v>
      </c>
      <c r="J182" s="7" t="n">
        <f aca="false">IF($H182=1,$G182*10000+ROW(),"")</f>
        <v>463110182</v>
      </c>
      <c r="K182" s="7" t="n">
        <f aca="false">IF($H182=1,$I182*1000+COUNTIFS($I$4:$I$483,$I182,$J$4:$J$483,"&lt;"&amp;$J182)+1,"")</f>
        <v>9005</v>
      </c>
      <c r="L182" s="121" t="n">
        <f aca="false">IF($F182="","",IF(Recurring!$G$16="Move Before",IF(WEEKDAY($F182,2)=6,$F182-1,IF(WEEKDAY($F182,2)=7,$F182-2,$F182)),IF(Recurring!$G$16="Move After",IF(WEEKDAY($F182,2)=6,$F182+2,IF(WEEKDAY($F182,2)=7,$F182+1,$F182)),$F182)))</f>
        <v>46311</v>
      </c>
      <c r="M182" s="0" t="str">
        <f aca="true">IF(AND($H182=1,$D182="Expense",$G182&gt;TODAY(),$E182&gt;=100),$G182*100000+ROW(),"")</f>
        <v/>
      </c>
      <c r="N182" s="0" t="str">
        <f aca="true">IF(AND($H182=1,$D182="Income",$G182&gt;TODAY()),$G182*100000+ROW(),"")</f>
        <v/>
      </c>
    </row>
    <row r="183" customFormat="false" ht="15" hidden="false" customHeight="true" outlineLevel="0" collapsed="false">
      <c r="A183" s="117" t="n">
        <v>12</v>
      </c>
      <c r="B183" s="117" t="n">
        <v>4</v>
      </c>
      <c r="C183" s="7" t="str">
        <f aca="false">IF(OR(Recurring!$B$16="",Recurring!$H$16&lt;&gt;"Yes",Recurring!$D$16=""),"",Recurring!$B$16)</f>
        <v>Maine Revenue Services</v>
      </c>
      <c r="D183" s="7" t="str">
        <f aca="false">IF($C183="","",Recurring!$C$16)</f>
        <v>Expense</v>
      </c>
      <c r="E183" s="118" t="n">
        <f aca="false">IF($C183="","",IF(SUMIFS(Overrides!$E$9:$E$108,Overrides!$B$9:$B$108,$C183,Overrides!$C$9:$C$108,$L183)&gt;0,SUMIFS(Overrides!$E$9:$E$108,Overrides!$B$9:$B$108,$C183,Overrides!$C$9:$C$108,$L183),Recurring!$D$16))</f>
        <v>45</v>
      </c>
      <c r="F183" s="119" t="n">
        <f aca="false">IF($C183="","",IF(Recurring!$E$16="Weekly",Recurring!$F$16+7*3,IF(Recurring!$E$16="Every 2 Weeks",Recurring!$F$16+14*3,IF(Recurring!$E$16="Monthly",EDATE(Recurring!$F$16,3),IF(Recurring!$E$16="Twice a Month",IF(MOD((IF(DAY(Recurring!$F$16)&lt;=20,0,1)+3),2)=1,EOMONTH(Recurring!$F$16,INT((IF(DAY(Recurring!$F$16)&lt;=20,0,1)+3)/2)),DATE(YEAR(EDATE(Recurring!$F$16,INT((IF(DAY(Recurring!$F$16)&lt;=20,0,1)+3)/2))),MONTH(EDATE(Recurring!$F$16,INT((IF(DAY(Recurring!$F$16)&lt;=20,0,1)+3)/2))),15)),IF(Recurring!$E$16="One Time",IF(4=1,Recurring!$F$16,""),""))))))</f>
        <v>46342</v>
      </c>
      <c r="G183" s="119" t="n">
        <f aca="false">IF($L183="","",IF(SUMIFS(Overrides!$D$9:$D$108,Overrides!$B$9:$B$108,$C183,Overrides!$C$9:$C$108,$L183)&gt;0,SUMIFS(Overrides!$D$9:$D$108,Overrides!$B$9:$B$108,$C183,Overrides!$C$9:$C$108,$L183),$L183))</f>
        <v>46342</v>
      </c>
      <c r="H183" s="120" t="n">
        <f aca="false">IF($G183="",0,IF(AND($G183&gt;='Cash Flow'!$E$6,$G183&lt;'Cash Flow'!$E$6+91),1,0))</f>
        <v>0</v>
      </c>
      <c r="I183" s="120" t="str">
        <f aca="false">IF($H183=1,MAX(1,INT(($G183-'Cash Flow'!$E$6)/7)+1),"")</f>
        <v/>
      </c>
      <c r="J183" s="7" t="str">
        <f aca="false">IF($H183=1,$G183*10000+ROW(),"")</f>
        <v/>
      </c>
      <c r="K183" s="7" t="str">
        <f aca="false">IF($H183=1,$I183*1000+COUNTIFS($I$4:$I$483,$I183,$J$4:$J$483,"&lt;"&amp;$J183)+1,"")</f>
        <v/>
      </c>
      <c r="L183" s="121" t="n">
        <f aca="false">IF($F183="","",IF(Recurring!$G$16="Move Before",IF(WEEKDAY($F183,2)=6,$F183-1,IF(WEEKDAY($F183,2)=7,$F183-2,$F183)),IF(Recurring!$G$16="Move After",IF(WEEKDAY($F183,2)=6,$F183+2,IF(WEEKDAY($F183,2)=7,$F183+1,$F183)),$F183)))</f>
        <v>46342</v>
      </c>
      <c r="M183" s="0" t="str">
        <f aca="true">IF(AND($H183=1,$D183="Expense",$G183&gt;TODAY(),$E183&gt;=100),$G183*100000+ROW(),"")</f>
        <v/>
      </c>
      <c r="N183" s="0" t="str">
        <f aca="true">IF(AND($H183=1,$D183="Income",$G183&gt;TODAY()),$G183*100000+ROW(),"")</f>
        <v/>
      </c>
    </row>
    <row r="184" customFormat="false" ht="15" hidden="false" customHeight="true" outlineLevel="0" collapsed="false">
      <c r="A184" s="117" t="n">
        <v>12</v>
      </c>
      <c r="B184" s="117" t="n">
        <v>5</v>
      </c>
      <c r="C184" s="7" t="str">
        <f aca="false">IF(OR(Recurring!$B$16="",Recurring!$H$16&lt;&gt;"Yes",Recurring!$D$16=""),"",Recurring!$B$16)</f>
        <v>Maine Revenue Services</v>
      </c>
      <c r="D184" s="7" t="str">
        <f aca="false">IF($C184="","",Recurring!$C$16)</f>
        <v>Expense</v>
      </c>
      <c r="E184" s="118" t="n">
        <f aca="false">IF($C184="","",IF(SUMIFS(Overrides!$E$9:$E$108,Overrides!$B$9:$B$108,$C184,Overrides!$C$9:$C$108,$L184)&gt;0,SUMIFS(Overrides!$E$9:$E$108,Overrides!$B$9:$B$108,$C184,Overrides!$C$9:$C$108,$L184),Recurring!$D$16))</f>
        <v>45</v>
      </c>
      <c r="F184" s="119" t="n">
        <f aca="false">IF($C184="","",IF(Recurring!$E$16="Weekly",Recurring!$F$16+7*4,IF(Recurring!$E$16="Every 2 Weeks",Recurring!$F$16+14*4,IF(Recurring!$E$16="Monthly",EDATE(Recurring!$F$16,4),IF(Recurring!$E$16="Twice a Month",IF(MOD((IF(DAY(Recurring!$F$16)&lt;=20,0,1)+4),2)=1,EOMONTH(Recurring!$F$16,INT((IF(DAY(Recurring!$F$16)&lt;=20,0,1)+4)/2)),DATE(YEAR(EDATE(Recurring!$F$16,INT((IF(DAY(Recurring!$F$16)&lt;=20,0,1)+4)/2))),MONTH(EDATE(Recurring!$F$16,INT((IF(DAY(Recurring!$F$16)&lt;=20,0,1)+4)/2))),15)),IF(Recurring!$E$16="One Time",IF(5=1,Recurring!$F$16,""),""))))))</f>
        <v>46372</v>
      </c>
      <c r="G184" s="119" t="n">
        <f aca="false">IF($L184="","",IF(SUMIFS(Overrides!$D$9:$D$108,Overrides!$B$9:$B$108,$C184,Overrides!$C$9:$C$108,$L184)&gt;0,SUMIFS(Overrides!$D$9:$D$108,Overrides!$B$9:$B$108,$C184,Overrides!$C$9:$C$108,$L184),$L184))</f>
        <v>46372</v>
      </c>
      <c r="H184" s="120" t="n">
        <f aca="false">IF($G184="",0,IF(AND($G184&gt;='Cash Flow'!$E$6,$G184&lt;'Cash Flow'!$E$6+91),1,0))</f>
        <v>0</v>
      </c>
      <c r="I184" s="120" t="str">
        <f aca="false">IF($H184=1,MAX(1,INT(($G184-'Cash Flow'!$E$6)/7)+1),"")</f>
        <v/>
      </c>
      <c r="J184" s="7" t="str">
        <f aca="false">IF($H184=1,$G184*10000+ROW(),"")</f>
        <v/>
      </c>
      <c r="K184" s="7" t="str">
        <f aca="false">IF($H184=1,$I184*1000+COUNTIFS($I$4:$I$483,$I184,$J$4:$J$483,"&lt;"&amp;$J184)+1,"")</f>
        <v/>
      </c>
      <c r="L184" s="121" t="n">
        <f aca="false">IF($F184="","",IF(Recurring!$G$16="Move Before",IF(WEEKDAY($F184,2)=6,$F184-1,IF(WEEKDAY($F184,2)=7,$F184-2,$F184)),IF(Recurring!$G$16="Move After",IF(WEEKDAY($F184,2)=6,$F184+2,IF(WEEKDAY($F184,2)=7,$F184+1,$F184)),$F184)))</f>
        <v>46372</v>
      </c>
      <c r="M184" s="0" t="str">
        <f aca="true">IF(AND($H184=1,$D184="Expense",$G184&gt;TODAY(),$E184&gt;=100),$G184*100000+ROW(),"")</f>
        <v/>
      </c>
      <c r="N184" s="0" t="str">
        <f aca="true">IF(AND($H184=1,$D184="Income",$G184&gt;TODAY()),$G184*100000+ROW(),"")</f>
        <v/>
      </c>
    </row>
    <row r="185" customFormat="false" ht="15" hidden="false" customHeight="true" outlineLevel="0" collapsed="false">
      <c r="A185" s="117" t="n">
        <v>12</v>
      </c>
      <c r="B185" s="117" t="n">
        <v>6</v>
      </c>
      <c r="C185" s="7" t="str">
        <f aca="false">IF(OR(Recurring!$B$16="",Recurring!$H$16&lt;&gt;"Yes",Recurring!$D$16=""),"",Recurring!$B$16)</f>
        <v>Maine Revenue Services</v>
      </c>
      <c r="D185" s="7" t="str">
        <f aca="false">IF($C185="","",Recurring!$C$16)</f>
        <v>Expense</v>
      </c>
      <c r="E185" s="118" t="n">
        <f aca="false">IF($C185="","",IF(SUMIFS(Overrides!$E$9:$E$108,Overrides!$B$9:$B$108,$C185,Overrides!$C$9:$C$108,$L185)&gt;0,SUMIFS(Overrides!$E$9:$E$108,Overrides!$B$9:$B$108,$C185,Overrides!$C$9:$C$108,$L185),Recurring!$D$16))</f>
        <v>45</v>
      </c>
      <c r="F185" s="119" t="n">
        <f aca="false">IF($C185="","",IF(Recurring!$E$16="Weekly",Recurring!$F$16+7*5,IF(Recurring!$E$16="Every 2 Weeks",Recurring!$F$16+14*5,IF(Recurring!$E$16="Monthly",EDATE(Recurring!$F$16,5),IF(Recurring!$E$16="Twice a Month",IF(MOD((IF(DAY(Recurring!$F$16)&lt;=20,0,1)+5),2)=1,EOMONTH(Recurring!$F$16,INT((IF(DAY(Recurring!$F$16)&lt;=20,0,1)+5)/2)),DATE(YEAR(EDATE(Recurring!$F$16,INT((IF(DAY(Recurring!$F$16)&lt;=20,0,1)+5)/2))),MONTH(EDATE(Recurring!$F$16,INT((IF(DAY(Recurring!$F$16)&lt;=20,0,1)+5)/2))),15)),IF(Recurring!$E$16="One Time",IF(6=1,Recurring!$F$16,""),""))))))</f>
        <v>46403</v>
      </c>
      <c r="G185" s="119" t="n">
        <f aca="false">IF($L185="","",IF(SUMIFS(Overrides!$D$9:$D$108,Overrides!$B$9:$B$108,$C185,Overrides!$C$9:$C$108,$L185)&gt;0,SUMIFS(Overrides!$D$9:$D$108,Overrides!$B$9:$B$108,$C185,Overrides!$C$9:$C$108,$L185),$L185))</f>
        <v>46403</v>
      </c>
      <c r="H185" s="120" t="n">
        <f aca="false">IF($G185="",0,IF(AND($G185&gt;='Cash Flow'!$E$6,$G185&lt;'Cash Flow'!$E$6+91),1,0))</f>
        <v>0</v>
      </c>
      <c r="I185" s="120" t="str">
        <f aca="false">IF($H185=1,MAX(1,INT(($G185-'Cash Flow'!$E$6)/7)+1),"")</f>
        <v/>
      </c>
      <c r="J185" s="7" t="str">
        <f aca="false">IF($H185=1,$G185*10000+ROW(),"")</f>
        <v/>
      </c>
      <c r="K185" s="7" t="str">
        <f aca="false">IF($H185=1,$I185*1000+COUNTIFS($I$4:$I$483,$I185,$J$4:$J$483,"&lt;"&amp;$J185)+1,"")</f>
        <v/>
      </c>
      <c r="L185" s="121" t="n">
        <f aca="false">IF($F185="","",IF(Recurring!$G$16="Move Before",IF(WEEKDAY($F185,2)=6,$F185-1,IF(WEEKDAY($F185,2)=7,$F185-2,$F185)),IF(Recurring!$G$16="Move After",IF(WEEKDAY($F185,2)=6,$F185+2,IF(WEEKDAY($F185,2)=7,$F185+1,$F185)),$F185)))</f>
        <v>46403</v>
      </c>
      <c r="M185" s="0" t="str">
        <f aca="true">IF(AND($H185=1,$D185="Expense",$G185&gt;TODAY(),$E185&gt;=100),$G185*100000+ROW(),"")</f>
        <v/>
      </c>
      <c r="N185" s="0" t="str">
        <f aca="true">IF(AND($H185=1,$D185="Income",$G185&gt;TODAY()),$G185*100000+ROW(),"")</f>
        <v/>
      </c>
    </row>
    <row r="186" customFormat="false" ht="15" hidden="false" customHeight="true" outlineLevel="0" collapsed="false">
      <c r="A186" s="117" t="n">
        <v>12</v>
      </c>
      <c r="B186" s="117" t="n">
        <v>7</v>
      </c>
      <c r="C186" s="7" t="str">
        <f aca="false">IF(OR(Recurring!$B$16="",Recurring!$H$16&lt;&gt;"Yes",Recurring!$D$16=""),"",Recurring!$B$16)</f>
        <v>Maine Revenue Services</v>
      </c>
      <c r="D186" s="7" t="str">
        <f aca="false">IF($C186="","",Recurring!$C$16)</f>
        <v>Expense</v>
      </c>
      <c r="E186" s="118" t="n">
        <f aca="false">IF($C186="","",IF(SUMIFS(Overrides!$E$9:$E$108,Overrides!$B$9:$B$108,$C186,Overrides!$C$9:$C$108,$L186)&gt;0,SUMIFS(Overrides!$E$9:$E$108,Overrides!$B$9:$B$108,$C186,Overrides!$C$9:$C$108,$L186),Recurring!$D$16))</f>
        <v>45</v>
      </c>
      <c r="F186" s="119" t="n">
        <f aca="false">IF($C186="","",IF(Recurring!$E$16="Weekly",Recurring!$F$16+7*6,IF(Recurring!$E$16="Every 2 Weeks",Recurring!$F$16+14*6,IF(Recurring!$E$16="Monthly",EDATE(Recurring!$F$16,6),IF(Recurring!$E$16="Twice a Month",IF(MOD((IF(DAY(Recurring!$F$16)&lt;=20,0,1)+6),2)=1,EOMONTH(Recurring!$F$16,INT((IF(DAY(Recurring!$F$16)&lt;=20,0,1)+6)/2)),DATE(YEAR(EDATE(Recurring!$F$16,INT((IF(DAY(Recurring!$F$16)&lt;=20,0,1)+6)/2))),MONTH(EDATE(Recurring!$F$16,INT((IF(DAY(Recurring!$F$16)&lt;=20,0,1)+6)/2))),15)),IF(Recurring!$E$16="One Time",IF(7=1,Recurring!$F$16,""),""))))))</f>
        <v>46434</v>
      </c>
      <c r="G186" s="119" t="n">
        <f aca="false">IF($L186="","",IF(SUMIFS(Overrides!$D$9:$D$108,Overrides!$B$9:$B$108,$C186,Overrides!$C$9:$C$108,$L186)&gt;0,SUMIFS(Overrides!$D$9:$D$108,Overrides!$B$9:$B$108,$C186,Overrides!$C$9:$C$108,$L186),$L186))</f>
        <v>46434</v>
      </c>
      <c r="H186" s="120" t="n">
        <f aca="false">IF($G186="",0,IF(AND($G186&gt;='Cash Flow'!$E$6,$G186&lt;'Cash Flow'!$E$6+91),1,0))</f>
        <v>0</v>
      </c>
      <c r="I186" s="120" t="str">
        <f aca="false">IF($H186=1,MAX(1,INT(($G186-'Cash Flow'!$E$6)/7)+1),"")</f>
        <v/>
      </c>
      <c r="J186" s="7" t="str">
        <f aca="false">IF($H186=1,$G186*10000+ROW(),"")</f>
        <v/>
      </c>
      <c r="K186" s="7" t="str">
        <f aca="false">IF($H186=1,$I186*1000+COUNTIFS($I$4:$I$483,$I186,$J$4:$J$483,"&lt;"&amp;$J186)+1,"")</f>
        <v/>
      </c>
      <c r="L186" s="121" t="n">
        <f aca="false">IF($F186="","",IF(Recurring!$G$16="Move Before",IF(WEEKDAY($F186,2)=6,$F186-1,IF(WEEKDAY($F186,2)=7,$F186-2,$F186)),IF(Recurring!$G$16="Move After",IF(WEEKDAY($F186,2)=6,$F186+2,IF(WEEKDAY($F186,2)=7,$F186+1,$F186)),$F186)))</f>
        <v>46434</v>
      </c>
      <c r="M186" s="0" t="str">
        <f aca="true">IF(AND($H186=1,$D186="Expense",$G186&gt;TODAY(),$E186&gt;=100),$G186*100000+ROW(),"")</f>
        <v/>
      </c>
      <c r="N186" s="0" t="str">
        <f aca="true">IF(AND($H186=1,$D186="Income",$G186&gt;TODAY()),$G186*100000+ROW(),"")</f>
        <v/>
      </c>
    </row>
    <row r="187" customFormat="false" ht="15" hidden="false" customHeight="true" outlineLevel="0" collapsed="false">
      <c r="A187" s="117" t="n">
        <v>12</v>
      </c>
      <c r="B187" s="117" t="n">
        <v>8</v>
      </c>
      <c r="C187" s="7" t="str">
        <f aca="false">IF(OR(Recurring!$B$16="",Recurring!$H$16&lt;&gt;"Yes",Recurring!$D$16=""),"",Recurring!$B$16)</f>
        <v>Maine Revenue Services</v>
      </c>
      <c r="D187" s="7" t="str">
        <f aca="false">IF($C187="","",Recurring!$C$16)</f>
        <v>Expense</v>
      </c>
      <c r="E187" s="118" t="n">
        <f aca="false">IF($C187="","",IF(SUMIFS(Overrides!$E$9:$E$108,Overrides!$B$9:$B$108,$C187,Overrides!$C$9:$C$108,$L187)&gt;0,SUMIFS(Overrides!$E$9:$E$108,Overrides!$B$9:$B$108,$C187,Overrides!$C$9:$C$108,$L187),Recurring!$D$16))</f>
        <v>45</v>
      </c>
      <c r="F187" s="119" t="n">
        <f aca="false">IF($C187="","",IF(Recurring!$E$16="Weekly",Recurring!$F$16+7*7,IF(Recurring!$E$16="Every 2 Weeks",Recurring!$F$16+14*7,IF(Recurring!$E$16="Monthly",EDATE(Recurring!$F$16,7),IF(Recurring!$E$16="Twice a Month",IF(MOD((IF(DAY(Recurring!$F$16)&lt;=20,0,1)+7),2)=1,EOMONTH(Recurring!$F$16,INT((IF(DAY(Recurring!$F$16)&lt;=20,0,1)+7)/2)),DATE(YEAR(EDATE(Recurring!$F$16,INT((IF(DAY(Recurring!$F$16)&lt;=20,0,1)+7)/2))),MONTH(EDATE(Recurring!$F$16,INT((IF(DAY(Recurring!$F$16)&lt;=20,0,1)+7)/2))),15)),IF(Recurring!$E$16="One Time",IF(8=1,Recurring!$F$16,""),""))))))</f>
        <v>46462</v>
      </c>
      <c r="G187" s="119" t="n">
        <f aca="false">IF($L187="","",IF(SUMIFS(Overrides!$D$9:$D$108,Overrides!$B$9:$B$108,$C187,Overrides!$C$9:$C$108,$L187)&gt;0,SUMIFS(Overrides!$D$9:$D$108,Overrides!$B$9:$B$108,$C187,Overrides!$C$9:$C$108,$L187),$L187))</f>
        <v>46462</v>
      </c>
      <c r="H187" s="120" t="n">
        <f aca="false">IF($G187="",0,IF(AND($G187&gt;='Cash Flow'!$E$6,$G187&lt;'Cash Flow'!$E$6+91),1,0))</f>
        <v>0</v>
      </c>
      <c r="I187" s="120" t="str">
        <f aca="false">IF($H187=1,MAX(1,INT(($G187-'Cash Flow'!$E$6)/7)+1),"")</f>
        <v/>
      </c>
      <c r="J187" s="7" t="str">
        <f aca="false">IF($H187=1,$G187*10000+ROW(),"")</f>
        <v/>
      </c>
      <c r="K187" s="7" t="str">
        <f aca="false">IF($H187=1,$I187*1000+COUNTIFS($I$4:$I$483,$I187,$J$4:$J$483,"&lt;"&amp;$J187)+1,"")</f>
        <v/>
      </c>
      <c r="L187" s="121" t="n">
        <f aca="false">IF($F187="","",IF(Recurring!$G$16="Move Before",IF(WEEKDAY($F187,2)=6,$F187-1,IF(WEEKDAY($F187,2)=7,$F187-2,$F187)),IF(Recurring!$G$16="Move After",IF(WEEKDAY($F187,2)=6,$F187+2,IF(WEEKDAY($F187,2)=7,$F187+1,$F187)),$F187)))</f>
        <v>46462</v>
      </c>
      <c r="M187" s="0" t="str">
        <f aca="true">IF(AND($H187=1,$D187="Expense",$G187&gt;TODAY(),$E187&gt;=100),$G187*100000+ROW(),"")</f>
        <v/>
      </c>
      <c r="N187" s="0" t="str">
        <f aca="true">IF(AND($H187=1,$D187="Income",$G187&gt;TODAY()),$G187*100000+ROW(),"")</f>
        <v/>
      </c>
    </row>
    <row r="188" customFormat="false" ht="15" hidden="false" customHeight="true" outlineLevel="0" collapsed="false">
      <c r="A188" s="117" t="n">
        <v>12</v>
      </c>
      <c r="B188" s="117" t="n">
        <v>9</v>
      </c>
      <c r="C188" s="7" t="str">
        <f aca="false">IF(OR(Recurring!$B$16="",Recurring!$H$16&lt;&gt;"Yes",Recurring!$D$16=""),"",Recurring!$B$16)</f>
        <v>Maine Revenue Services</v>
      </c>
      <c r="D188" s="7" t="str">
        <f aca="false">IF($C188="","",Recurring!$C$16)</f>
        <v>Expense</v>
      </c>
      <c r="E188" s="118" t="n">
        <f aca="false">IF($C188="","",IF(SUMIFS(Overrides!$E$9:$E$108,Overrides!$B$9:$B$108,$C188,Overrides!$C$9:$C$108,$L188)&gt;0,SUMIFS(Overrides!$E$9:$E$108,Overrides!$B$9:$B$108,$C188,Overrides!$C$9:$C$108,$L188),Recurring!$D$16))</f>
        <v>45</v>
      </c>
      <c r="F188" s="119" t="n">
        <f aca="false">IF($C188="","",IF(Recurring!$E$16="Weekly",Recurring!$F$16+7*8,IF(Recurring!$E$16="Every 2 Weeks",Recurring!$F$16+14*8,IF(Recurring!$E$16="Monthly",EDATE(Recurring!$F$16,8),IF(Recurring!$E$16="Twice a Month",IF(MOD((IF(DAY(Recurring!$F$16)&lt;=20,0,1)+8),2)=1,EOMONTH(Recurring!$F$16,INT((IF(DAY(Recurring!$F$16)&lt;=20,0,1)+8)/2)),DATE(YEAR(EDATE(Recurring!$F$16,INT((IF(DAY(Recurring!$F$16)&lt;=20,0,1)+8)/2))),MONTH(EDATE(Recurring!$F$16,INT((IF(DAY(Recurring!$F$16)&lt;=20,0,1)+8)/2))),15)),IF(Recurring!$E$16="One Time",IF(9=1,Recurring!$F$16,""),""))))))</f>
        <v>46493</v>
      </c>
      <c r="G188" s="119" t="n">
        <f aca="false">IF($L188="","",IF(SUMIFS(Overrides!$D$9:$D$108,Overrides!$B$9:$B$108,$C188,Overrides!$C$9:$C$108,$L188)&gt;0,SUMIFS(Overrides!$D$9:$D$108,Overrides!$B$9:$B$108,$C188,Overrides!$C$9:$C$108,$L188),$L188))</f>
        <v>46493</v>
      </c>
      <c r="H188" s="120" t="n">
        <f aca="false">IF($G188="",0,IF(AND($G188&gt;='Cash Flow'!$E$6,$G188&lt;'Cash Flow'!$E$6+91),1,0))</f>
        <v>0</v>
      </c>
      <c r="I188" s="120" t="str">
        <f aca="false">IF($H188=1,MAX(1,INT(($G188-'Cash Flow'!$E$6)/7)+1),"")</f>
        <v/>
      </c>
      <c r="J188" s="7" t="str">
        <f aca="false">IF($H188=1,$G188*10000+ROW(),"")</f>
        <v/>
      </c>
      <c r="K188" s="7" t="str">
        <f aca="false">IF($H188=1,$I188*1000+COUNTIFS($I$4:$I$483,$I188,$J$4:$J$483,"&lt;"&amp;$J188)+1,"")</f>
        <v/>
      </c>
      <c r="L188" s="121" t="n">
        <f aca="false">IF($F188="","",IF(Recurring!$G$16="Move Before",IF(WEEKDAY($F188,2)=6,$F188-1,IF(WEEKDAY($F188,2)=7,$F188-2,$F188)),IF(Recurring!$G$16="Move After",IF(WEEKDAY($F188,2)=6,$F188+2,IF(WEEKDAY($F188,2)=7,$F188+1,$F188)),$F188)))</f>
        <v>46493</v>
      </c>
      <c r="M188" s="0" t="str">
        <f aca="true">IF(AND($H188=1,$D188="Expense",$G188&gt;TODAY(),$E188&gt;=100),$G188*100000+ROW(),"")</f>
        <v/>
      </c>
      <c r="N188" s="0" t="str">
        <f aca="true">IF(AND($H188=1,$D188="Income",$G188&gt;TODAY()),$G188*100000+ROW(),"")</f>
        <v/>
      </c>
    </row>
    <row r="189" customFormat="false" ht="15" hidden="false" customHeight="true" outlineLevel="0" collapsed="false">
      <c r="A189" s="117" t="n">
        <v>12</v>
      </c>
      <c r="B189" s="117" t="n">
        <v>10</v>
      </c>
      <c r="C189" s="7" t="str">
        <f aca="false">IF(OR(Recurring!$B$16="",Recurring!$H$16&lt;&gt;"Yes",Recurring!$D$16=""),"",Recurring!$B$16)</f>
        <v>Maine Revenue Services</v>
      </c>
      <c r="D189" s="7" t="str">
        <f aca="false">IF($C189="","",Recurring!$C$16)</f>
        <v>Expense</v>
      </c>
      <c r="E189" s="118" t="n">
        <f aca="false">IF($C189="","",IF(SUMIFS(Overrides!$E$9:$E$108,Overrides!$B$9:$B$108,$C189,Overrides!$C$9:$C$108,$L189)&gt;0,SUMIFS(Overrides!$E$9:$E$108,Overrides!$B$9:$B$108,$C189,Overrides!$C$9:$C$108,$L189),Recurring!$D$16))</f>
        <v>45</v>
      </c>
      <c r="F189" s="119" t="n">
        <f aca="false">IF($C189="","",IF(Recurring!$E$16="Weekly",Recurring!$F$16+7*9,IF(Recurring!$E$16="Every 2 Weeks",Recurring!$F$16+14*9,IF(Recurring!$E$16="Monthly",EDATE(Recurring!$F$16,9),IF(Recurring!$E$16="Twice a Month",IF(MOD((IF(DAY(Recurring!$F$16)&lt;=20,0,1)+9),2)=1,EOMONTH(Recurring!$F$16,INT((IF(DAY(Recurring!$F$16)&lt;=20,0,1)+9)/2)),DATE(YEAR(EDATE(Recurring!$F$16,INT((IF(DAY(Recurring!$F$16)&lt;=20,0,1)+9)/2))),MONTH(EDATE(Recurring!$F$16,INT((IF(DAY(Recurring!$F$16)&lt;=20,0,1)+9)/2))),15)),IF(Recurring!$E$16="One Time",IF(10=1,Recurring!$F$16,""),""))))))</f>
        <v>46523</v>
      </c>
      <c r="G189" s="119" t="n">
        <f aca="false">IF($L189="","",IF(SUMIFS(Overrides!$D$9:$D$108,Overrides!$B$9:$B$108,$C189,Overrides!$C$9:$C$108,$L189)&gt;0,SUMIFS(Overrides!$D$9:$D$108,Overrides!$B$9:$B$108,$C189,Overrides!$C$9:$C$108,$L189),$L189))</f>
        <v>46523</v>
      </c>
      <c r="H189" s="120" t="n">
        <f aca="false">IF($G189="",0,IF(AND($G189&gt;='Cash Flow'!$E$6,$G189&lt;'Cash Flow'!$E$6+91),1,0))</f>
        <v>0</v>
      </c>
      <c r="I189" s="120" t="str">
        <f aca="false">IF($H189=1,MAX(1,INT(($G189-'Cash Flow'!$E$6)/7)+1),"")</f>
        <v/>
      </c>
      <c r="J189" s="7" t="str">
        <f aca="false">IF($H189=1,$G189*10000+ROW(),"")</f>
        <v/>
      </c>
      <c r="K189" s="7" t="str">
        <f aca="false">IF($H189=1,$I189*1000+COUNTIFS($I$4:$I$483,$I189,$J$4:$J$483,"&lt;"&amp;$J189)+1,"")</f>
        <v/>
      </c>
      <c r="L189" s="121" t="n">
        <f aca="false">IF($F189="","",IF(Recurring!$G$16="Move Before",IF(WEEKDAY($F189,2)=6,$F189-1,IF(WEEKDAY($F189,2)=7,$F189-2,$F189)),IF(Recurring!$G$16="Move After",IF(WEEKDAY($F189,2)=6,$F189+2,IF(WEEKDAY($F189,2)=7,$F189+1,$F189)),$F189)))</f>
        <v>46523</v>
      </c>
      <c r="M189" s="0" t="str">
        <f aca="true">IF(AND($H189=1,$D189="Expense",$G189&gt;TODAY(),$E189&gt;=100),$G189*100000+ROW(),"")</f>
        <v/>
      </c>
      <c r="N189" s="0" t="str">
        <f aca="true">IF(AND($H189=1,$D189="Income",$G189&gt;TODAY()),$G189*100000+ROW(),"")</f>
        <v/>
      </c>
    </row>
    <row r="190" customFormat="false" ht="15" hidden="false" customHeight="true" outlineLevel="0" collapsed="false">
      <c r="A190" s="117" t="n">
        <v>12</v>
      </c>
      <c r="B190" s="117" t="n">
        <v>11</v>
      </c>
      <c r="C190" s="7" t="str">
        <f aca="false">IF(OR(Recurring!$B$16="",Recurring!$H$16&lt;&gt;"Yes",Recurring!$D$16=""),"",Recurring!$B$16)</f>
        <v>Maine Revenue Services</v>
      </c>
      <c r="D190" s="7" t="str">
        <f aca="false">IF($C190="","",Recurring!$C$16)</f>
        <v>Expense</v>
      </c>
      <c r="E190" s="118" t="n">
        <f aca="false">IF($C190="","",IF(SUMIFS(Overrides!$E$9:$E$108,Overrides!$B$9:$B$108,$C190,Overrides!$C$9:$C$108,$L190)&gt;0,SUMIFS(Overrides!$E$9:$E$108,Overrides!$B$9:$B$108,$C190,Overrides!$C$9:$C$108,$L190),Recurring!$D$16))</f>
        <v>45</v>
      </c>
      <c r="F190" s="119" t="n">
        <f aca="false">IF($C190="","",IF(Recurring!$E$16="Weekly",Recurring!$F$16+7*10,IF(Recurring!$E$16="Every 2 Weeks",Recurring!$F$16+14*10,IF(Recurring!$E$16="Monthly",EDATE(Recurring!$F$16,10),IF(Recurring!$E$16="Twice a Month",IF(MOD((IF(DAY(Recurring!$F$16)&lt;=20,0,1)+10),2)=1,EOMONTH(Recurring!$F$16,INT((IF(DAY(Recurring!$F$16)&lt;=20,0,1)+10)/2)),DATE(YEAR(EDATE(Recurring!$F$16,INT((IF(DAY(Recurring!$F$16)&lt;=20,0,1)+10)/2))),MONTH(EDATE(Recurring!$F$16,INT((IF(DAY(Recurring!$F$16)&lt;=20,0,1)+10)/2))),15)),IF(Recurring!$E$16="One Time",IF(11=1,Recurring!$F$16,""),""))))))</f>
        <v>46554</v>
      </c>
      <c r="G190" s="119" t="n">
        <f aca="false">IF($L190="","",IF(SUMIFS(Overrides!$D$9:$D$108,Overrides!$B$9:$B$108,$C190,Overrides!$C$9:$C$108,$L190)&gt;0,SUMIFS(Overrides!$D$9:$D$108,Overrides!$B$9:$B$108,$C190,Overrides!$C$9:$C$108,$L190),$L190))</f>
        <v>46554</v>
      </c>
      <c r="H190" s="120" t="n">
        <f aca="false">IF($G190="",0,IF(AND($G190&gt;='Cash Flow'!$E$6,$G190&lt;'Cash Flow'!$E$6+91),1,0))</f>
        <v>0</v>
      </c>
      <c r="I190" s="120" t="str">
        <f aca="false">IF($H190=1,MAX(1,INT(($G190-'Cash Flow'!$E$6)/7)+1),"")</f>
        <v/>
      </c>
      <c r="J190" s="7" t="str">
        <f aca="false">IF($H190=1,$G190*10000+ROW(),"")</f>
        <v/>
      </c>
      <c r="K190" s="7" t="str">
        <f aca="false">IF($H190=1,$I190*1000+COUNTIFS($I$4:$I$483,$I190,$J$4:$J$483,"&lt;"&amp;$J190)+1,"")</f>
        <v/>
      </c>
      <c r="L190" s="121" t="n">
        <f aca="false">IF($F190="","",IF(Recurring!$G$16="Move Before",IF(WEEKDAY($F190,2)=6,$F190-1,IF(WEEKDAY($F190,2)=7,$F190-2,$F190)),IF(Recurring!$G$16="Move After",IF(WEEKDAY($F190,2)=6,$F190+2,IF(WEEKDAY($F190,2)=7,$F190+1,$F190)),$F190)))</f>
        <v>46554</v>
      </c>
      <c r="M190" s="0" t="str">
        <f aca="true">IF(AND($H190=1,$D190="Expense",$G190&gt;TODAY(),$E190&gt;=100),$G190*100000+ROW(),"")</f>
        <v/>
      </c>
      <c r="N190" s="0" t="str">
        <f aca="true">IF(AND($H190=1,$D190="Income",$G190&gt;TODAY()),$G190*100000+ROW(),"")</f>
        <v/>
      </c>
    </row>
    <row r="191" customFormat="false" ht="15" hidden="false" customHeight="true" outlineLevel="0" collapsed="false">
      <c r="A191" s="117" t="n">
        <v>12</v>
      </c>
      <c r="B191" s="117" t="n">
        <v>12</v>
      </c>
      <c r="C191" s="7" t="str">
        <f aca="false">IF(OR(Recurring!$B$16="",Recurring!$H$16&lt;&gt;"Yes",Recurring!$D$16=""),"",Recurring!$B$16)</f>
        <v>Maine Revenue Services</v>
      </c>
      <c r="D191" s="7" t="str">
        <f aca="false">IF($C191="","",Recurring!$C$16)</f>
        <v>Expense</v>
      </c>
      <c r="E191" s="118" t="n">
        <f aca="false">IF($C191="","",IF(SUMIFS(Overrides!$E$9:$E$108,Overrides!$B$9:$B$108,$C191,Overrides!$C$9:$C$108,$L191)&gt;0,SUMIFS(Overrides!$E$9:$E$108,Overrides!$B$9:$B$108,$C191,Overrides!$C$9:$C$108,$L191),Recurring!$D$16))</f>
        <v>45</v>
      </c>
      <c r="F191" s="119" t="n">
        <f aca="false">IF($C191="","",IF(Recurring!$E$16="Weekly",Recurring!$F$16+7*11,IF(Recurring!$E$16="Every 2 Weeks",Recurring!$F$16+14*11,IF(Recurring!$E$16="Monthly",EDATE(Recurring!$F$16,11),IF(Recurring!$E$16="Twice a Month",IF(MOD((IF(DAY(Recurring!$F$16)&lt;=20,0,1)+11),2)=1,EOMONTH(Recurring!$F$16,INT((IF(DAY(Recurring!$F$16)&lt;=20,0,1)+11)/2)),DATE(YEAR(EDATE(Recurring!$F$16,INT((IF(DAY(Recurring!$F$16)&lt;=20,0,1)+11)/2))),MONTH(EDATE(Recurring!$F$16,INT((IF(DAY(Recurring!$F$16)&lt;=20,0,1)+11)/2))),15)),IF(Recurring!$E$16="One Time",IF(12=1,Recurring!$F$16,""),""))))))</f>
        <v>46584</v>
      </c>
      <c r="G191" s="119" t="n">
        <f aca="false">IF($L191="","",IF(SUMIFS(Overrides!$D$9:$D$108,Overrides!$B$9:$B$108,$C191,Overrides!$C$9:$C$108,$L191)&gt;0,SUMIFS(Overrides!$D$9:$D$108,Overrides!$B$9:$B$108,$C191,Overrides!$C$9:$C$108,$L191),$L191))</f>
        <v>46584</v>
      </c>
      <c r="H191" s="120" t="n">
        <f aca="false">IF($G191="",0,IF(AND($G191&gt;='Cash Flow'!$E$6,$G191&lt;'Cash Flow'!$E$6+91),1,0))</f>
        <v>0</v>
      </c>
      <c r="I191" s="120" t="str">
        <f aca="false">IF($H191=1,MAX(1,INT(($G191-'Cash Flow'!$E$6)/7)+1),"")</f>
        <v/>
      </c>
      <c r="J191" s="7" t="str">
        <f aca="false">IF($H191=1,$G191*10000+ROW(),"")</f>
        <v/>
      </c>
      <c r="K191" s="7" t="str">
        <f aca="false">IF($H191=1,$I191*1000+COUNTIFS($I$4:$I$483,$I191,$J$4:$J$483,"&lt;"&amp;$J191)+1,"")</f>
        <v/>
      </c>
      <c r="L191" s="121" t="n">
        <f aca="false">IF($F191="","",IF(Recurring!$G$16="Move Before",IF(WEEKDAY($F191,2)=6,$F191-1,IF(WEEKDAY($F191,2)=7,$F191-2,$F191)),IF(Recurring!$G$16="Move After",IF(WEEKDAY($F191,2)=6,$F191+2,IF(WEEKDAY($F191,2)=7,$F191+1,$F191)),$F191)))</f>
        <v>46584</v>
      </c>
      <c r="M191" s="0" t="str">
        <f aca="true">IF(AND($H191=1,$D191="Expense",$G191&gt;TODAY(),$E191&gt;=100),$G191*100000+ROW(),"")</f>
        <v/>
      </c>
      <c r="N191" s="0" t="str">
        <f aca="true">IF(AND($H191=1,$D191="Income",$G191&gt;TODAY()),$G191*100000+ROW(),"")</f>
        <v/>
      </c>
    </row>
    <row r="192" customFormat="false" ht="15" hidden="false" customHeight="true" outlineLevel="0" collapsed="false">
      <c r="A192" s="117" t="n">
        <v>12</v>
      </c>
      <c r="B192" s="117" t="n">
        <v>13</v>
      </c>
      <c r="C192" s="7" t="str">
        <f aca="false">IF(OR(Recurring!$B$16="",Recurring!$H$16&lt;&gt;"Yes",Recurring!$D$16=""),"",Recurring!$B$16)</f>
        <v>Maine Revenue Services</v>
      </c>
      <c r="D192" s="7" t="str">
        <f aca="false">IF($C192="","",Recurring!$C$16)</f>
        <v>Expense</v>
      </c>
      <c r="E192" s="118" t="n">
        <f aca="false">IF($C192="","",IF(SUMIFS(Overrides!$E$9:$E$108,Overrides!$B$9:$B$108,$C192,Overrides!$C$9:$C$108,$L192)&gt;0,SUMIFS(Overrides!$E$9:$E$108,Overrides!$B$9:$B$108,$C192,Overrides!$C$9:$C$108,$L192),Recurring!$D$16))</f>
        <v>45</v>
      </c>
      <c r="F192" s="119" t="n">
        <f aca="false">IF($C192="","",IF(Recurring!$E$16="Weekly",Recurring!$F$16+7*12,IF(Recurring!$E$16="Every 2 Weeks",Recurring!$F$16+14*12,IF(Recurring!$E$16="Monthly",EDATE(Recurring!$F$16,12),IF(Recurring!$E$16="Twice a Month",IF(MOD((IF(DAY(Recurring!$F$16)&lt;=20,0,1)+12),2)=1,EOMONTH(Recurring!$F$16,INT((IF(DAY(Recurring!$F$16)&lt;=20,0,1)+12)/2)),DATE(YEAR(EDATE(Recurring!$F$16,INT((IF(DAY(Recurring!$F$16)&lt;=20,0,1)+12)/2))),MONTH(EDATE(Recurring!$F$16,INT((IF(DAY(Recurring!$F$16)&lt;=20,0,1)+12)/2))),15)),IF(Recurring!$E$16="One Time",IF(13=1,Recurring!$F$16,""),""))))))</f>
        <v>46615</v>
      </c>
      <c r="G192" s="119" t="n">
        <f aca="false">IF($L192="","",IF(SUMIFS(Overrides!$D$9:$D$108,Overrides!$B$9:$B$108,$C192,Overrides!$C$9:$C$108,$L192)&gt;0,SUMIFS(Overrides!$D$9:$D$108,Overrides!$B$9:$B$108,$C192,Overrides!$C$9:$C$108,$L192),$L192))</f>
        <v>46615</v>
      </c>
      <c r="H192" s="120" t="n">
        <f aca="false">IF($G192="",0,IF(AND($G192&gt;='Cash Flow'!$E$6,$G192&lt;'Cash Flow'!$E$6+91),1,0))</f>
        <v>0</v>
      </c>
      <c r="I192" s="120" t="str">
        <f aca="false">IF($H192=1,MAX(1,INT(($G192-'Cash Flow'!$E$6)/7)+1),"")</f>
        <v/>
      </c>
      <c r="J192" s="7" t="str">
        <f aca="false">IF($H192=1,$G192*10000+ROW(),"")</f>
        <v/>
      </c>
      <c r="K192" s="7" t="str">
        <f aca="false">IF($H192=1,$I192*1000+COUNTIFS($I$4:$I$483,$I192,$J$4:$J$483,"&lt;"&amp;$J192)+1,"")</f>
        <v/>
      </c>
      <c r="L192" s="121" t="n">
        <f aca="false">IF($F192="","",IF(Recurring!$G$16="Move Before",IF(WEEKDAY($F192,2)=6,$F192-1,IF(WEEKDAY($F192,2)=7,$F192-2,$F192)),IF(Recurring!$G$16="Move After",IF(WEEKDAY($F192,2)=6,$F192+2,IF(WEEKDAY($F192,2)=7,$F192+1,$F192)),$F192)))</f>
        <v>46615</v>
      </c>
      <c r="M192" s="0" t="str">
        <f aca="true">IF(AND($H192=1,$D192="Expense",$G192&gt;TODAY(),$E192&gt;=100),$G192*100000+ROW(),"")</f>
        <v/>
      </c>
      <c r="N192" s="0" t="str">
        <f aca="true">IF(AND($H192=1,$D192="Income",$G192&gt;TODAY()),$G192*100000+ROW(),"")</f>
        <v/>
      </c>
    </row>
    <row r="193" customFormat="false" ht="15" hidden="false" customHeight="true" outlineLevel="0" collapsed="false">
      <c r="A193" s="117" t="n">
        <v>12</v>
      </c>
      <c r="B193" s="117" t="n">
        <v>14</v>
      </c>
      <c r="C193" s="7" t="str">
        <f aca="false">IF(OR(Recurring!$B$16="",Recurring!$H$16&lt;&gt;"Yes",Recurring!$D$16=""),"",Recurring!$B$16)</f>
        <v>Maine Revenue Services</v>
      </c>
      <c r="D193" s="7" t="str">
        <f aca="false">IF($C193="","",Recurring!$C$16)</f>
        <v>Expense</v>
      </c>
      <c r="E193" s="118" t="n">
        <f aca="false">IF($C193="","",IF(SUMIFS(Overrides!$E$9:$E$108,Overrides!$B$9:$B$108,$C193,Overrides!$C$9:$C$108,$L193)&gt;0,SUMIFS(Overrides!$E$9:$E$108,Overrides!$B$9:$B$108,$C193,Overrides!$C$9:$C$108,$L193),Recurring!$D$16))</f>
        <v>45</v>
      </c>
      <c r="F193" s="119" t="n">
        <f aca="false">IF($C193="","",IF(Recurring!$E$16="Weekly",Recurring!$F$16+7*13,IF(Recurring!$E$16="Every 2 Weeks",Recurring!$F$16+14*13,IF(Recurring!$E$16="Monthly",EDATE(Recurring!$F$16,13),IF(Recurring!$E$16="Twice a Month",IF(MOD((IF(DAY(Recurring!$F$16)&lt;=20,0,1)+13),2)=1,EOMONTH(Recurring!$F$16,INT((IF(DAY(Recurring!$F$16)&lt;=20,0,1)+13)/2)),DATE(YEAR(EDATE(Recurring!$F$16,INT((IF(DAY(Recurring!$F$16)&lt;=20,0,1)+13)/2))),MONTH(EDATE(Recurring!$F$16,INT((IF(DAY(Recurring!$F$16)&lt;=20,0,1)+13)/2))),15)),IF(Recurring!$E$16="One Time",IF(14=1,Recurring!$F$16,""),""))))))</f>
        <v>46646</v>
      </c>
      <c r="G193" s="119" t="n">
        <f aca="false">IF($L193="","",IF(SUMIFS(Overrides!$D$9:$D$108,Overrides!$B$9:$B$108,$C193,Overrides!$C$9:$C$108,$L193)&gt;0,SUMIFS(Overrides!$D$9:$D$108,Overrides!$B$9:$B$108,$C193,Overrides!$C$9:$C$108,$L193),$L193))</f>
        <v>46646</v>
      </c>
      <c r="H193" s="120" t="n">
        <f aca="false">IF($G193="",0,IF(AND($G193&gt;='Cash Flow'!$E$6,$G193&lt;'Cash Flow'!$E$6+91),1,0))</f>
        <v>0</v>
      </c>
      <c r="I193" s="120" t="str">
        <f aca="false">IF($H193=1,MAX(1,INT(($G193-'Cash Flow'!$E$6)/7)+1),"")</f>
        <v/>
      </c>
      <c r="J193" s="7" t="str">
        <f aca="false">IF($H193=1,$G193*10000+ROW(),"")</f>
        <v/>
      </c>
      <c r="K193" s="7" t="str">
        <f aca="false">IF($H193=1,$I193*1000+COUNTIFS($I$4:$I$483,$I193,$J$4:$J$483,"&lt;"&amp;$J193)+1,"")</f>
        <v/>
      </c>
      <c r="L193" s="121" t="n">
        <f aca="false">IF($F193="","",IF(Recurring!$G$16="Move Before",IF(WEEKDAY($F193,2)=6,$F193-1,IF(WEEKDAY($F193,2)=7,$F193-2,$F193)),IF(Recurring!$G$16="Move After",IF(WEEKDAY($F193,2)=6,$F193+2,IF(WEEKDAY($F193,2)=7,$F193+1,$F193)),$F193)))</f>
        <v>46646</v>
      </c>
      <c r="M193" s="0" t="str">
        <f aca="true">IF(AND($H193=1,$D193="Expense",$G193&gt;TODAY(),$E193&gt;=100),$G193*100000+ROW(),"")</f>
        <v/>
      </c>
      <c r="N193" s="0" t="str">
        <f aca="true">IF(AND($H193=1,$D193="Income",$G193&gt;TODAY()),$G193*100000+ROW(),"")</f>
        <v/>
      </c>
    </row>
    <row r="194" customFormat="false" ht="15" hidden="false" customHeight="true" outlineLevel="0" collapsed="false">
      <c r="A194" s="117" t="n">
        <v>12</v>
      </c>
      <c r="B194" s="117" t="n">
        <v>15</v>
      </c>
      <c r="C194" s="7" t="str">
        <f aca="false">IF(OR(Recurring!$B$16="",Recurring!$H$16&lt;&gt;"Yes",Recurring!$D$16=""),"",Recurring!$B$16)</f>
        <v>Maine Revenue Services</v>
      </c>
      <c r="D194" s="7" t="str">
        <f aca="false">IF($C194="","",Recurring!$C$16)</f>
        <v>Expense</v>
      </c>
      <c r="E194" s="118" t="n">
        <f aca="false">IF($C194="","",IF(SUMIFS(Overrides!$E$9:$E$108,Overrides!$B$9:$B$108,$C194,Overrides!$C$9:$C$108,$L194)&gt;0,SUMIFS(Overrides!$E$9:$E$108,Overrides!$B$9:$B$108,$C194,Overrides!$C$9:$C$108,$L194),Recurring!$D$16))</f>
        <v>45</v>
      </c>
      <c r="F194" s="119" t="n">
        <f aca="false">IF($C194="","",IF(Recurring!$E$16="Weekly",Recurring!$F$16+7*14,IF(Recurring!$E$16="Every 2 Weeks",Recurring!$F$16+14*14,IF(Recurring!$E$16="Monthly",EDATE(Recurring!$F$16,14),IF(Recurring!$E$16="Twice a Month",IF(MOD((IF(DAY(Recurring!$F$16)&lt;=20,0,1)+14),2)=1,EOMONTH(Recurring!$F$16,INT((IF(DAY(Recurring!$F$16)&lt;=20,0,1)+14)/2)),DATE(YEAR(EDATE(Recurring!$F$16,INT((IF(DAY(Recurring!$F$16)&lt;=20,0,1)+14)/2))),MONTH(EDATE(Recurring!$F$16,INT((IF(DAY(Recurring!$F$16)&lt;=20,0,1)+14)/2))),15)),IF(Recurring!$E$16="One Time",IF(15=1,Recurring!$F$16,""),""))))))</f>
        <v>46676</v>
      </c>
      <c r="G194" s="119" t="n">
        <f aca="false">IF($L194="","",IF(SUMIFS(Overrides!$D$9:$D$108,Overrides!$B$9:$B$108,$C194,Overrides!$C$9:$C$108,$L194)&gt;0,SUMIFS(Overrides!$D$9:$D$108,Overrides!$B$9:$B$108,$C194,Overrides!$C$9:$C$108,$L194),$L194))</f>
        <v>46676</v>
      </c>
      <c r="H194" s="120" t="n">
        <f aca="false">IF($G194="",0,IF(AND($G194&gt;='Cash Flow'!$E$6,$G194&lt;'Cash Flow'!$E$6+91),1,0))</f>
        <v>0</v>
      </c>
      <c r="I194" s="120" t="str">
        <f aca="false">IF($H194=1,MAX(1,INT(($G194-'Cash Flow'!$E$6)/7)+1),"")</f>
        <v/>
      </c>
      <c r="J194" s="7" t="str">
        <f aca="false">IF($H194=1,$G194*10000+ROW(),"")</f>
        <v/>
      </c>
      <c r="K194" s="7" t="str">
        <f aca="false">IF($H194=1,$I194*1000+COUNTIFS($I$4:$I$483,$I194,$J$4:$J$483,"&lt;"&amp;$J194)+1,"")</f>
        <v/>
      </c>
      <c r="L194" s="121" t="n">
        <f aca="false">IF($F194="","",IF(Recurring!$G$16="Move Before",IF(WEEKDAY($F194,2)=6,$F194-1,IF(WEEKDAY($F194,2)=7,$F194-2,$F194)),IF(Recurring!$G$16="Move After",IF(WEEKDAY($F194,2)=6,$F194+2,IF(WEEKDAY($F194,2)=7,$F194+1,$F194)),$F194)))</f>
        <v>46676</v>
      </c>
      <c r="M194" s="0" t="str">
        <f aca="true">IF(AND($H194=1,$D194="Expense",$G194&gt;TODAY(),$E194&gt;=100),$G194*100000+ROW(),"")</f>
        <v/>
      </c>
      <c r="N194" s="0" t="str">
        <f aca="true">IF(AND($H194=1,$D194="Income",$G194&gt;TODAY()),$G194*100000+ROW(),"")</f>
        <v/>
      </c>
    </row>
    <row r="195" customFormat="false" ht="15" hidden="false" customHeight="true" outlineLevel="0" collapsed="false">
      <c r="A195" s="117" t="n">
        <v>12</v>
      </c>
      <c r="B195" s="117" t="n">
        <v>16</v>
      </c>
      <c r="C195" s="7" t="str">
        <f aca="false">IF(OR(Recurring!$B$16="",Recurring!$H$16&lt;&gt;"Yes",Recurring!$D$16=""),"",Recurring!$B$16)</f>
        <v>Maine Revenue Services</v>
      </c>
      <c r="D195" s="7" t="str">
        <f aca="false">IF($C195="","",Recurring!$C$16)</f>
        <v>Expense</v>
      </c>
      <c r="E195" s="118" t="n">
        <f aca="false">IF($C195="","",IF(SUMIFS(Overrides!$E$9:$E$108,Overrides!$B$9:$B$108,$C195,Overrides!$C$9:$C$108,$L195)&gt;0,SUMIFS(Overrides!$E$9:$E$108,Overrides!$B$9:$B$108,$C195,Overrides!$C$9:$C$108,$L195),Recurring!$D$16))</f>
        <v>45</v>
      </c>
      <c r="F195" s="119" t="n">
        <f aca="false">IF($C195="","",IF(Recurring!$E$16="Weekly",Recurring!$F$16+7*15,IF(Recurring!$E$16="Every 2 Weeks",Recurring!$F$16+14*15,IF(Recurring!$E$16="Monthly",EDATE(Recurring!$F$16,15),IF(Recurring!$E$16="Twice a Month",IF(MOD((IF(DAY(Recurring!$F$16)&lt;=20,0,1)+15),2)=1,EOMONTH(Recurring!$F$16,INT((IF(DAY(Recurring!$F$16)&lt;=20,0,1)+15)/2)),DATE(YEAR(EDATE(Recurring!$F$16,INT((IF(DAY(Recurring!$F$16)&lt;=20,0,1)+15)/2))),MONTH(EDATE(Recurring!$F$16,INT((IF(DAY(Recurring!$F$16)&lt;=20,0,1)+15)/2))),15)),IF(Recurring!$E$16="One Time",IF(16=1,Recurring!$F$16,""),""))))))</f>
        <v>46707</v>
      </c>
      <c r="G195" s="119" t="n">
        <f aca="false">IF($L195="","",IF(SUMIFS(Overrides!$D$9:$D$108,Overrides!$B$9:$B$108,$C195,Overrides!$C$9:$C$108,$L195)&gt;0,SUMIFS(Overrides!$D$9:$D$108,Overrides!$B$9:$B$108,$C195,Overrides!$C$9:$C$108,$L195),$L195))</f>
        <v>46707</v>
      </c>
      <c r="H195" s="120" t="n">
        <f aca="false">IF($G195="",0,IF(AND($G195&gt;='Cash Flow'!$E$6,$G195&lt;'Cash Flow'!$E$6+91),1,0))</f>
        <v>0</v>
      </c>
      <c r="I195" s="120" t="str">
        <f aca="false">IF($H195=1,MAX(1,INT(($G195-'Cash Flow'!$E$6)/7)+1),"")</f>
        <v/>
      </c>
      <c r="J195" s="7" t="str">
        <f aca="false">IF($H195=1,$G195*10000+ROW(),"")</f>
        <v/>
      </c>
      <c r="K195" s="7" t="str">
        <f aca="false">IF($H195=1,$I195*1000+COUNTIFS($I$4:$I$483,$I195,$J$4:$J$483,"&lt;"&amp;$J195)+1,"")</f>
        <v/>
      </c>
      <c r="L195" s="121" t="n">
        <f aca="false">IF($F195="","",IF(Recurring!$G$16="Move Before",IF(WEEKDAY($F195,2)=6,$F195-1,IF(WEEKDAY($F195,2)=7,$F195-2,$F195)),IF(Recurring!$G$16="Move After",IF(WEEKDAY($F195,2)=6,$F195+2,IF(WEEKDAY($F195,2)=7,$F195+1,$F195)),$F195)))</f>
        <v>46707</v>
      </c>
      <c r="M195" s="0" t="str">
        <f aca="true">IF(AND($H195=1,$D195="Expense",$G195&gt;TODAY(),$E195&gt;=100),$G195*100000+ROW(),"")</f>
        <v/>
      </c>
      <c r="N195" s="0" t="str">
        <f aca="true">IF(AND($H195=1,$D195="Income",$G195&gt;TODAY()),$G195*100000+ROW(),"")</f>
        <v/>
      </c>
    </row>
    <row r="196" customFormat="false" ht="15" hidden="false" customHeight="true" outlineLevel="0" collapsed="false">
      <c r="A196" s="117" t="n">
        <v>13</v>
      </c>
      <c r="B196" s="117" t="n">
        <v>1</v>
      </c>
      <c r="C196" s="7" t="str">
        <f aca="false">IF(OR(Recurring!$B$17="",Recurring!$H$17&lt;&gt;"Yes",Recurring!$D$17=""),"",Recurring!$B$17)</f>
        <v/>
      </c>
      <c r="D196" s="7" t="str">
        <f aca="false">IF($C196="","",Recurring!$C$17)</f>
        <v/>
      </c>
      <c r="E196" s="118" t="str">
        <f aca="false">IF($C196="","",IF(SUMIFS(Overrides!$E$9:$E$108,Overrides!$B$9:$B$108,$C196,Overrides!$C$9:$C$108,$L196)&gt;0,SUMIFS(Overrides!$E$9:$E$108,Overrides!$B$9:$B$108,$C196,Overrides!$C$9:$C$108,$L196),Recurring!$D$17))</f>
        <v/>
      </c>
      <c r="F196" s="119" t="str">
        <f aca="false">IF($C196="","",IF(Recurring!$E$17="Weekly",Recurring!$F$17+7*0,IF(Recurring!$E$17="Every 2 Weeks",Recurring!$F$17+14*0,IF(Recurring!$E$17="Monthly",EDATE(Recurring!$F$17,0),IF(Recurring!$E$17="Twice a Month",IF(MOD((IF(DAY(Recurring!$F$17)&lt;=20,0,1)+0),2)=1,EOMONTH(Recurring!$F$17,INT((IF(DAY(Recurring!$F$17)&lt;=20,0,1)+0)/2)),DATE(YEAR(EDATE(Recurring!$F$17,INT((IF(DAY(Recurring!$F$17)&lt;=20,0,1)+0)/2))),MONTH(EDATE(Recurring!$F$17,INT((IF(DAY(Recurring!$F$17)&lt;=20,0,1)+0)/2))),15)),IF(Recurring!$E$17="One Time",IF(1=1,Recurring!$F$17,""),""))))))</f>
        <v/>
      </c>
      <c r="G196" s="119" t="str">
        <f aca="false">IF($L196="","",IF(SUMIFS(Overrides!$D$9:$D$108,Overrides!$B$9:$B$108,$C196,Overrides!$C$9:$C$108,$L196)&gt;0,SUMIFS(Overrides!$D$9:$D$108,Overrides!$B$9:$B$108,$C196,Overrides!$C$9:$C$108,$L196),$L196))</f>
        <v/>
      </c>
      <c r="H196" s="120" t="n">
        <f aca="false">IF($G196="",0,IF(AND($G196&gt;='Cash Flow'!$E$6-90,$G196&lt;'Cash Flow'!$E$6+91),1,0))</f>
        <v>0</v>
      </c>
      <c r="I196" s="120" t="str">
        <f aca="false">IF($H196=1,MAX(1,INT(($G196-'Cash Flow'!$E$6)/7)+1),"")</f>
        <v/>
      </c>
      <c r="J196" s="7" t="str">
        <f aca="false">IF($H196=1,$G196*10000+ROW(),"")</f>
        <v/>
      </c>
      <c r="K196" s="7" t="str">
        <f aca="false">IF($H196=1,$I196*1000+COUNTIFS($I$4:$I$483,$I196,$J$4:$J$483,"&lt;"&amp;$J196)+1,"")</f>
        <v/>
      </c>
      <c r="L196" s="121" t="str">
        <f aca="false">IF($F196="","",IF(Recurring!$G$17="Move Before",IF(WEEKDAY($F196,2)=6,$F196-1,IF(WEEKDAY($F196,2)=7,$F196-2,$F196)),IF(Recurring!$G$17="Move After",IF(WEEKDAY($F196,2)=6,$F196+2,IF(WEEKDAY($F196,2)=7,$F196+1,$F196)),$F196)))</f>
        <v/>
      </c>
      <c r="M196" s="0" t="str">
        <f aca="true">IF(AND($H196=1,$D196="Expense",$G196&gt;TODAY(),$E196&gt;=100),$G196*100000+ROW(),"")</f>
        <v/>
      </c>
      <c r="N196" s="0" t="str">
        <f aca="true">IF(AND($H196=1,$D196="Income",$G196&gt;TODAY()),$G196*100000+ROW(),"")</f>
        <v/>
      </c>
    </row>
    <row r="197" customFormat="false" ht="15" hidden="false" customHeight="true" outlineLevel="0" collapsed="false">
      <c r="A197" s="117" t="n">
        <v>13</v>
      </c>
      <c r="B197" s="117" t="n">
        <v>2</v>
      </c>
      <c r="C197" s="7" t="str">
        <f aca="false">IF(OR(Recurring!$B$17="",Recurring!$H$17&lt;&gt;"Yes",Recurring!$D$17=""),"",Recurring!$B$17)</f>
        <v/>
      </c>
      <c r="D197" s="7" t="str">
        <f aca="false">IF($C197="","",Recurring!$C$17)</f>
        <v/>
      </c>
      <c r="E197" s="118" t="str">
        <f aca="false">IF($C197="","",IF(SUMIFS(Overrides!$E$9:$E$108,Overrides!$B$9:$B$108,$C197,Overrides!$C$9:$C$108,$L197)&gt;0,SUMIFS(Overrides!$E$9:$E$108,Overrides!$B$9:$B$108,$C197,Overrides!$C$9:$C$108,$L197),Recurring!$D$17))</f>
        <v/>
      </c>
      <c r="F197" s="119" t="str">
        <f aca="false">IF($C197="","",IF(Recurring!$E$17="Weekly",Recurring!$F$17+7*1,IF(Recurring!$E$17="Every 2 Weeks",Recurring!$F$17+14*1,IF(Recurring!$E$17="Monthly",EDATE(Recurring!$F$17,1),IF(Recurring!$E$17="Twice a Month",IF(MOD((IF(DAY(Recurring!$F$17)&lt;=20,0,1)+1),2)=1,EOMONTH(Recurring!$F$17,INT((IF(DAY(Recurring!$F$17)&lt;=20,0,1)+1)/2)),DATE(YEAR(EDATE(Recurring!$F$17,INT((IF(DAY(Recurring!$F$17)&lt;=20,0,1)+1)/2))),MONTH(EDATE(Recurring!$F$17,INT((IF(DAY(Recurring!$F$17)&lt;=20,0,1)+1)/2))),15)),IF(Recurring!$E$17="One Time",IF(2=1,Recurring!$F$17,""),""))))))</f>
        <v/>
      </c>
      <c r="G197" s="119" t="str">
        <f aca="false">IF($L197="","",IF(SUMIFS(Overrides!$D$9:$D$108,Overrides!$B$9:$B$108,$C197,Overrides!$C$9:$C$108,$L197)&gt;0,SUMIFS(Overrides!$D$9:$D$108,Overrides!$B$9:$B$108,$C197,Overrides!$C$9:$C$108,$L197),$L197))</f>
        <v/>
      </c>
      <c r="H197" s="120" t="n">
        <f aca="false">IF($G197="",0,IF(AND($G197&gt;='Cash Flow'!$E$6,$G197&lt;'Cash Flow'!$E$6+91),1,0))</f>
        <v>0</v>
      </c>
      <c r="I197" s="120" t="str">
        <f aca="false">IF($H197=1,MAX(1,INT(($G197-'Cash Flow'!$E$6)/7)+1),"")</f>
        <v/>
      </c>
      <c r="J197" s="7" t="str">
        <f aca="false">IF($H197=1,$G197*10000+ROW(),"")</f>
        <v/>
      </c>
      <c r="K197" s="7" t="str">
        <f aca="false">IF($H197=1,$I197*1000+COUNTIFS($I$4:$I$483,$I197,$J$4:$J$483,"&lt;"&amp;$J197)+1,"")</f>
        <v/>
      </c>
      <c r="L197" s="121" t="str">
        <f aca="false">IF($F197="","",IF(Recurring!$G$17="Move Before",IF(WEEKDAY($F197,2)=6,$F197-1,IF(WEEKDAY($F197,2)=7,$F197-2,$F197)),IF(Recurring!$G$17="Move After",IF(WEEKDAY($F197,2)=6,$F197+2,IF(WEEKDAY($F197,2)=7,$F197+1,$F197)),$F197)))</f>
        <v/>
      </c>
      <c r="M197" s="0" t="str">
        <f aca="true">IF(AND($H197=1,$D197="Expense",$G197&gt;TODAY(),$E197&gt;=100),$G197*100000+ROW(),"")</f>
        <v/>
      </c>
      <c r="N197" s="0" t="str">
        <f aca="true">IF(AND($H197=1,$D197="Income",$G197&gt;TODAY()),$G197*100000+ROW(),"")</f>
        <v/>
      </c>
    </row>
    <row r="198" customFormat="false" ht="15" hidden="false" customHeight="true" outlineLevel="0" collapsed="false">
      <c r="A198" s="117" t="n">
        <v>13</v>
      </c>
      <c r="B198" s="117" t="n">
        <v>3</v>
      </c>
      <c r="C198" s="7" t="str">
        <f aca="false">IF(OR(Recurring!$B$17="",Recurring!$H$17&lt;&gt;"Yes",Recurring!$D$17=""),"",Recurring!$B$17)</f>
        <v/>
      </c>
      <c r="D198" s="7" t="str">
        <f aca="false">IF($C198="","",Recurring!$C$17)</f>
        <v/>
      </c>
      <c r="E198" s="118" t="str">
        <f aca="false">IF($C198="","",IF(SUMIFS(Overrides!$E$9:$E$108,Overrides!$B$9:$B$108,$C198,Overrides!$C$9:$C$108,$L198)&gt;0,SUMIFS(Overrides!$E$9:$E$108,Overrides!$B$9:$B$108,$C198,Overrides!$C$9:$C$108,$L198),Recurring!$D$17))</f>
        <v/>
      </c>
      <c r="F198" s="119" t="str">
        <f aca="false">IF($C198="","",IF(Recurring!$E$17="Weekly",Recurring!$F$17+7*2,IF(Recurring!$E$17="Every 2 Weeks",Recurring!$F$17+14*2,IF(Recurring!$E$17="Monthly",EDATE(Recurring!$F$17,2),IF(Recurring!$E$17="Twice a Month",IF(MOD((IF(DAY(Recurring!$F$17)&lt;=20,0,1)+2),2)=1,EOMONTH(Recurring!$F$17,INT((IF(DAY(Recurring!$F$17)&lt;=20,0,1)+2)/2)),DATE(YEAR(EDATE(Recurring!$F$17,INT((IF(DAY(Recurring!$F$17)&lt;=20,0,1)+2)/2))),MONTH(EDATE(Recurring!$F$17,INT((IF(DAY(Recurring!$F$17)&lt;=20,0,1)+2)/2))),15)),IF(Recurring!$E$17="One Time",IF(3=1,Recurring!$F$17,""),""))))))</f>
        <v/>
      </c>
      <c r="G198" s="119" t="str">
        <f aca="false">IF($L198="","",IF(SUMIFS(Overrides!$D$9:$D$108,Overrides!$B$9:$B$108,$C198,Overrides!$C$9:$C$108,$L198)&gt;0,SUMIFS(Overrides!$D$9:$D$108,Overrides!$B$9:$B$108,$C198,Overrides!$C$9:$C$108,$L198),$L198))</f>
        <v/>
      </c>
      <c r="H198" s="120" t="n">
        <f aca="false">IF($G198="",0,IF(AND($G198&gt;='Cash Flow'!$E$6,$G198&lt;'Cash Flow'!$E$6+91),1,0))</f>
        <v>0</v>
      </c>
      <c r="I198" s="120" t="str">
        <f aca="false">IF($H198=1,MAX(1,INT(($G198-'Cash Flow'!$E$6)/7)+1),"")</f>
        <v/>
      </c>
      <c r="J198" s="7" t="str">
        <f aca="false">IF($H198=1,$G198*10000+ROW(),"")</f>
        <v/>
      </c>
      <c r="K198" s="7" t="str">
        <f aca="false">IF($H198=1,$I198*1000+COUNTIFS($I$4:$I$483,$I198,$J$4:$J$483,"&lt;"&amp;$J198)+1,"")</f>
        <v/>
      </c>
      <c r="L198" s="121" t="str">
        <f aca="false">IF($F198="","",IF(Recurring!$G$17="Move Before",IF(WEEKDAY($F198,2)=6,$F198-1,IF(WEEKDAY($F198,2)=7,$F198-2,$F198)),IF(Recurring!$G$17="Move After",IF(WEEKDAY($F198,2)=6,$F198+2,IF(WEEKDAY($F198,2)=7,$F198+1,$F198)),$F198)))</f>
        <v/>
      </c>
      <c r="M198" s="0" t="str">
        <f aca="true">IF(AND($H198=1,$D198="Expense",$G198&gt;TODAY(),$E198&gt;=100),$G198*100000+ROW(),"")</f>
        <v/>
      </c>
      <c r="N198" s="0" t="str">
        <f aca="true">IF(AND($H198=1,$D198="Income",$G198&gt;TODAY()),$G198*100000+ROW(),"")</f>
        <v/>
      </c>
    </row>
    <row r="199" customFormat="false" ht="15" hidden="false" customHeight="true" outlineLevel="0" collapsed="false">
      <c r="A199" s="117" t="n">
        <v>13</v>
      </c>
      <c r="B199" s="117" t="n">
        <v>4</v>
      </c>
      <c r="C199" s="7" t="str">
        <f aca="false">IF(OR(Recurring!$B$17="",Recurring!$H$17&lt;&gt;"Yes",Recurring!$D$17=""),"",Recurring!$B$17)</f>
        <v/>
      </c>
      <c r="D199" s="7" t="str">
        <f aca="false">IF($C199="","",Recurring!$C$17)</f>
        <v/>
      </c>
      <c r="E199" s="118" t="str">
        <f aca="false">IF($C199="","",IF(SUMIFS(Overrides!$E$9:$E$108,Overrides!$B$9:$B$108,$C199,Overrides!$C$9:$C$108,$L199)&gt;0,SUMIFS(Overrides!$E$9:$E$108,Overrides!$B$9:$B$108,$C199,Overrides!$C$9:$C$108,$L199),Recurring!$D$17))</f>
        <v/>
      </c>
      <c r="F199" s="119" t="str">
        <f aca="false">IF($C199="","",IF(Recurring!$E$17="Weekly",Recurring!$F$17+7*3,IF(Recurring!$E$17="Every 2 Weeks",Recurring!$F$17+14*3,IF(Recurring!$E$17="Monthly",EDATE(Recurring!$F$17,3),IF(Recurring!$E$17="Twice a Month",IF(MOD((IF(DAY(Recurring!$F$17)&lt;=20,0,1)+3),2)=1,EOMONTH(Recurring!$F$17,INT((IF(DAY(Recurring!$F$17)&lt;=20,0,1)+3)/2)),DATE(YEAR(EDATE(Recurring!$F$17,INT((IF(DAY(Recurring!$F$17)&lt;=20,0,1)+3)/2))),MONTH(EDATE(Recurring!$F$17,INT((IF(DAY(Recurring!$F$17)&lt;=20,0,1)+3)/2))),15)),IF(Recurring!$E$17="One Time",IF(4=1,Recurring!$F$17,""),""))))))</f>
        <v/>
      </c>
      <c r="G199" s="119" t="str">
        <f aca="false">IF($L199="","",IF(SUMIFS(Overrides!$D$9:$D$108,Overrides!$B$9:$B$108,$C199,Overrides!$C$9:$C$108,$L199)&gt;0,SUMIFS(Overrides!$D$9:$D$108,Overrides!$B$9:$B$108,$C199,Overrides!$C$9:$C$108,$L199),$L199))</f>
        <v/>
      </c>
      <c r="H199" s="120" t="n">
        <f aca="false">IF($G199="",0,IF(AND($G199&gt;='Cash Flow'!$E$6,$G199&lt;'Cash Flow'!$E$6+91),1,0))</f>
        <v>0</v>
      </c>
      <c r="I199" s="120" t="str">
        <f aca="false">IF($H199=1,MAX(1,INT(($G199-'Cash Flow'!$E$6)/7)+1),"")</f>
        <v/>
      </c>
      <c r="J199" s="7" t="str">
        <f aca="false">IF($H199=1,$G199*10000+ROW(),"")</f>
        <v/>
      </c>
      <c r="K199" s="7" t="str">
        <f aca="false">IF($H199=1,$I199*1000+COUNTIFS($I$4:$I$483,$I199,$J$4:$J$483,"&lt;"&amp;$J199)+1,"")</f>
        <v/>
      </c>
      <c r="L199" s="121" t="str">
        <f aca="false">IF($F199="","",IF(Recurring!$G$17="Move Before",IF(WEEKDAY($F199,2)=6,$F199-1,IF(WEEKDAY($F199,2)=7,$F199-2,$F199)),IF(Recurring!$G$17="Move After",IF(WEEKDAY($F199,2)=6,$F199+2,IF(WEEKDAY($F199,2)=7,$F199+1,$F199)),$F199)))</f>
        <v/>
      </c>
      <c r="M199" s="0" t="str">
        <f aca="true">IF(AND($H199=1,$D199="Expense",$G199&gt;TODAY(),$E199&gt;=100),$G199*100000+ROW(),"")</f>
        <v/>
      </c>
      <c r="N199" s="0" t="str">
        <f aca="true">IF(AND($H199=1,$D199="Income",$G199&gt;TODAY()),$G199*100000+ROW(),"")</f>
        <v/>
      </c>
    </row>
    <row r="200" customFormat="false" ht="15" hidden="false" customHeight="true" outlineLevel="0" collapsed="false">
      <c r="A200" s="117" t="n">
        <v>13</v>
      </c>
      <c r="B200" s="117" t="n">
        <v>5</v>
      </c>
      <c r="C200" s="7" t="str">
        <f aca="false">IF(OR(Recurring!$B$17="",Recurring!$H$17&lt;&gt;"Yes",Recurring!$D$17=""),"",Recurring!$B$17)</f>
        <v/>
      </c>
      <c r="D200" s="7" t="str">
        <f aca="false">IF($C200="","",Recurring!$C$17)</f>
        <v/>
      </c>
      <c r="E200" s="118" t="str">
        <f aca="false">IF($C200="","",IF(SUMIFS(Overrides!$E$9:$E$108,Overrides!$B$9:$B$108,$C200,Overrides!$C$9:$C$108,$L200)&gt;0,SUMIFS(Overrides!$E$9:$E$108,Overrides!$B$9:$B$108,$C200,Overrides!$C$9:$C$108,$L200),Recurring!$D$17))</f>
        <v/>
      </c>
      <c r="F200" s="119" t="str">
        <f aca="false">IF($C200="","",IF(Recurring!$E$17="Weekly",Recurring!$F$17+7*4,IF(Recurring!$E$17="Every 2 Weeks",Recurring!$F$17+14*4,IF(Recurring!$E$17="Monthly",EDATE(Recurring!$F$17,4),IF(Recurring!$E$17="Twice a Month",IF(MOD((IF(DAY(Recurring!$F$17)&lt;=20,0,1)+4),2)=1,EOMONTH(Recurring!$F$17,INT((IF(DAY(Recurring!$F$17)&lt;=20,0,1)+4)/2)),DATE(YEAR(EDATE(Recurring!$F$17,INT((IF(DAY(Recurring!$F$17)&lt;=20,0,1)+4)/2))),MONTH(EDATE(Recurring!$F$17,INT((IF(DAY(Recurring!$F$17)&lt;=20,0,1)+4)/2))),15)),IF(Recurring!$E$17="One Time",IF(5=1,Recurring!$F$17,""),""))))))</f>
        <v/>
      </c>
      <c r="G200" s="119" t="str">
        <f aca="false">IF($L200="","",IF(SUMIFS(Overrides!$D$9:$D$108,Overrides!$B$9:$B$108,$C200,Overrides!$C$9:$C$108,$L200)&gt;0,SUMIFS(Overrides!$D$9:$D$108,Overrides!$B$9:$B$108,$C200,Overrides!$C$9:$C$108,$L200),$L200))</f>
        <v/>
      </c>
      <c r="H200" s="120" t="n">
        <f aca="false">IF($G200="",0,IF(AND($G200&gt;='Cash Flow'!$E$6,$G200&lt;'Cash Flow'!$E$6+91),1,0))</f>
        <v>0</v>
      </c>
      <c r="I200" s="120" t="str">
        <f aca="false">IF($H200=1,MAX(1,INT(($G200-'Cash Flow'!$E$6)/7)+1),"")</f>
        <v/>
      </c>
      <c r="J200" s="7" t="str">
        <f aca="false">IF($H200=1,$G200*10000+ROW(),"")</f>
        <v/>
      </c>
      <c r="K200" s="7" t="str">
        <f aca="false">IF($H200=1,$I200*1000+COUNTIFS($I$4:$I$483,$I200,$J$4:$J$483,"&lt;"&amp;$J200)+1,"")</f>
        <v/>
      </c>
      <c r="L200" s="121" t="str">
        <f aca="false">IF($F200="","",IF(Recurring!$G$17="Move Before",IF(WEEKDAY($F200,2)=6,$F200-1,IF(WEEKDAY($F200,2)=7,$F200-2,$F200)),IF(Recurring!$G$17="Move After",IF(WEEKDAY($F200,2)=6,$F200+2,IF(WEEKDAY($F200,2)=7,$F200+1,$F200)),$F200)))</f>
        <v/>
      </c>
      <c r="M200" s="0" t="str">
        <f aca="true">IF(AND($H200=1,$D200="Expense",$G200&gt;TODAY(),$E200&gt;=100),$G200*100000+ROW(),"")</f>
        <v/>
      </c>
      <c r="N200" s="0" t="str">
        <f aca="true">IF(AND($H200=1,$D200="Income",$G200&gt;TODAY()),$G200*100000+ROW(),"")</f>
        <v/>
      </c>
    </row>
    <row r="201" customFormat="false" ht="15" hidden="false" customHeight="true" outlineLevel="0" collapsed="false">
      <c r="A201" s="117" t="n">
        <v>13</v>
      </c>
      <c r="B201" s="117" t="n">
        <v>6</v>
      </c>
      <c r="C201" s="7" t="str">
        <f aca="false">IF(OR(Recurring!$B$17="",Recurring!$H$17&lt;&gt;"Yes",Recurring!$D$17=""),"",Recurring!$B$17)</f>
        <v/>
      </c>
      <c r="D201" s="7" t="str">
        <f aca="false">IF($C201="","",Recurring!$C$17)</f>
        <v/>
      </c>
      <c r="E201" s="118" t="str">
        <f aca="false">IF($C201="","",IF(SUMIFS(Overrides!$E$9:$E$108,Overrides!$B$9:$B$108,$C201,Overrides!$C$9:$C$108,$L201)&gt;0,SUMIFS(Overrides!$E$9:$E$108,Overrides!$B$9:$B$108,$C201,Overrides!$C$9:$C$108,$L201),Recurring!$D$17))</f>
        <v/>
      </c>
      <c r="F201" s="119" t="str">
        <f aca="false">IF($C201="","",IF(Recurring!$E$17="Weekly",Recurring!$F$17+7*5,IF(Recurring!$E$17="Every 2 Weeks",Recurring!$F$17+14*5,IF(Recurring!$E$17="Monthly",EDATE(Recurring!$F$17,5),IF(Recurring!$E$17="Twice a Month",IF(MOD((IF(DAY(Recurring!$F$17)&lt;=20,0,1)+5),2)=1,EOMONTH(Recurring!$F$17,INT((IF(DAY(Recurring!$F$17)&lt;=20,0,1)+5)/2)),DATE(YEAR(EDATE(Recurring!$F$17,INT((IF(DAY(Recurring!$F$17)&lt;=20,0,1)+5)/2))),MONTH(EDATE(Recurring!$F$17,INT((IF(DAY(Recurring!$F$17)&lt;=20,0,1)+5)/2))),15)),IF(Recurring!$E$17="One Time",IF(6=1,Recurring!$F$17,""),""))))))</f>
        <v/>
      </c>
      <c r="G201" s="119" t="str">
        <f aca="false">IF($L201="","",IF(SUMIFS(Overrides!$D$9:$D$108,Overrides!$B$9:$B$108,$C201,Overrides!$C$9:$C$108,$L201)&gt;0,SUMIFS(Overrides!$D$9:$D$108,Overrides!$B$9:$B$108,$C201,Overrides!$C$9:$C$108,$L201),$L201))</f>
        <v/>
      </c>
      <c r="H201" s="120" t="n">
        <f aca="false">IF($G201="",0,IF(AND($G201&gt;='Cash Flow'!$E$6,$G201&lt;'Cash Flow'!$E$6+91),1,0))</f>
        <v>0</v>
      </c>
      <c r="I201" s="120" t="str">
        <f aca="false">IF($H201=1,MAX(1,INT(($G201-'Cash Flow'!$E$6)/7)+1),"")</f>
        <v/>
      </c>
      <c r="J201" s="7" t="str">
        <f aca="false">IF($H201=1,$G201*10000+ROW(),"")</f>
        <v/>
      </c>
      <c r="K201" s="7" t="str">
        <f aca="false">IF($H201=1,$I201*1000+COUNTIFS($I$4:$I$483,$I201,$J$4:$J$483,"&lt;"&amp;$J201)+1,"")</f>
        <v/>
      </c>
      <c r="L201" s="121" t="str">
        <f aca="false">IF($F201="","",IF(Recurring!$G$17="Move Before",IF(WEEKDAY($F201,2)=6,$F201-1,IF(WEEKDAY($F201,2)=7,$F201-2,$F201)),IF(Recurring!$G$17="Move After",IF(WEEKDAY($F201,2)=6,$F201+2,IF(WEEKDAY($F201,2)=7,$F201+1,$F201)),$F201)))</f>
        <v/>
      </c>
      <c r="M201" s="0" t="str">
        <f aca="true">IF(AND($H201=1,$D201="Expense",$G201&gt;TODAY(),$E201&gt;=100),$G201*100000+ROW(),"")</f>
        <v/>
      </c>
      <c r="N201" s="0" t="str">
        <f aca="true">IF(AND($H201=1,$D201="Income",$G201&gt;TODAY()),$G201*100000+ROW(),"")</f>
        <v/>
      </c>
    </row>
    <row r="202" customFormat="false" ht="15" hidden="false" customHeight="true" outlineLevel="0" collapsed="false">
      <c r="A202" s="117" t="n">
        <v>13</v>
      </c>
      <c r="B202" s="117" t="n">
        <v>7</v>
      </c>
      <c r="C202" s="7" t="str">
        <f aca="false">IF(OR(Recurring!$B$17="",Recurring!$H$17&lt;&gt;"Yes",Recurring!$D$17=""),"",Recurring!$B$17)</f>
        <v/>
      </c>
      <c r="D202" s="7" t="str">
        <f aca="false">IF($C202="","",Recurring!$C$17)</f>
        <v/>
      </c>
      <c r="E202" s="118" t="str">
        <f aca="false">IF($C202="","",IF(SUMIFS(Overrides!$E$9:$E$108,Overrides!$B$9:$B$108,$C202,Overrides!$C$9:$C$108,$L202)&gt;0,SUMIFS(Overrides!$E$9:$E$108,Overrides!$B$9:$B$108,$C202,Overrides!$C$9:$C$108,$L202),Recurring!$D$17))</f>
        <v/>
      </c>
      <c r="F202" s="119" t="str">
        <f aca="false">IF($C202="","",IF(Recurring!$E$17="Weekly",Recurring!$F$17+7*6,IF(Recurring!$E$17="Every 2 Weeks",Recurring!$F$17+14*6,IF(Recurring!$E$17="Monthly",EDATE(Recurring!$F$17,6),IF(Recurring!$E$17="Twice a Month",IF(MOD((IF(DAY(Recurring!$F$17)&lt;=20,0,1)+6),2)=1,EOMONTH(Recurring!$F$17,INT((IF(DAY(Recurring!$F$17)&lt;=20,0,1)+6)/2)),DATE(YEAR(EDATE(Recurring!$F$17,INT((IF(DAY(Recurring!$F$17)&lt;=20,0,1)+6)/2))),MONTH(EDATE(Recurring!$F$17,INT((IF(DAY(Recurring!$F$17)&lt;=20,0,1)+6)/2))),15)),IF(Recurring!$E$17="One Time",IF(7=1,Recurring!$F$17,""),""))))))</f>
        <v/>
      </c>
      <c r="G202" s="119" t="str">
        <f aca="false">IF($L202="","",IF(SUMIFS(Overrides!$D$9:$D$108,Overrides!$B$9:$B$108,$C202,Overrides!$C$9:$C$108,$L202)&gt;0,SUMIFS(Overrides!$D$9:$D$108,Overrides!$B$9:$B$108,$C202,Overrides!$C$9:$C$108,$L202),$L202))</f>
        <v/>
      </c>
      <c r="H202" s="120" t="n">
        <f aca="false">IF($G202="",0,IF(AND($G202&gt;='Cash Flow'!$E$6,$G202&lt;'Cash Flow'!$E$6+91),1,0))</f>
        <v>0</v>
      </c>
      <c r="I202" s="120" t="str">
        <f aca="false">IF($H202=1,MAX(1,INT(($G202-'Cash Flow'!$E$6)/7)+1),"")</f>
        <v/>
      </c>
      <c r="J202" s="7" t="str">
        <f aca="false">IF($H202=1,$G202*10000+ROW(),"")</f>
        <v/>
      </c>
      <c r="K202" s="7" t="str">
        <f aca="false">IF($H202=1,$I202*1000+COUNTIFS($I$4:$I$483,$I202,$J$4:$J$483,"&lt;"&amp;$J202)+1,"")</f>
        <v/>
      </c>
      <c r="L202" s="121" t="str">
        <f aca="false">IF($F202="","",IF(Recurring!$G$17="Move Before",IF(WEEKDAY($F202,2)=6,$F202-1,IF(WEEKDAY($F202,2)=7,$F202-2,$F202)),IF(Recurring!$G$17="Move After",IF(WEEKDAY($F202,2)=6,$F202+2,IF(WEEKDAY($F202,2)=7,$F202+1,$F202)),$F202)))</f>
        <v/>
      </c>
      <c r="M202" s="0" t="str">
        <f aca="true">IF(AND($H202=1,$D202="Expense",$G202&gt;TODAY(),$E202&gt;=100),$G202*100000+ROW(),"")</f>
        <v/>
      </c>
      <c r="N202" s="0" t="str">
        <f aca="true">IF(AND($H202=1,$D202="Income",$G202&gt;TODAY()),$G202*100000+ROW(),"")</f>
        <v/>
      </c>
    </row>
    <row r="203" customFormat="false" ht="15" hidden="false" customHeight="true" outlineLevel="0" collapsed="false">
      <c r="A203" s="117" t="n">
        <v>13</v>
      </c>
      <c r="B203" s="117" t="n">
        <v>8</v>
      </c>
      <c r="C203" s="7" t="str">
        <f aca="false">IF(OR(Recurring!$B$17="",Recurring!$H$17&lt;&gt;"Yes",Recurring!$D$17=""),"",Recurring!$B$17)</f>
        <v/>
      </c>
      <c r="D203" s="7" t="str">
        <f aca="false">IF($C203="","",Recurring!$C$17)</f>
        <v/>
      </c>
      <c r="E203" s="118" t="str">
        <f aca="false">IF($C203="","",IF(SUMIFS(Overrides!$E$9:$E$108,Overrides!$B$9:$B$108,$C203,Overrides!$C$9:$C$108,$L203)&gt;0,SUMIFS(Overrides!$E$9:$E$108,Overrides!$B$9:$B$108,$C203,Overrides!$C$9:$C$108,$L203),Recurring!$D$17))</f>
        <v/>
      </c>
      <c r="F203" s="119" t="str">
        <f aca="false">IF($C203="","",IF(Recurring!$E$17="Weekly",Recurring!$F$17+7*7,IF(Recurring!$E$17="Every 2 Weeks",Recurring!$F$17+14*7,IF(Recurring!$E$17="Monthly",EDATE(Recurring!$F$17,7),IF(Recurring!$E$17="Twice a Month",IF(MOD((IF(DAY(Recurring!$F$17)&lt;=20,0,1)+7),2)=1,EOMONTH(Recurring!$F$17,INT((IF(DAY(Recurring!$F$17)&lt;=20,0,1)+7)/2)),DATE(YEAR(EDATE(Recurring!$F$17,INT((IF(DAY(Recurring!$F$17)&lt;=20,0,1)+7)/2))),MONTH(EDATE(Recurring!$F$17,INT((IF(DAY(Recurring!$F$17)&lt;=20,0,1)+7)/2))),15)),IF(Recurring!$E$17="One Time",IF(8=1,Recurring!$F$17,""),""))))))</f>
        <v/>
      </c>
      <c r="G203" s="119" t="str">
        <f aca="false">IF($L203="","",IF(SUMIFS(Overrides!$D$9:$D$108,Overrides!$B$9:$B$108,$C203,Overrides!$C$9:$C$108,$L203)&gt;0,SUMIFS(Overrides!$D$9:$D$108,Overrides!$B$9:$B$108,$C203,Overrides!$C$9:$C$108,$L203),$L203))</f>
        <v/>
      </c>
      <c r="H203" s="120" t="n">
        <f aca="false">IF($G203="",0,IF(AND($G203&gt;='Cash Flow'!$E$6,$G203&lt;'Cash Flow'!$E$6+91),1,0))</f>
        <v>0</v>
      </c>
      <c r="I203" s="120" t="str">
        <f aca="false">IF($H203=1,MAX(1,INT(($G203-'Cash Flow'!$E$6)/7)+1),"")</f>
        <v/>
      </c>
      <c r="J203" s="7" t="str">
        <f aca="false">IF($H203=1,$G203*10000+ROW(),"")</f>
        <v/>
      </c>
      <c r="K203" s="7" t="str">
        <f aca="false">IF($H203=1,$I203*1000+COUNTIFS($I$4:$I$483,$I203,$J$4:$J$483,"&lt;"&amp;$J203)+1,"")</f>
        <v/>
      </c>
      <c r="L203" s="121" t="str">
        <f aca="false">IF($F203="","",IF(Recurring!$G$17="Move Before",IF(WEEKDAY($F203,2)=6,$F203-1,IF(WEEKDAY($F203,2)=7,$F203-2,$F203)),IF(Recurring!$G$17="Move After",IF(WEEKDAY($F203,2)=6,$F203+2,IF(WEEKDAY($F203,2)=7,$F203+1,$F203)),$F203)))</f>
        <v/>
      </c>
      <c r="M203" s="0" t="str">
        <f aca="true">IF(AND($H203=1,$D203="Expense",$G203&gt;TODAY(),$E203&gt;=100),$G203*100000+ROW(),"")</f>
        <v/>
      </c>
      <c r="N203" s="0" t="str">
        <f aca="true">IF(AND($H203=1,$D203="Income",$G203&gt;TODAY()),$G203*100000+ROW(),"")</f>
        <v/>
      </c>
    </row>
    <row r="204" customFormat="false" ht="15" hidden="false" customHeight="true" outlineLevel="0" collapsed="false">
      <c r="A204" s="117" t="n">
        <v>13</v>
      </c>
      <c r="B204" s="117" t="n">
        <v>9</v>
      </c>
      <c r="C204" s="7" t="str">
        <f aca="false">IF(OR(Recurring!$B$17="",Recurring!$H$17&lt;&gt;"Yes",Recurring!$D$17=""),"",Recurring!$B$17)</f>
        <v/>
      </c>
      <c r="D204" s="7" t="str">
        <f aca="false">IF($C204="","",Recurring!$C$17)</f>
        <v/>
      </c>
      <c r="E204" s="118" t="str">
        <f aca="false">IF($C204="","",IF(SUMIFS(Overrides!$E$9:$E$108,Overrides!$B$9:$B$108,$C204,Overrides!$C$9:$C$108,$L204)&gt;0,SUMIFS(Overrides!$E$9:$E$108,Overrides!$B$9:$B$108,$C204,Overrides!$C$9:$C$108,$L204),Recurring!$D$17))</f>
        <v/>
      </c>
      <c r="F204" s="119" t="str">
        <f aca="false">IF($C204="","",IF(Recurring!$E$17="Weekly",Recurring!$F$17+7*8,IF(Recurring!$E$17="Every 2 Weeks",Recurring!$F$17+14*8,IF(Recurring!$E$17="Monthly",EDATE(Recurring!$F$17,8),IF(Recurring!$E$17="Twice a Month",IF(MOD((IF(DAY(Recurring!$F$17)&lt;=20,0,1)+8),2)=1,EOMONTH(Recurring!$F$17,INT((IF(DAY(Recurring!$F$17)&lt;=20,0,1)+8)/2)),DATE(YEAR(EDATE(Recurring!$F$17,INT((IF(DAY(Recurring!$F$17)&lt;=20,0,1)+8)/2))),MONTH(EDATE(Recurring!$F$17,INT((IF(DAY(Recurring!$F$17)&lt;=20,0,1)+8)/2))),15)),IF(Recurring!$E$17="One Time",IF(9=1,Recurring!$F$17,""),""))))))</f>
        <v/>
      </c>
      <c r="G204" s="119" t="str">
        <f aca="false">IF($L204="","",IF(SUMIFS(Overrides!$D$9:$D$108,Overrides!$B$9:$B$108,$C204,Overrides!$C$9:$C$108,$L204)&gt;0,SUMIFS(Overrides!$D$9:$D$108,Overrides!$B$9:$B$108,$C204,Overrides!$C$9:$C$108,$L204),$L204))</f>
        <v/>
      </c>
      <c r="H204" s="120" t="n">
        <f aca="false">IF($G204="",0,IF(AND($G204&gt;='Cash Flow'!$E$6,$G204&lt;'Cash Flow'!$E$6+91),1,0))</f>
        <v>0</v>
      </c>
      <c r="I204" s="120" t="str">
        <f aca="false">IF($H204=1,MAX(1,INT(($G204-'Cash Flow'!$E$6)/7)+1),"")</f>
        <v/>
      </c>
      <c r="J204" s="7" t="str">
        <f aca="false">IF($H204=1,$G204*10000+ROW(),"")</f>
        <v/>
      </c>
      <c r="K204" s="7" t="str">
        <f aca="false">IF($H204=1,$I204*1000+COUNTIFS($I$4:$I$483,$I204,$J$4:$J$483,"&lt;"&amp;$J204)+1,"")</f>
        <v/>
      </c>
      <c r="L204" s="121" t="str">
        <f aca="false">IF($F204="","",IF(Recurring!$G$17="Move Before",IF(WEEKDAY($F204,2)=6,$F204-1,IF(WEEKDAY($F204,2)=7,$F204-2,$F204)),IF(Recurring!$G$17="Move After",IF(WEEKDAY($F204,2)=6,$F204+2,IF(WEEKDAY($F204,2)=7,$F204+1,$F204)),$F204)))</f>
        <v/>
      </c>
      <c r="M204" s="0" t="str">
        <f aca="true">IF(AND($H204=1,$D204="Expense",$G204&gt;TODAY(),$E204&gt;=100),$G204*100000+ROW(),"")</f>
        <v/>
      </c>
      <c r="N204" s="0" t="str">
        <f aca="true">IF(AND($H204=1,$D204="Income",$G204&gt;TODAY()),$G204*100000+ROW(),"")</f>
        <v/>
      </c>
    </row>
    <row r="205" customFormat="false" ht="15" hidden="false" customHeight="true" outlineLevel="0" collapsed="false">
      <c r="A205" s="117" t="n">
        <v>13</v>
      </c>
      <c r="B205" s="117" t="n">
        <v>10</v>
      </c>
      <c r="C205" s="7" t="str">
        <f aca="false">IF(OR(Recurring!$B$17="",Recurring!$H$17&lt;&gt;"Yes",Recurring!$D$17=""),"",Recurring!$B$17)</f>
        <v/>
      </c>
      <c r="D205" s="7" t="str">
        <f aca="false">IF($C205="","",Recurring!$C$17)</f>
        <v/>
      </c>
      <c r="E205" s="118" t="str">
        <f aca="false">IF($C205="","",IF(SUMIFS(Overrides!$E$9:$E$108,Overrides!$B$9:$B$108,$C205,Overrides!$C$9:$C$108,$L205)&gt;0,SUMIFS(Overrides!$E$9:$E$108,Overrides!$B$9:$B$108,$C205,Overrides!$C$9:$C$108,$L205),Recurring!$D$17))</f>
        <v/>
      </c>
      <c r="F205" s="119" t="str">
        <f aca="false">IF($C205="","",IF(Recurring!$E$17="Weekly",Recurring!$F$17+7*9,IF(Recurring!$E$17="Every 2 Weeks",Recurring!$F$17+14*9,IF(Recurring!$E$17="Monthly",EDATE(Recurring!$F$17,9),IF(Recurring!$E$17="Twice a Month",IF(MOD((IF(DAY(Recurring!$F$17)&lt;=20,0,1)+9),2)=1,EOMONTH(Recurring!$F$17,INT((IF(DAY(Recurring!$F$17)&lt;=20,0,1)+9)/2)),DATE(YEAR(EDATE(Recurring!$F$17,INT((IF(DAY(Recurring!$F$17)&lt;=20,0,1)+9)/2))),MONTH(EDATE(Recurring!$F$17,INT((IF(DAY(Recurring!$F$17)&lt;=20,0,1)+9)/2))),15)),IF(Recurring!$E$17="One Time",IF(10=1,Recurring!$F$17,""),""))))))</f>
        <v/>
      </c>
      <c r="G205" s="119" t="str">
        <f aca="false">IF($L205="","",IF(SUMIFS(Overrides!$D$9:$D$108,Overrides!$B$9:$B$108,$C205,Overrides!$C$9:$C$108,$L205)&gt;0,SUMIFS(Overrides!$D$9:$D$108,Overrides!$B$9:$B$108,$C205,Overrides!$C$9:$C$108,$L205),$L205))</f>
        <v/>
      </c>
      <c r="H205" s="120" t="n">
        <f aca="false">IF($G205="",0,IF(AND($G205&gt;='Cash Flow'!$E$6,$G205&lt;'Cash Flow'!$E$6+91),1,0))</f>
        <v>0</v>
      </c>
      <c r="I205" s="120" t="str">
        <f aca="false">IF($H205=1,MAX(1,INT(($G205-'Cash Flow'!$E$6)/7)+1),"")</f>
        <v/>
      </c>
      <c r="J205" s="7" t="str">
        <f aca="false">IF($H205=1,$G205*10000+ROW(),"")</f>
        <v/>
      </c>
      <c r="K205" s="7" t="str">
        <f aca="false">IF($H205=1,$I205*1000+COUNTIFS($I$4:$I$483,$I205,$J$4:$J$483,"&lt;"&amp;$J205)+1,"")</f>
        <v/>
      </c>
      <c r="L205" s="121" t="str">
        <f aca="false">IF($F205="","",IF(Recurring!$G$17="Move Before",IF(WEEKDAY($F205,2)=6,$F205-1,IF(WEEKDAY($F205,2)=7,$F205-2,$F205)),IF(Recurring!$G$17="Move After",IF(WEEKDAY($F205,2)=6,$F205+2,IF(WEEKDAY($F205,2)=7,$F205+1,$F205)),$F205)))</f>
        <v/>
      </c>
      <c r="M205" s="0" t="str">
        <f aca="true">IF(AND($H205=1,$D205="Expense",$G205&gt;TODAY(),$E205&gt;=100),$G205*100000+ROW(),"")</f>
        <v/>
      </c>
      <c r="N205" s="0" t="str">
        <f aca="true">IF(AND($H205=1,$D205="Income",$G205&gt;TODAY()),$G205*100000+ROW(),"")</f>
        <v/>
      </c>
    </row>
    <row r="206" customFormat="false" ht="15" hidden="false" customHeight="true" outlineLevel="0" collapsed="false">
      <c r="A206" s="117" t="n">
        <v>13</v>
      </c>
      <c r="B206" s="117" t="n">
        <v>11</v>
      </c>
      <c r="C206" s="7" t="str">
        <f aca="false">IF(OR(Recurring!$B$17="",Recurring!$H$17&lt;&gt;"Yes",Recurring!$D$17=""),"",Recurring!$B$17)</f>
        <v/>
      </c>
      <c r="D206" s="7" t="str">
        <f aca="false">IF($C206="","",Recurring!$C$17)</f>
        <v/>
      </c>
      <c r="E206" s="118" t="str">
        <f aca="false">IF($C206="","",IF(SUMIFS(Overrides!$E$9:$E$108,Overrides!$B$9:$B$108,$C206,Overrides!$C$9:$C$108,$L206)&gt;0,SUMIFS(Overrides!$E$9:$E$108,Overrides!$B$9:$B$108,$C206,Overrides!$C$9:$C$108,$L206),Recurring!$D$17))</f>
        <v/>
      </c>
      <c r="F206" s="119" t="str">
        <f aca="false">IF($C206="","",IF(Recurring!$E$17="Weekly",Recurring!$F$17+7*10,IF(Recurring!$E$17="Every 2 Weeks",Recurring!$F$17+14*10,IF(Recurring!$E$17="Monthly",EDATE(Recurring!$F$17,10),IF(Recurring!$E$17="Twice a Month",IF(MOD((IF(DAY(Recurring!$F$17)&lt;=20,0,1)+10),2)=1,EOMONTH(Recurring!$F$17,INT((IF(DAY(Recurring!$F$17)&lt;=20,0,1)+10)/2)),DATE(YEAR(EDATE(Recurring!$F$17,INT((IF(DAY(Recurring!$F$17)&lt;=20,0,1)+10)/2))),MONTH(EDATE(Recurring!$F$17,INT((IF(DAY(Recurring!$F$17)&lt;=20,0,1)+10)/2))),15)),IF(Recurring!$E$17="One Time",IF(11=1,Recurring!$F$17,""),""))))))</f>
        <v/>
      </c>
      <c r="G206" s="119" t="str">
        <f aca="false">IF($L206="","",IF(SUMIFS(Overrides!$D$9:$D$108,Overrides!$B$9:$B$108,$C206,Overrides!$C$9:$C$108,$L206)&gt;0,SUMIFS(Overrides!$D$9:$D$108,Overrides!$B$9:$B$108,$C206,Overrides!$C$9:$C$108,$L206),$L206))</f>
        <v/>
      </c>
      <c r="H206" s="120" t="n">
        <f aca="false">IF($G206="",0,IF(AND($G206&gt;='Cash Flow'!$E$6,$G206&lt;'Cash Flow'!$E$6+91),1,0))</f>
        <v>0</v>
      </c>
      <c r="I206" s="120" t="str">
        <f aca="false">IF($H206=1,MAX(1,INT(($G206-'Cash Flow'!$E$6)/7)+1),"")</f>
        <v/>
      </c>
      <c r="J206" s="7" t="str">
        <f aca="false">IF($H206=1,$G206*10000+ROW(),"")</f>
        <v/>
      </c>
      <c r="K206" s="7" t="str">
        <f aca="false">IF($H206=1,$I206*1000+COUNTIFS($I$4:$I$483,$I206,$J$4:$J$483,"&lt;"&amp;$J206)+1,"")</f>
        <v/>
      </c>
      <c r="L206" s="121" t="str">
        <f aca="false">IF($F206="","",IF(Recurring!$G$17="Move Before",IF(WEEKDAY($F206,2)=6,$F206-1,IF(WEEKDAY($F206,2)=7,$F206-2,$F206)),IF(Recurring!$G$17="Move After",IF(WEEKDAY($F206,2)=6,$F206+2,IF(WEEKDAY($F206,2)=7,$F206+1,$F206)),$F206)))</f>
        <v/>
      </c>
      <c r="M206" s="0" t="str">
        <f aca="true">IF(AND($H206=1,$D206="Expense",$G206&gt;TODAY(),$E206&gt;=100),$G206*100000+ROW(),"")</f>
        <v/>
      </c>
      <c r="N206" s="0" t="str">
        <f aca="true">IF(AND($H206=1,$D206="Income",$G206&gt;TODAY()),$G206*100000+ROW(),"")</f>
        <v/>
      </c>
    </row>
    <row r="207" customFormat="false" ht="15" hidden="false" customHeight="true" outlineLevel="0" collapsed="false">
      <c r="A207" s="117" t="n">
        <v>13</v>
      </c>
      <c r="B207" s="117" t="n">
        <v>12</v>
      </c>
      <c r="C207" s="7" t="str">
        <f aca="false">IF(OR(Recurring!$B$17="",Recurring!$H$17&lt;&gt;"Yes",Recurring!$D$17=""),"",Recurring!$B$17)</f>
        <v/>
      </c>
      <c r="D207" s="7" t="str">
        <f aca="false">IF($C207="","",Recurring!$C$17)</f>
        <v/>
      </c>
      <c r="E207" s="118" t="str">
        <f aca="false">IF($C207="","",IF(SUMIFS(Overrides!$E$9:$E$108,Overrides!$B$9:$B$108,$C207,Overrides!$C$9:$C$108,$L207)&gt;0,SUMIFS(Overrides!$E$9:$E$108,Overrides!$B$9:$B$108,$C207,Overrides!$C$9:$C$108,$L207),Recurring!$D$17))</f>
        <v/>
      </c>
      <c r="F207" s="119" t="str">
        <f aca="false">IF($C207="","",IF(Recurring!$E$17="Weekly",Recurring!$F$17+7*11,IF(Recurring!$E$17="Every 2 Weeks",Recurring!$F$17+14*11,IF(Recurring!$E$17="Monthly",EDATE(Recurring!$F$17,11),IF(Recurring!$E$17="Twice a Month",IF(MOD((IF(DAY(Recurring!$F$17)&lt;=20,0,1)+11),2)=1,EOMONTH(Recurring!$F$17,INT((IF(DAY(Recurring!$F$17)&lt;=20,0,1)+11)/2)),DATE(YEAR(EDATE(Recurring!$F$17,INT((IF(DAY(Recurring!$F$17)&lt;=20,0,1)+11)/2))),MONTH(EDATE(Recurring!$F$17,INT((IF(DAY(Recurring!$F$17)&lt;=20,0,1)+11)/2))),15)),IF(Recurring!$E$17="One Time",IF(12=1,Recurring!$F$17,""),""))))))</f>
        <v/>
      </c>
      <c r="G207" s="119" t="str">
        <f aca="false">IF($L207="","",IF(SUMIFS(Overrides!$D$9:$D$108,Overrides!$B$9:$B$108,$C207,Overrides!$C$9:$C$108,$L207)&gt;0,SUMIFS(Overrides!$D$9:$D$108,Overrides!$B$9:$B$108,$C207,Overrides!$C$9:$C$108,$L207),$L207))</f>
        <v/>
      </c>
      <c r="H207" s="120" t="n">
        <f aca="false">IF($G207="",0,IF(AND($G207&gt;='Cash Flow'!$E$6,$G207&lt;'Cash Flow'!$E$6+91),1,0))</f>
        <v>0</v>
      </c>
      <c r="I207" s="120" t="str">
        <f aca="false">IF($H207=1,MAX(1,INT(($G207-'Cash Flow'!$E$6)/7)+1),"")</f>
        <v/>
      </c>
      <c r="J207" s="7" t="str">
        <f aca="false">IF($H207=1,$G207*10000+ROW(),"")</f>
        <v/>
      </c>
      <c r="K207" s="7" t="str">
        <f aca="false">IF($H207=1,$I207*1000+COUNTIFS($I$4:$I$483,$I207,$J$4:$J$483,"&lt;"&amp;$J207)+1,"")</f>
        <v/>
      </c>
      <c r="L207" s="121" t="str">
        <f aca="false">IF($F207="","",IF(Recurring!$G$17="Move Before",IF(WEEKDAY($F207,2)=6,$F207-1,IF(WEEKDAY($F207,2)=7,$F207-2,$F207)),IF(Recurring!$G$17="Move After",IF(WEEKDAY($F207,2)=6,$F207+2,IF(WEEKDAY($F207,2)=7,$F207+1,$F207)),$F207)))</f>
        <v/>
      </c>
      <c r="M207" s="0" t="str">
        <f aca="true">IF(AND($H207=1,$D207="Expense",$G207&gt;TODAY(),$E207&gt;=100),$G207*100000+ROW(),"")</f>
        <v/>
      </c>
      <c r="N207" s="0" t="str">
        <f aca="true">IF(AND($H207=1,$D207="Income",$G207&gt;TODAY()),$G207*100000+ROW(),"")</f>
        <v/>
      </c>
    </row>
    <row r="208" customFormat="false" ht="15" hidden="false" customHeight="true" outlineLevel="0" collapsed="false">
      <c r="A208" s="117" t="n">
        <v>13</v>
      </c>
      <c r="B208" s="117" t="n">
        <v>13</v>
      </c>
      <c r="C208" s="7" t="str">
        <f aca="false">IF(OR(Recurring!$B$17="",Recurring!$H$17&lt;&gt;"Yes",Recurring!$D$17=""),"",Recurring!$B$17)</f>
        <v/>
      </c>
      <c r="D208" s="7" t="str">
        <f aca="false">IF($C208="","",Recurring!$C$17)</f>
        <v/>
      </c>
      <c r="E208" s="118" t="str">
        <f aca="false">IF($C208="","",IF(SUMIFS(Overrides!$E$9:$E$108,Overrides!$B$9:$B$108,$C208,Overrides!$C$9:$C$108,$L208)&gt;0,SUMIFS(Overrides!$E$9:$E$108,Overrides!$B$9:$B$108,$C208,Overrides!$C$9:$C$108,$L208),Recurring!$D$17))</f>
        <v/>
      </c>
      <c r="F208" s="119" t="str">
        <f aca="false">IF($C208="","",IF(Recurring!$E$17="Weekly",Recurring!$F$17+7*12,IF(Recurring!$E$17="Every 2 Weeks",Recurring!$F$17+14*12,IF(Recurring!$E$17="Monthly",EDATE(Recurring!$F$17,12),IF(Recurring!$E$17="Twice a Month",IF(MOD((IF(DAY(Recurring!$F$17)&lt;=20,0,1)+12),2)=1,EOMONTH(Recurring!$F$17,INT((IF(DAY(Recurring!$F$17)&lt;=20,0,1)+12)/2)),DATE(YEAR(EDATE(Recurring!$F$17,INT((IF(DAY(Recurring!$F$17)&lt;=20,0,1)+12)/2))),MONTH(EDATE(Recurring!$F$17,INT((IF(DAY(Recurring!$F$17)&lt;=20,0,1)+12)/2))),15)),IF(Recurring!$E$17="One Time",IF(13=1,Recurring!$F$17,""),""))))))</f>
        <v/>
      </c>
      <c r="G208" s="119" t="str">
        <f aca="false">IF($L208="","",IF(SUMIFS(Overrides!$D$9:$D$108,Overrides!$B$9:$B$108,$C208,Overrides!$C$9:$C$108,$L208)&gt;0,SUMIFS(Overrides!$D$9:$D$108,Overrides!$B$9:$B$108,$C208,Overrides!$C$9:$C$108,$L208),$L208))</f>
        <v/>
      </c>
      <c r="H208" s="120" t="n">
        <f aca="false">IF($G208="",0,IF(AND($G208&gt;='Cash Flow'!$E$6,$G208&lt;'Cash Flow'!$E$6+91),1,0))</f>
        <v>0</v>
      </c>
      <c r="I208" s="120" t="str">
        <f aca="false">IF($H208=1,MAX(1,INT(($G208-'Cash Flow'!$E$6)/7)+1),"")</f>
        <v/>
      </c>
      <c r="J208" s="7" t="str">
        <f aca="false">IF($H208=1,$G208*10000+ROW(),"")</f>
        <v/>
      </c>
      <c r="K208" s="7" t="str">
        <f aca="false">IF($H208=1,$I208*1000+COUNTIFS($I$4:$I$483,$I208,$J$4:$J$483,"&lt;"&amp;$J208)+1,"")</f>
        <v/>
      </c>
      <c r="L208" s="121" t="str">
        <f aca="false">IF($F208="","",IF(Recurring!$G$17="Move Before",IF(WEEKDAY($F208,2)=6,$F208-1,IF(WEEKDAY($F208,2)=7,$F208-2,$F208)),IF(Recurring!$G$17="Move After",IF(WEEKDAY($F208,2)=6,$F208+2,IF(WEEKDAY($F208,2)=7,$F208+1,$F208)),$F208)))</f>
        <v/>
      </c>
      <c r="M208" s="0" t="str">
        <f aca="true">IF(AND($H208=1,$D208="Expense",$G208&gt;TODAY(),$E208&gt;=100),$G208*100000+ROW(),"")</f>
        <v/>
      </c>
      <c r="N208" s="0" t="str">
        <f aca="true">IF(AND($H208=1,$D208="Income",$G208&gt;TODAY()),$G208*100000+ROW(),"")</f>
        <v/>
      </c>
    </row>
    <row r="209" customFormat="false" ht="15" hidden="false" customHeight="true" outlineLevel="0" collapsed="false">
      <c r="A209" s="117" t="n">
        <v>13</v>
      </c>
      <c r="B209" s="117" t="n">
        <v>14</v>
      </c>
      <c r="C209" s="7" t="str">
        <f aca="false">IF(OR(Recurring!$B$17="",Recurring!$H$17&lt;&gt;"Yes",Recurring!$D$17=""),"",Recurring!$B$17)</f>
        <v/>
      </c>
      <c r="D209" s="7" t="str">
        <f aca="false">IF($C209="","",Recurring!$C$17)</f>
        <v/>
      </c>
      <c r="E209" s="118" t="str">
        <f aca="false">IF($C209="","",IF(SUMIFS(Overrides!$E$9:$E$108,Overrides!$B$9:$B$108,$C209,Overrides!$C$9:$C$108,$L209)&gt;0,SUMIFS(Overrides!$E$9:$E$108,Overrides!$B$9:$B$108,$C209,Overrides!$C$9:$C$108,$L209),Recurring!$D$17))</f>
        <v/>
      </c>
      <c r="F209" s="119" t="str">
        <f aca="false">IF($C209="","",IF(Recurring!$E$17="Weekly",Recurring!$F$17+7*13,IF(Recurring!$E$17="Every 2 Weeks",Recurring!$F$17+14*13,IF(Recurring!$E$17="Monthly",EDATE(Recurring!$F$17,13),IF(Recurring!$E$17="Twice a Month",IF(MOD((IF(DAY(Recurring!$F$17)&lt;=20,0,1)+13),2)=1,EOMONTH(Recurring!$F$17,INT((IF(DAY(Recurring!$F$17)&lt;=20,0,1)+13)/2)),DATE(YEAR(EDATE(Recurring!$F$17,INT((IF(DAY(Recurring!$F$17)&lt;=20,0,1)+13)/2))),MONTH(EDATE(Recurring!$F$17,INT((IF(DAY(Recurring!$F$17)&lt;=20,0,1)+13)/2))),15)),IF(Recurring!$E$17="One Time",IF(14=1,Recurring!$F$17,""),""))))))</f>
        <v/>
      </c>
      <c r="G209" s="119" t="str">
        <f aca="false">IF($L209="","",IF(SUMIFS(Overrides!$D$9:$D$108,Overrides!$B$9:$B$108,$C209,Overrides!$C$9:$C$108,$L209)&gt;0,SUMIFS(Overrides!$D$9:$D$108,Overrides!$B$9:$B$108,$C209,Overrides!$C$9:$C$108,$L209),$L209))</f>
        <v/>
      </c>
      <c r="H209" s="120" t="n">
        <f aca="false">IF($G209="",0,IF(AND($G209&gt;='Cash Flow'!$E$6,$G209&lt;'Cash Flow'!$E$6+91),1,0))</f>
        <v>0</v>
      </c>
      <c r="I209" s="120" t="str">
        <f aca="false">IF($H209=1,MAX(1,INT(($G209-'Cash Flow'!$E$6)/7)+1),"")</f>
        <v/>
      </c>
      <c r="J209" s="7" t="str">
        <f aca="false">IF($H209=1,$G209*10000+ROW(),"")</f>
        <v/>
      </c>
      <c r="K209" s="7" t="str">
        <f aca="false">IF($H209=1,$I209*1000+COUNTIFS($I$4:$I$483,$I209,$J$4:$J$483,"&lt;"&amp;$J209)+1,"")</f>
        <v/>
      </c>
      <c r="L209" s="121" t="str">
        <f aca="false">IF($F209="","",IF(Recurring!$G$17="Move Before",IF(WEEKDAY($F209,2)=6,$F209-1,IF(WEEKDAY($F209,2)=7,$F209-2,$F209)),IF(Recurring!$G$17="Move After",IF(WEEKDAY($F209,2)=6,$F209+2,IF(WEEKDAY($F209,2)=7,$F209+1,$F209)),$F209)))</f>
        <v/>
      </c>
      <c r="M209" s="0" t="str">
        <f aca="true">IF(AND($H209=1,$D209="Expense",$G209&gt;TODAY(),$E209&gt;=100),$G209*100000+ROW(),"")</f>
        <v/>
      </c>
      <c r="N209" s="0" t="str">
        <f aca="true">IF(AND($H209=1,$D209="Income",$G209&gt;TODAY()),$G209*100000+ROW(),"")</f>
        <v/>
      </c>
    </row>
    <row r="210" customFormat="false" ht="15" hidden="false" customHeight="true" outlineLevel="0" collapsed="false">
      <c r="A210" s="117" t="n">
        <v>13</v>
      </c>
      <c r="B210" s="117" t="n">
        <v>15</v>
      </c>
      <c r="C210" s="7" t="str">
        <f aca="false">IF(OR(Recurring!$B$17="",Recurring!$H$17&lt;&gt;"Yes",Recurring!$D$17=""),"",Recurring!$B$17)</f>
        <v/>
      </c>
      <c r="D210" s="7" t="str">
        <f aca="false">IF($C210="","",Recurring!$C$17)</f>
        <v/>
      </c>
      <c r="E210" s="118" t="str">
        <f aca="false">IF($C210="","",IF(SUMIFS(Overrides!$E$9:$E$108,Overrides!$B$9:$B$108,$C210,Overrides!$C$9:$C$108,$L210)&gt;0,SUMIFS(Overrides!$E$9:$E$108,Overrides!$B$9:$B$108,$C210,Overrides!$C$9:$C$108,$L210),Recurring!$D$17))</f>
        <v/>
      </c>
      <c r="F210" s="119" t="str">
        <f aca="false">IF($C210="","",IF(Recurring!$E$17="Weekly",Recurring!$F$17+7*14,IF(Recurring!$E$17="Every 2 Weeks",Recurring!$F$17+14*14,IF(Recurring!$E$17="Monthly",EDATE(Recurring!$F$17,14),IF(Recurring!$E$17="Twice a Month",IF(MOD((IF(DAY(Recurring!$F$17)&lt;=20,0,1)+14),2)=1,EOMONTH(Recurring!$F$17,INT((IF(DAY(Recurring!$F$17)&lt;=20,0,1)+14)/2)),DATE(YEAR(EDATE(Recurring!$F$17,INT((IF(DAY(Recurring!$F$17)&lt;=20,0,1)+14)/2))),MONTH(EDATE(Recurring!$F$17,INT((IF(DAY(Recurring!$F$17)&lt;=20,0,1)+14)/2))),15)),IF(Recurring!$E$17="One Time",IF(15=1,Recurring!$F$17,""),""))))))</f>
        <v/>
      </c>
      <c r="G210" s="119" t="str">
        <f aca="false">IF($L210="","",IF(SUMIFS(Overrides!$D$9:$D$108,Overrides!$B$9:$B$108,$C210,Overrides!$C$9:$C$108,$L210)&gt;0,SUMIFS(Overrides!$D$9:$D$108,Overrides!$B$9:$B$108,$C210,Overrides!$C$9:$C$108,$L210),$L210))</f>
        <v/>
      </c>
      <c r="H210" s="120" t="n">
        <f aca="false">IF($G210="",0,IF(AND($G210&gt;='Cash Flow'!$E$6,$G210&lt;'Cash Flow'!$E$6+91),1,0))</f>
        <v>0</v>
      </c>
      <c r="I210" s="120" t="str">
        <f aca="false">IF($H210=1,MAX(1,INT(($G210-'Cash Flow'!$E$6)/7)+1),"")</f>
        <v/>
      </c>
      <c r="J210" s="7" t="str">
        <f aca="false">IF($H210=1,$G210*10000+ROW(),"")</f>
        <v/>
      </c>
      <c r="K210" s="7" t="str">
        <f aca="false">IF($H210=1,$I210*1000+COUNTIFS($I$4:$I$483,$I210,$J$4:$J$483,"&lt;"&amp;$J210)+1,"")</f>
        <v/>
      </c>
      <c r="L210" s="121" t="str">
        <f aca="false">IF($F210="","",IF(Recurring!$G$17="Move Before",IF(WEEKDAY($F210,2)=6,$F210-1,IF(WEEKDAY($F210,2)=7,$F210-2,$F210)),IF(Recurring!$G$17="Move After",IF(WEEKDAY($F210,2)=6,$F210+2,IF(WEEKDAY($F210,2)=7,$F210+1,$F210)),$F210)))</f>
        <v/>
      </c>
      <c r="M210" s="0" t="str">
        <f aca="true">IF(AND($H210=1,$D210="Expense",$G210&gt;TODAY(),$E210&gt;=100),$G210*100000+ROW(),"")</f>
        <v/>
      </c>
      <c r="N210" s="0" t="str">
        <f aca="true">IF(AND($H210=1,$D210="Income",$G210&gt;TODAY()),$G210*100000+ROW(),"")</f>
        <v/>
      </c>
    </row>
    <row r="211" customFormat="false" ht="15" hidden="false" customHeight="true" outlineLevel="0" collapsed="false">
      <c r="A211" s="117" t="n">
        <v>13</v>
      </c>
      <c r="B211" s="117" t="n">
        <v>16</v>
      </c>
      <c r="C211" s="7" t="str">
        <f aca="false">IF(OR(Recurring!$B$17="",Recurring!$H$17&lt;&gt;"Yes",Recurring!$D$17=""),"",Recurring!$B$17)</f>
        <v/>
      </c>
      <c r="D211" s="7" t="str">
        <f aca="false">IF($C211="","",Recurring!$C$17)</f>
        <v/>
      </c>
      <c r="E211" s="118" t="str">
        <f aca="false">IF($C211="","",IF(SUMIFS(Overrides!$E$9:$E$108,Overrides!$B$9:$B$108,$C211,Overrides!$C$9:$C$108,$L211)&gt;0,SUMIFS(Overrides!$E$9:$E$108,Overrides!$B$9:$B$108,$C211,Overrides!$C$9:$C$108,$L211),Recurring!$D$17))</f>
        <v/>
      </c>
      <c r="F211" s="119" t="str">
        <f aca="false">IF($C211="","",IF(Recurring!$E$17="Weekly",Recurring!$F$17+7*15,IF(Recurring!$E$17="Every 2 Weeks",Recurring!$F$17+14*15,IF(Recurring!$E$17="Monthly",EDATE(Recurring!$F$17,15),IF(Recurring!$E$17="Twice a Month",IF(MOD((IF(DAY(Recurring!$F$17)&lt;=20,0,1)+15),2)=1,EOMONTH(Recurring!$F$17,INT((IF(DAY(Recurring!$F$17)&lt;=20,0,1)+15)/2)),DATE(YEAR(EDATE(Recurring!$F$17,INT((IF(DAY(Recurring!$F$17)&lt;=20,0,1)+15)/2))),MONTH(EDATE(Recurring!$F$17,INT((IF(DAY(Recurring!$F$17)&lt;=20,0,1)+15)/2))),15)),IF(Recurring!$E$17="One Time",IF(16=1,Recurring!$F$17,""),""))))))</f>
        <v/>
      </c>
      <c r="G211" s="119" t="str">
        <f aca="false">IF($L211="","",IF(SUMIFS(Overrides!$D$9:$D$108,Overrides!$B$9:$B$108,$C211,Overrides!$C$9:$C$108,$L211)&gt;0,SUMIFS(Overrides!$D$9:$D$108,Overrides!$B$9:$B$108,$C211,Overrides!$C$9:$C$108,$L211),$L211))</f>
        <v/>
      </c>
      <c r="H211" s="120" t="n">
        <f aca="false">IF($G211="",0,IF(AND($G211&gt;='Cash Flow'!$E$6,$G211&lt;'Cash Flow'!$E$6+91),1,0))</f>
        <v>0</v>
      </c>
      <c r="I211" s="120" t="str">
        <f aca="false">IF($H211=1,MAX(1,INT(($G211-'Cash Flow'!$E$6)/7)+1),"")</f>
        <v/>
      </c>
      <c r="J211" s="7" t="str">
        <f aca="false">IF($H211=1,$G211*10000+ROW(),"")</f>
        <v/>
      </c>
      <c r="K211" s="7" t="str">
        <f aca="false">IF($H211=1,$I211*1000+COUNTIFS($I$4:$I$483,$I211,$J$4:$J$483,"&lt;"&amp;$J211)+1,"")</f>
        <v/>
      </c>
      <c r="L211" s="121" t="str">
        <f aca="false">IF($F211="","",IF(Recurring!$G$17="Move Before",IF(WEEKDAY($F211,2)=6,$F211-1,IF(WEEKDAY($F211,2)=7,$F211-2,$F211)),IF(Recurring!$G$17="Move After",IF(WEEKDAY($F211,2)=6,$F211+2,IF(WEEKDAY($F211,2)=7,$F211+1,$F211)),$F211)))</f>
        <v/>
      </c>
      <c r="M211" s="0" t="str">
        <f aca="true">IF(AND($H211=1,$D211="Expense",$G211&gt;TODAY(),$E211&gt;=100),$G211*100000+ROW(),"")</f>
        <v/>
      </c>
      <c r="N211" s="0" t="str">
        <f aca="true">IF(AND($H211=1,$D211="Income",$G211&gt;TODAY()),$G211*100000+ROW(),"")</f>
        <v/>
      </c>
    </row>
    <row r="212" customFormat="false" ht="15" hidden="false" customHeight="true" outlineLevel="0" collapsed="false">
      <c r="A212" s="117" t="n">
        <v>14</v>
      </c>
      <c r="B212" s="117" t="n">
        <v>1</v>
      </c>
      <c r="C212" s="7" t="str">
        <f aca="false">IF(OR(Recurring!$B$18="",Recurring!$H$18&lt;&gt;"Yes",Recurring!$D$18=""),"",Recurring!$B$18)</f>
        <v>Microsoft</v>
      </c>
      <c r="D212" s="7" t="str">
        <f aca="false">IF($C212="","",Recurring!$C$18)</f>
        <v>Expense</v>
      </c>
      <c r="E212" s="118" t="n">
        <f aca="false">IF($C212="","",IF(SUMIFS(Overrides!$E$9:$E$108,Overrides!$B$9:$B$108,$C212,Overrides!$C$9:$C$108,$L212)&gt;0,SUMIFS(Overrides!$E$9:$E$108,Overrides!$B$9:$B$108,$C212,Overrides!$C$9:$C$108,$L212),Recurring!$D$18))</f>
        <v>13.7</v>
      </c>
      <c r="F212" s="119" t="n">
        <f aca="false">IF($C212="","",IF(Recurring!$E$18="Weekly",Recurring!$F$18+7*0,IF(Recurring!$E$18="Every 2 Weeks",Recurring!$F$18+14*0,IF(Recurring!$E$18="Monthly",EDATE(Recurring!$F$18,0),IF(Recurring!$E$18="Twice a Month",IF(MOD((IF(DAY(Recurring!$F$18)&lt;=20,0,1)+0),2)=1,EOMONTH(Recurring!$F$18,INT((IF(DAY(Recurring!$F$18)&lt;=20,0,1)+0)/2)),DATE(YEAR(EDATE(Recurring!$F$18,INT((IF(DAY(Recurring!$F$18)&lt;=20,0,1)+0)/2))),MONTH(EDATE(Recurring!$F$18,INT((IF(DAY(Recurring!$F$18)&lt;=20,0,1)+0)/2))),15)),IF(Recurring!$E$18="One Time",IF(1=1,Recurring!$F$18,""),""))))))</f>
        <v>46256</v>
      </c>
      <c r="G212" s="119" t="n">
        <f aca="false">IF($L212="","",IF(SUMIFS(Overrides!$D$9:$D$108,Overrides!$B$9:$B$108,$C212,Overrides!$C$9:$C$108,$L212)&gt;0,SUMIFS(Overrides!$D$9:$D$108,Overrides!$B$9:$B$108,$C212,Overrides!$C$9:$C$108,$L212),$L212))</f>
        <v>46256</v>
      </c>
      <c r="H212" s="120" t="n">
        <f aca="false">IF($G212="",0,IF(AND($G212&gt;='Cash Flow'!$E$6-90,$G212&lt;'Cash Flow'!$E$6+91),1,0))</f>
        <v>1</v>
      </c>
      <c r="I212" s="120" t="n">
        <f aca="false">IF($H212=1,MAX(1,INT(($G212-'Cash Flow'!$E$6)/7)+1),"")</f>
        <v>2</v>
      </c>
      <c r="J212" s="7" t="n">
        <f aca="false">IF($H212=1,$G212*10000+ROW(),"")</f>
        <v>462560212</v>
      </c>
      <c r="K212" s="7" t="n">
        <f aca="false">IF($H212=1,$I212*1000+COUNTIFS($I$4:$I$483,$I212,$J$4:$J$483,"&lt;"&amp;$J212)+1,"")</f>
        <v>2001</v>
      </c>
      <c r="L212" s="121" t="n">
        <f aca="false">IF($F212="","",IF(Recurring!$G$18="Move Before",IF(WEEKDAY($F212,2)=6,$F212-1,IF(WEEKDAY($F212,2)=7,$F212-2,$F212)),IF(Recurring!$G$18="Move After",IF(WEEKDAY($F212,2)=6,$F212+2,IF(WEEKDAY($F212,2)=7,$F212+1,$F212)),$F212)))</f>
        <v>46256</v>
      </c>
      <c r="M212" s="0" t="str">
        <f aca="true">IF(AND($H212=1,$D212="Expense",$G212&gt;TODAY(),$E212&gt;=100),$G212*100000+ROW(),"")</f>
        <v/>
      </c>
      <c r="N212" s="0" t="str">
        <f aca="true">IF(AND($H212=1,$D212="Income",$G212&gt;TODAY()),$G212*100000+ROW(),"")</f>
        <v/>
      </c>
    </row>
    <row r="213" customFormat="false" ht="15" hidden="false" customHeight="true" outlineLevel="0" collapsed="false">
      <c r="A213" s="117" t="n">
        <v>14</v>
      </c>
      <c r="B213" s="117" t="n">
        <v>2</v>
      </c>
      <c r="C213" s="7" t="str">
        <f aca="false">IF(OR(Recurring!$B$18="",Recurring!$H$18&lt;&gt;"Yes",Recurring!$D$18=""),"",Recurring!$B$18)</f>
        <v>Microsoft</v>
      </c>
      <c r="D213" s="7" t="str">
        <f aca="false">IF($C213="","",Recurring!$C$18)</f>
        <v>Expense</v>
      </c>
      <c r="E213" s="118" t="n">
        <f aca="false">IF($C213="","",IF(SUMIFS(Overrides!$E$9:$E$108,Overrides!$B$9:$B$108,$C213,Overrides!$C$9:$C$108,$L213)&gt;0,SUMIFS(Overrides!$E$9:$E$108,Overrides!$B$9:$B$108,$C213,Overrides!$C$9:$C$108,$L213),Recurring!$D$18))</f>
        <v>13.7</v>
      </c>
      <c r="F213" s="119" t="n">
        <f aca="false">IF($C213="","",IF(Recurring!$E$18="Weekly",Recurring!$F$18+7*1,IF(Recurring!$E$18="Every 2 Weeks",Recurring!$F$18+14*1,IF(Recurring!$E$18="Monthly",EDATE(Recurring!$F$18,1),IF(Recurring!$E$18="Twice a Month",IF(MOD((IF(DAY(Recurring!$F$18)&lt;=20,0,1)+1),2)=1,EOMONTH(Recurring!$F$18,INT((IF(DAY(Recurring!$F$18)&lt;=20,0,1)+1)/2)),DATE(YEAR(EDATE(Recurring!$F$18,INT((IF(DAY(Recurring!$F$18)&lt;=20,0,1)+1)/2))),MONTH(EDATE(Recurring!$F$18,INT((IF(DAY(Recurring!$F$18)&lt;=20,0,1)+1)/2))),15)),IF(Recurring!$E$18="One Time",IF(2=1,Recurring!$F$18,""),""))))))</f>
        <v>46287</v>
      </c>
      <c r="G213" s="119" t="n">
        <f aca="false">IF($L213="","",IF(SUMIFS(Overrides!$D$9:$D$108,Overrides!$B$9:$B$108,$C213,Overrides!$C$9:$C$108,$L213)&gt;0,SUMIFS(Overrides!$D$9:$D$108,Overrides!$B$9:$B$108,$C213,Overrides!$C$9:$C$108,$L213),$L213))</f>
        <v>46287</v>
      </c>
      <c r="H213" s="120" t="n">
        <f aca="false">IF($G213="",0,IF(AND($G213&gt;='Cash Flow'!$E$6,$G213&lt;'Cash Flow'!$E$6+91),1,0))</f>
        <v>1</v>
      </c>
      <c r="I213" s="120" t="n">
        <f aca="false">IF($H213=1,MAX(1,INT(($G213-'Cash Flow'!$E$6)/7)+1),"")</f>
        <v>6</v>
      </c>
      <c r="J213" s="7" t="n">
        <f aca="false">IF($H213=1,$G213*10000+ROW(),"")</f>
        <v>462870213</v>
      </c>
      <c r="K213" s="7" t="n">
        <f aca="false">IF($H213=1,$I213*1000+COUNTIFS($I$4:$I$483,$I213,$J$4:$J$483,"&lt;"&amp;$J213)+1,"")</f>
        <v>6002</v>
      </c>
      <c r="L213" s="121" t="n">
        <f aca="false">IF($F213="","",IF(Recurring!$G$18="Move Before",IF(WEEKDAY($F213,2)=6,$F213-1,IF(WEEKDAY($F213,2)=7,$F213-2,$F213)),IF(Recurring!$G$18="Move After",IF(WEEKDAY($F213,2)=6,$F213+2,IF(WEEKDAY($F213,2)=7,$F213+1,$F213)),$F213)))</f>
        <v>46287</v>
      </c>
      <c r="M213" s="0" t="str">
        <f aca="true">IF(AND($H213=1,$D213="Expense",$G213&gt;TODAY(),$E213&gt;=100),$G213*100000+ROW(),"")</f>
        <v/>
      </c>
      <c r="N213" s="0" t="str">
        <f aca="true">IF(AND($H213=1,$D213="Income",$G213&gt;TODAY()),$G213*100000+ROW(),"")</f>
        <v/>
      </c>
    </row>
    <row r="214" customFormat="false" ht="15" hidden="false" customHeight="true" outlineLevel="0" collapsed="false">
      <c r="A214" s="117" t="n">
        <v>14</v>
      </c>
      <c r="B214" s="117" t="n">
        <v>3</v>
      </c>
      <c r="C214" s="7" t="str">
        <f aca="false">IF(OR(Recurring!$B$18="",Recurring!$H$18&lt;&gt;"Yes",Recurring!$D$18=""),"",Recurring!$B$18)</f>
        <v>Microsoft</v>
      </c>
      <c r="D214" s="7" t="str">
        <f aca="false">IF($C214="","",Recurring!$C$18)</f>
        <v>Expense</v>
      </c>
      <c r="E214" s="118" t="n">
        <f aca="false">IF($C214="","",IF(SUMIFS(Overrides!$E$9:$E$108,Overrides!$B$9:$B$108,$C214,Overrides!$C$9:$C$108,$L214)&gt;0,SUMIFS(Overrides!$E$9:$E$108,Overrides!$B$9:$B$108,$C214,Overrides!$C$9:$C$108,$L214),Recurring!$D$18))</f>
        <v>13.7</v>
      </c>
      <c r="F214" s="119" t="n">
        <f aca="false">IF($C214="","",IF(Recurring!$E$18="Weekly",Recurring!$F$18+7*2,IF(Recurring!$E$18="Every 2 Weeks",Recurring!$F$18+14*2,IF(Recurring!$E$18="Monthly",EDATE(Recurring!$F$18,2),IF(Recurring!$E$18="Twice a Month",IF(MOD((IF(DAY(Recurring!$F$18)&lt;=20,0,1)+2),2)=1,EOMONTH(Recurring!$F$18,INT((IF(DAY(Recurring!$F$18)&lt;=20,0,1)+2)/2)),DATE(YEAR(EDATE(Recurring!$F$18,INT((IF(DAY(Recurring!$F$18)&lt;=20,0,1)+2)/2))),MONTH(EDATE(Recurring!$F$18,INT((IF(DAY(Recurring!$F$18)&lt;=20,0,1)+2)/2))),15)),IF(Recurring!$E$18="One Time",IF(3=1,Recurring!$F$18,""),""))))))</f>
        <v>46317</v>
      </c>
      <c r="G214" s="119" t="n">
        <f aca="false">IF($L214="","",IF(SUMIFS(Overrides!$D$9:$D$108,Overrides!$B$9:$B$108,$C214,Overrides!$C$9:$C$108,$L214)&gt;0,SUMIFS(Overrides!$D$9:$D$108,Overrides!$B$9:$B$108,$C214,Overrides!$C$9:$C$108,$L214),$L214))</f>
        <v>46317</v>
      </c>
      <c r="H214" s="120" t="n">
        <f aca="false">IF($G214="",0,IF(AND($G214&gt;='Cash Flow'!$E$6,$G214&lt;'Cash Flow'!$E$6+91),1,0))</f>
        <v>1</v>
      </c>
      <c r="I214" s="120" t="n">
        <f aca="false">IF($H214=1,MAX(1,INT(($G214-'Cash Flow'!$E$6)/7)+1),"")</f>
        <v>10</v>
      </c>
      <c r="J214" s="7" t="n">
        <f aca="false">IF($H214=1,$G214*10000+ROW(),"")</f>
        <v>463170214</v>
      </c>
      <c r="K214" s="7" t="n">
        <f aca="false">IF($H214=1,$I214*1000+COUNTIFS($I$4:$I$483,$I214,$J$4:$J$483,"&lt;"&amp;$J214)+1,"")</f>
        <v>10003</v>
      </c>
      <c r="L214" s="121" t="n">
        <f aca="false">IF($F214="","",IF(Recurring!$G$18="Move Before",IF(WEEKDAY($F214,2)=6,$F214-1,IF(WEEKDAY($F214,2)=7,$F214-2,$F214)),IF(Recurring!$G$18="Move After",IF(WEEKDAY($F214,2)=6,$F214+2,IF(WEEKDAY($F214,2)=7,$F214+1,$F214)),$F214)))</f>
        <v>46317</v>
      </c>
      <c r="M214" s="0" t="str">
        <f aca="true">IF(AND($H214=1,$D214="Expense",$G214&gt;TODAY(),$E214&gt;=100),$G214*100000+ROW(),"")</f>
        <v/>
      </c>
      <c r="N214" s="0" t="str">
        <f aca="true">IF(AND($H214=1,$D214="Income",$G214&gt;TODAY()),$G214*100000+ROW(),"")</f>
        <v/>
      </c>
    </row>
    <row r="215" customFormat="false" ht="15" hidden="false" customHeight="true" outlineLevel="0" collapsed="false">
      <c r="A215" s="117" t="n">
        <v>14</v>
      </c>
      <c r="B215" s="117" t="n">
        <v>4</v>
      </c>
      <c r="C215" s="7" t="str">
        <f aca="false">IF(OR(Recurring!$B$18="",Recurring!$H$18&lt;&gt;"Yes",Recurring!$D$18=""),"",Recurring!$B$18)</f>
        <v>Microsoft</v>
      </c>
      <c r="D215" s="7" t="str">
        <f aca="false">IF($C215="","",Recurring!$C$18)</f>
        <v>Expense</v>
      </c>
      <c r="E215" s="118" t="n">
        <f aca="false">IF($C215="","",IF(SUMIFS(Overrides!$E$9:$E$108,Overrides!$B$9:$B$108,$C215,Overrides!$C$9:$C$108,$L215)&gt;0,SUMIFS(Overrides!$E$9:$E$108,Overrides!$B$9:$B$108,$C215,Overrides!$C$9:$C$108,$L215),Recurring!$D$18))</f>
        <v>13.7</v>
      </c>
      <c r="F215" s="119" t="n">
        <f aca="false">IF($C215="","",IF(Recurring!$E$18="Weekly",Recurring!$F$18+7*3,IF(Recurring!$E$18="Every 2 Weeks",Recurring!$F$18+14*3,IF(Recurring!$E$18="Monthly",EDATE(Recurring!$F$18,3),IF(Recurring!$E$18="Twice a Month",IF(MOD((IF(DAY(Recurring!$F$18)&lt;=20,0,1)+3),2)=1,EOMONTH(Recurring!$F$18,INT((IF(DAY(Recurring!$F$18)&lt;=20,0,1)+3)/2)),DATE(YEAR(EDATE(Recurring!$F$18,INT((IF(DAY(Recurring!$F$18)&lt;=20,0,1)+3)/2))),MONTH(EDATE(Recurring!$F$18,INT((IF(DAY(Recurring!$F$18)&lt;=20,0,1)+3)/2))),15)),IF(Recurring!$E$18="One Time",IF(4=1,Recurring!$F$18,""),""))))))</f>
        <v>46348</v>
      </c>
      <c r="G215" s="119" t="n">
        <f aca="false">IF($L215="","",IF(SUMIFS(Overrides!$D$9:$D$108,Overrides!$B$9:$B$108,$C215,Overrides!$C$9:$C$108,$L215)&gt;0,SUMIFS(Overrides!$D$9:$D$108,Overrides!$B$9:$B$108,$C215,Overrides!$C$9:$C$108,$L215),$L215))</f>
        <v>46348</v>
      </c>
      <c r="H215" s="120" t="n">
        <f aca="false">IF($G215="",0,IF(AND($G215&gt;='Cash Flow'!$E$6,$G215&lt;'Cash Flow'!$E$6+91),1,0))</f>
        <v>0</v>
      </c>
      <c r="I215" s="120" t="str">
        <f aca="false">IF($H215=1,MAX(1,INT(($G215-'Cash Flow'!$E$6)/7)+1),"")</f>
        <v/>
      </c>
      <c r="J215" s="7" t="str">
        <f aca="false">IF($H215=1,$G215*10000+ROW(),"")</f>
        <v/>
      </c>
      <c r="K215" s="7" t="str">
        <f aca="false">IF($H215=1,$I215*1000+COUNTIFS($I$4:$I$483,$I215,$J$4:$J$483,"&lt;"&amp;$J215)+1,"")</f>
        <v/>
      </c>
      <c r="L215" s="121" t="n">
        <f aca="false">IF($F215="","",IF(Recurring!$G$18="Move Before",IF(WEEKDAY($F215,2)=6,$F215-1,IF(WEEKDAY($F215,2)=7,$F215-2,$F215)),IF(Recurring!$G$18="Move After",IF(WEEKDAY($F215,2)=6,$F215+2,IF(WEEKDAY($F215,2)=7,$F215+1,$F215)),$F215)))</f>
        <v>46348</v>
      </c>
      <c r="M215" s="0" t="str">
        <f aca="true">IF(AND($H215=1,$D215="Expense",$G215&gt;TODAY(),$E215&gt;=100),$G215*100000+ROW(),"")</f>
        <v/>
      </c>
      <c r="N215" s="0" t="str">
        <f aca="true">IF(AND($H215=1,$D215="Income",$G215&gt;TODAY()),$G215*100000+ROW(),"")</f>
        <v/>
      </c>
    </row>
    <row r="216" customFormat="false" ht="15" hidden="false" customHeight="true" outlineLevel="0" collapsed="false">
      <c r="A216" s="117" t="n">
        <v>14</v>
      </c>
      <c r="B216" s="117" t="n">
        <v>5</v>
      </c>
      <c r="C216" s="7" t="str">
        <f aca="false">IF(OR(Recurring!$B$18="",Recurring!$H$18&lt;&gt;"Yes",Recurring!$D$18=""),"",Recurring!$B$18)</f>
        <v>Microsoft</v>
      </c>
      <c r="D216" s="7" t="str">
        <f aca="false">IF($C216="","",Recurring!$C$18)</f>
        <v>Expense</v>
      </c>
      <c r="E216" s="118" t="n">
        <f aca="false">IF($C216="","",IF(SUMIFS(Overrides!$E$9:$E$108,Overrides!$B$9:$B$108,$C216,Overrides!$C$9:$C$108,$L216)&gt;0,SUMIFS(Overrides!$E$9:$E$108,Overrides!$B$9:$B$108,$C216,Overrides!$C$9:$C$108,$L216),Recurring!$D$18))</f>
        <v>13.7</v>
      </c>
      <c r="F216" s="119" t="n">
        <f aca="false">IF($C216="","",IF(Recurring!$E$18="Weekly",Recurring!$F$18+7*4,IF(Recurring!$E$18="Every 2 Weeks",Recurring!$F$18+14*4,IF(Recurring!$E$18="Monthly",EDATE(Recurring!$F$18,4),IF(Recurring!$E$18="Twice a Month",IF(MOD((IF(DAY(Recurring!$F$18)&lt;=20,0,1)+4),2)=1,EOMONTH(Recurring!$F$18,INT((IF(DAY(Recurring!$F$18)&lt;=20,0,1)+4)/2)),DATE(YEAR(EDATE(Recurring!$F$18,INT((IF(DAY(Recurring!$F$18)&lt;=20,0,1)+4)/2))),MONTH(EDATE(Recurring!$F$18,INT((IF(DAY(Recurring!$F$18)&lt;=20,0,1)+4)/2))),15)),IF(Recurring!$E$18="One Time",IF(5=1,Recurring!$F$18,""),""))))))</f>
        <v>46378</v>
      </c>
      <c r="G216" s="119" t="n">
        <f aca="false">IF($L216="","",IF(SUMIFS(Overrides!$D$9:$D$108,Overrides!$B$9:$B$108,$C216,Overrides!$C$9:$C$108,$L216)&gt;0,SUMIFS(Overrides!$D$9:$D$108,Overrides!$B$9:$B$108,$C216,Overrides!$C$9:$C$108,$L216),$L216))</f>
        <v>46378</v>
      </c>
      <c r="H216" s="120" t="n">
        <f aca="false">IF($G216="",0,IF(AND($G216&gt;='Cash Flow'!$E$6,$G216&lt;'Cash Flow'!$E$6+91),1,0))</f>
        <v>0</v>
      </c>
      <c r="I216" s="120" t="str">
        <f aca="false">IF($H216=1,MAX(1,INT(($G216-'Cash Flow'!$E$6)/7)+1),"")</f>
        <v/>
      </c>
      <c r="J216" s="7" t="str">
        <f aca="false">IF($H216=1,$G216*10000+ROW(),"")</f>
        <v/>
      </c>
      <c r="K216" s="7" t="str">
        <f aca="false">IF($H216=1,$I216*1000+COUNTIFS($I$4:$I$483,$I216,$J$4:$J$483,"&lt;"&amp;$J216)+1,"")</f>
        <v/>
      </c>
      <c r="L216" s="121" t="n">
        <f aca="false">IF($F216="","",IF(Recurring!$G$18="Move Before",IF(WEEKDAY($F216,2)=6,$F216-1,IF(WEEKDAY($F216,2)=7,$F216-2,$F216)),IF(Recurring!$G$18="Move After",IF(WEEKDAY($F216,2)=6,$F216+2,IF(WEEKDAY($F216,2)=7,$F216+1,$F216)),$F216)))</f>
        <v>46378</v>
      </c>
      <c r="M216" s="0" t="str">
        <f aca="true">IF(AND($H216=1,$D216="Expense",$G216&gt;TODAY(),$E216&gt;=100),$G216*100000+ROW(),"")</f>
        <v/>
      </c>
      <c r="N216" s="0" t="str">
        <f aca="true">IF(AND($H216=1,$D216="Income",$G216&gt;TODAY()),$G216*100000+ROW(),"")</f>
        <v/>
      </c>
    </row>
    <row r="217" customFormat="false" ht="15" hidden="false" customHeight="true" outlineLevel="0" collapsed="false">
      <c r="A217" s="117" t="n">
        <v>14</v>
      </c>
      <c r="B217" s="117" t="n">
        <v>6</v>
      </c>
      <c r="C217" s="7" t="str">
        <f aca="false">IF(OR(Recurring!$B$18="",Recurring!$H$18&lt;&gt;"Yes",Recurring!$D$18=""),"",Recurring!$B$18)</f>
        <v>Microsoft</v>
      </c>
      <c r="D217" s="7" t="str">
        <f aca="false">IF($C217="","",Recurring!$C$18)</f>
        <v>Expense</v>
      </c>
      <c r="E217" s="118" t="n">
        <f aca="false">IF($C217="","",IF(SUMIFS(Overrides!$E$9:$E$108,Overrides!$B$9:$B$108,$C217,Overrides!$C$9:$C$108,$L217)&gt;0,SUMIFS(Overrides!$E$9:$E$108,Overrides!$B$9:$B$108,$C217,Overrides!$C$9:$C$108,$L217),Recurring!$D$18))</f>
        <v>13.7</v>
      </c>
      <c r="F217" s="119" t="n">
        <f aca="false">IF($C217="","",IF(Recurring!$E$18="Weekly",Recurring!$F$18+7*5,IF(Recurring!$E$18="Every 2 Weeks",Recurring!$F$18+14*5,IF(Recurring!$E$18="Monthly",EDATE(Recurring!$F$18,5),IF(Recurring!$E$18="Twice a Month",IF(MOD((IF(DAY(Recurring!$F$18)&lt;=20,0,1)+5),2)=1,EOMONTH(Recurring!$F$18,INT((IF(DAY(Recurring!$F$18)&lt;=20,0,1)+5)/2)),DATE(YEAR(EDATE(Recurring!$F$18,INT((IF(DAY(Recurring!$F$18)&lt;=20,0,1)+5)/2))),MONTH(EDATE(Recurring!$F$18,INT((IF(DAY(Recurring!$F$18)&lt;=20,0,1)+5)/2))),15)),IF(Recurring!$E$18="One Time",IF(6=1,Recurring!$F$18,""),""))))))</f>
        <v>46409</v>
      </c>
      <c r="G217" s="119" t="n">
        <f aca="false">IF($L217="","",IF(SUMIFS(Overrides!$D$9:$D$108,Overrides!$B$9:$B$108,$C217,Overrides!$C$9:$C$108,$L217)&gt;0,SUMIFS(Overrides!$D$9:$D$108,Overrides!$B$9:$B$108,$C217,Overrides!$C$9:$C$108,$L217),$L217))</f>
        <v>46409</v>
      </c>
      <c r="H217" s="120" t="n">
        <f aca="false">IF($G217="",0,IF(AND($G217&gt;='Cash Flow'!$E$6,$G217&lt;'Cash Flow'!$E$6+91),1,0))</f>
        <v>0</v>
      </c>
      <c r="I217" s="120" t="str">
        <f aca="false">IF($H217=1,MAX(1,INT(($G217-'Cash Flow'!$E$6)/7)+1),"")</f>
        <v/>
      </c>
      <c r="J217" s="7" t="str">
        <f aca="false">IF($H217=1,$G217*10000+ROW(),"")</f>
        <v/>
      </c>
      <c r="K217" s="7" t="str">
        <f aca="false">IF($H217=1,$I217*1000+COUNTIFS($I$4:$I$483,$I217,$J$4:$J$483,"&lt;"&amp;$J217)+1,"")</f>
        <v/>
      </c>
      <c r="L217" s="121" t="n">
        <f aca="false">IF($F217="","",IF(Recurring!$G$18="Move Before",IF(WEEKDAY($F217,2)=6,$F217-1,IF(WEEKDAY($F217,2)=7,$F217-2,$F217)),IF(Recurring!$G$18="Move After",IF(WEEKDAY($F217,2)=6,$F217+2,IF(WEEKDAY($F217,2)=7,$F217+1,$F217)),$F217)))</f>
        <v>46409</v>
      </c>
      <c r="M217" s="0" t="str">
        <f aca="true">IF(AND($H217=1,$D217="Expense",$G217&gt;TODAY(),$E217&gt;=100),$G217*100000+ROW(),"")</f>
        <v/>
      </c>
      <c r="N217" s="0" t="str">
        <f aca="true">IF(AND($H217=1,$D217="Income",$G217&gt;TODAY()),$G217*100000+ROW(),"")</f>
        <v/>
      </c>
    </row>
    <row r="218" customFormat="false" ht="15" hidden="false" customHeight="true" outlineLevel="0" collapsed="false">
      <c r="A218" s="117" t="n">
        <v>14</v>
      </c>
      <c r="B218" s="117" t="n">
        <v>7</v>
      </c>
      <c r="C218" s="7" t="str">
        <f aca="false">IF(OR(Recurring!$B$18="",Recurring!$H$18&lt;&gt;"Yes",Recurring!$D$18=""),"",Recurring!$B$18)</f>
        <v>Microsoft</v>
      </c>
      <c r="D218" s="7" t="str">
        <f aca="false">IF($C218="","",Recurring!$C$18)</f>
        <v>Expense</v>
      </c>
      <c r="E218" s="118" t="n">
        <f aca="false">IF($C218="","",IF(SUMIFS(Overrides!$E$9:$E$108,Overrides!$B$9:$B$108,$C218,Overrides!$C$9:$C$108,$L218)&gt;0,SUMIFS(Overrides!$E$9:$E$108,Overrides!$B$9:$B$108,$C218,Overrides!$C$9:$C$108,$L218),Recurring!$D$18))</f>
        <v>13.7</v>
      </c>
      <c r="F218" s="119" t="n">
        <f aca="false">IF($C218="","",IF(Recurring!$E$18="Weekly",Recurring!$F$18+7*6,IF(Recurring!$E$18="Every 2 Weeks",Recurring!$F$18+14*6,IF(Recurring!$E$18="Monthly",EDATE(Recurring!$F$18,6),IF(Recurring!$E$18="Twice a Month",IF(MOD((IF(DAY(Recurring!$F$18)&lt;=20,0,1)+6),2)=1,EOMONTH(Recurring!$F$18,INT((IF(DAY(Recurring!$F$18)&lt;=20,0,1)+6)/2)),DATE(YEAR(EDATE(Recurring!$F$18,INT((IF(DAY(Recurring!$F$18)&lt;=20,0,1)+6)/2))),MONTH(EDATE(Recurring!$F$18,INT((IF(DAY(Recurring!$F$18)&lt;=20,0,1)+6)/2))),15)),IF(Recurring!$E$18="One Time",IF(7=1,Recurring!$F$18,""),""))))))</f>
        <v>46440</v>
      </c>
      <c r="G218" s="119" t="n">
        <f aca="false">IF($L218="","",IF(SUMIFS(Overrides!$D$9:$D$108,Overrides!$B$9:$B$108,$C218,Overrides!$C$9:$C$108,$L218)&gt;0,SUMIFS(Overrides!$D$9:$D$108,Overrides!$B$9:$B$108,$C218,Overrides!$C$9:$C$108,$L218),$L218))</f>
        <v>46440</v>
      </c>
      <c r="H218" s="120" t="n">
        <f aca="false">IF($G218="",0,IF(AND($G218&gt;='Cash Flow'!$E$6,$G218&lt;'Cash Flow'!$E$6+91),1,0))</f>
        <v>0</v>
      </c>
      <c r="I218" s="120" t="str">
        <f aca="false">IF($H218=1,MAX(1,INT(($G218-'Cash Flow'!$E$6)/7)+1),"")</f>
        <v/>
      </c>
      <c r="J218" s="7" t="str">
        <f aca="false">IF($H218=1,$G218*10000+ROW(),"")</f>
        <v/>
      </c>
      <c r="K218" s="7" t="str">
        <f aca="false">IF($H218=1,$I218*1000+COUNTIFS($I$4:$I$483,$I218,$J$4:$J$483,"&lt;"&amp;$J218)+1,"")</f>
        <v/>
      </c>
      <c r="L218" s="121" t="n">
        <f aca="false">IF($F218="","",IF(Recurring!$G$18="Move Before",IF(WEEKDAY($F218,2)=6,$F218-1,IF(WEEKDAY($F218,2)=7,$F218-2,$F218)),IF(Recurring!$G$18="Move After",IF(WEEKDAY($F218,2)=6,$F218+2,IF(WEEKDAY($F218,2)=7,$F218+1,$F218)),$F218)))</f>
        <v>46440</v>
      </c>
      <c r="M218" s="0" t="str">
        <f aca="true">IF(AND($H218=1,$D218="Expense",$G218&gt;TODAY(),$E218&gt;=100),$G218*100000+ROW(),"")</f>
        <v/>
      </c>
      <c r="N218" s="0" t="str">
        <f aca="true">IF(AND($H218=1,$D218="Income",$G218&gt;TODAY()),$G218*100000+ROW(),"")</f>
        <v/>
      </c>
    </row>
    <row r="219" customFormat="false" ht="15" hidden="false" customHeight="true" outlineLevel="0" collapsed="false">
      <c r="A219" s="117" t="n">
        <v>14</v>
      </c>
      <c r="B219" s="117" t="n">
        <v>8</v>
      </c>
      <c r="C219" s="7" t="str">
        <f aca="false">IF(OR(Recurring!$B$18="",Recurring!$H$18&lt;&gt;"Yes",Recurring!$D$18=""),"",Recurring!$B$18)</f>
        <v>Microsoft</v>
      </c>
      <c r="D219" s="7" t="str">
        <f aca="false">IF($C219="","",Recurring!$C$18)</f>
        <v>Expense</v>
      </c>
      <c r="E219" s="118" t="n">
        <f aca="false">IF($C219="","",IF(SUMIFS(Overrides!$E$9:$E$108,Overrides!$B$9:$B$108,$C219,Overrides!$C$9:$C$108,$L219)&gt;0,SUMIFS(Overrides!$E$9:$E$108,Overrides!$B$9:$B$108,$C219,Overrides!$C$9:$C$108,$L219),Recurring!$D$18))</f>
        <v>13.7</v>
      </c>
      <c r="F219" s="119" t="n">
        <f aca="false">IF($C219="","",IF(Recurring!$E$18="Weekly",Recurring!$F$18+7*7,IF(Recurring!$E$18="Every 2 Weeks",Recurring!$F$18+14*7,IF(Recurring!$E$18="Monthly",EDATE(Recurring!$F$18,7),IF(Recurring!$E$18="Twice a Month",IF(MOD((IF(DAY(Recurring!$F$18)&lt;=20,0,1)+7),2)=1,EOMONTH(Recurring!$F$18,INT((IF(DAY(Recurring!$F$18)&lt;=20,0,1)+7)/2)),DATE(YEAR(EDATE(Recurring!$F$18,INT((IF(DAY(Recurring!$F$18)&lt;=20,0,1)+7)/2))),MONTH(EDATE(Recurring!$F$18,INT((IF(DAY(Recurring!$F$18)&lt;=20,0,1)+7)/2))),15)),IF(Recurring!$E$18="One Time",IF(8=1,Recurring!$F$18,""),""))))))</f>
        <v>46468</v>
      </c>
      <c r="G219" s="119" t="n">
        <f aca="false">IF($L219="","",IF(SUMIFS(Overrides!$D$9:$D$108,Overrides!$B$9:$B$108,$C219,Overrides!$C$9:$C$108,$L219)&gt;0,SUMIFS(Overrides!$D$9:$D$108,Overrides!$B$9:$B$108,$C219,Overrides!$C$9:$C$108,$L219),$L219))</f>
        <v>46468</v>
      </c>
      <c r="H219" s="120" t="n">
        <f aca="false">IF($G219="",0,IF(AND($G219&gt;='Cash Flow'!$E$6,$G219&lt;'Cash Flow'!$E$6+91),1,0))</f>
        <v>0</v>
      </c>
      <c r="I219" s="120" t="str">
        <f aca="false">IF($H219=1,MAX(1,INT(($G219-'Cash Flow'!$E$6)/7)+1),"")</f>
        <v/>
      </c>
      <c r="J219" s="7" t="str">
        <f aca="false">IF($H219=1,$G219*10000+ROW(),"")</f>
        <v/>
      </c>
      <c r="K219" s="7" t="str">
        <f aca="false">IF($H219=1,$I219*1000+COUNTIFS($I$4:$I$483,$I219,$J$4:$J$483,"&lt;"&amp;$J219)+1,"")</f>
        <v/>
      </c>
      <c r="L219" s="121" t="n">
        <f aca="false">IF($F219="","",IF(Recurring!$G$18="Move Before",IF(WEEKDAY($F219,2)=6,$F219-1,IF(WEEKDAY($F219,2)=7,$F219-2,$F219)),IF(Recurring!$G$18="Move After",IF(WEEKDAY($F219,2)=6,$F219+2,IF(WEEKDAY($F219,2)=7,$F219+1,$F219)),$F219)))</f>
        <v>46468</v>
      </c>
      <c r="M219" s="0" t="str">
        <f aca="true">IF(AND($H219=1,$D219="Expense",$G219&gt;TODAY(),$E219&gt;=100),$G219*100000+ROW(),"")</f>
        <v/>
      </c>
      <c r="N219" s="0" t="str">
        <f aca="true">IF(AND($H219=1,$D219="Income",$G219&gt;TODAY()),$G219*100000+ROW(),"")</f>
        <v/>
      </c>
    </row>
    <row r="220" customFormat="false" ht="15" hidden="false" customHeight="true" outlineLevel="0" collapsed="false">
      <c r="A220" s="117" t="n">
        <v>14</v>
      </c>
      <c r="B220" s="117" t="n">
        <v>9</v>
      </c>
      <c r="C220" s="7" t="str">
        <f aca="false">IF(OR(Recurring!$B$18="",Recurring!$H$18&lt;&gt;"Yes",Recurring!$D$18=""),"",Recurring!$B$18)</f>
        <v>Microsoft</v>
      </c>
      <c r="D220" s="7" t="str">
        <f aca="false">IF($C220="","",Recurring!$C$18)</f>
        <v>Expense</v>
      </c>
      <c r="E220" s="118" t="n">
        <f aca="false">IF($C220="","",IF(SUMIFS(Overrides!$E$9:$E$108,Overrides!$B$9:$B$108,$C220,Overrides!$C$9:$C$108,$L220)&gt;0,SUMIFS(Overrides!$E$9:$E$108,Overrides!$B$9:$B$108,$C220,Overrides!$C$9:$C$108,$L220),Recurring!$D$18))</f>
        <v>13.7</v>
      </c>
      <c r="F220" s="119" t="n">
        <f aca="false">IF($C220="","",IF(Recurring!$E$18="Weekly",Recurring!$F$18+7*8,IF(Recurring!$E$18="Every 2 Weeks",Recurring!$F$18+14*8,IF(Recurring!$E$18="Monthly",EDATE(Recurring!$F$18,8),IF(Recurring!$E$18="Twice a Month",IF(MOD((IF(DAY(Recurring!$F$18)&lt;=20,0,1)+8),2)=1,EOMONTH(Recurring!$F$18,INT((IF(DAY(Recurring!$F$18)&lt;=20,0,1)+8)/2)),DATE(YEAR(EDATE(Recurring!$F$18,INT((IF(DAY(Recurring!$F$18)&lt;=20,0,1)+8)/2))),MONTH(EDATE(Recurring!$F$18,INT((IF(DAY(Recurring!$F$18)&lt;=20,0,1)+8)/2))),15)),IF(Recurring!$E$18="One Time",IF(9=1,Recurring!$F$18,""),""))))))</f>
        <v>46499</v>
      </c>
      <c r="G220" s="119" t="n">
        <f aca="false">IF($L220="","",IF(SUMIFS(Overrides!$D$9:$D$108,Overrides!$B$9:$B$108,$C220,Overrides!$C$9:$C$108,$L220)&gt;0,SUMIFS(Overrides!$D$9:$D$108,Overrides!$B$9:$B$108,$C220,Overrides!$C$9:$C$108,$L220),$L220))</f>
        <v>46499</v>
      </c>
      <c r="H220" s="120" t="n">
        <f aca="false">IF($G220="",0,IF(AND($G220&gt;='Cash Flow'!$E$6,$G220&lt;'Cash Flow'!$E$6+91),1,0))</f>
        <v>0</v>
      </c>
      <c r="I220" s="120" t="str">
        <f aca="false">IF($H220=1,MAX(1,INT(($G220-'Cash Flow'!$E$6)/7)+1),"")</f>
        <v/>
      </c>
      <c r="J220" s="7" t="str">
        <f aca="false">IF($H220=1,$G220*10000+ROW(),"")</f>
        <v/>
      </c>
      <c r="K220" s="7" t="str">
        <f aca="false">IF($H220=1,$I220*1000+COUNTIFS($I$4:$I$483,$I220,$J$4:$J$483,"&lt;"&amp;$J220)+1,"")</f>
        <v/>
      </c>
      <c r="L220" s="121" t="n">
        <f aca="false">IF($F220="","",IF(Recurring!$G$18="Move Before",IF(WEEKDAY($F220,2)=6,$F220-1,IF(WEEKDAY($F220,2)=7,$F220-2,$F220)),IF(Recurring!$G$18="Move After",IF(WEEKDAY($F220,2)=6,$F220+2,IF(WEEKDAY($F220,2)=7,$F220+1,$F220)),$F220)))</f>
        <v>46499</v>
      </c>
      <c r="M220" s="0" t="str">
        <f aca="true">IF(AND($H220=1,$D220="Expense",$G220&gt;TODAY(),$E220&gt;=100),$G220*100000+ROW(),"")</f>
        <v/>
      </c>
      <c r="N220" s="0" t="str">
        <f aca="true">IF(AND($H220=1,$D220="Income",$G220&gt;TODAY()),$G220*100000+ROW(),"")</f>
        <v/>
      </c>
    </row>
    <row r="221" customFormat="false" ht="15" hidden="false" customHeight="true" outlineLevel="0" collapsed="false">
      <c r="A221" s="117" t="n">
        <v>14</v>
      </c>
      <c r="B221" s="117" t="n">
        <v>10</v>
      </c>
      <c r="C221" s="7" t="str">
        <f aca="false">IF(OR(Recurring!$B$18="",Recurring!$H$18&lt;&gt;"Yes",Recurring!$D$18=""),"",Recurring!$B$18)</f>
        <v>Microsoft</v>
      </c>
      <c r="D221" s="7" t="str">
        <f aca="false">IF($C221="","",Recurring!$C$18)</f>
        <v>Expense</v>
      </c>
      <c r="E221" s="118" t="n">
        <f aca="false">IF($C221="","",IF(SUMIFS(Overrides!$E$9:$E$108,Overrides!$B$9:$B$108,$C221,Overrides!$C$9:$C$108,$L221)&gt;0,SUMIFS(Overrides!$E$9:$E$108,Overrides!$B$9:$B$108,$C221,Overrides!$C$9:$C$108,$L221),Recurring!$D$18))</f>
        <v>13.7</v>
      </c>
      <c r="F221" s="119" t="n">
        <f aca="false">IF($C221="","",IF(Recurring!$E$18="Weekly",Recurring!$F$18+7*9,IF(Recurring!$E$18="Every 2 Weeks",Recurring!$F$18+14*9,IF(Recurring!$E$18="Monthly",EDATE(Recurring!$F$18,9),IF(Recurring!$E$18="Twice a Month",IF(MOD((IF(DAY(Recurring!$F$18)&lt;=20,0,1)+9),2)=1,EOMONTH(Recurring!$F$18,INT((IF(DAY(Recurring!$F$18)&lt;=20,0,1)+9)/2)),DATE(YEAR(EDATE(Recurring!$F$18,INT((IF(DAY(Recurring!$F$18)&lt;=20,0,1)+9)/2))),MONTH(EDATE(Recurring!$F$18,INT((IF(DAY(Recurring!$F$18)&lt;=20,0,1)+9)/2))),15)),IF(Recurring!$E$18="One Time",IF(10=1,Recurring!$F$18,""),""))))))</f>
        <v>46529</v>
      </c>
      <c r="G221" s="119" t="n">
        <f aca="false">IF($L221="","",IF(SUMIFS(Overrides!$D$9:$D$108,Overrides!$B$9:$B$108,$C221,Overrides!$C$9:$C$108,$L221)&gt;0,SUMIFS(Overrides!$D$9:$D$108,Overrides!$B$9:$B$108,$C221,Overrides!$C$9:$C$108,$L221),$L221))</f>
        <v>46529</v>
      </c>
      <c r="H221" s="120" t="n">
        <f aca="false">IF($G221="",0,IF(AND($G221&gt;='Cash Flow'!$E$6,$G221&lt;'Cash Flow'!$E$6+91),1,0))</f>
        <v>0</v>
      </c>
      <c r="I221" s="120" t="str">
        <f aca="false">IF($H221=1,MAX(1,INT(($G221-'Cash Flow'!$E$6)/7)+1),"")</f>
        <v/>
      </c>
      <c r="J221" s="7" t="str">
        <f aca="false">IF($H221=1,$G221*10000+ROW(),"")</f>
        <v/>
      </c>
      <c r="K221" s="7" t="str">
        <f aca="false">IF($H221=1,$I221*1000+COUNTIFS($I$4:$I$483,$I221,$J$4:$J$483,"&lt;"&amp;$J221)+1,"")</f>
        <v/>
      </c>
      <c r="L221" s="121" t="n">
        <f aca="false">IF($F221="","",IF(Recurring!$G$18="Move Before",IF(WEEKDAY($F221,2)=6,$F221-1,IF(WEEKDAY($F221,2)=7,$F221-2,$F221)),IF(Recurring!$G$18="Move After",IF(WEEKDAY($F221,2)=6,$F221+2,IF(WEEKDAY($F221,2)=7,$F221+1,$F221)),$F221)))</f>
        <v>46529</v>
      </c>
      <c r="M221" s="0" t="str">
        <f aca="true">IF(AND($H221=1,$D221="Expense",$G221&gt;TODAY(),$E221&gt;=100),$G221*100000+ROW(),"")</f>
        <v/>
      </c>
      <c r="N221" s="0" t="str">
        <f aca="true">IF(AND($H221=1,$D221="Income",$G221&gt;TODAY()),$G221*100000+ROW(),"")</f>
        <v/>
      </c>
    </row>
    <row r="222" customFormat="false" ht="15" hidden="false" customHeight="true" outlineLevel="0" collapsed="false">
      <c r="A222" s="117" t="n">
        <v>14</v>
      </c>
      <c r="B222" s="117" t="n">
        <v>11</v>
      </c>
      <c r="C222" s="7" t="str">
        <f aca="false">IF(OR(Recurring!$B$18="",Recurring!$H$18&lt;&gt;"Yes",Recurring!$D$18=""),"",Recurring!$B$18)</f>
        <v>Microsoft</v>
      </c>
      <c r="D222" s="7" t="str">
        <f aca="false">IF($C222="","",Recurring!$C$18)</f>
        <v>Expense</v>
      </c>
      <c r="E222" s="118" t="n">
        <f aca="false">IF($C222="","",IF(SUMIFS(Overrides!$E$9:$E$108,Overrides!$B$9:$B$108,$C222,Overrides!$C$9:$C$108,$L222)&gt;0,SUMIFS(Overrides!$E$9:$E$108,Overrides!$B$9:$B$108,$C222,Overrides!$C$9:$C$108,$L222),Recurring!$D$18))</f>
        <v>13.7</v>
      </c>
      <c r="F222" s="119" t="n">
        <f aca="false">IF($C222="","",IF(Recurring!$E$18="Weekly",Recurring!$F$18+7*10,IF(Recurring!$E$18="Every 2 Weeks",Recurring!$F$18+14*10,IF(Recurring!$E$18="Monthly",EDATE(Recurring!$F$18,10),IF(Recurring!$E$18="Twice a Month",IF(MOD((IF(DAY(Recurring!$F$18)&lt;=20,0,1)+10),2)=1,EOMONTH(Recurring!$F$18,INT((IF(DAY(Recurring!$F$18)&lt;=20,0,1)+10)/2)),DATE(YEAR(EDATE(Recurring!$F$18,INT((IF(DAY(Recurring!$F$18)&lt;=20,0,1)+10)/2))),MONTH(EDATE(Recurring!$F$18,INT((IF(DAY(Recurring!$F$18)&lt;=20,0,1)+10)/2))),15)),IF(Recurring!$E$18="One Time",IF(11=1,Recurring!$F$18,""),""))))))</f>
        <v>46560</v>
      </c>
      <c r="G222" s="119" t="n">
        <f aca="false">IF($L222="","",IF(SUMIFS(Overrides!$D$9:$D$108,Overrides!$B$9:$B$108,$C222,Overrides!$C$9:$C$108,$L222)&gt;0,SUMIFS(Overrides!$D$9:$D$108,Overrides!$B$9:$B$108,$C222,Overrides!$C$9:$C$108,$L222),$L222))</f>
        <v>46560</v>
      </c>
      <c r="H222" s="120" t="n">
        <f aca="false">IF($G222="",0,IF(AND($G222&gt;='Cash Flow'!$E$6,$G222&lt;'Cash Flow'!$E$6+91),1,0))</f>
        <v>0</v>
      </c>
      <c r="I222" s="120" t="str">
        <f aca="false">IF($H222=1,MAX(1,INT(($G222-'Cash Flow'!$E$6)/7)+1),"")</f>
        <v/>
      </c>
      <c r="J222" s="7" t="str">
        <f aca="false">IF($H222=1,$G222*10000+ROW(),"")</f>
        <v/>
      </c>
      <c r="K222" s="7" t="str">
        <f aca="false">IF($H222=1,$I222*1000+COUNTIFS($I$4:$I$483,$I222,$J$4:$J$483,"&lt;"&amp;$J222)+1,"")</f>
        <v/>
      </c>
      <c r="L222" s="121" t="n">
        <f aca="false">IF($F222="","",IF(Recurring!$G$18="Move Before",IF(WEEKDAY($F222,2)=6,$F222-1,IF(WEEKDAY($F222,2)=7,$F222-2,$F222)),IF(Recurring!$G$18="Move After",IF(WEEKDAY($F222,2)=6,$F222+2,IF(WEEKDAY($F222,2)=7,$F222+1,$F222)),$F222)))</f>
        <v>46560</v>
      </c>
      <c r="M222" s="0" t="str">
        <f aca="true">IF(AND($H222=1,$D222="Expense",$G222&gt;TODAY(),$E222&gt;=100),$G222*100000+ROW(),"")</f>
        <v/>
      </c>
      <c r="N222" s="0" t="str">
        <f aca="true">IF(AND($H222=1,$D222="Income",$G222&gt;TODAY()),$G222*100000+ROW(),"")</f>
        <v/>
      </c>
    </row>
    <row r="223" customFormat="false" ht="15" hidden="false" customHeight="true" outlineLevel="0" collapsed="false">
      <c r="A223" s="117" t="n">
        <v>14</v>
      </c>
      <c r="B223" s="117" t="n">
        <v>12</v>
      </c>
      <c r="C223" s="7" t="str">
        <f aca="false">IF(OR(Recurring!$B$18="",Recurring!$H$18&lt;&gt;"Yes",Recurring!$D$18=""),"",Recurring!$B$18)</f>
        <v>Microsoft</v>
      </c>
      <c r="D223" s="7" t="str">
        <f aca="false">IF($C223="","",Recurring!$C$18)</f>
        <v>Expense</v>
      </c>
      <c r="E223" s="118" t="n">
        <f aca="false">IF($C223="","",IF(SUMIFS(Overrides!$E$9:$E$108,Overrides!$B$9:$B$108,$C223,Overrides!$C$9:$C$108,$L223)&gt;0,SUMIFS(Overrides!$E$9:$E$108,Overrides!$B$9:$B$108,$C223,Overrides!$C$9:$C$108,$L223),Recurring!$D$18))</f>
        <v>13.7</v>
      </c>
      <c r="F223" s="119" t="n">
        <f aca="false">IF($C223="","",IF(Recurring!$E$18="Weekly",Recurring!$F$18+7*11,IF(Recurring!$E$18="Every 2 Weeks",Recurring!$F$18+14*11,IF(Recurring!$E$18="Monthly",EDATE(Recurring!$F$18,11),IF(Recurring!$E$18="Twice a Month",IF(MOD((IF(DAY(Recurring!$F$18)&lt;=20,0,1)+11),2)=1,EOMONTH(Recurring!$F$18,INT((IF(DAY(Recurring!$F$18)&lt;=20,0,1)+11)/2)),DATE(YEAR(EDATE(Recurring!$F$18,INT((IF(DAY(Recurring!$F$18)&lt;=20,0,1)+11)/2))),MONTH(EDATE(Recurring!$F$18,INT((IF(DAY(Recurring!$F$18)&lt;=20,0,1)+11)/2))),15)),IF(Recurring!$E$18="One Time",IF(12=1,Recurring!$F$18,""),""))))))</f>
        <v>46590</v>
      </c>
      <c r="G223" s="119" t="n">
        <f aca="false">IF($L223="","",IF(SUMIFS(Overrides!$D$9:$D$108,Overrides!$B$9:$B$108,$C223,Overrides!$C$9:$C$108,$L223)&gt;0,SUMIFS(Overrides!$D$9:$D$108,Overrides!$B$9:$B$108,$C223,Overrides!$C$9:$C$108,$L223),$L223))</f>
        <v>46590</v>
      </c>
      <c r="H223" s="120" t="n">
        <f aca="false">IF($G223="",0,IF(AND($G223&gt;='Cash Flow'!$E$6,$G223&lt;'Cash Flow'!$E$6+91),1,0))</f>
        <v>0</v>
      </c>
      <c r="I223" s="120" t="str">
        <f aca="false">IF($H223=1,MAX(1,INT(($G223-'Cash Flow'!$E$6)/7)+1),"")</f>
        <v/>
      </c>
      <c r="J223" s="7" t="str">
        <f aca="false">IF($H223=1,$G223*10000+ROW(),"")</f>
        <v/>
      </c>
      <c r="K223" s="7" t="str">
        <f aca="false">IF($H223=1,$I223*1000+COUNTIFS($I$4:$I$483,$I223,$J$4:$J$483,"&lt;"&amp;$J223)+1,"")</f>
        <v/>
      </c>
      <c r="L223" s="121" t="n">
        <f aca="false">IF($F223="","",IF(Recurring!$G$18="Move Before",IF(WEEKDAY($F223,2)=6,$F223-1,IF(WEEKDAY($F223,2)=7,$F223-2,$F223)),IF(Recurring!$G$18="Move After",IF(WEEKDAY($F223,2)=6,$F223+2,IF(WEEKDAY($F223,2)=7,$F223+1,$F223)),$F223)))</f>
        <v>46590</v>
      </c>
      <c r="M223" s="0" t="str">
        <f aca="true">IF(AND($H223=1,$D223="Expense",$G223&gt;TODAY(),$E223&gt;=100),$G223*100000+ROW(),"")</f>
        <v/>
      </c>
      <c r="N223" s="0" t="str">
        <f aca="true">IF(AND($H223=1,$D223="Income",$G223&gt;TODAY()),$G223*100000+ROW(),"")</f>
        <v/>
      </c>
    </row>
    <row r="224" customFormat="false" ht="15" hidden="false" customHeight="true" outlineLevel="0" collapsed="false">
      <c r="A224" s="117" t="n">
        <v>14</v>
      </c>
      <c r="B224" s="117" t="n">
        <v>13</v>
      </c>
      <c r="C224" s="7" t="str">
        <f aca="false">IF(OR(Recurring!$B$18="",Recurring!$H$18&lt;&gt;"Yes",Recurring!$D$18=""),"",Recurring!$B$18)</f>
        <v>Microsoft</v>
      </c>
      <c r="D224" s="7" t="str">
        <f aca="false">IF($C224="","",Recurring!$C$18)</f>
        <v>Expense</v>
      </c>
      <c r="E224" s="118" t="n">
        <f aca="false">IF($C224="","",IF(SUMIFS(Overrides!$E$9:$E$108,Overrides!$B$9:$B$108,$C224,Overrides!$C$9:$C$108,$L224)&gt;0,SUMIFS(Overrides!$E$9:$E$108,Overrides!$B$9:$B$108,$C224,Overrides!$C$9:$C$108,$L224),Recurring!$D$18))</f>
        <v>13.7</v>
      </c>
      <c r="F224" s="119" t="n">
        <f aca="false">IF($C224="","",IF(Recurring!$E$18="Weekly",Recurring!$F$18+7*12,IF(Recurring!$E$18="Every 2 Weeks",Recurring!$F$18+14*12,IF(Recurring!$E$18="Monthly",EDATE(Recurring!$F$18,12),IF(Recurring!$E$18="Twice a Month",IF(MOD((IF(DAY(Recurring!$F$18)&lt;=20,0,1)+12),2)=1,EOMONTH(Recurring!$F$18,INT((IF(DAY(Recurring!$F$18)&lt;=20,0,1)+12)/2)),DATE(YEAR(EDATE(Recurring!$F$18,INT((IF(DAY(Recurring!$F$18)&lt;=20,0,1)+12)/2))),MONTH(EDATE(Recurring!$F$18,INT((IF(DAY(Recurring!$F$18)&lt;=20,0,1)+12)/2))),15)),IF(Recurring!$E$18="One Time",IF(13=1,Recurring!$F$18,""),""))))))</f>
        <v>46621</v>
      </c>
      <c r="G224" s="119" t="n">
        <f aca="false">IF($L224="","",IF(SUMIFS(Overrides!$D$9:$D$108,Overrides!$B$9:$B$108,$C224,Overrides!$C$9:$C$108,$L224)&gt;0,SUMIFS(Overrides!$D$9:$D$108,Overrides!$B$9:$B$108,$C224,Overrides!$C$9:$C$108,$L224),$L224))</f>
        <v>46621</v>
      </c>
      <c r="H224" s="120" t="n">
        <f aca="false">IF($G224="",0,IF(AND($G224&gt;='Cash Flow'!$E$6,$G224&lt;'Cash Flow'!$E$6+91),1,0))</f>
        <v>0</v>
      </c>
      <c r="I224" s="120" t="str">
        <f aca="false">IF($H224=1,MAX(1,INT(($G224-'Cash Flow'!$E$6)/7)+1),"")</f>
        <v/>
      </c>
      <c r="J224" s="7" t="str">
        <f aca="false">IF($H224=1,$G224*10000+ROW(),"")</f>
        <v/>
      </c>
      <c r="K224" s="7" t="str">
        <f aca="false">IF($H224=1,$I224*1000+COUNTIFS($I$4:$I$483,$I224,$J$4:$J$483,"&lt;"&amp;$J224)+1,"")</f>
        <v/>
      </c>
      <c r="L224" s="121" t="n">
        <f aca="false">IF($F224="","",IF(Recurring!$G$18="Move Before",IF(WEEKDAY($F224,2)=6,$F224-1,IF(WEEKDAY($F224,2)=7,$F224-2,$F224)),IF(Recurring!$G$18="Move After",IF(WEEKDAY($F224,2)=6,$F224+2,IF(WEEKDAY($F224,2)=7,$F224+1,$F224)),$F224)))</f>
        <v>46621</v>
      </c>
      <c r="M224" s="0" t="str">
        <f aca="true">IF(AND($H224=1,$D224="Expense",$G224&gt;TODAY(),$E224&gt;=100),$G224*100000+ROW(),"")</f>
        <v/>
      </c>
      <c r="N224" s="0" t="str">
        <f aca="true">IF(AND($H224=1,$D224="Income",$G224&gt;TODAY()),$G224*100000+ROW(),"")</f>
        <v/>
      </c>
    </row>
    <row r="225" customFormat="false" ht="15" hidden="false" customHeight="true" outlineLevel="0" collapsed="false">
      <c r="A225" s="117" t="n">
        <v>14</v>
      </c>
      <c r="B225" s="117" t="n">
        <v>14</v>
      </c>
      <c r="C225" s="7" t="str">
        <f aca="false">IF(OR(Recurring!$B$18="",Recurring!$H$18&lt;&gt;"Yes",Recurring!$D$18=""),"",Recurring!$B$18)</f>
        <v>Microsoft</v>
      </c>
      <c r="D225" s="7" t="str">
        <f aca="false">IF($C225="","",Recurring!$C$18)</f>
        <v>Expense</v>
      </c>
      <c r="E225" s="118" t="n">
        <f aca="false">IF($C225="","",IF(SUMIFS(Overrides!$E$9:$E$108,Overrides!$B$9:$B$108,$C225,Overrides!$C$9:$C$108,$L225)&gt;0,SUMIFS(Overrides!$E$9:$E$108,Overrides!$B$9:$B$108,$C225,Overrides!$C$9:$C$108,$L225),Recurring!$D$18))</f>
        <v>13.7</v>
      </c>
      <c r="F225" s="119" t="n">
        <f aca="false">IF($C225="","",IF(Recurring!$E$18="Weekly",Recurring!$F$18+7*13,IF(Recurring!$E$18="Every 2 Weeks",Recurring!$F$18+14*13,IF(Recurring!$E$18="Monthly",EDATE(Recurring!$F$18,13),IF(Recurring!$E$18="Twice a Month",IF(MOD((IF(DAY(Recurring!$F$18)&lt;=20,0,1)+13),2)=1,EOMONTH(Recurring!$F$18,INT((IF(DAY(Recurring!$F$18)&lt;=20,0,1)+13)/2)),DATE(YEAR(EDATE(Recurring!$F$18,INT((IF(DAY(Recurring!$F$18)&lt;=20,0,1)+13)/2))),MONTH(EDATE(Recurring!$F$18,INT((IF(DAY(Recurring!$F$18)&lt;=20,0,1)+13)/2))),15)),IF(Recurring!$E$18="One Time",IF(14=1,Recurring!$F$18,""),""))))))</f>
        <v>46652</v>
      </c>
      <c r="G225" s="119" t="n">
        <f aca="false">IF($L225="","",IF(SUMIFS(Overrides!$D$9:$D$108,Overrides!$B$9:$B$108,$C225,Overrides!$C$9:$C$108,$L225)&gt;0,SUMIFS(Overrides!$D$9:$D$108,Overrides!$B$9:$B$108,$C225,Overrides!$C$9:$C$108,$L225),$L225))</f>
        <v>46652</v>
      </c>
      <c r="H225" s="120" t="n">
        <f aca="false">IF($G225="",0,IF(AND($G225&gt;='Cash Flow'!$E$6,$G225&lt;'Cash Flow'!$E$6+91),1,0))</f>
        <v>0</v>
      </c>
      <c r="I225" s="120" t="str">
        <f aca="false">IF($H225=1,MAX(1,INT(($G225-'Cash Flow'!$E$6)/7)+1),"")</f>
        <v/>
      </c>
      <c r="J225" s="7" t="str">
        <f aca="false">IF($H225=1,$G225*10000+ROW(),"")</f>
        <v/>
      </c>
      <c r="K225" s="7" t="str">
        <f aca="false">IF($H225=1,$I225*1000+COUNTIFS($I$4:$I$483,$I225,$J$4:$J$483,"&lt;"&amp;$J225)+1,"")</f>
        <v/>
      </c>
      <c r="L225" s="121" t="n">
        <f aca="false">IF($F225="","",IF(Recurring!$G$18="Move Before",IF(WEEKDAY($F225,2)=6,$F225-1,IF(WEEKDAY($F225,2)=7,$F225-2,$F225)),IF(Recurring!$G$18="Move After",IF(WEEKDAY($F225,2)=6,$F225+2,IF(WEEKDAY($F225,2)=7,$F225+1,$F225)),$F225)))</f>
        <v>46652</v>
      </c>
      <c r="M225" s="0" t="str">
        <f aca="true">IF(AND($H225=1,$D225="Expense",$G225&gt;TODAY(),$E225&gt;=100),$G225*100000+ROW(),"")</f>
        <v/>
      </c>
      <c r="N225" s="0" t="str">
        <f aca="true">IF(AND($H225=1,$D225="Income",$G225&gt;TODAY()),$G225*100000+ROW(),"")</f>
        <v/>
      </c>
    </row>
    <row r="226" customFormat="false" ht="15" hidden="false" customHeight="true" outlineLevel="0" collapsed="false">
      <c r="A226" s="117" t="n">
        <v>14</v>
      </c>
      <c r="B226" s="117" t="n">
        <v>15</v>
      </c>
      <c r="C226" s="7" t="str">
        <f aca="false">IF(OR(Recurring!$B$18="",Recurring!$H$18&lt;&gt;"Yes",Recurring!$D$18=""),"",Recurring!$B$18)</f>
        <v>Microsoft</v>
      </c>
      <c r="D226" s="7" t="str">
        <f aca="false">IF($C226="","",Recurring!$C$18)</f>
        <v>Expense</v>
      </c>
      <c r="E226" s="118" t="n">
        <f aca="false">IF($C226="","",IF(SUMIFS(Overrides!$E$9:$E$108,Overrides!$B$9:$B$108,$C226,Overrides!$C$9:$C$108,$L226)&gt;0,SUMIFS(Overrides!$E$9:$E$108,Overrides!$B$9:$B$108,$C226,Overrides!$C$9:$C$108,$L226),Recurring!$D$18))</f>
        <v>13.7</v>
      </c>
      <c r="F226" s="119" t="n">
        <f aca="false">IF($C226="","",IF(Recurring!$E$18="Weekly",Recurring!$F$18+7*14,IF(Recurring!$E$18="Every 2 Weeks",Recurring!$F$18+14*14,IF(Recurring!$E$18="Monthly",EDATE(Recurring!$F$18,14),IF(Recurring!$E$18="Twice a Month",IF(MOD((IF(DAY(Recurring!$F$18)&lt;=20,0,1)+14),2)=1,EOMONTH(Recurring!$F$18,INT((IF(DAY(Recurring!$F$18)&lt;=20,0,1)+14)/2)),DATE(YEAR(EDATE(Recurring!$F$18,INT((IF(DAY(Recurring!$F$18)&lt;=20,0,1)+14)/2))),MONTH(EDATE(Recurring!$F$18,INT((IF(DAY(Recurring!$F$18)&lt;=20,0,1)+14)/2))),15)),IF(Recurring!$E$18="One Time",IF(15=1,Recurring!$F$18,""),""))))))</f>
        <v>46682</v>
      </c>
      <c r="G226" s="119" t="n">
        <f aca="false">IF($L226="","",IF(SUMIFS(Overrides!$D$9:$D$108,Overrides!$B$9:$B$108,$C226,Overrides!$C$9:$C$108,$L226)&gt;0,SUMIFS(Overrides!$D$9:$D$108,Overrides!$B$9:$B$108,$C226,Overrides!$C$9:$C$108,$L226),$L226))</f>
        <v>46682</v>
      </c>
      <c r="H226" s="120" t="n">
        <f aca="false">IF($G226="",0,IF(AND($G226&gt;='Cash Flow'!$E$6,$G226&lt;'Cash Flow'!$E$6+91),1,0))</f>
        <v>0</v>
      </c>
      <c r="I226" s="120" t="str">
        <f aca="false">IF($H226=1,MAX(1,INT(($G226-'Cash Flow'!$E$6)/7)+1),"")</f>
        <v/>
      </c>
      <c r="J226" s="7" t="str">
        <f aca="false">IF($H226=1,$G226*10000+ROW(),"")</f>
        <v/>
      </c>
      <c r="K226" s="7" t="str">
        <f aca="false">IF($H226=1,$I226*1000+COUNTIFS($I$4:$I$483,$I226,$J$4:$J$483,"&lt;"&amp;$J226)+1,"")</f>
        <v/>
      </c>
      <c r="L226" s="121" t="n">
        <f aca="false">IF($F226="","",IF(Recurring!$G$18="Move Before",IF(WEEKDAY($F226,2)=6,$F226-1,IF(WEEKDAY($F226,2)=7,$F226-2,$F226)),IF(Recurring!$G$18="Move After",IF(WEEKDAY($F226,2)=6,$F226+2,IF(WEEKDAY($F226,2)=7,$F226+1,$F226)),$F226)))</f>
        <v>46682</v>
      </c>
      <c r="M226" s="0" t="str">
        <f aca="true">IF(AND($H226=1,$D226="Expense",$G226&gt;TODAY(),$E226&gt;=100),$G226*100000+ROW(),"")</f>
        <v/>
      </c>
      <c r="N226" s="0" t="str">
        <f aca="true">IF(AND($H226=1,$D226="Income",$G226&gt;TODAY()),$G226*100000+ROW(),"")</f>
        <v/>
      </c>
    </row>
    <row r="227" customFormat="false" ht="15" hidden="false" customHeight="true" outlineLevel="0" collapsed="false">
      <c r="A227" s="117" t="n">
        <v>14</v>
      </c>
      <c r="B227" s="117" t="n">
        <v>16</v>
      </c>
      <c r="C227" s="7" t="str">
        <f aca="false">IF(OR(Recurring!$B$18="",Recurring!$H$18&lt;&gt;"Yes",Recurring!$D$18=""),"",Recurring!$B$18)</f>
        <v>Microsoft</v>
      </c>
      <c r="D227" s="7" t="str">
        <f aca="false">IF($C227="","",Recurring!$C$18)</f>
        <v>Expense</v>
      </c>
      <c r="E227" s="118" t="n">
        <f aca="false">IF($C227="","",IF(SUMIFS(Overrides!$E$9:$E$108,Overrides!$B$9:$B$108,$C227,Overrides!$C$9:$C$108,$L227)&gt;0,SUMIFS(Overrides!$E$9:$E$108,Overrides!$B$9:$B$108,$C227,Overrides!$C$9:$C$108,$L227),Recurring!$D$18))</f>
        <v>13.7</v>
      </c>
      <c r="F227" s="119" t="n">
        <f aca="false">IF($C227="","",IF(Recurring!$E$18="Weekly",Recurring!$F$18+7*15,IF(Recurring!$E$18="Every 2 Weeks",Recurring!$F$18+14*15,IF(Recurring!$E$18="Monthly",EDATE(Recurring!$F$18,15),IF(Recurring!$E$18="Twice a Month",IF(MOD((IF(DAY(Recurring!$F$18)&lt;=20,0,1)+15),2)=1,EOMONTH(Recurring!$F$18,INT((IF(DAY(Recurring!$F$18)&lt;=20,0,1)+15)/2)),DATE(YEAR(EDATE(Recurring!$F$18,INT((IF(DAY(Recurring!$F$18)&lt;=20,0,1)+15)/2))),MONTH(EDATE(Recurring!$F$18,INT((IF(DAY(Recurring!$F$18)&lt;=20,0,1)+15)/2))),15)),IF(Recurring!$E$18="One Time",IF(16=1,Recurring!$F$18,""),""))))))</f>
        <v>46713</v>
      </c>
      <c r="G227" s="119" t="n">
        <f aca="false">IF($L227="","",IF(SUMIFS(Overrides!$D$9:$D$108,Overrides!$B$9:$B$108,$C227,Overrides!$C$9:$C$108,$L227)&gt;0,SUMIFS(Overrides!$D$9:$D$108,Overrides!$B$9:$B$108,$C227,Overrides!$C$9:$C$108,$L227),$L227))</f>
        <v>46713</v>
      </c>
      <c r="H227" s="120" t="n">
        <f aca="false">IF($G227="",0,IF(AND($G227&gt;='Cash Flow'!$E$6,$G227&lt;'Cash Flow'!$E$6+91),1,0))</f>
        <v>0</v>
      </c>
      <c r="I227" s="120" t="str">
        <f aca="false">IF($H227=1,MAX(1,INT(($G227-'Cash Flow'!$E$6)/7)+1),"")</f>
        <v/>
      </c>
      <c r="J227" s="7" t="str">
        <f aca="false">IF($H227=1,$G227*10000+ROW(),"")</f>
        <v/>
      </c>
      <c r="K227" s="7" t="str">
        <f aca="false">IF($H227=1,$I227*1000+COUNTIFS($I$4:$I$483,$I227,$J$4:$J$483,"&lt;"&amp;$J227)+1,"")</f>
        <v/>
      </c>
      <c r="L227" s="121" t="n">
        <f aca="false">IF($F227="","",IF(Recurring!$G$18="Move Before",IF(WEEKDAY($F227,2)=6,$F227-1,IF(WEEKDAY($F227,2)=7,$F227-2,$F227)),IF(Recurring!$G$18="Move After",IF(WEEKDAY($F227,2)=6,$F227+2,IF(WEEKDAY($F227,2)=7,$F227+1,$F227)),$F227)))</f>
        <v>46713</v>
      </c>
      <c r="M227" s="0" t="str">
        <f aca="true">IF(AND($H227=1,$D227="Expense",$G227&gt;TODAY(),$E227&gt;=100),$G227*100000+ROW(),"")</f>
        <v/>
      </c>
      <c r="N227" s="0" t="str">
        <f aca="true">IF(AND($H227=1,$D227="Income",$G227&gt;TODAY()),$G227*100000+ROW(),"")</f>
        <v/>
      </c>
    </row>
    <row r="228" customFormat="false" ht="15" hidden="false" customHeight="true" outlineLevel="0" collapsed="false">
      <c r="A228" s="117" t="n">
        <v>15</v>
      </c>
      <c r="B228" s="117" t="n">
        <v>1</v>
      </c>
      <c r="C228" s="7" t="str">
        <f aca="false">IF(OR(Recurring!$B$19="",Recurring!$H$19&lt;&gt;"Yes",Recurring!$D$19=""),"",Recurring!$B$19)</f>
        <v/>
      </c>
      <c r="D228" s="7" t="str">
        <f aca="false">IF($C228="","",Recurring!$C$19)</f>
        <v/>
      </c>
      <c r="E228" s="118" t="str">
        <f aca="false">IF($C228="","",IF(SUMIFS(Overrides!$E$9:$E$108,Overrides!$B$9:$B$108,$C228,Overrides!$C$9:$C$108,$L228)&gt;0,SUMIFS(Overrides!$E$9:$E$108,Overrides!$B$9:$B$108,$C228,Overrides!$C$9:$C$108,$L228),Recurring!$D$19))</f>
        <v/>
      </c>
      <c r="F228" s="119" t="str">
        <f aca="false">IF($C228="","",IF(Recurring!$E$19="Weekly",Recurring!$F$19+7*0,IF(Recurring!$E$19="Every 2 Weeks",Recurring!$F$19+14*0,IF(Recurring!$E$19="Monthly",EDATE(Recurring!$F$19,0),IF(Recurring!$E$19="Twice a Month",IF(MOD((IF(DAY(Recurring!$F$19)&lt;=20,0,1)+0),2)=1,EOMONTH(Recurring!$F$19,INT((IF(DAY(Recurring!$F$19)&lt;=20,0,1)+0)/2)),DATE(YEAR(EDATE(Recurring!$F$19,INT((IF(DAY(Recurring!$F$19)&lt;=20,0,1)+0)/2))),MONTH(EDATE(Recurring!$F$19,INT((IF(DAY(Recurring!$F$19)&lt;=20,0,1)+0)/2))),15)),IF(Recurring!$E$19="One Time",IF(1=1,Recurring!$F$19,""),""))))))</f>
        <v/>
      </c>
      <c r="G228" s="119" t="str">
        <f aca="false">IF($L228="","",IF(SUMIFS(Overrides!$D$9:$D$108,Overrides!$B$9:$B$108,$C228,Overrides!$C$9:$C$108,$L228)&gt;0,SUMIFS(Overrides!$D$9:$D$108,Overrides!$B$9:$B$108,$C228,Overrides!$C$9:$C$108,$L228),$L228))</f>
        <v/>
      </c>
      <c r="H228" s="120" t="n">
        <f aca="false">IF($G228="",0,IF(AND($G228&gt;='Cash Flow'!$E$6-90,$G228&lt;'Cash Flow'!$E$6+91),1,0))</f>
        <v>0</v>
      </c>
      <c r="I228" s="120" t="str">
        <f aca="false">IF($H228=1,MAX(1,INT(($G228-'Cash Flow'!$E$6)/7)+1),"")</f>
        <v/>
      </c>
      <c r="J228" s="7" t="str">
        <f aca="false">IF($H228=1,$G228*10000+ROW(),"")</f>
        <v/>
      </c>
      <c r="K228" s="7" t="str">
        <f aca="false">IF($H228=1,$I228*1000+COUNTIFS($I$4:$I$483,$I228,$J$4:$J$483,"&lt;"&amp;$J228)+1,"")</f>
        <v/>
      </c>
      <c r="L228" s="121" t="str">
        <f aca="false">IF($F228="","",IF(Recurring!$G$19="Move Before",IF(WEEKDAY($F228,2)=6,$F228-1,IF(WEEKDAY($F228,2)=7,$F228-2,$F228)),IF(Recurring!$G$19="Move After",IF(WEEKDAY($F228,2)=6,$F228+2,IF(WEEKDAY($F228,2)=7,$F228+1,$F228)),$F228)))</f>
        <v/>
      </c>
      <c r="M228" s="0" t="str">
        <f aca="true">IF(AND($H228=1,$D228="Expense",$G228&gt;TODAY(),$E228&gt;=100),$G228*100000+ROW(),"")</f>
        <v/>
      </c>
      <c r="N228" s="0" t="str">
        <f aca="true">IF(AND($H228=1,$D228="Income",$G228&gt;TODAY()),$G228*100000+ROW(),"")</f>
        <v/>
      </c>
    </row>
    <row r="229" customFormat="false" ht="15" hidden="false" customHeight="true" outlineLevel="0" collapsed="false">
      <c r="A229" s="117" t="n">
        <v>15</v>
      </c>
      <c r="B229" s="117" t="n">
        <v>2</v>
      </c>
      <c r="C229" s="7" t="str">
        <f aca="false">IF(OR(Recurring!$B$19="",Recurring!$H$19&lt;&gt;"Yes",Recurring!$D$19=""),"",Recurring!$B$19)</f>
        <v/>
      </c>
      <c r="D229" s="7" t="str">
        <f aca="false">IF($C229="","",Recurring!$C$19)</f>
        <v/>
      </c>
      <c r="E229" s="118" t="str">
        <f aca="false">IF($C229="","",IF(SUMIFS(Overrides!$E$9:$E$108,Overrides!$B$9:$B$108,$C229,Overrides!$C$9:$C$108,$L229)&gt;0,SUMIFS(Overrides!$E$9:$E$108,Overrides!$B$9:$B$108,$C229,Overrides!$C$9:$C$108,$L229),Recurring!$D$19))</f>
        <v/>
      </c>
      <c r="F229" s="119" t="str">
        <f aca="false">IF($C229="","",IF(Recurring!$E$19="Weekly",Recurring!$F$19+7*1,IF(Recurring!$E$19="Every 2 Weeks",Recurring!$F$19+14*1,IF(Recurring!$E$19="Monthly",EDATE(Recurring!$F$19,1),IF(Recurring!$E$19="Twice a Month",IF(MOD((IF(DAY(Recurring!$F$19)&lt;=20,0,1)+1),2)=1,EOMONTH(Recurring!$F$19,INT((IF(DAY(Recurring!$F$19)&lt;=20,0,1)+1)/2)),DATE(YEAR(EDATE(Recurring!$F$19,INT((IF(DAY(Recurring!$F$19)&lt;=20,0,1)+1)/2))),MONTH(EDATE(Recurring!$F$19,INT((IF(DAY(Recurring!$F$19)&lt;=20,0,1)+1)/2))),15)),IF(Recurring!$E$19="One Time",IF(2=1,Recurring!$F$19,""),""))))))</f>
        <v/>
      </c>
      <c r="G229" s="119" t="str">
        <f aca="false">IF($L229="","",IF(SUMIFS(Overrides!$D$9:$D$108,Overrides!$B$9:$B$108,$C229,Overrides!$C$9:$C$108,$L229)&gt;0,SUMIFS(Overrides!$D$9:$D$108,Overrides!$B$9:$B$108,$C229,Overrides!$C$9:$C$108,$L229),$L229))</f>
        <v/>
      </c>
      <c r="H229" s="120" t="n">
        <f aca="false">IF($G229="",0,IF(AND($G229&gt;='Cash Flow'!$E$6,$G229&lt;'Cash Flow'!$E$6+91),1,0))</f>
        <v>0</v>
      </c>
      <c r="I229" s="120" t="str">
        <f aca="false">IF($H229=1,MAX(1,INT(($G229-'Cash Flow'!$E$6)/7)+1),"")</f>
        <v/>
      </c>
      <c r="J229" s="7" t="str">
        <f aca="false">IF($H229=1,$G229*10000+ROW(),"")</f>
        <v/>
      </c>
      <c r="K229" s="7" t="str">
        <f aca="false">IF($H229=1,$I229*1000+COUNTIFS($I$4:$I$483,$I229,$J$4:$J$483,"&lt;"&amp;$J229)+1,"")</f>
        <v/>
      </c>
      <c r="L229" s="121" t="str">
        <f aca="false">IF($F229="","",IF(Recurring!$G$19="Move Before",IF(WEEKDAY($F229,2)=6,$F229-1,IF(WEEKDAY($F229,2)=7,$F229-2,$F229)),IF(Recurring!$G$19="Move After",IF(WEEKDAY($F229,2)=6,$F229+2,IF(WEEKDAY($F229,2)=7,$F229+1,$F229)),$F229)))</f>
        <v/>
      </c>
      <c r="M229" s="0" t="str">
        <f aca="true">IF(AND($H229=1,$D229="Expense",$G229&gt;TODAY(),$E229&gt;=100),$G229*100000+ROW(),"")</f>
        <v/>
      </c>
      <c r="N229" s="0" t="str">
        <f aca="true">IF(AND($H229=1,$D229="Income",$G229&gt;TODAY()),$G229*100000+ROW(),"")</f>
        <v/>
      </c>
    </row>
    <row r="230" customFormat="false" ht="15" hidden="false" customHeight="true" outlineLevel="0" collapsed="false">
      <c r="A230" s="117" t="n">
        <v>15</v>
      </c>
      <c r="B230" s="117" t="n">
        <v>3</v>
      </c>
      <c r="C230" s="7" t="str">
        <f aca="false">IF(OR(Recurring!$B$19="",Recurring!$H$19&lt;&gt;"Yes",Recurring!$D$19=""),"",Recurring!$B$19)</f>
        <v/>
      </c>
      <c r="D230" s="7" t="str">
        <f aca="false">IF($C230="","",Recurring!$C$19)</f>
        <v/>
      </c>
      <c r="E230" s="118" t="str">
        <f aca="false">IF($C230="","",IF(SUMIFS(Overrides!$E$9:$E$108,Overrides!$B$9:$B$108,$C230,Overrides!$C$9:$C$108,$L230)&gt;0,SUMIFS(Overrides!$E$9:$E$108,Overrides!$B$9:$B$108,$C230,Overrides!$C$9:$C$108,$L230),Recurring!$D$19))</f>
        <v/>
      </c>
      <c r="F230" s="119" t="str">
        <f aca="false">IF($C230="","",IF(Recurring!$E$19="Weekly",Recurring!$F$19+7*2,IF(Recurring!$E$19="Every 2 Weeks",Recurring!$F$19+14*2,IF(Recurring!$E$19="Monthly",EDATE(Recurring!$F$19,2),IF(Recurring!$E$19="Twice a Month",IF(MOD((IF(DAY(Recurring!$F$19)&lt;=20,0,1)+2),2)=1,EOMONTH(Recurring!$F$19,INT((IF(DAY(Recurring!$F$19)&lt;=20,0,1)+2)/2)),DATE(YEAR(EDATE(Recurring!$F$19,INT((IF(DAY(Recurring!$F$19)&lt;=20,0,1)+2)/2))),MONTH(EDATE(Recurring!$F$19,INT((IF(DAY(Recurring!$F$19)&lt;=20,0,1)+2)/2))),15)),IF(Recurring!$E$19="One Time",IF(3=1,Recurring!$F$19,""),""))))))</f>
        <v/>
      </c>
      <c r="G230" s="119" t="str">
        <f aca="false">IF($L230="","",IF(SUMIFS(Overrides!$D$9:$D$108,Overrides!$B$9:$B$108,$C230,Overrides!$C$9:$C$108,$L230)&gt;0,SUMIFS(Overrides!$D$9:$D$108,Overrides!$B$9:$B$108,$C230,Overrides!$C$9:$C$108,$L230),$L230))</f>
        <v/>
      </c>
      <c r="H230" s="120" t="n">
        <f aca="false">IF($G230="",0,IF(AND($G230&gt;='Cash Flow'!$E$6,$G230&lt;'Cash Flow'!$E$6+91),1,0))</f>
        <v>0</v>
      </c>
      <c r="I230" s="120" t="str">
        <f aca="false">IF($H230=1,MAX(1,INT(($G230-'Cash Flow'!$E$6)/7)+1),"")</f>
        <v/>
      </c>
      <c r="J230" s="7" t="str">
        <f aca="false">IF($H230=1,$G230*10000+ROW(),"")</f>
        <v/>
      </c>
      <c r="K230" s="7" t="str">
        <f aca="false">IF($H230=1,$I230*1000+COUNTIFS($I$4:$I$483,$I230,$J$4:$J$483,"&lt;"&amp;$J230)+1,"")</f>
        <v/>
      </c>
      <c r="L230" s="121" t="str">
        <f aca="false">IF($F230="","",IF(Recurring!$G$19="Move Before",IF(WEEKDAY($F230,2)=6,$F230-1,IF(WEEKDAY($F230,2)=7,$F230-2,$F230)),IF(Recurring!$G$19="Move After",IF(WEEKDAY($F230,2)=6,$F230+2,IF(WEEKDAY($F230,2)=7,$F230+1,$F230)),$F230)))</f>
        <v/>
      </c>
      <c r="M230" s="0" t="str">
        <f aca="true">IF(AND($H230=1,$D230="Expense",$G230&gt;TODAY(),$E230&gt;=100),$G230*100000+ROW(),"")</f>
        <v/>
      </c>
      <c r="N230" s="0" t="str">
        <f aca="true">IF(AND($H230=1,$D230="Income",$G230&gt;TODAY()),$G230*100000+ROW(),"")</f>
        <v/>
      </c>
    </row>
    <row r="231" customFormat="false" ht="15" hidden="false" customHeight="true" outlineLevel="0" collapsed="false">
      <c r="A231" s="117" t="n">
        <v>15</v>
      </c>
      <c r="B231" s="117" t="n">
        <v>4</v>
      </c>
      <c r="C231" s="7" t="str">
        <f aca="false">IF(OR(Recurring!$B$19="",Recurring!$H$19&lt;&gt;"Yes",Recurring!$D$19=""),"",Recurring!$B$19)</f>
        <v/>
      </c>
      <c r="D231" s="7" t="str">
        <f aca="false">IF($C231="","",Recurring!$C$19)</f>
        <v/>
      </c>
      <c r="E231" s="118" t="str">
        <f aca="false">IF($C231="","",IF(SUMIFS(Overrides!$E$9:$E$108,Overrides!$B$9:$B$108,$C231,Overrides!$C$9:$C$108,$L231)&gt;0,SUMIFS(Overrides!$E$9:$E$108,Overrides!$B$9:$B$108,$C231,Overrides!$C$9:$C$108,$L231),Recurring!$D$19))</f>
        <v/>
      </c>
      <c r="F231" s="119" t="str">
        <f aca="false">IF($C231="","",IF(Recurring!$E$19="Weekly",Recurring!$F$19+7*3,IF(Recurring!$E$19="Every 2 Weeks",Recurring!$F$19+14*3,IF(Recurring!$E$19="Monthly",EDATE(Recurring!$F$19,3),IF(Recurring!$E$19="Twice a Month",IF(MOD((IF(DAY(Recurring!$F$19)&lt;=20,0,1)+3),2)=1,EOMONTH(Recurring!$F$19,INT((IF(DAY(Recurring!$F$19)&lt;=20,0,1)+3)/2)),DATE(YEAR(EDATE(Recurring!$F$19,INT((IF(DAY(Recurring!$F$19)&lt;=20,0,1)+3)/2))),MONTH(EDATE(Recurring!$F$19,INT((IF(DAY(Recurring!$F$19)&lt;=20,0,1)+3)/2))),15)),IF(Recurring!$E$19="One Time",IF(4=1,Recurring!$F$19,""),""))))))</f>
        <v/>
      </c>
      <c r="G231" s="119" t="str">
        <f aca="false">IF($L231="","",IF(SUMIFS(Overrides!$D$9:$D$108,Overrides!$B$9:$B$108,$C231,Overrides!$C$9:$C$108,$L231)&gt;0,SUMIFS(Overrides!$D$9:$D$108,Overrides!$B$9:$B$108,$C231,Overrides!$C$9:$C$108,$L231),$L231))</f>
        <v/>
      </c>
      <c r="H231" s="120" t="n">
        <f aca="false">IF($G231="",0,IF(AND($G231&gt;='Cash Flow'!$E$6,$G231&lt;'Cash Flow'!$E$6+91),1,0))</f>
        <v>0</v>
      </c>
      <c r="I231" s="120" t="str">
        <f aca="false">IF($H231=1,MAX(1,INT(($G231-'Cash Flow'!$E$6)/7)+1),"")</f>
        <v/>
      </c>
      <c r="J231" s="7" t="str">
        <f aca="false">IF($H231=1,$G231*10000+ROW(),"")</f>
        <v/>
      </c>
      <c r="K231" s="7" t="str">
        <f aca="false">IF($H231=1,$I231*1000+COUNTIFS($I$4:$I$483,$I231,$J$4:$J$483,"&lt;"&amp;$J231)+1,"")</f>
        <v/>
      </c>
      <c r="L231" s="121" t="str">
        <f aca="false">IF($F231="","",IF(Recurring!$G$19="Move Before",IF(WEEKDAY($F231,2)=6,$F231-1,IF(WEEKDAY($F231,2)=7,$F231-2,$F231)),IF(Recurring!$G$19="Move After",IF(WEEKDAY($F231,2)=6,$F231+2,IF(WEEKDAY($F231,2)=7,$F231+1,$F231)),$F231)))</f>
        <v/>
      </c>
      <c r="M231" s="0" t="str">
        <f aca="true">IF(AND($H231=1,$D231="Expense",$G231&gt;TODAY(),$E231&gt;=100),$G231*100000+ROW(),"")</f>
        <v/>
      </c>
      <c r="N231" s="0" t="str">
        <f aca="true">IF(AND($H231=1,$D231="Income",$G231&gt;TODAY()),$G231*100000+ROW(),"")</f>
        <v/>
      </c>
    </row>
    <row r="232" customFormat="false" ht="15" hidden="false" customHeight="true" outlineLevel="0" collapsed="false">
      <c r="A232" s="117" t="n">
        <v>15</v>
      </c>
      <c r="B232" s="117" t="n">
        <v>5</v>
      </c>
      <c r="C232" s="7" t="str">
        <f aca="false">IF(OR(Recurring!$B$19="",Recurring!$H$19&lt;&gt;"Yes",Recurring!$D$19=""),"",Recurring!$B$19)</f>
        <v/>
      </c>
      <c r="D232" s="7" t="str">
        <f aca="false">IF($C232="","",Recurring!$C$19)</f>
        <v/>
      </c>
      <c r="E232" s="118" t="str">
        <f aca="false">IF($C232="","",IF(SUMIFS(Overrides!$E$9:$E$108,Overrides!$B$9:$B$108,$C232,Overrides!$C$9:$C$108,$L232)&gt;0,SUMIFS(Overrides!$E$9:$E$108,Overrides!$B$9:$B$108,$C232,Overrides!$C$9:$C$108,$L232),Recurring!$D$19))</f>
        <v/>
      </c>
      <c r="F232" s="119" t="str">
        <f aca="false">IF($C232="","",IF(Recurring!$E$19="Weekly",Recurring!$F$19+7*4,IF(Recurring!$E$19="Every 2 Weeks",Recurring!$F$19+14*4,IF(Recurring!$E$19="Monthly",EDATE(Recurring!$F$19,4),IF(Recurring!$E$19="Twice a Month",IF(MOD((IF(DAY(Recurring!$F$19)&lt;=20,0,1)+4),2)=1,EOMONTH(Recurring!$F$19,INT((IF(DAY(Recurring!$F$19)&lt;=20,0,1)+4)/2)),DATE(YEAR(EDATE(Recurring!$F$19,INT((IF(DAY(Recurring!$F$19)&lt;=20,0,1)+4)/2))),MONTH(EDATE(Recurring!$F$19,INT((IF(DAY(Recurring!$F$19)&lt;=20,0,1)+4)/2))),15)),IF(Recurring!$E$19="One Time",IF(5=1,Recurring!$F$19,""),""))))))</f>
        <v/>
      </c>
      <c r="G232" s="119" t="str">
        <f aca="false">IF($L232="","",IF(SUMIFS(Overrides!$D$9:$D$108,Overrides!$B$9:$B$108,$C232,Overrides!$C$9:$C$108,$L232)&gt;0,SUMIFS(Overrides!$D$9:$D$108,Overrides!$B$9:$B$108,$C232,Overrides!$C$9:$C$108,$L232),$L232))</f>
        <v/>
      </c>
      <c r="H232" s="120" t="n">
        <f aca="false">IF($G232="",0,IF(AND($G232&gt;='Cash Flow'!$E$6,$G232&lt;'Cash Flow'!$E$6+91),1,0))</f>
        <v>0</v>
      </c>
      <c r="I232" s="120" t="str">
        <f aca="false">IF($H232=1,MAX(1,INT(($G232-'Cash Flow'!$E$6)/7)+1),"")</f>
        <v/>
      </c>
      <c r="J232" s="7" t="str">
        <f aca="false">IF($H232=1,$G232*10000+ROW(),"")</f>
        <v/>
      </c>
      <c r="K232" s="7" t="str">
        <f aca="false">IF($H232=1,$I232*1000+COUNTIFS($I$4:$I$483,$I232,$J$4:$J$483,"&lt;"&amp;$J232)+1,"")</f>
        <v/>
      </c>
      <c r="L232" s="121" t="str">
        <f aca="false">IF($F232="","",IF(Recurring!$G$19="Move Before",IF(WEEKDAY($F232,2)=6,$F232-1,IF(WEEKDAY($F232,2)=7,$F232-2,$F232)),IF(Recurring!$G$19="Move After",IF(WEEKDAY($F232,2)=6,$F232+2,IF(WEEKDAY($F232,2)=7,$F232+1,$F232)),$F232)))</f>
        <v/>
      </c>
      <c r="M232" s="0" t="str">
        <f aca="true">IF(AND($H232=1,$D232="Expense",$G232&gt;TODAY(),$E232&gt;=100),$G232*100000+ROW(),"")</f>
        <v/>
      </c>
      <c r="N232" s="0" t="str">
        <f aca="true">IF(AND($H232=1,$D232="Income",$G232&gt;TODAY()),$G232*100000+ROW(),"")</f>
        <v/>
      </c>
    </row>
    <row r="233" customFormat="false" ht="15" hidden="false" customHeight="true" outlineLevel="0" collapsed="false">
      <c r="A233" s="117" t="n">
        <v>15</v>
      </c>
      <c r="B233" s="117" t="n">
        <v>6</v>
      </c>
      <c r="C233" s="7" t="str">
        <f aca="false">IF(OR(Recurring!$B$19="",Recurring!$H$19&lt;&gt;"Yes",Recurring!$D$19=""),"",Recurring!$B$19)</f>
        <v/>
      </c>
      <c r="D233" s="7" t="str">
        <f aca="false">IF($C233="","",Recurring!$C$19)</f>
        <v/>
      </c>
      <c r="E233" s="118" t="str">
        <f aca="false">IF($C233="","",IF(SUMIFS(Overrides!$E$9:$E$108,Overrides!$B$9:$B$108,$C233,Overrides!$C$9:$C$108,$L233)&gt;0,SUMIFS(Overrides!$E$9:$E$108,Overrides!$B$9:$B$108,$C233,Overrides!$C$9:$C$108,$L233),Recurring!$D$19))</f>
        <v/>
      </c>
      <c r="F233" s="119" t="str">
        <f aca="false">IF($C233="","",IF(Recurring!$E$19="Weekly",Recurring!$F$19+7*5,IF(Recurring!$E$19="Every 2 Weeks",Recurring!$F$19+14*5,IF(Recurring!$E$19="Monthly",EDATE(Recurring!$F$19,5),IF(Recurring!$E$19="Twice a Month",IF(MOD((IF(DAY(Recurring!$F$19)&lt;=20,0,1)+5),2)=1,EOMONTH(Recurring!$F$19,INT((IF(DAY(Recurring!$F$19)&lt;=20,0,1)+5)/2)),DATE(YEAR(EDATE(Recurring!$F$19,INT((IF(DAY(Recurring!$F$19)&lt;=20,0,1)+5)/2))),MONTH(EDATE(Recurring!$F$19,INT((IF(DAY(Recurring!$F$19)&lt;=20,0,1)+5)/2))),15)),IF(Recurring!$E$19="One Time",IF(6=1,Recurring!$F$19,""),""))))))</f>
        <v/>
      </c>
      <c r="G233" s="119" t="str">
        <f aca="false">IF($L233="","",IF(SUMIFS(Overrides!$D$9:$D$108,Overrides!$B$9:$B$108,$C233,Overrides!$C$9:$C$108,$L233)&gt;0,SUMIFS(Overrides!$D$9:$D$108,Overrides!$B$9:$B$108,$C233,Overrides!$C$9:$C$108,$L233),$L233))</f>
        <v/>
      </c>
      <c r="H233" s="120" t="n">
        <f aca="false">IF($G233="",0,IF(AND($G233&gt;='Cash Flow'!$E$6,$G233&lt;'Cash Flow'!$E$6+91),1,0))</f>
        <v>0</v>
      </c>
      <c r="I233" s="120" t="str">
        <f aca="false">IF($H233=1,MAX(1,INT(($G233-'Cash Flow'!$E$6)/7)+1),"")</f>
        <v/>
      </c>
      <c r="J233" s="7" t="str">
        <f aca="false">IF($H233=1,$G233*10000+ROW(),"")</f>
        <v/>
      </c>
      <c r="K233" s="7" t="str">
        <f aca="false">IF($H233=1,$I233*1000+COUNTIFS($I$4:$I$483,$I233,$J$4:$J$483,"&lt;"&amp;$J233)+1,"")</f>
        <v/>
      </c>
      <c r="L233" s="121" t="str">
        <f aca="false">IF($F233="","",IF(Recurring!$G$19="Move Before",IF(WEEKDAY($F233,2)=6,$F233-1,IF(WEEKDAY($F233,2)=7,$F233-2,$F233)),IF(Recurring!$G$19="Move After",IF(WEEKDAY($F233,2)=6,$F233+2,IF(WEEKDAY($F233,2)=7,$F233+1,$F233)),$F233)))</f>
        <v/>
      </c>
      <c r="M233" s="0" t="str">
        <f aca="true">IF(AND($H233=1,$D233="Expense",$G233&gt;TODAY(),$E233&gt;=100),$G233*100000+ROW(),"")</f>
        <v/>
      </c>
      <c r="N233" s="0" t="str">
        <f aca="true">IF(AND($H233=1,$D233="Income",$G233&gt;TODAY()),$G233*100000+ROW(),"")</f>
        <v/>
      </c>
    </row>
    <row r="234" customFormat="false" ht="15" hidden="false" customHeight="true" outlineLevel="0" collapsed="false">
      <c r="A234" s="117" t="n">
        <v>15</v>
      </c>
      <c r="B234" s="117" t="n">
        <v>7</v>
      </c>
      <c r="C234" s="7" t="str">
        <f aca="false">IF(OR(Recurring!$B$19="",Recurring!$H$19&lt;&gt;"Yes",Recurring!$D$19=""),"",Recurring!$B$19)</f>
        <v/>
      </c>
      <c r="D234" s="7" t="str">
        <f aca="false">IF($C234="","",Recurring!$C$19)</f>
        <v/>
      </c>
      <c r="E234" s="118" t="str">
        <f aca="false">IF($C234="","",IF(SUMIFS(Overrides!$E$9:$E$108,Overrides!$B$9:$B$108,$C234,Overrides!$C$9:$C$108,$L234)&gt;0,SUMIFS(Overrides!$E$9:$E$108,Overrides!$B$9:$B$108,$C234,Overrides!$C$9:$C$108,$L234),Recurring!$D$19))</f>
        <v/>
      </c>
      <c r="F234" s="119" t="str">
        <f aca="false">IF($C234="","",IF(Recurring!$E$19="Weekly",Recurring!$F$19+7*6,IF(Recurring!$E$19="Every 2 Weeks",Recurring!$F$19+14*6,IF(Recurring!$E$19="Monthly",EDATE(Recurring!$F$19,6),IF(Recurring!$E$19="Twice a Month",IF(MOD((IF(DAY(Recurring!$F$19)&lt;=20,0,1)+6),2)=1,EOMONTH(Recurring!$F$19,INT((IF(DAY(Recurring!$F$19)&lt;=20,0,1)+6)/2)),DATE(YEAR(EDATE(Recurring!$F$19,INT((IF(DAY(Recurring!$F$19)&lt;=20,0,1)+6)/2))),MONTH(EDATE(Recurring!$F$19,INT((IF(DAY(Recurring!$F$19)&lt;=20,0,1)+6)/2))),15)),IF(Recurring!$E$19="One Time",IF(7=1,Recurring!$F$19,""),""))))))</f>
        <v/>
      </c>
      <c r="G234" s="119" t="str">
        <f aca="false">IF($L234="","",IF(SUMIFS(Overrides!$D$9:$D$108,Overrides!$B$9:$B$108,$C234,Overrides!$C$9:$C$108,$L234)&gt;0,SUMIFS(Overrides!$D$9:$D$108,Overrides!$B$9:$B$108,$C234,Overrides!$C$9:$C$108,$L234),$L234))</f>
        <v/>
      </c>
      <c r="H234" s="120" t="n">
        <f aca="false">IF($G234="",0,IF(AND($G234&gt;='Cash Flow'!$E$6,$G234&lt;'Cash Flow'!$E$6+91),1,0))</f>
        <v>0</v>
      </c>
      <c r="I234" s="120" t="str">
        <f aca="false">IF($H234=1,MAX(1,INT(($G234-'Cash Flow'!$E$6)/7)+1),"")</f>
        <v/>
      </c>
      <c r="J234" s="7" t="str">
        <f aca="false">IF($H234=1,$G234*10000+ROW(),"")</f>
        <v/>
      </c>
      <c r="K234" s="7" t="str">
        <f aca="false">IF($H234=1,$I234*1000+COUNTIFS($I$4:$I$483,$I234,$J$4:$J$483,"&lt;"&amp;$J234)+1,"")</f>
        <v/>
      </c>
      <c r="L234" s="121" t="str">
        <f aca="false">IF($F234="","",IF(Recurring!$G$19="Move Before",IF(WEEKDAY($F234,2)=6,$F234-1,IF(WEEKDAY($F234,2)=7,$F234-2,$F234)),IF(Recurring!$G$19="Move After",IF(WEEKDAY($F234,2)=6,$F234+2,IF(WEEKDAY($F234,2)=7,$F234+1,$F234)),$F234)))</f>
        <v/>
      </c>
      <c r="M234" s="0" t="str">
        <f aca="true">IF(AND($H234=1,$D234="Expense",$G234&gt;TODAY(),$E234&gt;=100),$G234*100000+ROW(),"")</f>
        <v/>
      </c>
      <c r="N234" s="0" t="str">
        <f aca="true">IF(AND($H234=1,$D234="Income",$G234&gt;TODAY()),$G234*100000+ROW(),"")</f>
        <v/>
      </c>
    </row>
    <row r="235" customFormat="false" ht="15" hidden="false" customHeight="true" outlineLevel="0" collapsed="false">
      <c r="A235" s="117" t="n">
        <v>15</v>
      </c>
      <c r="B235" s="117" t="n">
        <v>8</v>
      </c>
      <c r="C235" s="7" t="str">
        <f aca="false">IF(OR(Recurring!$B$19="",Recurring!$H$19&lt;&gt;"Yes",Recurring!$D$19=""),"",Recurring!$B$19)</f>
        <v/>
      </c>
      <c r="D235" s="7" t="str">
        <f aca="false">IF($C235="","",Recurring!$C$19)</f>
        <v/>
      </c>
      <c r="E235" s="118" t="str">
        <f aca="false">IF($C235="","",IF(SUMIFS(Overrides!$E$9:$E$108,Overrides!$B$9:$B$108,$C235,Overrides!$C$9:$C$108,$L235)&gt;0,SUMIFS(Overrides!$E$9:$E$108,Overrides!$B$9:$B$108,$C235,Overrides!$C$9:$C$108,$L235),Recurring!$D$19))</f>
        <v/>
      </c>
      <c r="F235" s="119" t="str">
        <f aca="false">IF($C235="","",IF(Recurring!$E$19="Weekly",Recurring!$F$19+7*7,IF(Recurring!$E$19="Every 2 Weeks",Recurring!$F$19+14*7,IF(Recurring!$E$19="Monthly",EDATE(Recurring!$F$19,7),IF(Recurring!$E$19="Twice a Month",IF(MOD((IF(DAY(Recurring!$F$19)&lt;=20,0,1)+7),2)=1,EOMONTH(Recurring!$F$19,INT((IF(DAY(Recurring!$F$19)&lt;=20,0,1)+7)/2)),DATE(YEAR(EDATE(Recurring!$F$19,INT((IF(DAY(Recurring!$F$19)&lt;=20,0,1)+7)/2))),MONTH(EDATE(Recurring!$F$19,INT((IF(DAY(Recurring!$F$19)&lt;=20,0,1)+7)/2))),15)),IF(Recurring!$E$19="One Time",IF(8=1,Recurring!$F$19,""),""))))))</f>
        <v/>
      </c>
      <c r="G235" s="119" t="str">
        <f aca="false">IF($L235="","",IF(SUMIFS(Overrides!$D$9:$D$108,Overrides!$B$9:$B$108,$C235,Overrides!$C$9:$C$108,$L235)&gt;0,SUMIFS(Overrides!$D$9:$D$108,Overrides!$B$9:$B$108,$C235,Overrides!$C$9:$C$108,$L235),$L235))</f>
        <v/>
      </c>
      <c r="H235" s="120" t="n">
        <f aca="false">IF($G235="",0,IF(AND($G235&gt;='Cash Flow'!$E$6,$G235&lt;'Cash Flow'!$E$6+91),1,0))</f>
        <v>0</v>
      </c>
      <c r="I235" s="120" t="str">
        <f aca="false">IF($H235=1,MAX(1,INT(($G235-'Cash Flow'!$E$6)/7)+1),"")</f>
        <v/>
      </c>
      <c r="J235" s="7" t="str">
        <f aca="false">IF($H235=1,$G235*10000+ROW(),"")</f>
        <v/>
      </c>
      <c r="K235" s="7" t="str">
        <f aca="false">IF($H235=1,$I235*1000+COUNTIFS($I$4:$I$483,$I235,$J$4:$J$483,"&lt;"&amp;$J235)+1,"")</f>
        <v/>
      </c>
      <c r="L235" s="121" t="str">
        <f aca="false">IF($F235="","",IF(Recurring!$G$19="Move Before",IF(WEEKDAY($F235,2)=6,$F235-1,IF(WEEKDAY($F235,2)=7,$F235-2,$F235)),IF(Recurring!$G$19="Move After",IF(WEEKDAY($F235,2)=6,$F235+2,IF(WEEKDAY($F235,2)=7,$F235+1,$F235)),$F235)))</f>
        <v/>
      </c>
      <c r="M235" s="0" t="str">
        <f aca="true">IF(AND($H235=1,$D235="Expense",$G235&gt;TODAY(),$E235&gt;=100),$G235*100000+ROW(),"")</f>
        <v/>
      </c>
      <c r="N235" s="0" t="str">
        <f aca="true">IF(AND($H235=1,$D235="Income",$G235&gt;TODAY()),$G235*100000+ROW(),"")</f>
        <v/>
      </c>
    </row>
    <row r="236" customFormat="false" ht="15" hidden="false" customHeight="true" outlineLevel="0" collapsed="false">
      <c r="A236" s="117" t="n">
        <v>15</v>
      </c>
      <c r="B236" s="117" t="n">
        <v>9</v>
      </c>
      <c r="C236" s="7" t="str">
        <f aca="false">IF(OR(Recurring!$B$19="",Recurring!$H$19&lt;&gt;"Yes",Recurring!$D$19=""),"",Recurring!$B$19)</f>
        <v/>
      </c>
      <c r="D236" s="7" t="str">
        <f aca="false">IF($C236="","",Recurring!$C$19)</f>
        <v/>
      </c>
      <c r="E236" s="118" t="str">
        <f aca="false">IF($C236="","",IF(SUMIFS(Overrides!$E$9:$E$108,Overrides!$B$9:$B$108,$C236,Overrides!$C$9:$C$108,$L236)&gt;0,SUMIFS(Overrides!$E$9:$E$108,Overrides!$B$9:$B$108,$C236,Overrides!$C$9:$C$108,$L236),Recurring!$D$19))</f>
        <v/>
      </c>
      <c r="F236" s="119" t="str">
        <f aca="false">IF($C236="","",IF(Recurring!$E$19="Weekly",Recurring!$F$19+7*8,IF(Recurring!$E$19="Every 2 Weeks",Recurring!$F$19+14*8,IF(Recurring!$E$19="Monthly",EDATE(Recurring!$F$19,8),IF(Recurring!$E$19="Twice a Month",IF(MOD((IF(DAY(Recurring!$F$19)&lt;=20,0,1)+8),2)=1,EOMONTH(Recurring!$F$19,INT((IF(DAY(Recurring!$F$19)&lt;=20,0,1)+8)/2)),DATE(YEAR(EDATE(Recurring!$F$19,INT((IF(DAY(Recurring!$F$19)&lt;=20,0,1)+8)/2))),MONTH(EDATE(Recurring!$F$19,INT((IF(DAY(Recurring!$F$19)&lt;=20,0,1)+8)/2))),15)),IF(Recurring!$E$19="One Time",IF(9=1,Recurring!$F$19,""),""))))))</f>
        <v/>
      </c>
      <c r="G236" s="119" t="str">
        <f aca="false">IF($L236="","",IF(SUMIFS(Overrides!$D$9:$D$108,Overrides!$B$9:$B$108,$C236,Overrides!$C$9:$C$108,$L236)&gt;0,SUMIFS(Overrides!$D$9:$D$108,Overrides!$B$9:$B$108,$C236,Overrides!$C$9:$C$108,$L236),$L236))</f>
        <v/>
      </c>
      <c r="H236" s="120" t="n">
        <f aca="false">IF($G236="",0,IF(AND($G236&gt;='Cash Flow'!$E$6,$G236&lt;'Cash Flow'!$E$6+91),1,0))</f>
        <v>0</v>
      </c>
      <c r="I236" s="120" t="str">
        <f aca="false">IF($H236=1,MAX(1,INT(($G236-'Cash Flow'!$E$6)/7)+1),"")</f>
        <v/>
      </c>
      <c r="J236" s="7" t="str">
        <f aca="false">IF($H236=1,$G236*10000+ROW(),"")</f>
        <v/>
      </c>
      <c r="K236" s="7" t="str">
        <f aca="false">IF($H236=1,$I236*1000+COUNTIFS($I$4:$I$483,$I236,$J$4:$J$483,"&lt;"&amp;$J236)+1,"")</f>
        <v/>
      </c>
      <c r="L236" s="121" t="str">
        <f aca="false">IF($F236="","",IF(Recurring!$G$19="Move Before",IF(WEEKDAY($F236,2)=6,$F236-1,IF(WEEKDAY($F236,2)=7,$F236-2,$F236)),IF(Recurring!$G$19="Move After",IF(WEEKDAY($F236,2)=6,$F236+2,IF(WEEKDAY($F236,2)=7,$F236+1,$F236)),$F236)))</f>
        <v/>
      </c>
      <c r="M236" s="0" t="str">
        <f aca="true">IF(AND($H236=1,$D236="Expense",$G236&gt;TODAY(),$E236&gt;=100),$G236*100000+ROW(),"")</f>
        <v/>
      </c>
      <c r="N236" s="0" t="str">
        <f aca="true">IF(AND($H236=1,$D236="Income",$G236&gt;TODAY()),$G236*100000+ROW(),"")</f>
        <v/>
      </c>
    </row>
    <row r="237" customFormat="false" ht="15" hidden="false" customHeight="true" outlineLevel="0" collapsed="false">
      <c r="A237" s="117" t="n">
        <v>15</v>
      </c>
      <c r="B237" s="117" t="n">
        <v>10</v>
      </c>
      <c r="C237" s="7" t="str">
        <f aca="false">IF(OR(Recurring!$B$19="",Recurring!$H$19&lt;&gt;"Yes",Recurring!$D$19=""),"",Recurring!$B$19)</f>
        <v/>
      </c>
      <c r="D237" s="7" t="str">
        <f aca="false">IF($C237="","",Recurring!$C$19)</f>
        <v/>
      </c>
      <c r="E237" s="118" t="str">
        <f aca="false">IF($C237="","",IF(SUMIFS(Overrides!$E$9:$E$108,Overrides!$B$9:$B$108,$C237,Overrides!$C$9:$C$108,$L237)&gt;0,SUMIFS(Overrides!$E$9:$E$108,Overrides!$B$9:$B$108,$C237,Overrides!$C$9:$C$108,$L237),Recurring!$D$19))</f>
        <v/>
      </c>
      <c r="F237" s="119" t="str">
        <f aca="false">IF($C237="","",IF(Recurring!$E$19="Weekly",Recurring!$F$19+7*9,IF(Recurring!$E$19="Every 2 Weeks",Recurring!$F$19+14*9,IF(Recurring!$E$19="Monthly",EDATE(Recurring!$F$19,9),IF(Recurring!$E$19="Twice a Month",IF(MOD((IF(DAY(Recurring!$F$19)&lt;=20,0,1)+9),2)=1,EOMONTH(Recurring!$F$19,INT((IF(DAY(Recurring!$F$19)&lt;=20,0,1)+9)/2)),DATE(YEAR(EDATE(Recurring!$F$19,INT((IF(DAY(Recurring!$F$19)&lt;=20,0,1)+9)/2))),MONTH(EDATE(Recurring!$F$19,INT((IF(DAY(Recurring!$F$19)&lt;=20,0,1)+9)/2))),15)),IF(Recurring!$E$19="One Time",IF(10=1,Recurring!$F$19,""),""))))))</f>
        <v/>
      </c>
      <c r="G237" s="119" t="str">
        <f aca="false">IF($L237="","",IF(SUMIFS(Overrides!$D$9:$D$108,Overrides!$B$9:$B$108,$C237,Overrides!$C$9:$C$108,$L237)&gt;0,SUMIFS(Overrides!$D$9:$D$108,Overrides!$B$9:$B$108,$C237,Overrides!$C$9:$C$108,$L237),$L237))</f>
        <v/>
      </c>
      <c r="H237" s="120" t="n">
        <f aca="false">IF($G237="",0,IF(AND($G237&gt;='Cash Flow'!$E$6,$G237&lt;'Cash Flow'!$E$6+91),1,0))</f>
        <v>0</v>
      </c>
      <c r="I237" s="120" t="str">
        <f aca="false">IF($H237=1,MAX(1,INT(($G237-'Cash Flow'!$E$6)/7)+1),"")</f>
        <v/>
      </c>
      <c r="J237" s="7" t="str">
        <f aca="false">IF($H237=1,$G237*10000+ROW(),"")</f>
        <v/>
      </c>
      <c r="K237" s="7" t="str">
        <f aca="false">IF($H237=1,$I237*1000+COUNTIFS($I$4:$I$483,$I237,$J$4:$J$483,"&lt;"&amp;$J237)+1,"")</f>
        <v/>
      </c>
      <c r="L237" s="121" t="str">
        <f aca="false">IF($F237="","",IF(Recurring!$G$19="Move Before",IF(WEEKDAY($F237,2)=6,$F237-1,IF(WEEKDAY($F237,2)=7,$F237-2,$F237)),IF(Recurring!$G$19="Move After",IF(WEEKDAY($F237,2)=6,$F237+2,IF(WEEKDAY($F237,2)=7,$F237+1,$F237)),$F237)))</f>
        <v/>
      </c>
      <c r="M237" s="0" t="str">
        <f aca="true">IF(AND($H237=1,$D237="Expense",$G237&gt;TODAY(),$E237&gt;=100),$G237*100000+ROW(),"")</f>
        <v/>
      </c>
      <c r="N237" s="0" t="str">
        <f aca="true">IF(AND($H237=1,$D237="Income",$G237&gt;TODAY()),$G237*100000+ROW(),"")</f>
        <v/>
      </c>
    </row>
    <row r="238" customFormat="false" ht="15" hidden="false" customHeight="true" outlineLevel="0" collapsed="false">
      <c r="A238" s="117" t="n">
        <v>15</v>
      </c>
      <c r="B238" s="117" t="n">
        <v>11</v>
      </c>
      <c r="C238" s="7" t="str">
        <f aca="false">IF(OR(Recurring!$B$19="",Recurring!$H$19&lt;&gt;"Yes",Recurring!$D$19=""),"",Recurring!$B$19)</f>
        <v/>
      </c>
      <c r="D238" s="7" t="str">
        <f aca="false">IF($C238="","",Recurring!$C$19)</f>
        <v/>
      </c>
      <c r="E238" s="118" t="str">
        <f aca="false">IF($C238="","",IF(SUMIFS(Overrides!$E$9:$E$108,Overrides!$B$9:$B$108,$C238,Overrides!$C$9:$C$108,$L238)&gt;0,SUMIFS(Overrides!$E$9:$E$108,Overrides!$B$9:$B$108,$C238,Overrides!$C$9:$C$108,$L238),Recurring!$D$19))</f>
        <v/>
      </c>
      <c r="F238" s="119" t="str">
        <f aca="false">IF($C238="","",IF(Recurring!$E$19="Weekly",Recurring!$F$19+7*10,IF(Recurring!$E$19="Every 2 Weeks",Recurring!$F$19+14*10,IF(Recurring!$E$19="Monthly",EDATE(Recurring!$F$19,10),IF(Recurring!$E$19="Twice a Month",IF(MOD((IF(DAY(Recurring!$F$19)&lt;=20,0,1)+10),2)=1,EOMONTH(Recurring!$F$19,INT((IF(DAY(Recurring!$F$19)&lt;=20,0,1)+10)/2)),DATE(YEAR(EDATE(Recurring!$F$19,INT((IF(DAY(Recurring!$F$19)&lt;=20,0,1)+10)/2))),MONTH(EDATE(Recurring!$F$19,INT((IF(DAY(Recurring!$F$19)&lt;=20,0,1)+10)/2))),15)),IF(Recurring!$E$19="One Time",IF(11=1,Recurring!$F$19,""),""))))))</f>
        <v/>
      </c>
      <c r="G238" s="119" t="str">
        <f aca="false">IF($L238="","",IF(SUMIFS(Overrides!$D$9:$D$108,Overrides!$B$9:$B$108,$C238,Overrides!$C$9:$C$108,$L238)&gt;0,SUMIFS(Overrides!$D$9:$D$108,Overrides!$B$9:$B$108,$C238,Overrides!$C$9:$C$108,$L238),$L238))</f>
        <v/>
      </c>
      <c r="H238" s="120" t="n">
        <f aca="false">IF($G238="",0,IF(AND($G238&gt;='Cash Flow'!$E$6,$G238&lt;'Cash Flow'!$E$6+91),1,0))</f>
        <v>0</v>
      </c>
      <c r="I238" s="120" t="str">
        <f aca="false">IF($H238=1,MAX(1,INT(($G238-'Cash Flow'!$E$6)/7)+1),"")</f>
        <v/>
      </c>
      <c r="J238" s="7" t="str">
        <f aca="false">IF($H238=1,$G238*10000+ROW(),"")</f>
        <v/>
      </c>
      <c r="K238" s="7" t="str">
        <f aca="false">IF($H238=1,$I238*1000+COUNTIFS($I$4:$I$483,$I238,$J$4:$J$483,"&lt;"&amp;$J238)+1,"")</f>
        <v/>
      </c>
      <c r="L238" s="121" t="str">
        <f aca="false">IF($F238="","",IF(Recurring!$G$19="Move Before",IF(WEEKDAY($F238,2)=6,$F238-1,IF(WEEKDAY($F238,2)=7,$F238-2,$F238)),IF(Recurring!$G$19="Move After",IF(WEEKDAY($F238,2)=6,$F238+2,IF(WEEKDAY($F238,2)=7,$F238+1,$F238)),$F238)))</f>
        <v/>
      </c>
      <c r="M238" s="0" t="str">
        <f aca="true">IF(AND($H238=1,$D238="Expense",$G238&gt;TODAY(),$E238&gt;=100),$G238*100000+ROW(),"")</f>
        <v/>
      </c>
      <c r="N238" s="0" t="str">
        <f aca="true">IF(AND($H238=1,$D238="Income",$G238&gt;TODAY()),$G238*100000+ROW(),"")</f>
        <v/>
      </c>
    </row>
    <row r="239" customFormat="false" ht="15" hidden="false" customHeight="true" outlineLevel="0" collapsed="false">
      <c r="A239" s="117" t="n">
        <v>15</v>
      </c>
      <c r="B239" s="117" t="n">
        <v>12</v>
      </c>
      <c r="C239" s="7" t="str">
        <f aca="false">IF(OR(Recurring!$B$19="",Recurring!$H$19&lt;&gt;"Yes",Recurring!$D$19=""),"",Recurring!$B$19)</f>
        <v/>
      </c>
      <c r="D239" s="7" t="str">
        <f aca="false">IF($C239="","",Recurring!$C$19)</f>
        <v/>
      </c>
      <c r="E239" s="118" t="str">
        <f aca="false">IF($C239="","",IF(SUMIFS(Overrides!$E$9:$E$108,Overrides!$B$9:$B$108,$C239,Overrides!$C$9:$C$108,$L239)&gt;0,SUMIFS(Overrides!$E$9:$E$108,Overrides!$B$9:$B$108,$C239,Overrides!$C$9:$C$108,$L239),Recurring!$D$19))</f>
        <v/>
      </c>
      <c r="F239" s="119" t="str">
        <f aca="false">IF($C239="","",IF(Recurring!$E$19="Weekly",Recurring!$F$19+7*11,IF(Recurring!$E$19="Every 2 Weeks",Recurring!$F$19+14*11,IF(Recurring!$E$19="Monthly",EDATE(Recurring!$F$19,11),IF(Recurring!$E$19="Twice a Month",IF(MOD((IF(DAY(Recurring!$F$19)&lt;=20,0,1)+11),2)=1,EOMONTH(Recurring!$F$19,INT((IF(DAY(Recurring!$F$19)&lt;=20,0,1)+11)/2)),DATE(YEAR(EDATE(Recurring!$F$19,INT((IF(DAY(Recurring!$F$19)&lt;=20,0,1)+11)/2))),MONTH(EDATE(Recurring!$F$19,INT((IF(DAY(Recurring!$F$19)&lt;=20,0,1)+11)/2))),15)),IF(Recurring!$E$19="One Time",IF(12=1,Recurring!$F$19,""),""))))))</f>
        <v/>
      </c>
      <c r="G239" s="119" t="str">
        <f aca="false">IF($L239="","",IF(SUMIFS(Overrides!$D$9:$D$108,Overrides!$B$9:$B$108,$C239,Overrides!$C$9:$C$108,$L239)&gt;0,SUMIFS(Overrides!$D$9:$D$108,Overrides!$B$9:$B$108,$C239,Overrides!$C$9:$C$108,$L239),$L239))</f>
        <v/>
      </c>
      <c r="H239" s="120" t="n">
        <f aca="false">IF($G239="",0,IF(AND($G239&gt;='Cash Flow'!$E$6,$G239&lt;'Cash Flow'!$E$6+91),1,0))</f>
        <v>0</v>
      </c>
      <c r="I239" s="120" t="str">
        <f aca="false">IF($H239=1,MAX(1,INT(($G239-'Cash Flow'!$E$6)/7)+1),"")</f>
        <v/>
      </c>
      <c r="J239" s="7" t="str">
        <f aca="false">IF($H239=1,$G239*10000+ROW(),"")</f>
        <v/>
      </c>
      <c r="K239" s="7" t="str">
        <f aca="false">IF($H239=1,$I239*1000+COUNTIFS($I$4:$I$483,$I239,$J$4:$J$483,"&lt;"&amp;$J239)+1,"")</f>
        <v/>
      </c>
      <c r="L239" s="121" t="str">
        <f aca="false">IF($F239="","",IF(Recurring!$G$19="Move Before",IF(WEEKDAY($F239,2)=6,$F239-1,IF(WEEKDAY($F239,2)=7,$F239-2,$F239)),IF(Recurring!$G$19="Move After",IF(WEEKDAY($F239,2)=6,$F239+2,IF(WEEKDAY($F239,2)=7,$F239+1,$F239)),$F239)))</f>
        <v/>
      </c>
      <c r="M239" s="0" t="str">
        <f aca="true">IF(AND($H239=1,$D239="Expense",$G239&gt;TODAY(),$E239&gt;=100),$G239*100000+ROW(),"")</f>
        <v/>
      </c>
      <c r="N239" s="0" t="str">
        <f aca="true">IF(AND($H239=1,$D239="Income",$G239&gt;TODAY()),$G239*100000+ROW(),"")</f>
        <v/>
      </c>
    </row>
    <row r="240" customFormat="false" ht="15" hidden="false" customHeight="true" outlineLevel="0" collapsed="false">
      <c r="A240" s="117" t="n">
        <v>15</v>
      </c>
      <c r="B240" s="117" t="n">
        <v>13</v>
      </c>
      <c r="C240" s="7" t="str">
        <f aca="false">IF(OR(Recurring!$B$19="",Recurring!$H$19&lt;&gt;"Yes",Recurring!$D$19=""),"",Recurring!$B$19)</f>
        <v/>
      </c>
      <c r="D240" s="7" t="str">
        <f aca="false">IF($C240="","",Recurring!$C$19)</f>
        <v/>
      </c>
      <c r="E240" s="118" t="str">
        <f aca="false">IF($C240="","",IF(SUMIFS(Overrides!$E$9:$E$108,Overrides!$B$9:$B$108,$C240,Overrides!$C$9:$C$108,$L240)&gt;0,SUMIFS(Overrides!$E$9:$E$108,Overrides!$B$9:$B$108,$C240,Overrides!$C$9:$C$108,$L240),Recurring!$D$19))</f>
        <v/>
      </c>
      <c r="F240" s="119" t="str">
        <f aca="false">IF($C240="","",IF(Recurring!$E$19="Weekly",Recurring!$F$19+7*12,IF(Recurring!$E$19="Every 2 Weeks",Recurring!$F$19+14*12,IF(Recurring!$E$19="Monthly",EDATE(Recurring!$F$19,12),IF(Recurring!$E$19="Twice a Month",IF(MOD((IF(DAY(Recurring!$F$19)&lt;=20,0,1)+12),2)=1,EOMONTH(Recurring!$F$19,INT((IF(DAY(Recurring!$F$19)&lt;=20,0,1)+12)/2)),DATE(YEAR(EDATE(Recurring!$F$19,INT((IF(DAY(Recurring!$F$19)&lt;=20,0,1)+12)/2))),MONTH(EDATE(Recurring!$F$19,INT((IF(DAY(Recurring!$F$19)&lt;=20,0,1)+12)/2))),15)),IF(Recurring!$E$19="One Time",IF(13=1,Recurring!$F$19,""),""))))))</f>
        <v/>
      </c>
      <c r="G240" s="119" t="str">
        <f aca="false">IF($L240="","",IF(SUMIFS(Overrides!$D$9:$D$108,Overrides!$B$9:$B$108,$C240,Overrides!$C$9:$C$108,$L240)&gt;0,SUMIFS(Overrides!$D$9:$D$108,Overrides!$B$9:$B$108,$C240,Overrides!$C$9:$C$108,$L240),$L240))</f>
        <v/>
      </c>
      <c r="H240" s="120" t="n">
        <f aca="false">IF($G240="",0,IF(AND($G240&gt;='Cash Flow'!$E$6,$G240&lt;'Cash Flow'!$E$6+91),1,0))</f>
        <v>0</v>
      </c>
      <c r="I240" s="120" t="str">
        <f aca="false">IF($H240=1,MAX(1,INT(($G240-'Cash Flow'!$E$6)/7)+1),"")</f>
        <v/>
      </c>
      <c r="J240" s="7" t="str">
        <f aca="false">IF($H240=1,$G240*10000+ROW(),"")</f>
        <v/>
      </c>
      <c r="K240" s="7" t="str">
        <f aca="false">IF($H240=1,$I240*1000+COUNTIFS($I$4:$I$483,$I240,$J$4:$J$483,"&lt;"&amp;$J240)+1,"")</f>
        <v/>
      </c>
      <c r="L240" s="121" t="str">
        <f aca="false">IF($F240="","",IF(Recurring!$G$19="Move Before",IF(WEEKDAY($F240,2)=6,$F240-1,IF(WEEKDAY($F240,2)=7,$F240-2,$F240)),IF(Recurring!$G$19="Move After",IF(WEEKDAY($F240,2)=6,$F240+2,IF(WEEKDAY($F240,2)=7,$F240+1,$F240)),$F240)))</f>
        <v/>
      </c>
      <c r="M240" s="0" t="str">
        <f aca="true">IF(AND($H240=1,$D240="Expense",$G240&gt;TODAY(),$E240&gt;=100),$G240*100000+ROW(),"")</f>
        <v/>
      </c>
      <c r="N240" s="0" t="str">
        <f aca="true">IF(AND($H240=1,$D240="Income",$G240&gt;TODAY()),$G240*100000+ROW(),"")</f>
        <v/>
      </c>
    </row>
    <row r="241" customFormat="false" ht="15" hidden="false" customHeight="true" outlineLevel="0" collapsed="false">
      <c r="A241" s="117" t="n">
        <v>15</v>
      </c>
      <c r="B241" s="117" t="n">
        <v>14</v>
      </c>
      <c r="C241" s="7" t="str">
        <f aca="false">IF(OR(Recurring!$B$19="",Recurring!$H$19&lt;&gt;"Yes",Recurring!$D$19=""),"",Recurring!$B$19)</f>
        <v/>
      </c>
      <c r="D241" s="7" t="str">
        <f aca="false">IF($C241="","",Recurring!$C$19)</f>
        <v/>
      </c>
      <c r="E241" s="118" t="str">
        <f aca="false">IF($C241="","",IF(SUMIFS(Overrides!$E$9:$E$108,Overrides!$B$9:$B$108,$C241,Overrides!$C$9:$C$108,$L241)&gt;0,SUMIFS(Overrides!$E$9:$E$108,Overrides!$B$9:$B$108,$C241,Overrides!$C$9:$C$108,$L241),Recurring!$D$19))</f>
        <v/>
      </c>
      <c r="F241" s="119" t="str">
        <f aca="false">IF($C241="","",IF(Recurring!$E$19="Weekly",Recurring!$F$19+7*13,IF(Recurring!$E$19="Every 2 Weeks",Recurring!$F$19+14*13,IF(Recurring!$E$19="Monthly",EDATE(Recurring!$F$19,13),IF(Recurring!$E$19="Twice a Month",IF(MOD((IF(DAY(Recurring!$F$19)&lt;=20,0,1)+13),2)=1,EOMONTH(Recurring!$F$19,INT((IF(DAY(Recurring!$F$19)&lt;=20,0,1)+13)/2)),DATE(YEAR(EDATE(Recurring!$F$19,INT((IF(DAY(Recurring!$F$19)&lt;=20,0,1)+13)/2))),MONTH(EDATE(Recurring!$F$19,INT((IF(DAY(Recurring!$F$19)&lt;=20,0,1)+13)/2))),15)),IF(Recurring!$E$19="One Time",IF(14=1,Recurring!$F$19,""),""))))))</f>
        <v/>
      </c>
      <c r="G241" s="119" t="str">
        <f aca="false">IF($L241="","",IF(SUMIFS(Overrides!$D$9:$D$108,Overrides!$B$9:$B$108,$C241,Overrides!$C$9:$C$108,$L241)&gt;0,SUMIFS(Overrides!$D$9:$D$108,Overrides!$B$9:$B$108,$C241,Overrides!$C$9:$C$108,$L241),$L241))</f>
        <v/>
      </c>
      <c r="H241" s="120" t="n">
        <f aca="false">IF($G241="",0,IF(AND($G241&gt;='Cash Flow'!$E$6,$G241&lt;'Cash Flow'!$E$6+91),1,0))</f>
        <v>0</v>
      </c>
      <c r="I241" s="120" t="str">
        <f aca="false">IF($H241=1,MAX(1,INT(($G241-'Cash Flow'!$E$6)/7)+1),"")</f>
        <v/>
      </c>
      <c r="J241" s="7" t="str">
        <f aca="false">IF($H241=1,$G241*10000+ROW(),"")</f>
        <v/>
      </c>
      <c r="K241" s="7" t="str">
        <f aca="false">IF($H241=1,$I241*1000+COUNTIFS($I$4:$I$483,$I241,$J$4:$J$483,"&lt;"&amp;$J241)+1,"")</f>
        <v/>
      </c>
      <c r="L241" s="121" t="str">
        <f aca="false">IF($F241="","",IF(Recurring!$G$19="Move Before",IF(WEEKDAY($F241,2)=6,$F241-1,IF(WEEKDAY($F241,2)=7,$F241-2,$F241)),IF(Recurring!$G$19="Move After",IF(WEEKDAY($F241,2)=6,$F241+2,IF(WEEKDAY($F241,2)=7,$F241+1,$F241)),$F241)))</f>
        <v/>
      </c>
      <c r="M241" s="0" t="str">
        <f aca="true">IF(AND($H241=1,$D241="Expense",$G241&gt;TODAY(),$E241&gt;=100),$G241*100000+ROW(),"")</f>
        <v/>
      </c>
      <c r="N241" s="0" t="str">
        <f aca="true">IF(AND($H241=1,$D241="Income",$G241&gt;TODAY()),$G241*100000+ROW(),"")</f>
        <v/>
      </c>
    </row>
    <row r="242" customFormat="false" ht="15" hidden="false" customHeight="true" outlineLevel="0" collapsed="false">
      <c r="A242" s="117" t="n">
        <v>15</v>
      </c>
      <c r="B242" s="117" t="n">
        <v>15</v>
      </c>
      <c r="C242" s="7" t="str">
        <f aca="false">IF(OR(Recurring!$B$19="",Recurring!$H$19&lt;&gt;"Yes",Recurring!$D$19=""),"",Recurring!$B$19)</f>
        <v/>
      </c>
      <c r="D242" s="7" t="str">
        <f aca="false">IF($C242="","",Recurring!$C$19)</f>
        <v/>
      </c>
      <c r="E242" s="118" t="str">
        <f aca="false">IF($C242="","",IF(SUMIFS(Overrides!$E$9:$E$108,Overrides!$B$9:$B$108,$C242,Overrides!$C$9:$C$108,$L242)&gt;0,SUMIFS(Overrides!$E$9:$E$108,Overrides!$B$9:$B$108,$C242,Overrides!$C$9:$C$108,$L242),Recurring!$D$19))</f>
        <v/>
      </c>
      <c r="F242" s="119" t="str">
        <f aca="false">IF($C242="","",IF(Recurring!$E$19="Weekly",Recurring!$F$19+7*14,IF(Recurring!$E$19="Every 2 Weeks",Recurring!$F$19+14*14,IF(Recurring!$E$19="Monthly",EDATE(Recurring!$F$19,14),IF(Recurring!$E$19="Twice a Month",IF(MOD((IF(DAY(Recurring!$F$19)&lt;=20,0,1)+14),2)=1,EOMONTH(Recurring!$F$19,INT((IF(DAY(Recurring!$F$19)&lt;=20,0,1)+14)/2)),DATE(YEAR(EDATE(Recurring!$F$19,INT((IF(DAY(Recurring!$F$19)&lt;=20,0,1)+14)/2))),MONTH(EDATE(Recurring!$F$19,INT((IF(DAY(Recurring!$F$19)&lt;=20,0,1)+14)/2))),15)),IF(Recurring!$E$19="One Time",IF(15=1,Recurring!$F$19,""),""))))))</f>
        <v/>
      </c>
      <c r="G242" s="119" t="str">
        <f aca="false">IF($L242="","",IF(SUMIFS(Overrides!$D$9:$D$108,Overrides!$B$9:$B$108,$C242,Overrides!$C$9:$C$108,$L242)&gt;0,SUMIFS(Overrides!$D$9:$D$108,Overrides!$B$9:$B$108,$C242,Overrides!$C$9:$C$108,$L242),$L242))</f>
        <v/>
      </c>
      <c r="H242" s="120" t="n">
        <f aca="false">IF($G242="",0,IF(AND($G242&gt;='Cash Flow'!$E$6,$G242&lt;'Cash Flow'!$E$6+91),1,0))</f>
        <v>0</v>
      </c>
      <c r="I242" s="120" t="str">
        <f aca="false">IF($H242=1,MAX(1,INT(($G242-'Cash Flow'!$E$6)/7)+1),"")</f>
        <v/>
      </c>
      <c r="J242" s="7" t="str">
        <f aca="false">IF($H242=1,$G242*10000+ROW(),"")</f>
        <v/>
      </c>
      <c r="K242" s="7" t="str">
        <f aca="false">IF($H242=1,$I242*1000+COUNTIFS($I$4:$I$483,$I242,$J$4:$J$483,"&lt;"&amp;$J242)+1,"")</f>
        <v/>
      </c>
      <c r="L242" s="121" t="str">
        <f aca="false">IF($F242="","",IF(Recurring!$G$19="Move Before",IF(WEEKDAY($F242,2)=6,$F242-1,IF(WEEKDAY($F242,2)=7,$F242-2,$F242)),IF(Recurring!$G$19="Move After",IF(WEEKDAY($F242,2)=6,$F242+2,IF(WEEKDAY($F242,2)=7,$F242+1,$F242)),$F242)))</f>
        <v/>
      </c>
      <c r="M242" s="0" t="str">
        <f aca="true">IF(AND($H242=1,$D242="Expense",$G242&gt;TODAY(),$E242&gt;=100),$G242*100000+ROW(),"")</f>
        <v/>
      </c>
      <c r="N242" s="0" t="str">
        <f aca="true">IF(AND($H242=1,$D242="Income",$G242&gt;TODAY()),$G242*100000+ROW(),"")</f>
        <v/>
      </c>
    </row>
    <row r="243" customFormat="false" ht="15" hidden="false" customHeight="true" outlineLevel="0" collapsed="false">
      <c r="A243" s="117" t="n">
        <v>15</v>
      </c>
      <c r="B243" s="117" t="n">
        <v>16</v>
      </c>
      <c r="C243" s="7" t="str">
        <f aca="false">IF(OR(Recurring!$B$19="",Recurring!$H$19&lt;&gt;"Yes",Recurring!$D$19=""),"",Recurring!$B$19)</f>
        <v/>
      </c>
      <c r="D243" s="7" t="str">
        <f aca="false">IF($C243="","",Recurring!$C$19)</f>
        <v/>
      </c>
      <c r="E243" s="118" t="str">
        <f aca="false">IF($C243="","",IF(SUMIFS(Overrides!$E$9:$E$108,Overrides!$B$9:$B$108,$C243,Overrides!$C$9:$C$108,$L243)&gt;0,SUMIFS(Overrides!$E$9:$E$108,Overrides!$B$9:$B$108,$C243,Overrides!$C$9:$C$108,$L243),Recurring!$D$19))</f>
        <v/>
      </c>
      <c r="F243" s="119" t="str">
        <f aca="false">IF($C243="","",IF(Recurring!$E$19="Weekly",Recurring!$F$19+7*15,IF(Recurring!$E$19="Every 2 Weeks",Recurring!$F$19+14*15,IF(Recurring!$E$19="Monthly",EDATE(Recurring!$F$19,15),IF(Recurring!$E$19="Twice a Month",IF(MOD((IF(DAY(Recurring!$F$19)&lt;=20,0,1)+15),2)=1,EOMONTH(Recurring!$F$19,INT((IF(DAY(Recurring!$F$19)&lt;=20,0,1)+15)/2)),DATE(YEAR(EDATE(Recurring!$F$19,INT((IF(DAY(Recurring!$F$19)&lt;=20,0,1)+15)/2))),MONTH(EDATE(Recurring!$F$19,INT((IF(DAY(Recurring!$F$19)&lt;=20,0,1)+15)/2))),15)),IF(Recurring!$E$19="One Time",IF(16=1,Recurring!$F$19,""),""))))))</f>
        <v/>
      </c>
      <c r="G243" s="119" t="str">
        <f aca="false">IF($L243="","",IF(SUMIFS(Overrides!$D$9:$D$108,Overrides!$B$9:$B$108,$C243,Overrides!$C$9:$C$108,$L243)&gt;0,SUMIFS(Overrides!$D$9:$D$108,Overrides!$B$9:$B$108,$C243,Overrides!$C$9:$C$108,$L243),$L243))</f>
        <v/>
      </c>
      <c r="H243" s="120" t="n">
        <f aca="false">IF($G243="",0,IF(AND($G243&gt;='Cash Flow'!$E$6,$G243&lt;'Cash Flow'!$E$6+91),1,0))</f>
        <v>0</v>
      </c>
      <c r="I243" s="120" t="str">
        <f aca="false">IF($H243=1,MAX(1,INT(($G243-'Cash Flow'!$E$6)/7)+1),"")</f>
        <v/>
      </c>
      <c r="J243" s="7" t="str">
        <f aca="false">IF($H243=1,$G243*10000+ROW(),"")</f>
        <v/>
      </c>
      <c r="K243" s="7" t="str">
        <f aca="false">IF($H243=1,$I243*1000+COUNTIFS($I$4:$I$483,$I243,$J$4:$J$483,"&lt;"&amp;$J243)+1,"")</f>
        <v/>
      </c>
      <c r="L243" s="121" t="str">
        <f aca="false">IF($F243="","",IF(Recurring!$G$19="Move Before",IF(WEEKDAY($F243,2)=6,$F243-1,IF(WEEKDAY($F243,2)=7,$F243-2,$F243)),IF(Recurring!$G$19="Move After",IF(WEEKDAY($F243,2)=6,$F243+2,IF(WEEKDAY($F243,2)=7,$F243+1,$F243)),$F243)))</f>
        <v/>
      </c>
      <c r="M243" s="0" t="str">
        <f aca="true">IF(AND($H243=1,$D243="Expense",$G243&gt;TODAY(),$E243&gt;=100),$G243*100000+ROW(),"")</f>
        <v/>
      </c>
      <c r="N243" s="0" t="str">
        <f aca="true">IF(AND($H243=1,$D243="Income",$G243&gt;TODAY()),$G243*100000+ROW(),"")</f>
        <v/>
      </c>
    </row>
    <row r="244" customFormat="false" ht="15" hidden="false" customHeight="true" outlineLevel="0" collapsed="false">
      <c r="A244" s="117" t="n">
        <v>16</v>
      </c>
      <c r="B244" s="117" t="n">
        <v>1</v>
      </c>
      <c r="C244" s="7" t="str">
        <f aca="false">IF(OR(Recurring!$B$20="",Recurring!$H$20&lt;&gt;"Yes",Recurring!$D$20=""),"",Recurring!$B$20)</f>
        <v>Maine Revenue Services (2)</v>
      </c>
      <c r="D244" s="7" t="str">
        <f aca="false">IF($C244="","",Recurring!$C$20)</f>
        <v>Expense</v>
      </c>
      <c r="E244" s="118" t="n">
        <f aca="false">IF($C244="","",IF(SUMIFS(Overrides!$E$9:$E$108,Overrides!$B$9:$B$108,$C244,Overrides!$C$9:$C$108,$L244)&gt;0,SUMIFS(Overrides!$E$9:$E$108,Overrides!$B$9:$B$108,$C244,Overrides!$C$9:$C$108,$L244),Recurring!$D$20))</f>
        <v>150</v>
      </c>
      <c r="F244" s="119" t="n">
        <f aca="false">IF($C244="","",IF(Recurring!$E$20="Weekly",Recurring!$F$20+7*0,IF(Recurring!$E$20="Every 2 Weeks",Recurring!$F$20+14*0,IF(Recurring!$E$20="Monthly",EDATE(Recurring!$F$20,0),IF(Recurring!$E$20="Twice a Month",IF(MOD((IF(DAY(Recurring!$F$20)&lt;=20,0,1)+0),2)=1,EOMONTH(Recurring!$F$20,INT((IF(DAY(Recurring!$F$20)&lt;=20,0,1)+0)/2)),DATE(YEAR(EDATE(Recurring!$F$20,INT((IF(DAY(Recurring!$F$20)&lt;=20,0,1)+0)/2))),MONTH(EDATE(Recurring!$F$20,INT((IF(DAY(Recurring!$F$20)&lt;=20,0,1)+0)/2))),15)),IF(Recurring!$E$20="One Time",IF(1=1,Recurring!$F$20,""),""))))))</f>
        <v>46264</v>
      </c>
      <c r="G244" s="119" t="n">
        <f aca="false">IF($L244="","",IF(SUMIFS(Overrides!$D$9:$D$108,Overrides!$B$9:$B$108,$C244,Overrides!$C$9:$C$108,$L244)&gt;0,SUMIFS(Overrides!$D$9:$D$108,Overrides!$B$9:$B$108,$C244,Overrides!$C$9:$C$108,$L244),$L244))</f>
        <v>46264</v>
      </c>
      <c r="H244" s="120" t="n">
        <f aca="false">IF($G244="",0,IF(AND($G244&gt;='Cash Flow'!$E$6-90,$G244&lt;'Cash Flow'!$E$6+91),1,0))</f>
        <v>1</v>
      </c>
      <c r="I244" s="120" t="n">
        <f aca="false">IF($H244=1,MAX(1,INT(($G244-'Cash Flow'!$E$6)/7)+1),"")</f>
        <v>3</v>
      </c>
      <c r="J244" s="7" t="n">
        <f aca="false">IF($H244=1,$G244*10000+ROW(),"")</f>
        <v>462640244</v>
      </c>
      <c r="K244" s="7" t="n">
        <f aca="false">IF($H244=1,$I244*1000+COUNTIFS($I$4:$I$483,$I244,$J$4:$J$483,"&lt;"&amp;$J244)+1,"")</f>
        <v>3001</v>
      </c>
      <c r="L244" s="121" t="n">
        <f aca="false">IF($F244="","",IF(Recurring!$G$20="Move Before",IF(WEEKDAY($F244,2)=6,$F244-1,IF(WEEKDAY($F244,2)=7,$F244-2,$F244)),IF(Recurring!$G$20="Move After",IF(WEEKDAY($F244,2)=6,$F244+2,IF(WEEKDAY($F244,2)=7,$F244+1,$F244)),$F244)))</f>
        <v>46264</v>
      </c>
      <c r="M244" s="122" t="n">
        <f aca="true">IF(AND($H244=1,$D244="Expense",$G244&gt;TODAY(),$E244&gt;=100),$G244*100000+ROW(),"")</f>
        <v>4626400244</v>
      </c>
      <c r="N244" s="0" t="str">
        <f aca="true">IF(AND($H244=1,$D244="Income",$G244&gt;TODAY()),$G244*100000+ROW(),"")</f>
        <v/>
      </c>
    </row>
    <row r="245" customFormat="false" ht="15" hidden="false" customHeight="true" outlineLevel="0" collapsed="false">
      <c r="A245" s="117" t="n">
        <v>16</v>
      </c>
      <c r="B245" s="117" t="n">
        <v>2</v>
      </c>
      <c r="C245" s="7" t="str">
        <f aca="false">IF(OR(Recurring!$B$20="",Recurring!$H$20&lt;&gt;"Yes",Recurring!$D$20=""),"",Recurring!$B$20)</f>
        <v>Maine Revenue Services (2)</v>
      </c>
      <c r="D245" s="7" t="str">
        <f aca="false">IF($C245="","",Recurring!$C$20)</f>
        <v>Expense</v>
      </c>
      <c r="E245" s="118" t="n">
        <f aca="false">IF($C245="","",IF(SUMIFS(Overrides!$E$9:$E$108,Overrides!$B$9:$B$108,$C245,Overrides!$C$9:$C$108,$L245)&gt;0,SUMIFS(Overrides!$E$9:$E$108,Overrides!$B$9:$B$108,$C245,Overrides!$C$9:$C$108,$L245),Recurring!$D$20))</f>
        <v>150</v>
      </c>
      <c r="F245" s="119" t="n">
        <f aca="false">IF($C245="","",IF(Recurring!$E$20="Weekly",Recurring!$F$20+7*1,IF(Recurring!$E$20="Every 2 Weeks",Recurring!$F$20+14*1,IF(Recurring!$E$20="Monthly",EDATE(Recurring!$F$20,1),IF(Recurring!$E$20="Twice a Month",IF(MOD((IF(DAY(Recurring!$F$20)&lt;=20,0,1)+1),2)=1,EOMONTH(Recurring!$F$20,INT((IF(DAY(Recurring!$F$20)&lt;=20,0,1)+1)/2)),DATE(YEAR(EDATE(Recurring!$F$20,INT((IF(DAY(Recurring!$F$20)&lt;=20,0,1)+1)/2))),MONTH(EDATE(Recurring!$F$20,INT((IF(DAY(Recurring!$F$20)&lt;=20,0,1)+1)/2))),15)),IF(Recurring!$E$20="One Time",IF(2=1,Recurring!$F$20,""),""))))))</f>
        <v>46295</v>
      </c>
      <c r="G245" s="119" t="n">
        <f aca="false">IF($L245="","",IF(SUMIFS(Overrides!$D$9:$D$108,Overrides!$B$9:$B$108,$C245,Overrides!$C$9:$C$108,$L245)&gt;0,SUMIFS(Overrides!$D$9:$D$108,Overrides!$B$9:$B$108,$C245,Overrides!$C$9:$C$108,$L245),$L245))</f>
        <v>46295</v>
      </c>
      <c r="H245" s="120" t="n">
        <f aca="false">IF($G245="",0,IF(AND($G245&gt;='Cash Flow'!$E$6,$G245&lt;'Cash Flow'!$E$6+91),1,0))</f>
        <v>1</v>
      </c>
      <c r="I245" s="120" t="n">
        <f aca="false">IF($H245=1,MAX(1,INT(($G245-'Cash Flow'!$E$6)/7)+1),"")</f>
        <v>7</v>
      </c>
      <c r="J245" s="7" t="n">
        <f aca="false">IF($H245=1,$G245*10000+ROW(),"")</f>
        <v>462950245</v>
      </c>
      <c r="K245" s="7" t="n">
        <f aca="false">IF($H245=1,$I245*1000+COUNTIFS($I$4:$I$483,$I245,$J$4:$J$483,"&lt;"&amp;$J245)+1,"")</f>
        <v>7003</v>
      </c>
      <c r="L245" s="121" t="n">
        <f aca="false">IF($F245="","",IF(Recurring!$G$20="Move Before",IF(WEEKDAY($F245,2)=6,$F245-1,IF(WEEKDAY($F245,2)=7,$F245-2,$F245)),IF(Recurring!$G$20="Move After",IF(WEEKDAY($F245,2)=6,$F245+2,IF(WEEKDAY($F245,2)=7,$F245+1,$F245)),$F245)))</f>
        <v>46295</v>
      </c>
      <c r="M245" s="122" t="n">
        <f aca="true">IF(AND($H245=1,$D245="Expense",$G245&gt;TODAY(),$E245&gt;=100),$G245*100000+ROW(),"")</f>
        <v>4629500245</v>
      </c>
      <c r="N245" s="0" t="str">
        <f aca="true">IF(AND($H245=1,$D245="Income",$G245&gt;TODAY()),$G245*100000+ROW(),"")</f>
        <v/>
      </c>
    </row>
    <row r="246" customFormat="false" ht="15" hidden="false" customHeight="true" outlineLevel="0" collapsed="false">
      <c r="A246" s="117" t="n">
        <v>16</v>
      </c>
      <c r="B246" s="117" t="n">
        <v>3</v>
      </c>
      <c r="C246" s="7" t="str">
        <f aca="false">IF(OR(Recurring!$B$20="",Recurring!$H$20&lt;&gt;"Yes",Recurring!$D$20=""),"",Recurring!$B$20)</f>
        <v>Maine Revenue Services (2)</v>
      </c>
      <c r="D246" s="7" t="str">
        <f aca="false">IF($C246="","",Recurring!$C$20)</f>
        <v>Expense</v>
      </c>
      <c r="E246" s="118" t="n">
        <f aca="false">IF($C246="","",IF(SUMIFS(Overrides!$E$9:$E$108,Overrides!$B$9:$B$108,$C246,Overrides!$C$9:$C$108,$L246)&gt;0,SUMIFS(Overrides!$E$9:$E$108,Overrides!$B$9:$B$108,$C246,Overrides!$C$9:$C$108,$L246),Recurring!$D$20))</f>
        <v>150</v>
      </c>
      <c r="F246" s="119" t="n">
        <f aca="false">IF($C246="","",IF(Recurring!$E$20="Weekly",Recurring!$F$20+7*2,IF(Recurring!$E$20="Every 2 Weeks",Recurring!$F$20+14*2,IF(Recurring!$E$20="Monthly",EDATE(Recurring!$F$20,2),IF(Recurring!$E$20="Twice a Month",IF(MOD((IF(DAY(Recurring!$F$20)&lt;=20,0,1)+2),2)=1,EOMONTH(Recurring!$F$20,INT((IF(DAY(Recurring!$F$20)&lt;=20,0,1)+2)/2)),DATE(YEAR(EDATE(Recurring!$F$20,INT((IF(DAY(Recurring!$F$20)&lt;=20,0,1)+2)/2))),MONTH(EDATE(Recurring!$F$20,INT((IF(DAY(Recurring!$F$20)&lt;=20,0,1)+2)/2))),15)),IF(Recurring!$E$20="One Time",IF(3=1,Recurring!$F$20,""),""))))))</f>
        <v>46325</v>
      </c>
      <c r="G246" s="119" t="n">
        <f aca="false">IF($L246="","",IF(SUMIFS(Overrides!$D$9:$D$108,Overrides!$B$9:$B$108,$C246,Overrides!$C$9:$C$108,$L246)&gt;0,SUMIFS(Overrides!$D$9:$D$108,Overrides!$B$9:$B$108,$C246,Overrides!$C$9:$C$108,$L246),$L246))</f>
        <v>46325</v>
      </c>
      <c r="H246" s="120" t="n">
        <f aca="false">IF($G246="",0,IF(AND($G246&gt;='Cash Flow'!$E$6,$G246&lt;'Cash Flow'!$E$6+91),1,0))</f>
        <v>1</v>
      </c>
      <c r="I246" s="120" t="n">
        <f aca="false">IF($H246=1,MAX(1,INT(($G246-'Cash Flow'!$E$6)/7)+1),"")</f>
        <v>11</v>
      </c>
      <c r="J246" s="7" t="n">
        <f aca="false">IF($H246=1,$G246*10000+ROW(),"")</f>
        <v>463250246</v>
      </c>
      <c r="K246" s="7" t="n">
        <f aca="false">IF($H246=1,$I246*1000+COUNTIFS($I$4:$I$483,$I246,$J$4:$J$483,"&lt;"&amp;$J246)+1,"")</f>
        <v>11004</v>
      </c>
      <c r="L246" s="121" t="n">
        <f aca="false">IF($F246="","",IF(Recurring!$G$20="Move Before",IF(WEEKDAY($F246,2)=6,$F246-1,IF(WEEKDAY($F246,2)=7,$F246-2,$F246)),IF(Recurring!$G$20="Move After",IF(WEEKDAY($F246,2)=6,$F246+2,IF(WEEKDAY($F246,2)=7,$F246+1,$F246)),$F246)))</f>
        <v>46325</v>
      </c>
      <c r="M246" s="122" t="n">
        <f aca="true">IF(AND($H246=1,$D246="Expense",$G246&gt;TODAY(),$E246&gt;=100),$G246*100000+ROW(),"")</f>
        <v>4632500246</v>
      </c>
      <c r="N246" s="0" t="str">
        <f aca="true">IF(AND($H246=1,$D246="Income",$G246&gt;TODAY()),$G246*100000+ROW(),"")</f>
        <v/>
      </c>
    </row>
    <row r="247" customFormat="false" ht="15" hidden="false" customHeight="true" outlineLevel="0" collapsed="false">
      <c r="A247" s="117" t="n">
        <v>16</v>
      </c>
      <c r="B247" s="117" t="n">
        <v>4</v>
      </c>
      <c r="C247" s="7" t="str">
        <f aca="false">IF(OR(Recurring!$B$20="",Recurring!$H$20&lt;&gt;"Yes",Recurring!$D$20=""),"",Recurring!$B$20)</f>
        <v>Maine Revenue Services (2)</v>
      </c>
      <c r="D247" s="7" t="str">
        <f aca="false">IF($C247="","",Recurring!$C$20)</f>
        <v>Expense</v>
      </c>
      <c r="E247" s="118" t="n">
        <f aca="false">IF($C247="","",IF(SUMIFS(Overrides!$E$9:$E$108,Overrides!$B$9:$B$108,$C247,Overrides!$C$9:$C$108,$L247)&gt;0,SUMIFS(Overrides!$E$9:$E$108,Overrides!$B$9:$B$108,$C247,Overrides!$C$9:$C$108,$L247),Recurring!$D$20))</f>
        <v>150</v>
      </c>
      <c r="F247" s="119" t="n">
        <f aca="false">IF($C247="","",IF(Recurring!$E$20="Weekly",Recurring!$F$20+7*3,IF(Recurring!$E$20="Every 2 Weeks",Recurring!$F$20+14*3,IF(Recurring!$E$20="Monthly",EDATE(Recurring!$F$20,3),IF(Recurring!$E$20="Twice a Month",IF(MOD((IF(DAY(Recurring!$F$20)&lt;=20,0,1)+3),2)=1,EOMONTH(Recurring!$F$20,INT((IF(DAY(Recurring!$F$20)&lt;=20,0,1)+3)/2)),DATE(YEAR(EDATE(Recurring!$F$20,INT((IF(DAY(Recurring!$F$20)&lt;=20,0,1)+3)/2))),MONTH(EDATE(Recurring!$F$20,INT((IF(DAY(Recurring!$F$20)&lt;=20,0,1)+3)/2))),15)),IF(Recurring!$E$20="One Time",IF(4=1,Recurring!$F$20,""),""))))))</f>
        <v>46356</v>
      </c>
      <c r="G247" s="119" t="n">
        <f aca="false">IF($L247="","",IF(SUMIFS(Overrides!$D$9:$D$108,Overrides!$B$9:$B$108,$C247,Overrides!$C$9:$C$108,$L247)&gt;0,SUMIFS(Overrides!$D$9:$D$108,Overrides!$B$9:$B$108,$C247,Overrides!$C$9:$C$108,$L247),$L247))</f>
        <v>46356</v>
      </c>
      <c r="H247" s="120" t="n">
        <f aca="false">IF($G247="",0,IF(AND($G247&gt;='Cash Flow'!$E$6,$G247&lt;'Cash Flow'!$E$6+91),1,0))</f>
        <v>0</v>
      </c>
      <c r="I247" s="120" t="str">
        <f aca="false">IF($H247=1,MAX(1,INT(($G247-'Cash Flow'!$E$6)/7)+1),"")</f>
        <v/>
      </c>
      <c r="J247" s="7" t="str">
        <f aca="false">IF($H247=1,$G247*10000+ROW(),"")</f>
        <v/>
      </c>
      <c r="K247" s="7" t="str">
        <f aca="false">IF($H247=1,$I247*1000+COUNTIFS($I$4:$I$483,$I247,$J$4:$J$483,"&lt;"&amp;$J247)+1,"")</f>
        <v/>
      </c>
      <c r="L247" s="121" t="n">
        <f aca="false">IF($F247="","",IF(Recurring!$G$20="Move Before",IF(WEEKDAY($F247,2)=6,$F247-1,IF(WEEKDAY($F247,2)=7,$F247-2,$F247)),IF(Recurring!$G$20="Move After",IF(WEEKDAY($F247,2)=6,$F247+2,IF(WEEKDAY($F247,2)=7,$F247+1,$F247)),$F247)))</f>
        <v>46356</v>
      </c>
      <c r="M247" s="0" t="str">
        <f aca="true">IF(AND($H247=1,$D247="Expense",$G247&gt;TODAY(),$E247&gt;=100),$G247*100000+ROW(),"")</f>
        <v/>
      </c>
      <c r="N247" s="0" t="str">
        <f aca="true">IF(AND($H247=1,$D247="Income",$G247&gt;TODAY()),$G247*100000+ROW(),"")</f>
        <v/>
      </c>
    </row>
    <row r="248" customFormat="false" ht="15" hidden="false" customHeight="true" outlineLevel="0" collapsed="false">
      <c r="A248" s="117" t="n">
        <v>16</v>
      </c>
      <c r="B248" s="117" t="n">
        <v>5</v>
      </c>
      <c r="C248" s="7" t="str">
        <f aca="false">IF(OR(Recurring!$B$20="",Recurring!$H$20&lt;&gt;"Yes",Recurring!$D$20=""),"",Recurring!$B$20)</f>
        <v>Maine Revenue Services (2)</v>
      </c>
      <c r="D248" s="7" t="str">
        <f aca="false">IF($C248="","",Recurring!$C$20)</f>
        <v>Expense</v>
      </c>
      <c r="E248" s="118" t="n">
        <f aca="false">IF($C248="","",IF(SUMIFS(Overrides!$E$9:$E$108,Overrides!$B$9:$B$108,$C248,Overrides!$C$9:$C$108,$L248)&gt;0,SUMIFS(Overrides!$E$9:$E$108,Overrides!$B$9:$B$108,$C248,Overrides!$C$9:$C$108,$L248),Recurring!$D$20))</f>
        <v>150</v>
      </c>
      <c r="F248" s="119" t="n">
        <f aca="false">IF($C248="","",IF(Recurring!$E$20="Weekly",Recurring!$F$20+7*4,IF(Recurring!$E$20="Every 2 Weeks",Recurring!$F$20+14*4,IF(Recurring!$E$20="Monthly",EDATE(Recurring!$F$20,4),IF(Recurring!$E$20="Twice a Month",IF(MOD((IF(DAY(Recurring!$F$20)&lt;=20,0,1)+4),2)=1,EOMONTH(Recurring!$F$20,INT((IF(DAY(Recurring!$F$20)&lt;=20,0,1)+4)/2)),DATE(YEAR(EDATE(Recurring!$F$20,INT((IF(DAY(Recurring!$F$20)&lt;=20,0,1)+4)/2))),MONTH(EDATE(Recurring!$F$20,INT((IF(DAY(Recurring!$F$20)&lt;=20,0,1)+4)/2))),15)),IF(Recurring!$E$20="One Time",IF(5=1,Recurring!$F$20,""),""))))))</f>
        <v>46386</v>
      </c>
      <c r="G248" s="119" t="n">
        <f aca="false">IF($L248="","",IF(SUMIFS(Overrides!$D$9:$D$108,Overrides!$B$9:$B$108,$C248,Overrides!$C$9:$C$108,$L248)&gt;0,SUMIFS(Overrides!$D$9:$D$108,Overrides!$B$9:$B$108,$C248,Overrides!$C$9:$C$108,$L248),$L248))</f>
        <v>46386</v>
      </c>
      <c r="H248" s="120" t="n">
        <f aca="false">IF($G248="",0,IF(AND($G248&gt;='Cash Flow'!$E$6,$G248&lt;'Cash Flow'!$E$6+91),1,0))</f>
        <v>0</v>
      </c>
      <c r="I248" s="120" t="str">
        <f aca="false">IF($H248=1,MAX(1,INT(($G248-'Cash Flow'!$E$6)/7)+1),"")</f>
        <v/>
      </c>
      <c r="J248" s="7" t="str">
        <f aca="false">IF($H248=1,$G248*10000+ROW(),"")</f>
        <v/>
      </c>
      <c r="K248" s="7" t="str">
        <f aca="false">IF($H248=1,$I248*1000+COUNTIFS($I$4:$I$483,$I248,$J$4:$J$483,"&lt;"&amp;$J248)+1,"")</f>
        <v/>
      </c>
      <c r="L248" s="121" t="n">
        <f aca="false">IF($F248="","",IF(Recurring!$G$20="Move Before",IF(WEEKDAY($F248,2)=6,$F248-1,IF(WEEKDAY($F248,2)=7,$F248-2,$F248)),IF(Recurring!$G$20="Move After",IF(WEEKDAY($F248,2)=6,$F248+2,IF(WEEKDAY($F248,2)=7,$F248+1,$F248)),$F248)))</f>
        <v>46386</v>
      </c>
      <c r="M248" s="0" t="str">
        <f aca="true">IF(AND($H248=1,$D248="Expense",$G248&gt;TODAY(),$E248&gt;=100),$G248*100000+ROW(),"")</f>
        <v/>
      </c>
      <c r="N248" s="0" t="str">
        <f aca="true">IF(AND($H248=1,$D248="Income",$G248&gt;TODAY()),$G248*100000+ROW(),"")</f>
        <v/>
      </c>
    </row>
    <row r="249" customFormat="false" ht="15" hidden="false" customHeight="true" outlineLevel="0" collapsed="false">
      <c r="A249" s="117" t="n">
        <v>16</v>
      </c>
      <c r="B249" s="117" t="n">
        <v>6</v>
      </c>
      <c r="C249" s="7" t="str">
        <f aca="false">IF(OR(Recurring!$B$20="",Recurring!$H$20&lt;&gt;"Yes",Recurring!$D$20=""),"",Recurring!$B$20)</f>
        <v>Maine Revenue Services (2)</v>
      </c>
      <c r="D249" s="7" t="str">
        <f aca="false">IF($C249="","",Recurring!$C$20)</f>
        <v>Expense</v>
      </c>
      <c r="E249" s="118" t="n">
        <f aca="false">IF($C249="","",IF(SUMIFS(Overrides!$E$9:$E$108,Overrides!$B$9:$B$108,$C249,Overrides!$C$9:$C$108,$L249)&gt;0,SUMIFS(Overrides!$E$9:$E$108,Overrides!$B$9:$B$108,$C249,Overrides!$C$9:$C$108,$L249),Recurring!$D$20))</f>
        <v>150</v>
      </c>
      <c r="F249" s="119" t="n">
        <f aca="false">IF($C249="","",IF(Recurring!$E$20="Weekly",Recurring!$F$20+7*5,IF(Recurring!$E$20="Every 2 Weeks",Recurring!$F$20+14*5,IF(Recurring!$E$20="Monthly",EDATE(Recurring!$F$20,5),IF(Recurring!$E$20="Twice a Month",IF(MOD((IF(DAY(Recurring!$F$20)&lt;=20,0,1)+5),2)=1,EOMONTH(Recurring!$F$20,INT((IF(DAY(Recurring!$F$20)&lt;=20,0,1)+5)/2)),DATE(YEAR(EDATE(Recurring!$F$20,INT((IF(DAY(Recurring!$F$20)&lt;=20,0,1)+5)/2))),MONTH(EDATE(Recurring!$F$20,INT((IF(DAY(Recurring!$F$20)&lt;=20,0,1)+5)/2))),15)),IF(Recurring!$E$20="One Time",IF(6=1,Recurring!$F$20,""),""))))))</f>
        <v>46417</v>
      </c>
      <c r="G249" s="119" t="n">
        <f aca="false">IF($L249="","",IF(SUMIFS(Overrides!$D$9:$D$108,Overrides!$B$9:$B$108,$C249,Overrides!$C$9:$C$108,$L249)&gt;0,SUMIFS(Overrides!$D$9:$D$108,Overrides!$B$9:$B$108,$C249,Overrides!$C$9:$C$108,$L249),$L249))</f>
        <v>46417</v>
      </c>
      <c r="H249" s="120" t="n">
        <f aca="false">IF($G249="",0,IF(AND($G249&gt;='Cash Flow'!$E$6,$G249&lt;'Cash Flow'!$E$6+91),1,0))</f>
        <v>0</v>
      </c>
      <c r="I249" s="120" t="str">
        <f aca="false">IF($H249=1,MAX(1,INT(($G249-'Cash Flow'!$E$6)/7)+1),"")</f>
        <v/>
      </c>
      <c r="J249" s="7" t="str">
        <f aca="false">IF($H249=1,$G249*10000+ROW(),"")</f>
        <v/>
      </c>
      <c r="K249" s="7" t="str">
        <f aca="false">IF($H249=1,$I249*1000+COUNTIFS($I$4:$I$483,$I249,$J$4:$J$483,"&lt;"&amp;$J249)+1,"")</f>
        <v/>
      </c>
      <c r="L249" s="121" t="n">
        <f aca="false">IF($F249="","",IF(Recurring!$G$20="Move Before",IF(WEEKDAY($F249,2)=6,$F249-1,IF(WEEKDAY($F249,2)=7,$F249-2,$F249)),IF(Recurring!$G$20="Move After",IF(WEEKDAY($F249,2)=6,$F249+2,IF(WEEKDAY($F249,2)=7,$F249+1,$F249)),$F249)))</f>
        <v>46417</v>
      </c>
      <c r="M249" s="0" t="str">
        <f aca="true">IF(AND($H249=1,$D249="Expense",$G249&gt;TODAY(),$E249&gt;=100),$G249*100000+ROW(),"")</f>
        <v/>
      </c>
      <c r="N249" s="0" t="str">
        <f aca="true">IF(AND($H249=1,$D249="Income",$G249&gt;TODAY()),$G249*100000+ROW(),"")</f>
        <v/>
      </c>
    </row>
    <row r="250" customFormat="false" ht="15" hidden="false" customHeight="true" outlineLevel="0" collapsed="false">
      <c r="A250" s="117" t="n">
        <v>16</v>
      </c>
      <c r="B250" s="117" t="n">
        <v>7</v>
      </c>
      <c r="C250" s="7" t="str">
        <f aca="false">IF(OR(Recurring!$B$20="",Recurring!$H$20&lt;&gt;"Yes",Recurring!$D$20=""),"",Recurring!$B$20)</f>
        <v>Maine Revenue Services (2)</v>
      </c>
      <c r="D250" s="7" t="str">
        <f aca="false">IF($C250="","",Recurring!$C$20)</f>
        <v>Expense</v>
      </c>
      <c r="E250" s="118" t="n">
        <f aca="false">IF($C250="","",IF(SUMIFS(Overrides!$E$9:$E$108,Overrides!$B$9:$B$108,$C250,Overrides!$C$9:$C$108,$L250)&gt;0,SUMIFS(Overrides!$E$9:$E$108,Overrides!$B$9:$B$108,$C250,Overrides!$C$9:$C$108,$L250),Recurring!$D$20))</f>
        <v>150</v>
      </c>
      <c r="F250" s="119" t="n">
        <f aca="false">IF($C250="","",IF(Recurring!$E$20="Weekly",Recurring!$F$20+7*6,IF(Recurring!$E$20="Every 2 Weeks",Recurring!$F$20+14*6,IF(Recurring!$E$20="Monthly",EDATE(Recurring!$F$20,6),IF(Recurring!$E$20="Twice a Month",IF(MOD((IF(DAY(Recurring!$F$20)&lt;=20,0,1)+6),2)=1,EOMONTH(Recurring!$F$20,INT((IF(DAY(Recurring!$F$20)&lt;=20,0,1)+6)/2)),DATE(YEAR(EDATE(Recurring!$F$20,INT((IF(DAY(Recurring!$F$20)&lt;=20,0,1)+6)/2))),MONTH(EDATE(Recurring!$F$20,INT((IF(DAY(Recurring!$F$20)&lt;=20,0,1)+6)/2))),15)),IF(Recurring!$E$20="One Time",IF(7=1,Recurring!$F$20,""),""))))))</f>
        <v>46446</v>
      </c>
      <c r="G250" s="119" t="n">
        <f aca="false">IF($L250="","",IF(SUMIFS(Overrides!$D$9:$D$108,Overrides!$B$9:$B$108,$C250,Overrides!$C$9:$C$108,$L250)&gt;0,SUMIFS(Overrides!$D$9:$D$108,Overrides!$B$9:$B$108,$C250,Overrides!$C$9:$C$108,$L250),$L250))</f>
        <v>46446</v>
      </c>
      <c r="H250" s="120" t="n">
        <f aca="false">IF($G250="",0,IF(AND($G250&gt;='Cash Flow'!$E$6,$G250&lt;'Cash Flow'!$E$6+91),1,0))</f>
        <v>0</v>
      </c>
      <c r="I250" s="120" t="str">
        <f aca="false">IF($H250=1,MAX(1,INT(($G250-'Cash Flow'!$E$6)/7)+1),"")</f>
        <v/>
      </c>
      <c r="J250" s="7" t="str">
        <f aca="false">IF($H250=1,$G250*10000+ROW(),"")</f>
        <v/>
      </c>
      <c r="K250" s="7" t="str">
        <f aca="false">IF($H250=1,$I250*1000+COUNTIFS($I$4:$I$483,$I250,$J$4:$J$483,"&lt;"&amp;$J250)+1,"")</f>
        <v/>
      </c>
      <c r="L250" s="121" t="n">
        <f aca="false">IF($F250="","",IF(Recurring!$G$20="Move Before",IF(WEEKDAY($F250,2)=6,$F250-1,IF(WEEKDAY($F250,2)=7,$F250-2,$F250)),IF(Recurring!$G$20="Move After",IF(WEEKDAY($F250,2)=6,$F250+2,IF(WEEKDAY($F250,2)=7,$F250+1,$F250)),$F250)))</f>
        <v>46446</v>
      </c>
      <c r="M250" s="0" t="str">
        <f aca="true">IF(AND($H250=1,$D250="Expense",$G250&gt;TODAY(),$E250&gt;=100),$G250*100000+ROW(),"")</f>
        <v/>
      </c>
      <c r="N250" s="0" t="str">
        <f aca="true">IF(AND($H250=1,$D250="Income",$G250&gt;TODAY()),$G250*100000+ROW(),"")</f>
        <v/>
      </c>
    </row>
    <row r="251" customFormat="false" ht="15" hidden="false" customHeight="true" outlineLevel="0" collapsed="false">
      <c r="A251" s="117" t="n">
        <v>16</v>
      </c>
      <c r="B251" s="117" t="n">
        <v>8</v>
      </c>
      <c r="C251" s="7" t="str">
        <f aca="false">IF(OR(Recurring!$B$20="",Recurring!$H$20&lt;&gt;"Yes",Recurring!$D$20=""),"",Recurring!$B$20)</f>
        <v>Maine Revenue Services (2)</v>
      </c>
      <c r="D251" s="7" t="str">
        <f aca="false">IF($C251="","",Recurring!$C$20)</f>
        <v>Expense</v>
      </c>
      <c r="E251" s="118" t="n">
        <f aca="false">IF($C251="","",IF(SUMIFS(Overrides!$E$9:$E$108,Overrides!$B$9:$B$108,$C251,Overrides!$C$9:$C$108,$L251)&gt;0,SUMIFS(Overrides!$E$9:$E$108,Overrides!$B$9:$B$108,$C251,Overrides!$C$9:$C$108,$L251),Recurring!$D$20))</f>
        <v>150</v>
      </c>
      <c r="F251" s="119" t="n">
        <f aca="false">IF($C251="","",IF(Recurring!$E$20="Weekly",Recurring!$F$20+7*7,IF(Recurring!$E$20="Every 2 Weeks",Recurring!$F$20+14*7,IF(Recurring!$E$20="Monthly",EDATE(Recurring!$F$20,7),IF(Recurring!$E$20="Twice a Month",IF(MOD((IF(DAY(Recurring!$F$20)&lt;=20,0,1)+7),2)=1,EOMONTH(Recurring!$F$20,INT((IF(DAY(Recurring!$F$20)&lt;=20,0,1)+7)/2)),DATE(YEAR(EDATE(Recurring!$F$20,INT((IF(DAY(Recurring!$F$20)&lt;=20,0,1)+7)/2))),MONTH(EDATE(Recurring!$F$20,INT((IF(DAY(Recurring!$F$20)&lt;=20,0,1)+7)/2))),15)),IF(Recurring!$E$20="One Time",IF(8=1,Recurring!$F$20,""),""))))))</f>
        <v>46476</v>
      </c>
      <c r="G251" s="119" t="n">
        <f aca="false">IF($L251="","",IF(SUMIFS(Overrides!$D$9:$D$108,Overrides!$B$9:$B$108,$C251,Overrides!$C$9:$C$108,$L251)&gt;0,SUMIFS(Overrides!$D$9:$D$108,Overrides!$B$9:$B$108,$C251,Overrides!$C$9:$C$108,$L251),$L251))</f>
        <v>46476</v>
      </c>
      <c r="H251" s="120" t="n">
        <f aca="false">IF($G251="",0,IF(AND($G251&gt;='Cash Flow'!$E$6,$G251&lt;'Cash Flow'!$E$6+91),1,0))</f>
        <v>0</v>
      </c>
      <c r="I251" s="120" t="str">
        <f aca="false">IF($H251=1,MAX(1,INT(($G251-'Cash Flow'!$E$6)/7)+1),"")</f>
        <v/>
      </c>
      <c r="J251" s="7" t="str">
        <f aca="false">IF($H251=1,$G251*10000+ROW(),"")</f>
        <v/>
      </c>
      <c r="K251" s="7" t="str">
        <f aca="false">IF($H251=1,$I251*1000+COUNTIFS($I$4:$I$483,$I251,$J$4:$J$483,"&lt;"&amp;$J251)+1,"")</f>
        <v/>
      </c>
      <c r="L251" s="121" t="n">
        <f aca="false">IF($F251="","",IF(Recurring!$G$20="Move Before",IF(WEEKDAY($F251,2)=6,$F251-1,IF(WEEKDAY($F251,2)=7,$F251-2,$F251)),IF(Recurring!$G$20="Move After",IF(WEEKDAY($F251,2)=6,$F251+2,IF(WEEKDAY($F251,2)=7,$F251+1,$F251)),$F251)))</f>
        <v>46476</v>
      </c>
      <c r="M251" s="0" t="str">
        <f aca="true">IF(AND($H251=1,$D251="Expense",$G251&gt;TODAY(),$E251&gt;=100),$G251*100000+ROW(),"")</f>
        <v/>
      </c>
      <c r="N251" s="0" t="str">
        <f aca="true">IF(AND($H251=1,$D251="Income",$G251&gt;TODAY()),$G251*100000+ROW(),"")</f>
        <v/>
      </c>
    </row>
    <row r="252" customFormat="false" ht="15" hidden="false" customHeight="true" outlineLevel="0" collapsed="false">
      <c r="A252" s="117" t="n">
        <v>16</v>
      </c>
      <c r="B252" s="117" t="n">
        <v>9</v>
      </c>
      <c r="C252" s="7" t="str">
        <f aca="false">IF(OR(Recurring!$B$20="",Recurring!$H$20&lt;&gt;"Yes",Recurring!$D$20=""),"",Recurring!$B$20)</f>
        <v>Maine Revenue Services (2)</v>
      </c>
      <c r="D252" s="7" t="str">
        <f aca="false">IF($C252="","",Recurring!$C$20)</f>
        <v>Expense</v>
      </c>
      <c r="E252" s="118" t="n">
        <f aca="false">IF($C252="","",IF(SUMIFS(Overrides!$E$9:$E$108,Overrides!$B$9:$B$108,$C252,Overrides!$C$9:$C$108,$L252)&gt;0,SUMIFS(Overrides!$E$9:$E$108,Overrides!$B$9:$B$108,$C252,Overrides!$C$9:$C$108,$L252),Recurring!$D$20))</f>
        <v>150</v>
      </c>
      <c r="F252" s="119" t="n">
        <f aca="false">IF($C252="","",IF(Recurring!$E$20="Weekly",Recurring!$F$20+7*8,IF(Recurring!$E$20="Every 2 Weeks",Recurring!$F$20+14*8,IF(Recurring!$E$20="Monthly",EDATE(Recurring!$F$20,8),IF(Recurring!$E$20="Twice a Month",IF(MOD((IF(DAY(Recurring!$F$20)&lt;=20,0,1)+8),2)=1,EOMONTH(Recurring!$F$20,INT((IF(DAY(Recurring!$F$20)&lt;=20,0,1)+8)/2)),DATE(YEAR(EDATE(Recurring!$F$20,INT((IF(DAY(Recurring!$F$20)&lt;=20,0,1)+8)/2))),MONTH(EDATE(Recurring!$F$20,INT((IF(DAY(Recurring!$F$20)&lt;=20,0,1)+8)/2))),15)),IF(Recurring!$E$20="One Time",IF(9=1,Recurring!$F$20,""),""))))))</f>
        <v>46507</v>
      </c>
      <c r="G252" s="119" t="n">
        <f aca="false">IF($L252="","",IF(SUMIFS(Overrides!$D$9:$D$108,Overrides!$B$9:$B$108,$C252,Overrides!$C$9:$C$108,$L252)&gt;0,SUMIFS(Overrides!$D$9:$D$108,Overrides!$B$9:$B$108,$C252,Overrides!$C$9:$C$108,$L252),$L252))</f>
        <v>46507</v>
      </c>
      <c r="H252" s="120" t="n">
        <f aca="false">IF($G252="",0,IF(AND($G252&gt;='Cash Flow'!$E$6,$G252&lt;'Cash Flow'!$E$6+91),1,0))</f>
        <v>0</v>
      </c>
      <c r="I252" s="120" t="str">
        <f aca="false">IF($H252=1,MAX(1,INT(($G252-'Cash Flow'!$E$6)/7)+1),"")</f>
        <v/>
      </c>
      <c r="J252" s="7" t="str">
        <f aca="false">IF($H252=1,$G252*10000+ROW(),"")</f>
        <v/>
      </c>
      <c r="K252" s="7" t="str">
        <f aca="false">IF($H252=1,$I252*1000+COUNTIFS($I$4:$I$483,$I252,$J$4:$J$483,"&lt;"&amp;$J252)+1,"")</f>
        <v/>
      </c>
      <c r="L252" s="121" t="n">
        <f aca="false">IF($F252="","",IF(Recurring!$G$20="Move Before",IF(WEEKDAY($F252,2)=6,$F252-1,IF(WEEKDAY($F252,2)=7,$F252-2,$F252)),IF(Recurring!$G$20="Move After",IF(WEEKDAY($F252,2)=6,$F252+2,IF(WEEKDAY($F252,2)=7,$F252+1,$F252)),$F252)))</f>
        <v>46507</v>
      </c>
      <c r="M252" s="0" t="str">
        <f aca="true">IF(AND($H252=1,$D252="Expense",$G252&gt;TODAY(),$E252&gt;=100),$G252*100000+ROW(),"")</f>
        <v/>
      </c>
      <c r="N252" s="0" t="str">
        <f aca="true">IF(AND($H252=1,$D252="Income",$G252&gt;TODAY()),$G252*100000+ROW(),"")</f>
        <v/>
      </c>
    </row>
    <row r="253" customFormat="false" ht="15" hidden="false" customHeight="true" outlineLevel="0" collapsed="false">
      <c r="A253" s="117" t="n">
        <v>16</v>
      </c>
      <c r="B253" s="117" t="n">
        <v>10</v>
      </c>
      <c r="C253" s="7" t="str">
        <f aca="false">IF(OR(Recurring!$B$20="",Recurring!$H$20&lt;&gt;"Yes",Recurring!$D$20=""),"",Recurring!$B$20)</f>
        <v>Maine Revenue Services (2)</v>
      </c>
      <c r="D253" s="7" t="str">
        <f aca="false">IF($C253="","",Recurring!$C$20)</f>
        <v>Expense</v>
      </c>
      <c r="E253" s="118" t="n">
        <f aca="false">IF($C253="","",IF(SUMIFS(Overrides!$E$9:$E$108,Overrides!$B$9:$B$108,$C253,Overrides!$C$9:$C$108,$L253)&gt;0,SUMIFS(Overrides!$E$9:$E$108,Overrides!$B$9:$B$108,$C253,Overrides!$C$9:$C$108,$L253),Recurring!$D$20))</f>
        <v>150</v>
      </c>
      <c r="F253" s="119" t="n">
        <f aca="false">IF($C253="","",IF(Recurring!$E$20="Weekly",Recurring!$F$20+7*9,IF(Recurring!$E$20="Every 2 Weeks",Recurring!$F$20+14*9,IF(Recurring!$E$20="Monthly",EDATE(Recurring!$F$20,9),IF(Recurring!$E$20="Twice a Month",IF(MOD((IF(DAY(Recurring!$F$20)&lt;=20,0,1)+9),2)=1,EOMONTH(Recurring!$F$20,INT((IF(DAY(Recurring!$F$20)&lt;=20,0,1)+9)/2)),DATE(YEAR(EDATE(Recurring!$F$20,INT((IF(DAY(Recurring!$F$20)&lt;=20,0,1)+9)/2))),MONTH(EDATE(Recurring!$F$20,INT((IF(DAY(Recurring!$F$20)&lt;=20,0,1)+9)/2))),15)),IF(Recurring!$E$20="One Time",IF(10=1,Recurring!$F$20,""),""))))))</f>
        <v>46537</v>
      </c>
      <c r="G253" s="119" t="n">
        <f aca="false">IF($L253="","",IF(SUMIFS(Overrides!$D$9:$D$108,Overrides!$B$9:$B$108,$C253,Overrides!$C$9:$C$108,$L253)&gt;0,SUMIFS(Overrides!$D$9:$D$108,Overrides!$B$9:$B$108,$C253,Overrides!$C$9:$C$108,$L253),$L253))</f>
        <v>46537</v>
      </c>
      <c r="H253" s="120" t="n">
        <f aca="false">IF($G253="",0,IF(AND($G253&gt;='Cash Flow'!$E$6,$G253&lt;'Cash Flow'!$E$6+91),1,0))</f>
        <v>0</v>
      </c>
      <c r="I253" s="120" t="str">
        <f aca="false">IF($H253=1,MAX(1,INT(($G253-'Cash Flow'!$E$6)/7)+1),"")</f>
        <v/>
      </c>
      <c r="J253" s="7" t="str">
        <f aca="false">IF($H253=1,$G253*10000+ROW(),"")</f>
        <v/>
      </c>
      <c r="K253" s="7" t="str">
        <f aca="false">IF($H253=1,$I253*1000+COUNTIFS($I$4:$I$483,$I253,$J$4:$J$483,"&lt;"&amp;$J253)+1,"")</f>
        <v/>
      </c>
      <c r="L253" s="121" t="n">
        <f aca="false">IF($F253="","",IF(Recurring!$G$20="Move Before",IF(WEEKDAY($F253,2)=6,$F253-1,IF(WEEKDAY($F253,2)=7,$F253-2,$F253)),IF(Recurring!$G$20="Move After",IF(WEEKDAY($F253,2)=6,$F253+2,IF(WEEKDAY($F253,2)=7,$F253+1,$F253)),$F253)))</f>
        <v>46537</v>
      </c>
      <c r="M253" s="0" t="str">
        <f aca="true">IF(AND($H253=1,$D253="Expense",$G253&gt;TODAY(),$E253&gt;=100),$G253*100000+ROW(),"")</f>
        <v/>
      </c>
      <c r="N253" s="0" t="str">
        <f aca="true">IF(AND($H253=1,$D253="Income",$G253&gt;TODAY()),$G253*100000+ROW(),"")</f>
        <v/>
      </c>
    </row>
    <row r="254" customFormat="false" ht="15" hidden="false" customHeight="true" outlineLevel="0" collapsed="false">
      <c r="A254" s="117" t="n">
        <v>16</v>
      </c>
      <c r="B254" s="117" t="n">
        <v>11</v>
      </c>
      <c r="C254" s="7" t="str">
        <f aca="false">IF(OR(Recurring!$B$20="",Recurring!$H$20&lt;&gt;"Yes",Recurring!$D$20=""),"",Recurring!$B$20)</f>
        <v>Maine Revenue Services (2)</v>
      </c>
      <c r="D254" s="7" t="str">
        <f aca="false">IF($C254="","",Recurring!$C$20)</f>
        <v>Expense</v>
      </c>
      <c r="E254" s="118" t="n">
        <f aca="false">IF($C254="","",IF(SUMIFS(Overrides!$E$9:$E$108,Overrides!$B$9:$B$108,$C254,Overrides!$C$9:$C$108,$L254)&gt;0,SUMIFS(Overrides!$E$9:$E$108,Overrides!$B$9:$B$108,$C254,Overrides!$C$9:$C$108,$L254),Recurring!$D$20))</f>
        <v>150</v>
      </c>
      <c r="F254" s="119" t="n">
        <f aca="false">IF($C254="","",IF(Recurring!$E$20="Weekly",Recurring!$F$20+7*10,IF(Recurring!$E$20="Every 2 Weeks",Recurring!$F$20+14*10,IF(Recurring!$E$20="Monthly",EDATE(Recurring!$F$20,10),IF(Recurring!$E$20="Twice a Month",IF(MOD((IF(DAY(Recurring!$F$20)&lt;=20,0,1)+10),2)=1,EOMONTH(Recurring!$F$20,INT((IF(DAY(Recurring!$F$20)&lt;=20,0,1)+10)/2)),DATE(YEAR(EDATE(Recurring!$F$20,INT((IF(DAY(Recurring!$F$20)&lt;=20,0,1)+10)/2))),MONTH(EDATE(Recurring!$F$20,INT((IF(DAY(Recurring!$F$20)&lt;=20,0,1)+10)/2))),15)),IF(Recurring!$E$20="One Time",IF(11=1,Recurring!$F$20,""),""))))))</f>
        <v>46568</v>
      </c>
      <c r="G254" s="119" t="n">
        <f aca="false">IF($L254="","",IF(SUMIFS(Overrides!$D$9:$D$108,Overrides!$B$9:$B$108,$C254,Overrides!$C$9:$C$108,$L254)&gt;0,SUMIFS(Overrides!$D$9:$D$108,Overrides!$B$9:$B$108,$C254,Overrides!$C$9:$C$108,$L254),$L254))</f>
        <v>46568</v>
      </c>
      <c r="H254" s="120" t="n">
        <f aca="false">IF($G254="",0,IF(AND($G254&gt;='Cash Flow'!$E$6,$G254&lt;'Cash Flow'!$E$6+91),1,0))</f>
        <v>0</v>
      </c>
      <c r="I254" s="120" t="str">
        <f aca="false">IF($H254=1,MAX(1,INT(($G254-'Cash Flow'!$E$6)/7)+1),"")</f>
        <v/>
      </c>
      <c r="J254" s="7" t="str">
        <f aca="false">IF($H254=1,$G254*10000+ROW(),"")</f>
        <v/>
      </c>
      <c r="K254" s="7" t="str">
        <f aca="false">IF($H254=1,$I254*1000+COUNTIFS($I$4:$I$483,$I254,$J$4:$J$483,"&lt;"&amp;$J254)+1,"")</f>
        <v/>
      </c>
      <c r="L254" s="121" t="n">
        <f aca="false">IF($F254="","",IF(Recurring!$G$20="Move Before",IF(WEEKDAY($F254,2)=6,$F254-1,IF(WEEKDAY($F254,2)=7,$F254-2,$F254)),IF(Recurring!$G$20="Move After",IF(WEEKDAY($F254,2)=6,$F254+2,IF(WEEKDAY($F254,2)=7,$F254+1,$F254)),$F254)))</f>
        <v>46568</v>
      </c>
      <c r="M254" s="0" t="str">
        <f aca="true">IF(AND($H254=1,$D254="Expense",$G254&gt;TODAY(),$E254&gt;=100),$G254*100000+ROW(),"")</f>
        <v/>
      </c>
      <c r="N254" s="0" t="str">
        <f aca="true">IF(AND($H254=1,$D254="Income",$G254&gt;TODAY()),$G254*100000+ROW(),"")</f>
        <v/>
      </c>
    </row>
    <row r="255" customFormat="false" ht="15" hidden="false" customHeight="true" outlineLevel="0" collapsed="false">
      <c r="A255" s="117" t="n">
        <v>16</v>
      </c>
      <c r="B255" s="117" t="n">
        <v>12</v>
      </c>
      <c r="C255" s="7" t="str">
        <f aca="false">IF(OR(Recurring!$B$20="",Recurring!$H$20&lt;&gt;"Yes",Recurring!$D$20=""),"",Recurring!$B$20)</f>
        <v>Maine Revenue Services (2)</v>
      </c>
      <c r="D255" s="7" t="str">
        <f aca="false">IF($C255="","",Recurring!$C$20)</f>
        <v>Expense</v>
      </c>
      <c r="E255" s="118" t="n">
        <f aca="false">IF($C255="","",IF(SUMIFS(Overrides!$E$9:$E$108,Overrides!$B$9:$B$108,$C255,Overrides!$C$9:$C$108,$L255)&gt;0,SUMIFS(Overrides!$E$9:$E$108,Overrides!$B$9:$B$108,$C255,Overrides!$C$9:$C$108,$L255),Recurring!$D$20))</f>
        <v>150</v>
      </c>
      <c r="F255" s="119" t="n">
        <f aca="false">IF($C255="","",IF(Recurring!$E$20="Weekly",Recurring!$F$20+7*11,IF(Recurring!$E$20="Every 2 Weeks",Recurring!$F$20+14*11,IF(Recurring!$E$20="Monthly",EDATE(Recurring!$F$20,11),IF(Recurring!$E$20="Twice a Month",IF(MOD((IF(DAY(Recurring!$F$20)&lt;=20,0,1)+11),2)=1,EOMONTH(Recurring!$F$20,INT((IF(DAY(Recurring!$F$20)&lt;=20,0,1)+11)/2)),DATE(YEAR(EDATE(Recurring!$F$20,INT((IF(DAY(Recurring!$F$20)&lt;=20,0,1)+11)/2))),MONTH(EDATE(Recurring!$F$20,INT((IF(DAY(Recurring!$F$20)&lt;=20,0,1)+11)/2))),15)),IF(Recurring!$E$20="One Time",IF(12=1,Recurring!$F$20,""),""))))))</f>
        <v>46598</v>
      </c>
      <c r="G255" s="119" t="n">
        <f aca="false">IF($L255="","",IF(SUMIFS(Overrides!$D$9:$D$108,Overrides!$B$9:$B$108,$C255,Overrides!$C$9:$C$108,$L255)&gt;0,SUMIFS(Overrides!$D$9:$D$108,Overrides!$B$9:$B$108,$C255,Overrides!$C$9:$C$108,$L255),$L255))</f>
        <v>46598</v>
      </c>
      <c r="H255" s="120" t="n">
        <f aca="false">IF($G255="",0,IF(AND($G255&gt;='Cash Flow'!$E$6,$G255&lt;'Cash Flow'!$E$6+91),1,0))</f>
        <v>0</v>
      </c>
      <c r="I255" s="120" t="str">
        <f aca="false">IF($H255=1,MAX(1,INT(($G255-'Cash Flow'!$E$6)/7)+1),"")</f>
        <v/>
      </c>
      <c r="J255" s="7" t="str">
        <f aca="false">IF($H255=1,$G255*10000+ROW(),"")</f>
        <v/>
      </c>
      <c r="K255" s="7" t="str">
        <f aca="false">IF($H255=1,$I255*1000+COUNTIFS($I$4:$I$483,$I255,$J$4:$J$483,"&lt;"&amp;$J255)+1,"")</f>
        <v/>
      </c>
      <c r="L255" s="121" t="n">
        <f aca="false">IF($F255="","",IF(Recurring!$G$20="Move Before",IF(WEEKDAY($F255,2)=6,$F255-1,IF(WEEKDAY($F255,2)=7,$F255-2,$F255)),IF(Recurring!$G$20="Move After",IF(WEEKDAY($F255,2)=6,$F255+2,IF(WEEKDAY($F255,2)=7,$F255+1,$F255)),$F255)))</f>
        <v>46598</v>
      </c>
      <c r="M255" s="0" t="str">
        <f aca="true">IF(AND($H255=1,$D255="Expense",$G255&gt;TODAY(),$E255&gt;=100),$G255*100000+ROW(),"")</f>
        <v/>
      </c>
      <c r="N255" s="0" t="str">
        <f aca="true">IF(AND($H255=1,$D255="Income",$G255&gt;TODAY()),$G255*100000+ROW(),"")</f>
        <v/>
      </c>
    </row>
    <row r="256" customFormat="false" ht="15" hidden="false" customHeight="true" outlineLevel="0" collapsed="false">
      <c r="A256" s="117" t="n">
        <v>16</v>
      </c>
      <c r="B256" s="117" t="n">
        <v>13</v>
      </c>
      <c r="C256" s="7" t="str">
        <f aca="false">IF(OR(Recurring!$B$20="",Recurring!$H$20&lt;&gt;"Yes",Recurring!$D$20=""),"",Recurring!$B$20)</f>
        <v>Maine Revenue Services (2)</v>
      </c>
      <c r="D256" s="7" t="str">
        <f aca="false">IF($C256="","",Recurring!$C$20)</f>
        <v>Expense</v>
      </c>
      <c r="E256" s="118" t="n">
        <f aca="false">IF($C256="","",IF(SUMIFS(Overrides!$E$9:$E$108,Overrides!$B$9:$B$108,$C256,Overrides!$C$9:$C$108,$L256)&gt;0,SUMIFS(Overrides!$E$9:$E$108,Overrides!$B$9:$B$108,$C256,Overrides!$C$9:$C$108,$L256),Recurring!$D$20))</f>
        <v>150</v>
      </c>
      <c r="F256" s="119" t="n">
        <f aca="false">IF($C256="","",IF(Recurring!$E$20="Weekly",Recurring!$F$20+7*12,IF(Recurring!$E$20="Every 2 Weeks",Recurring!$F$20+14*12,IF(Recurring!$E$20="Monthly",EDATE(Recurring!$F$20,12),IF(Recurring!$E$20="Twice a Month",IF(MOD((IF(DAY(Recurring!$F$20)&lt;=20,0,1)+12),2)=1,EOMONTH(Recurring!$F$20,INT((IF(DAY(Recurring!$F$20)&lt;=20,0,1)+12)/2)),DATE(YEAR(EDATE(Recurring!$F$20,INT((IF(DAY(Recurring!$F$20)&lt;=20,0,1)+12)/2))),MONTH(EDATE(Recurring!$F$20,INT((IF(DAY(Recurring!$F$20)&lt;=20,0,1)+12)/2))),15)),IF(Recurring!$E$20="One Time",IF(13=1,Recurring!$F$20,""),""))))))</f>
        <v>46629</v>
      </c>
      <c r="G256" s="119" t="n">
        <f aca="false">IF($L256="","",IF(SUMIFS(Overrides!$D$9:$D$108,Overrides!$B$9:$B$108,$C256,Overrides!$C$9:$C$108,$L256)&gt;0,SUMIFS(Overrides!$D$9:$D$108,Overrides!$B$9:$B$108,$C256,Overrides!$C$9:$C$108,$L256),$L256))</f>
        <v>46629</v>
      </c>
      <c r="H256" s="120" t="n">
        <f aca="false">IF($G256="",0,IF(AND($G256&gt;='Cash Flow'!$E$6,$G256&lt;'Cash Flow'!$E$6+91),1,0))</f>
        <v>0</v>
      </c>
      <c r="I256" s="120" t="str">
        <f aca="false">IF($H256=1,MAX(1,INT(($G256-'Cash Flow'!$E$6)/7)+1),"")</f>
        <v/>
      </c>
      <c r="J256" s="7" t="str">
        <f aca="false">IF($H256=1,$G256*10000+ROW(),"")</f>
        <v/>
      </c>
      <c r="K256" s="7" t="str">
        <f aca="false">IF($H256=1,$I256*1000+COUNTIFS($I$4:$I$483,$I256,$J$4:$J$483,"&lt;"&amp;$J256)+1,"")</f>
        <v/>
      </c>
      <c r="L256" s="121" t="n">
        <f aca="false">IF($F256="","",IF(Recurring!$G$20="Move Before",IF(WEEKDAY($F256,2)=6,$F256-1,IF(WEEKDAY($F256,2)=7,$F256-2,$F256)),IF(Recurring!$G$20="Move After",IF(WEEKDAY($F256,2)=6,$F256+2,IF(WEEKDAY($F256,2)=7,$F256+1,$F256)),$F256)))</f>
        <v>46629</v>
      </c>
      <c r="M256" s="0" t="str">
        <f aca="true">IF(AND($H256=1,$D256="Expense",$G256&gt;TODAY(),$E256&gt;=100),$G256*100000+ROW(),"")</f>
        <v/>
      </c>
      <c r="N256" s="0" t="str">
        <f aca="true">IF(AND($H256=1,$D256="Income",$G256&gt;TODAY()),$G256*100000+ROW(),"")</f>
        <v/>
      </c>
    </row>
    <row r="257" customFormat="false" ht="15" hidden="false" customHeight="true" outlineLevel="0" collapsed="false">
      <c r="A257" s="117" t="n">
        <v>16</v>
      </c>
      <c r="B257" s="117" t="n">
        <v>14</v>
      </c>
      <c r="C257" s="7" t="str">
        <f aca="false">IF(OR(Recurring!$B$20="",Recurring!$H$20&lt;&gt;"Yes",Recurring!$D$20=""),"",Recurring!$B$20)</f>
        <v>Maine Revenue Services (2)</v>
      </c>
      <c r="D257" s="7" t="str">
        <f aca="false">IF($C257="","",Recurring!$C$20)</f>
        <v>Expense</v>
      </c>
      <c r="E257" s="118" t="n">
        <f aca="false">IF($C257="","",IF(SUMIFS(Overrides!$E$9:$E$108,Overrides!$B$9:$B$108,$C257,Overrides!$C$9:$C$108,$L257)&gt;0,SUMIFS(Overrides!$E$9:$E$108,Overrides!$B$9:$B$108,$C257,Overrides!$C$9:$C$108,$L257),Recurring!$D$20))</f>
        <v>150</v>
      </c>
      <c r="F257" s="119" t="n">
        <f aca="false">IF($C257="","",IF(Recurring!$E$20="Weekly",Recurring!$F$20+7*13,IF(Recurring!$E$20="Every 2 Weeks",Recurring!$F$20+14*13,IF(Recurring!$E$20="Monthly",EDATE(Recurring!$F$20,13),IF(Recurring!$E$20="Twice a Month",IF(MOD((IF(DAY(Recurring!$F$20)&lt;=20,0,1)+13),2)=1,EOMONTH(Recurring!$F$20,INT((IF(DAY(Recurring!$F$20)&lt;=20,0,1)+13)/2)),DATE(YEAR(EDATE(Recurring!$F$20,INT((IF(DAY(Recurring!$F$20)&lt;=20,0,1)+13)/2))),MONTH(EDATE(Recurring!$F$20,INT((IF(DAY(Recurring!$F$20)&lt;=20,0,1)+13)/2))),15)),IF(Recurring!$E$20="One Time",IF(14=1,Recurring!$F$20,""),""))))))</f>
        <v>46660</v>
      </c>
      <c r="G257" s="119" t="n">
        <f aca="false">IF($L257="","",IF(SUMIFS(Overrides!$D$9:$D$108,Overrides!$B$9:$B$108,$C257,Overrides!$C$9:$C$108,$L257)&gt;0,SUMIFS(Overrides!$D$9:$D$108,Overrides!$B$9:$B$108,$C257,Overrides!$C$9:$C$108,$L257),$L257))</f>
        <v>46660</v>
      </c>
      <c r="H257" s="120" t="n">
        <f aca="false">IF($G257="",0,IF(AND($G257&gt;='Cash Flow'!$E$6,$G257&lt;'Cash Flow'!$E$6+91),1,0))</f>
        <v>0</v>
      </c>
      <c r="I257" s="120" t="str">
        <f aca="false">IF($H257=1,MAX(1,INT(($G257-'Cash Flow'!$E$6)/7)+1),"")</f>
        <v/>
      </c>
      <c r="J257" s="7" t="str">
        <f aca="false">IF($H257=1,$G257*10000+ROW(),"")</f>
        <v/>
      </c>
      <c r="K257" s="7" t="str">
        <f aca="false">IF($H257=1,$I257*1000+COUNTIFS($I$4:$I$483,$I257,$J$4:$J$483,"&lt;"&amp;$J257)+1,"")</f>
        <v/>
      </c>
      <c r="L257" s="121" t="n">
        <f aca="false">IF($F257="","",IF(Recurring!$G$20="Move Before",IF(WEEKDAY($F257,2)=6,$F257-1,IF(WEEKDAY($F257,2)=7,$F257-2,$F257)),IF(Recurring!$G$20="Move After",IF(WEEKDAY($F257,2)=6,$F257+2,IF(WEEKDAY($F257,2)=7,$F257+1,$F257)),$F257)))</f>
        <v>46660</v>
      </c>
      <c r="M257" s="0" t="str">
        <f aca="true">IF(AND($H257=1,$D257="Expense",$G257&gt;TODAY(),$E257&gt;=100),$G257*100000+ROW(),"")</f>
        <v/>
      </c>
      <c r="N257" s="0" t="str">
        <f aca="true">IF(AND($H257=1,$D257="Income",$G257&gt;TODAY()),$G257*100000+ROW(),"")</f>
        <v/>
      </c>
    </row>
    <row r="258" customFormat="false" ht="15" hidden="false" customHeight="true" outlineLevel="0" collapsed="false">
      <c r="A258" s="117" t="n">
        <v>16</v>
      </c>
      <c r="B258" s="117" t="n">
        <v>15</v>
      </c>
      <c r="C258" s="7" t="str">
        <f aca="false">IF(OR(Recurring!$B$20="",Recurring!$H$20&lt;&gt;"Yes",Recurring!$D$20=""),"",Recurring!$B$20)</f>
        <v>Maine Revenue Services (2)</v>
      </c>
      <c r="D258" s="7" t="str">
        <f aca="false">IF($C258="","",Recurring!$C$20)</f>
        <v>Expense</v>
      </c>
      <c r="E258" s="118" t="n">
        <f aca="false">IF($C258="","",IF(SUMIFS(Overrides!$E$9:$E$108,Overrides!$B$9:$B$108,$C258,Overrides!$C$9:$C$108,$L258)&gt;0,SUMIFS(Overrides!$E$9:$E$108,Overrides!$B$9:$B$108,$C258,Overrides!$C$9:$C$108,$L258),Recurring!$D$20))</f>
        <v>150</v>
      </c>
      <c r="F258" s="119" t="n">
        <f aca="false">IF($C258="","",IF(Recurring!$E$20="Weekly",Recurring!$F$20+7*14,IF(Recurring!$E$20="Every 2 Weeks",Recurring!$F$20+14*14,IF(Recurring!$E$20="Monthly",EDATE(Recurring!$F$20,14),IF(Recurring!$E$20="Twice a Month",IF(MOD((IF(DAY(Recurring!$F$20)&lt;=20,0,1)+14),2)=1,EOMONTH(Recurring!$F$20,INT((IF(DAY(Recurring!$F$20)&lt;=20,0,1)+14)/2)),DATE(YEAR(EDATE(Recurring!$F$20,INT((IF(DAY(Recurring!$F$20)&lt;=20,0,1)+14)/2))),MONTH(EDATE(Recurring!$F$20,INT((IF(DAY(Recurring!$F$20)&lt;=20,0,1)+14)/2))),15)),IF(Recurring!$E$20="One Time",IF(15=1,Recurring!$F$20,""),""))))))</f>
        <v>46690</v>
      </c>
      <c r="G258" s="119" t="n">
        <f aca="false">IF($L258="","",IF(SUMIFS(Overrides!$D$9:$D$108,Overrides!$B$9:$B$108,$C258,Overrides!$C$9:$C$108,$L258)&gt;0,SUMIFS(Overrides!$D$9:$D$108,Overrides!$B$9:$B$108,$C258,Overrides!$C$9:$C$108,$L258),$L258))</f>
        <v>46690</v>
      </c>
      <c r="H258" s="120" t="n">
        <f aca="false">IF($G258="",0,IF(AND($G258&gt;='Cash Flow'!$E$6,$G258&lt;'Cash Flow'!$E$6+91),1,0))</f>
        <v>0</v>
      </c>
      <c r="I258" s="120" t="str">
        <f aca="false">IF($H258=1,MAX(1,INT(($G258-'Cash Flow'!$E$6)/7)+1),"")</f>
        <v/>
      </c>
      <c r="J258" s="7" t="str">
        <f aca="false">IF($H258=1,$G258*10000+ROW(),"")</f>
        <v/>
      </c>
      <c r="K258" s="7" t="str">
        <f aca="false">IF($H258=1,$I258*1000+COUNTIFS($I$4:$I$483,$I258,$J$4:$J$483,"&lt;"&amp;$J258)+1,"")</f>
        <v/>
      </c>
      <c r="L258" s="121" t="n">
        <f aca="false">IF($F258="","",IF(Recurring!$G$20="Move Before",IF(WEEKDAY($F258,2)=6,$F258-1,IF(WEEKDAY($F258,2)=7,$F258-2,$F258)),IF(Recurring!$G$20="Move After",IF(WEEKDAY($F258,2)=6,$F258+2,IF(WEEKDAY($F258,2)=7,$F258+1,$F258)),$F258)))</f>
        <v>46690</v>
      </c>
      <c r="M258" s="0" t="str">
        <f aca="true">IF(AND($H258=1,$D258="Expense",$G258&gt;TODAY(),$E258&gt;=100),$G258*100000+ROW(),"")</f>
        <v/>
      </c>
      <c r="N258" s="0" t="str">
        <f aca="true">IF(AND($H258=1,$D258="Income",$G258&gt;TODAY()),$G258*100000+ROW(),"")</f>
        <v/>
      </c>
    </row>
    <row r="259" customFormat="false" ht="15" hidden="false" customHeight="true" outlineLevel="0" collapsed="false">
      <c r="A259" s="117" t="n">
        <v>16</v>
      </c>
      <c r="B259" s="117" t="n">
        <v>16</v>
      </c>
      <c r="C259" s="7" t="str">
        <f aca="false">IF(OR(Recurring!$B$20="",Recurring!$H$20&lt;&gt;"Yes",Recurring!$D$20=""),"",Recurring!$B$20)</f>
        <v>Maine Revenue Services (2)</v>
      </c>
      <c r="D259" s="7" t="str">
        <f aca="false">IF($C259="","",Recurring!$C$20)</f>
        <v>Expense</v>
      </c>
      <c r="E259" s="118" t="n">
        <f aca="false">IF($C259="","",IF(SUMIFS(Overrides!$E$9:$E$108,Overrides!$B$9:$B$108,$C259,Overrides!$C$9:$C$108,$L259)&gt;0,SUMIFS(Overrides!$E$9:$E$108,Overrides!$B$9:$B$108,$C259,Overrides!$C$9:$C$108,$L259),Recurring!$D$20))</f>
        <v>150</v>
      </c>
      <c r="F259" s="119" t="n">
        <f aca="false">IF($C259="","",IF(Recurring!$E$20="Weekly",Recurring!$F$20+7*15,IF(Recurring!$E$20="Every 2 Weeks",Recurring!$F$20+14*15,IF(Recurring!$E$20="Monthly",EDATE(Recurring!$F$20,15),IF(Recurring!$E$20="Twice a Month",IF(MOD((IF(DAY(Recurring!$F$20)&lt;=20,0,1)+15),2)=1,EOMONTH(Recurring!$F$20,INT((IF(DAY(Recurring!$F$20)&lt;=20,0,1)+15)/2)),DATE(YEAR(EDATE(Recurring!$F$20,INT((IF(DAY(Recurring!$F$20)&lt;=20,0,1)+15)/2))),MONTH(EDATE(Recurring!$F$20,INT((IF(DAY(Recurring!$F$20)&lt;=20,0,1)+15)/2))),15)),IF(Recurring!$E$20="One Time",IF(16=1,Recurring!$F$20,""),""))))))</f>
        <v>46721</v>
      </c>
      <c r="G259" s="119" t="n">
        <f aca="false">IF($L259="","",IF(SUMIFS(Overrides!$D$9:$D$108,Overrides!$B$9:$B$108,$C259,Overrides!$C$9:$C$108,$L259)&gt;0,SUMIFS(Overrides!$D$9:$D$108,Overrides!$B$9:$B$108,$C259,Overrides!$C$9:$C$108,$L259),$L259))</f>
        <v>46721</v>
      </c>
      <c r="H259" s="120" t="n">
        <f aca="false">IF($G259="",0,IF(AND($G259&gt;='Cash Flow'!$E$6,$G259&lt;'Cash Flow'!$E$6+91),1,0))</f>
        <v>0</v>
      </c>
      <c r="I259" s="120" t="str">
        <f aca="false">IF($H259=1,MAX(1,INT(($G259-'Cash Flow'!$E$6)/7)+1),"")</f>
        <v/>
      </c>
      <c r="J259" s="7" t="str">
        <f aca="false">IF($H259=1,$G259*10000+ROW(),"")</f>
        <v/>
      </c>
      <c r="K259" s="7" t="str">
        <f aca="false">IF($H259=1,$I259*1000+COUNTIFS($I$4:$I$483,$I259,$J$4:$J$483,"&lt;"&amp;$J259)+1,"")</f>
        <v/>
      </c>
      <c r="L259" s="121" t="n">
        <f aca="false">IF($F259="","",IF(Recurring!$G$20="Move Before",IF(WEEKDAY($F259,2)=6,$F259-1,IF(WEEKDAY($F259,2)=7,$F259-2,$F259)),IF(Recurring!$G$20="Move After",IF(WEEKDAY($F259,2)=6,$F259+2,IF(WEEKDAY($F259,2)=7,$F259+1,$F259)),$F259)))</f>
        <v>46721</v>
      </c>
      <c r="M259" s="0" t="str">
        <f aca="true">IF(AND($H259=1,$D259="Expense",$G259&gt;TODAY(),$E259&gt;=100),$G259*100000+ROW(),"")</f>
        <v/>
      </c>
      <c r="N259" s="0" t="str">
        <f aca="true">IF(AND($H259=1,$D259="Income",$G259&gt;TODAY()),$G259*100000+ROW(),"")</f>
        <v/>
      </c>
    </row>
    <row r="260" customFormat="false" ht="15" hidden="false" customHeight="true" outlineLevel="0" collapsed="false">
      <c r="A260" s="117" t="n">
        <v>17</v>
      </c>
      <c r="B260" s="117" t="n">
        <v>1</v>
      </c>
      <c r="C260" s="7" t="str">
        <f aca="false">IF(OR(Recurring!$B$21="",Recurring!$H$21&lt;&gt;"Yes",Recurring!$D$21=""),"",Recurring!$B$21)</f>
        <v>Progressive Insurance</v>
      </c>
      <c r="D260" s="7" t="str">
        <f aca="false">IF($C260="","",Recurring!$C$21)</f>
        <v>Expense</v>
      </c>
      <c r="E260" s="118" t="n">
        <f aca="false">IF($C260="","",IF(SUMIFS(Overrides!$E$9:$E$108,Overrides!$B$9:$B$108,$C260,Overrides!$C$9:$C$108,$L260)&gt;0,SUMIFS(Overrides!$E$9:$E$108,Overrides!$B$9:$B$108,$C260,Overrides!$C$9:$C$108,$L260),Recurring!$D$21))</f>
        <v>143.37</v>
      </c>
      <c r="F260" s="119" t="n">
        <f aca="false">IF($C260="","",IF(Recurring!$E$21="Weekly",Recurring!$F$21+7*0,IF(Recurring!$E$21="Every 2 Weeks",Recurring!$F$21+14*0,IF(Recurring!$E$21="Monthly",EDATE(Recurring!$F$21,0),IF(Recurring!$E$21="Twice a Month",IF(MOD((IF(DAY(Recurring!$F$21)&lt;=20,0,1)+0),2)=1,EOMONTH(Recurring!$F$21,INT((IF(DAY(Recurring!$F$21)&lt;=20,0,1)+0)/2)),DATE(YEAR(EDATE(Recurring!$F$21,INT((IF(DAY(Recurring!$F$21)&lt;=20,0,1)+0)/2))),MONTH(EDATE(Recurring!$F$21,INT((IF(DAY(Recurring!$F$21)&lt;=20,0,1)+0)/2))),15)),IF(Recurring!$E$21="One Time",IF(1=1,Recurring!$F$21,""),""))))))</f>
        <v>46265</v>
      </c>
      <c r="G260" s="119" t="n">
        <f aca="false">IF($L260="","",IF(SUMIFS(Overrides!$D$9:$D$108,Overrides!$B$9:$B$108,$C260,Overrides!$C$9:$C$108,$L260)&gt;0,SUMIFS(Overrides!$D$9:$D$108,Overrides!$B$9:$B$108,$C260,Overrides!$C$9:$C$108,$L260),$L260))</f>
        <v>46265</v>
      </c>
      <c r="H260" s="120" t="n">
        <f aca="false">IF($G260="",0,IF(AND($G260&gt;='Cash Flow'!$E$6-90,$G260&lt;'Cash Flow'!$E$6+91),1,0))</f>
        <v>1</v>
      </c>
      <c r="I260" s="120" t="n">
        <f aca="false">IF($H260=1,MAX(1,INT(($G260-'Cash Flow'!$E$6)/7)+1),"")</f>
        <v>3</v>
      </c>
      <c r="J260" s="7" t="n">
        <f aca="false">IF($H260=1,$G260*10000+ROW(),"")</f>
        <v>462650260</v>
      </c>
      <c r="K260" s="7" t="n">
        <f aca="false">IF($H260=1,$I260*1000+COUNTIFS($I$4:$I$483,$I260,$J$4:$J$483,"&lt;"&amp;$J260)+1,"")</f>
        <v>3003</v>
      </c>
      <c r="L260" s="121" t="n">
        <f aca="false">IF($F260="","",IF(Recurring!$G$21="Move Before",IF(WEEKDAY($F260,2)=6,$F260-1,IF(WEEKDAY($F260,2)=7,$F260-2,$F260)),IF(Recurring!$G$21="Move After",IF(WEEKDAY($F260,2)=6,$F260+2,IF(WEEKDAY($F260,2)=7,$F260+1,$F260)),$F260)))</f>
        <v>46265</v>
      </c>
      <c r="M260" s="122" t="n">
        <f aca="true">IF(AND($H260=1,$D260="Expense",$G260&gt;TODAY(),$E260&gt;=100),$G260*100000+ROW(),"")</f>
        <v>4626500260</v>
      </c>
      <c r="N260" s="0" t="str">
        <f aca="true">IF(AND($H260=1,$D260="Income",$G260&gt;TODAY()),$G260*100000+ROW(),"")</f>
        <v/>
      </c>
    </row>
    <row r="261" customFormat="false" ht="15" hidden="false" customHeight="true" outlineLevel="0" collapsed="false">
      <c r="A261" s="117" t="n">
        <v>17</v>
      </c>
      <c r="B261" s="117" t="n">
        <v>2</v>
      </c>
      <c r="C261" s="7" t="str">
        <f aca="false">IF(OR(Recurring!$B$21="",Recurring!$H$21&lt;&gt;"Yes",Recurring!$D$21=""),"",Recurring!$B$21)</f>
        <v>Progressive Insurance</v>
      </c>
      <c r="D261" s="7" t="str">
        <f aca="false">IF($C261="","",Recurring!$C$21)</f>
        <v>Expense</v>
      </c>
      <c r="E261" s="118" t="n">
        <f aca="false">IF($C261="","",IF(SUMIFS(Overrides!$E$9:$E$108,Overrides!$B$9:$B$108,$C261,Overrides!$C$9:$C$108,$L261)&gt;0,SUMIFS(Overrides!$E$9:$E$108,Overrides!$B$9:$B$108,$C261,Overrides!$C$9:$C$108,$L261),Recurring!$D$21))</f>
        <v>143.37</v>
      </c>
      <c r="F261" s="119" t="n">
        <f aca="false">IF($C261="","",IF(Recurring!$E$21="Weekly",Recurring!$F$21+7*1,IF(Recurring!$E$21="Every 2 Weeks",Recurring!$F$21+14*1,IF(Recurring!$E$21="Monthly",EDATE(Recurring!$F$21,1),IF(Recurring!$E$21="Twice a Month",IF(MOD((IF(DAY(Recurring!$F$21)&lt;=20,0,1)+1),2)=1,EOMONTH(Recurring!$F$21,INT((IF(DAY(Recurring!$F$21)&lt;=20,0,1)+1)/2)),DATE(YEAR(EDATE(Recurring!$F$21,INT((IF(DAY(Recurring!$F$21)&lt;=20,0,1)+1)/2))),MONTH(EDATE(Recurring!$F$21,INT((IF(DAY(Recurring!$F$21)&lt;=20,0,1)+1)/2))),15)),IF(Recurring!$E$21="One Time",IF(2=1,Recurring!$F$21,""),""))))))</f>
        <v>46295</v>
      </c>
      <c r="G261" s="119" t="n">
        <f aca="false">IF($L261="","",IF(SUMIFS(Overrides!$D$9:$D$108,Overrides!$B$9:$B$108,$C261,Overrides!$C$9:$C$108,$L261)&gt;0,SUMIFS(Overrides!$D$9:$D$108,Overrides!$B$9:$B$108,$C261,Overrides!$C$9:$C$108,$L261),$L261))</f>
        <v>46295</v>
      </c>
      <c r="H261" s="120" t="n">
        <f aca="false">IF($G261="",0,IF(AND($G261&gt;='Cash Flow'!$E$6,$G261&lt;'Cash Flow'!$E$6+91),1,0))</f>
        <v>1</v>
      </c>
      <c r="I261" s="120" t="n">
        <f aca="false">IF($H261=1,MAX(1,INT(($G261-'Cash Flow'!$E$6)/7)+1),"")</f>
        <v>7</v>
      </c>
      <c r="J261" s="7" t="n">
        <f aca="false">IF($H261=1,$G261*10000+ROW(),"")</f>
        <v>462950261</v>
      </c>
      <c r="K261" s="7" t="n">
        <f aca="false">IF($H261=1,$I261*1000+COUNTIFS($I$4:$I$483,$I261,$J$4:$J$483,"&lt;"&amp;$J261)+1,"")</f>
        <v>7004</v>
      </c>
      <c r="L261" s="121" t="n">
        <f aca="false">IF($F261="","",IF(Recurring!$G$21="Move Before",IF(WEEKDAY($F261,2)=6,$F261-1,IF(WEEKDAY($F261,2)=7,$F261-2,$F261)),IF(Recurring!$G$21="Move After",IF(WEEKDAY($F261,2)=6,$F261+2,IF(WEEKDAY($F261,2)=7,$F261+1,$F261)),$F261)))</f>
        <v>46295</v>
      </c>
      <c r="M261" s="122" t="n">
        <f aca="true">IF(AND($H261=1,$D261="Expense",$G261&gt;TODAY(),$E261&gt;=100),$G261*100000+ROW(),"")</f>
        <v>4629500261</v>
      </c>
      <c r="N261" s="0" t="str">
        <f aca="true">IF(AND($H261=1,$D261="Income",$G261&gt;TODAY()),$G261*100000+ROW(),"")</f>
        <v/>
      </c>
    </row>
    <row r="262" customFormat="false" ht="15" hidden="false" customHeight="true" outlineLevel="0" collapsed="false">
      <c r="A262" s="117" t="n">
        <v>17</v>
      </c>
      <c r="B262" s="117" t="n">
        <v>3</v>
      </c>
      <c r="C262" s="7" t="str">
        <f aca="false">IF(OR(Recurring!$B$21="",Recurring!$H$21&lt;&gt;"Yes",Recurring!$D$21=""),"",Recurring!$B$21)</f>
        <v>Progressive Insurance</v>
      </c>
      <c r="D262" s="7" t="str">
        <f aca="false">IF($C262="","",Recurring!$C$21)</f>
        <v>Expense</v>
      </c>
      <c r="E262" s="118" t="n">
        <f aca="false">IF($C262="","",IF(SUMIFS(Overrides!$E$9:$E$108,Overrides!$B$9:$B$108,$C262,Overrides!$C$9:$C$108,$L262)&gt;0,SUMIFS(Overrides!$E$9:$E$108,Overrides!$B$9:$B$108,$C262,Overrides!$C$9:$C$108,$L262),Recurring!$D$21))</f>
        <v>143.37</v>
      </c>
      <c r="F262" s="119" t="n">
        <f aca="false">IF($C262="","",IF(Recurring!$E$21="Weekly",Recurring!$F$21+7*2,IF(Recurring!$E$21="Every 2 Weeks",Recurring!$F$21+14*2,IF(Recurring!$E$21="Monthly",EDATE(Recurring!$F$21,2),IF(Recurring!$E$21="Twice a Month",IF(MOD((IF(DAY(Recurring!$F$21)&lt;=20,0,1)+2),2)=1,EOMONTH(Recurring!$F$21,INT((IF(DAY(Recurring!$F$21)&lt;=20,0,1)+2)/2)),DATE(YEAR(EDATE(Recurring!$F$21,INT((IF(DAY(Recurring!$F$21)&lt;=20,0,1)+2)/2))),MONTH(EDATE(Recurring!$F$21,INT((IF(DAY(Recurring!$F$21)&lt;=20,0,1)+2)/2))),15)),IF(Recurring!$E$21="One Time",IF(3=1,Recurring!$F$21,""),""))))))</f>
        <v>46326</v>
      </c>
      <c r="G262" s="119" t="n">
        <f aca="false">IF($L262="","",IF(SUMIFS(Overrides!$D$9:$D$108,Overrides!$B$9:$B$108,$C262,Overrides!$C$9:$C$108,$L262)&gt;0,SUMIFS(Overrides!$D$9:$D$108,Overrides!$B$9:$B$108,$C262,Overrides!$C$9:$C$108,$L262),$L262))</f>
        <v>46326</v>
      </c>
      <c r="H262" s="120" t="n">
        <f aca="false">IF($G262="",0,IF(AND($G262&gt;='Cash Flow'!$E$6,$G262&lt;'Cash Flow'!$E$6+91),1,0))</f>
        <v>1</v>
      </c>
      <c r="I262" s="120" t="n">
        <f aca="false">IF($H262=1,MAX(1,INT(($G262-'Cash Flow'!$E$6)/7)+1),"")</f>
        <v>12</v>
      </c>
      <c r="J262" s="7" t="n">
        <f aca="false">IF($H262=1,$G262*10000+ROW(),"")</f>
        <v>463260262</v>
      </c>
      <c r="K262" s="7" t="n">
        <f aca="false">IF($H262=1,$I262*1000+COUNTIFS($I$4:$I$483,$I262,$J$4:$J$483,"&lt;"&amp;$J262)+1,"")</f>
        <v>12001</v>
      </c>
      <c r="L262" s="121" t="n">
        <f aca="false">IF($F262="","",IF(Recurring!$G$21="Move Before",IF(WEEKDAY($F262,2)=6,$F262-1,IF(WEEKDAY($F262,2)=7,$F262-2,$F262)),IF(Recurring!$G$21="Move After",IF(WEEKDAY($F262,2)=6,$F262+2,IF(WEEKDAY($F262,2)=7,$F262+1,$F262)),$F262)))</f>
        <v>46326</v>
      </c>
      <c r="M262" s="122" t="n">
        <f aca="true">IF(AND($H262=1,$D262="Expense",$G262&gt;TODAY(),$E262&gt;=100),$G262*100000+ROW(),"")</f>
        <v>4632600262</v>
      </c>
      <c r="N262" s="0" t="str">
        <f aca="true">IF(AND($H262=1,$D262="Income",$G262&gt;TODAY()),$G262*100000+ROW(),"")</f>
        <v/>
      </c>
    </row>
    <row r="263" customFormat="false" ht="15" hidden="false" customHeight="true" outlineLevel="0" collapsed="false">
      <c r="A263" s="117" t="n">
        <v>17</v>
      </c>
      <c r="B263" s="117" t="n">
        <v>4</v>
      </c>
      <c r="C263" s="7" t="str">
        <f aca="false">IF(OR(Recurring!$B$21="",Recurring!$H$21&lt;&gt;"Yes",Recurring!$D$21=""),"",Recurring!$B$21)</f>
        <v>Progressive Insurance</v>
      </c>
      <c r="D263" s="7" t="str">
        <f aca="false">IF($C263="","",Recurring!$C$21)</f>
        <v>Expense</v>
      </c>
      <c r="E263" s="118" t="n">
        <f aca="false">IF($C263="","",IF(SUMIFS(Overrides!$E$9:$E$108,Overrides!$B$9:$B$108,$C263,Overrides!$C$9:$C$108,$L263)&gt;0,SUMIFS(Overrides!$E$9:$E$108,Overrides!$B$9:$B$108,$C263,Overrides!$C$9:$C$108,$L263),Recurring!$D$21))</f>
        <v>143.37</v>
      </c>
      <c r="F263" s="119" t="n">
        <f aca="false">IF($C263="","",IF(Recurring!$E$21="Weekly",Recurring!$F$21+7*3,IF(Recurring!$E$21="Every 2 Weeks",Recurring!$F$21+14*3,IF(Recurring!$E$21="Monthly",EDATE(Recurring!$F$21,3),IF(Recurring!$E$21="Twice a Month",IF(MOD((IF(DAY(Recurring!$F$21)&lt;=20,0,1)+3),2)=1,EOMONTH(Recurring!$F$21,INT((IF(DAY(Recurring!$F$21)&lt;=20,0,1)+3)/2)),DATE(YEAR(EDATE(Recurring!$F$21,INT((IF(DAY(Recurring!$F$21)&lt;=20,0,1)+3)/2))),MONTH(EDATE(Recurring!$F$21,INT((IF(DAY(Recurring!$F$21)&lt;=20,0,1)+3)/2))),15)),IF(Recurring!$E$21="One Time",IF(4=1,Recurring!$F$21,""),""))))))</f>
        <v>46356</v>
      </c>
      <c r="G263" s="119" t="n">
        <f aca="false">IF($L263="","",IF(SUMIFS(Overrides!$D$9:$D$108,Overrides!$B$9:$B$108,$C263,Overrides!$C$9:$C$108,$L263)&gt;0,SUMIFS(Overrides!$D$9:$D$108,Overrides!$B$9:$B$108,$C263,Overrides!$C$9:$C$108,$L263),$L263))</f>
        <v>46356</v>
      </c>
      <c r="H263" s="120" t="n">
        <f aca="false">IF($G263="",0,IF(AND($G263&gt;='Cash Flow'!$E$6,$G263&lt;'Cash Flow'!$E$6+91),1,0))</f>
        <v>0</v>
      </c>
      <c r="I263" s="120" t="str">
        <f aca="false">IF($H263=1,MAX(1,INT(($G263-'Cash Flow'!$E$6)/7)+1),"")</f>
        <v/>
      </c>
      <c r="J263" s="7" t="str">
        <f aca="false">IF($H263=1,$G263*10000+ROW(),"")</f>
        <v/>
      </c>
      <c r="K263" s="7" t="str">
        <f aca="false">IF($H263=1,$I263*1000+COUNTIFS($I$4:$I$483,$I263,$J$4:$J$483,"&lt;"&amp;$J263)+1,"")</f>
        <v/>
      </c>
      <c r="L263" s="121" t="n">
        <f aca="false">IF($F263="","",IF(Recurring!$G$21="Move Before",IF(WEEKDAY($F263,2)=6,$F263-1,IF(WEEKDAY($F263,2)=7,$F263-2,$F263)),IF(Recurring!$G$21="Move After",IF(WEEKDAY($F263,2)=6,$F263+2,IF(WEEKDAY($F263,2)=7,$F263+1,$F263)),$F263)))</f>
        <v>46356</v>
      </c>
      <c r="M263" s="0" t="str">
        <f aca="true">IF(AND($H263=1,$D263="Expense",$G263&gt;TODAY(),$E263&gt;=100),$G263*100000+ROW(),"")</f>
        <v/>
      </c>
      <c r="N263" s="0" t="str">
        <f aca="true">IF(AND($H263=1,$D263="Income",$G263&gt;TODAY()),$G263*100000+ROW(),"")</f>
        <v/>
      </c>
    </row>
    <row r="264" customFormat="false" ht="15" hidden="false" customHeight="true" outlineLevel="0" collapsed="false">
      <c r="A264" s="117" t="n">
        <v>17</v>
      </c>
      <c r="B264" s="117" t="n">
        <v>5</v>
      </c>
      <c r="C264" s="7" t="str">
        <f aca="false">IF(OR(Recurring!$B$21="",Recurring!$H$21&lt;&gt;"Yes",Recurring!$D$21=""),"",Recurring!$B$21)</f>
        <v>Progressive Insurance</v>
      </c>
      <c r="D264" s="7" t="str">
        <f aca="false">IF($C264="","",Recurring!$C$21)</f>
        <v>Expense</v>
      </c>
      <c r="E264" s="118" t="n">
        <f aca="false">IF($C264="","",IF(SUMIFS(Overrides!$E$9:$E$108,Overrides!$B$9:$B$108,$C264,Overrides!$C$9:$C$108,$L264)&gt;0,SUMIFS(Overrides!$E$9:$E$108,Overrides!$B$9:$B$108,$C264,Overrides!$C$9:$C$108,$L264),Recurring!$D$21))</f>
        <v>143.37</v>
      </c>
      <c r="F264" s="119" t="n">
        <f aca="false">IF($C264="","",IF(Recurring!$E$21="Weekly",Recurring!$F$21+7*4,IF(Recurring!$E$21="Every 2 Weeks",Recurring!$F$21+14*4,IF(Recurring!$E$21="Monthly",EDATE(Recurring!$F$21,4),IF(Recurring!$E$21="Twice a Month",IF(MOD((IF(DAY(Recurring!$F$21)&lt;=20,0,1)+4),2)=1,EOMONTH(Recurring!$F$21,INT((IF(DAY(Recurring!$F$21)&lt;=20,0,1)+4)/2)),DATE(YEAR(EDATE(Recurring!$F$21,INT((IF(DAY(Recurring!$F$21)&lt;=20,0,1)+4)/2))),MONTH(EDATE(Recurring!$F$21,INT((IF(DAY(Recurring!$F$21)&lt;=20,0,1)+4)/2))),15)),IF(Recurring!$E$21="One Time",IF(5=1,Recurring!$F$21,""),""))))))</f>
        <v>46387</v>
      </c>
      <c r="G264" s="119" t="n">
        <f aca="false">IF($L264="","",IF(SUMIFS(Overrides!$D$9:$D$108,Overrides!$B$9:$B$108,$C264,Overrides!$C$9:$C$108,$L264)&gt;0,SUMIFS(Overrides!$D$9:$D$108,Overrides!$B$9:$B$108,$C264,Overrides!$C$9:$C$108,$L264),$L264))</f>
        <v>46387</v>
      </c>
      <c r="H264" s="120" t="n">
        <f aca="false">IF($G264="",0,IF(AND($G264&gt;='Cash Flow'!$E$6,$G264&lt;'Cash Flow'!$E$6+91),1,0))</f>
        <v>0</v>
      </c>
      <c r="I264" s="120" t="str">
        <f aca="false">IF($H264=1,MAX(1,INT(($G264-'Cash Flow'!$E$6)/7)+1),"")</f>
        <v/>
      </c>
      <c r="J264" s="7" t="str">
        <f aca="false">IF($H264=1,$G264*10000+ROW(),"")</f>
        <v/>
      </c>
      <c r="K264" s="7" t="str">
        <f aca="false">IF($H264=1,$I264*1000+COUNTIFS($I$4:$I$483,$I264,$J$4:$J$483,"&lt;"&amp;$J264)+1,"")</f>
        <v/>
      </c>
      <c r="L264" s="121" t="n">
        <f aca="false">IF($F264="","",IF(Recurring!$G$21="Move Before",IF(WEEKDAY($F264,2)=6,$F264-1,IF(WEEKDAY($F264,2)=7,$F264-2,$F264)),IF(Recurring!$G$21="Move After",IF(WEEKDAY($F264,2)=6,$F264+2,IF(WEEKDAY($F264,2)=7,$F264+1,$F264)),$F264)))</f>
        <v>46387</v>
      </c>
      <c r="M264" s="0" t="str">
        <f aca="true">IF(AND($H264=1,$D264="Expense",$G264&gt;TODAY(),$E264&gt;=100),$G264*100000+ROW(),"")</f>
        <v/>
      </c>
      <c r="N264" s="0" t="str">
        <f aca="true">IF(AND($H264=1,$D264="Income",$G264&gt;TODAY()),$G264*100000+ROW(),"")</f>
        <v/>
      </c>
    </row>
    <row r="265" customFormat="false" ht="15" hidden="false" customHeight="true" outlineLevel="0" collapsed="false">
      <c r="A265" s="117" t="n">
        <v>17</v>
      </c>
      <c r="B265" s="117" t="n">
        <v>6</v>
      </c>
      <c r="C265" s="7" t="str">
        <f aca="false">IF(OR(Recurring!$B$21="",Recurring!$H$21&lt;&gt;"Yes",Recurring!$D$21=""),"",Recurring!$B$21)</f>
        <v>Progressive Insurance</v>
      </c>
      <c r="D265" s="7" t="str">
        <f aca="false">IF($C265="","",Recurring!$C$21)</f>
        <v>Expense</v>
      </c>
      <c r="E265" s="118" t="n">
        <f aca="false">IF($C265="","",IF(SUMIFS(Overrides!$E$9:$E$108,Overrides!$B$9:$B$108,$C265,Overrides!$C$9:$C$108,$L265)&gt;0,SUMIFS(Overrides!$E$9:$E$108,Overrides!$B$9:$B$108,$C265,Overrides!$C$9:$C$108,$L265),Recurring!$D$21))</f>
        <v>143.37</v>
      </c>
      <c r="F265" s="119" t="n">
        <f aca="false">IF($C265="","",IF(Recurring!$E$21="Weekly",Recurring!$F$21+7*5,IF(Recurring!$E$21="Every 2 Weeks",Recurring!$F$21+14*5,IF(Recurring!$E$21="Monthly",EDATE(Recurring!$F$21,5),IF(Recurring!$E$21="Twice a Month",IF(MOD((IF(DAY(Recurring!$F$21)&lt;=20,0,1)+5),2)=1,EOMONTH(Recurring!$F$21,INT((IF(DAY(Recurring!$F$21)&lt;=20,0,1)+5)/2)),DATE(YEAR(EDATE(Recurring!$F$21,INT((IF(DAY(Recurring!$F$21)&lt;=20,0,1)+5)/2))),MONTH(EDATE(Recurring!$F$21,INT((IF(DAY(Recurring!$F$21)&lt;=20,0,1)+5)/2))),15)),IF(Recurring!$E$21="One Time",IF(6=1,Recurring!$F$21,""),""))))))</f>
        <v>46418</v>
      </c>
      <c r="G265" s="119" t="n">
        <f aca="false">IF($L265="","",IF(SUMIFS(Overrides!$D$9:$D$108,Overrides!$B$9:$B$108,$C265,Overrides!$C$9:$C$108,$L265)&gt;0,SUMIFS(Overrides!$D$9:$D$108,Overrides!$B$9:$B$108,$C265,Overrides!$C$9:$C$108,$L265),$L265))</f>
        <v>46418</v>
      </c>
      <c r="H265" s="120" t="n">
        <f aca="false">IF($G265="",0,IF(AND($G265&gt;='Cash Flow'!$E$6,$G265&lt;'Cash Flow'!$E$6+91),1,0))</f>
        <v>0</v>
      </c>
      <c r="I265" s="120" t="str">
        <f aca="false">IF($H265=1,MAX(1,INT(($G265-'Cash Flow'!$E$6)/7)+1),"")</f>
        <v/>
      </c>
      <c r="J265" s="7" t="str">
        <f aca="false">IF($H265=1,$G265*10000+ROW(),"")</f>
        <v/>
      </c>
      <c r="K265" s="7" t="str">
        <f aca="false">IF($H265=1,$I265*1000+COUNTIFS($I$4:$I$483,$I265,$J$4:$J$483,"&lt;"&amp;$J265)+1,"")</f>
        <v/>
      </c>
      <c r="L265" s="121" t="n">
        <f aca="false">IF($F265="","",IF(Recurring!$G$21="Move Before",IF(WEEKDAY($F265,2)=6,$F265-1,IF(WEEKDAY($F265,2)=7,$F265-2,$F265)),IF(Recurring!$G$21="Move After",IF(WEEKDAY($F265,2)=6,$F265+2,IF(WEEKDAY($F265,2)=7,$F265+1,$F265)),$F265)))</f>
        <v>46418</v>
      </c>
      <c r="M265" s="0" t="str">
        <f aca="true">IF(AND($H265=1,$D265="Expense",$G265&gt;TODAY(),$E265&gt;=100),$G265*100000+ROW(),"")</f>
        <v/>
      </c>
      <c r="N265" s="0" t="str">
        <f aca="true">IF(AND($H265=1,$D265="Income",$G265&gt;TODAY()),$G265*100000+ROW(),"")</f>
        <v/>
      </c>
    </row>
    <row r="266" customFormat="false" ht="15" hidden="false" customHeight="true" outlineLevel="0" collapsed="false">
      <c r="A266" s="117" t="n">
        <v>17</v>
      </c>
      <c r="B266" s="117" t="n">
        <v>7</v>
      </c>
      <c r="C266" s="7" t="str">
        <f aca="false">IF(OR(Recurring!$B$21="",Recurring!$H$21&lt;&gt;"Yes",Recurring!$D$21=""),"",Recurring!$B$21)</f>
        <v>Progressive Insurance</v>
      </c>
      <c r="D266" s="7" t="str">
        <f aca="false">IF($C266="","",Recurring!$C$21)</f>
        <v>Expense</v>
      </c>
      <c r="E266" s="118" t="n">
        <f aca="false">IF($C266="","",IF(SUMIFS(Overrides!$E$9:$E$108,Overrides!$B$9:$B$108,$C266,Overrides!$C$9:$C$108,$L266)&gt;0,SUMIFS(Overrides!$E$9:$E$108,Overrides!$B$9:$B$108,$C266,Overrides!$C$9:$C$108,$L266),Recurring!$D$21))</f>
        <v>143.37</v>
      </c>
      <c r="F266" s="119" t="n">
        <f aca="false">IF($C266="","",IF(Recurring!$E$21="Weekly",Recurring!$F$21+7*6,IF(Recurring!$E$21="Every 2 Weeks",Recurring!$F$21+14*6,IF(Recurring!$E$21="Monthly",EDATE(Recurring!$F$21,6),IF(Recurring!$E$21="Twice a Month",IF(MOD((IF(DAY(Recurring!$F$21)&lt;=20,0,1)+6),2)=1,EOMONTH(Recurring!$F$21,INT((IF(DAY(Recurring!$F$21)&lt;=20,0,1)+6)/2)),DATE(YEAR(EDATE(Recurring!$F$21,INT((IF(DAY(Recurring!$F$21)&lt;=20,0,1)+6)/2))),MONTH(EDATE(Recurring!$F$21,INT((IF(DAY(Recurring!$F$21)&lt;=20,0,1)+6)/2))),15)),IF(Recurring!$E$21="One Time",IF(7=1,Recurring!$F$21,""),""))))))</f>
        <v>46446</v>
      </c>
      <c r="G266" s="119" t="n">
        <f aca="false">IF($L266="","",IF(SUMIFS(Overrides!$D$9:$D$108,Overrides!$B$9:$B$108,$C266,Overrides!$C$9:$C$108,$L266)&gt;0,SUMIFS(Overrides!$D$9:$D$108,Overrides!$B$9:$B$108,$C266,Overrides!$C$9:$C$108,$L266),$L266))</f>
        <v>46446</v>
      </c>
      <c r="H266" s="120" t="n">
        <f aca="false">IF($G266="",0,IF(AND($G266&gt;='Cash Flow'!$E$6,$G266&lt;'Cash Flow'!$E$6+91),1,0))</f>
        <v>0</v>
      </c>
      <c r="I266" s="120" t="str">
        <f aca="false">IF($H266=1,MAX(1,INT(($G266-'Cash Flow'!$E$6)/7)+1),"")</f>
        <v/>
      </c>
      <c r="J266" s="7" t="str">
        <f aca="false">IF($H266=1,$G266*10000+ROW(),"")</f>
        <v/>
      </c>
      <c r="K266" s="7" t="str">
        <f aca="false">IF($H266=1,$I266*1000+COUNTIFS($I$4:$I$483,$I266,$J$4:$J$483,"&lt;"&amp;$J266)+1,"")</f>
        <v/>
      </c>
      <c r="L266" s="121" t="n">
        <f aca="false">IF($F266="","",IF(Recurring!$G$21="Move Before",IF(WEEKDAY($F266,2)=6,$F266-1,IF(WEEKDAY($F266,2)=7,$F266-2,$F266)),IF(Recurring!$G$21="Move After",IF(WEEKDAY($F266,2)=6,$F266+2,IF(WEEKDAY($F266,2)=7,$F266+1,$F266)),$F266)))</f>
        <v>46446</v>
      </c>
      <c r="M266" s="0" t="str">
        <f aca="true">IF(AND($H266=1,$D266="Expense",$G266&gt;TODAY(),$E266&gt;=100),$G266*100000+ROW(),"")</f>
        <v/>
      </c>
      <c r="N266" s="0" t="str">
        <f aca="true">IF(AND($H266=1,$D266="Income",$G266&gt;TODAY()),$G266*100000+ROW(),"")</f>
        <v/>
      </c>
    </row>
    <row r="267" customFormat="false" ht="15" hidden="false" customHeight="true" outlineLevel="0" collapsed="false">
      <c r="A267" s="117" t="n">
        <v>17</v>
      </c>
      <c r="B267" s="117" t="n">
        <v>8</v>
      </c>
      <c r="C267" s="7" t="str">
        <f aca="false">IF(OR(Recurring!$B$21="",Recurring!$H$21&lt;&gt;"Yes",Recurring!$D$21=""),"",Recurring!$B$21)</f>
        <v>Progressive Insurance</v>
      </c>
      <c r="D267" s="7" t="str">
        <f aca="false">IF($C267="","",Recurring!$C$21)</f>
        <v>Expense</v>
      </c>
      <c r="E267" s="118" t="n">
        <f aca="false">IF($C267="","",IF(SUMIFS(Overrides!$E$9:$E$108,Overrides!$B$9:$B$108,$C267,Overrides!$C$9:$C$108,$L267)&gt;0,SUMIFS(Overrides!$E$9:$E$108,Overrides!$B$9:$B$108,$C267,Overrides!$C$9:$C$108,$L267),Recurring!$D$21))</f>
        <v>143.37</v>
      </c>
      <c r="F267" s="119" t="n">
        <f aca="false">IF($C267="","",IF(Recurring!$E$21="Weekly",Recurring!$F$21+7*7,IF(Recurring!$E$21="Every 2 Weeks",Recurring!$F$21+14*7,IF(Recurring!$E$21="Monthly",EDATE(Recurring!$F$21,7),IF(Recurring!$E$21="Twice a Month",IF(MOD((IF(DAY(Recurring!$F$21)&lt;=20,0,1)+7),2)=1,EOMONTH(Recurring!$F$21,INT((IF(DAY(Recurring!$F$21)&lt;=20,0,1)+7)/2)),DATE(YEAR(EDATE(Recurring!$F$21,INT((IF(DAY(Recurring!$F$21)&lt;=20,0,1)+7)/2))),MONTH(EDATE(Recurring!$F$21,INT((IF(DAY(Recurring!$F$21)&lt;=20,0,1)+7)/2))),15)),IF(Recurring!$E$21="One Time",IF(8=1,Recurring!$F$21,""),""))))))</f>
        <v>46477</v>
      </c>
      <c r="G267" s="119" t="n">
        <f aca="false">IF($L267="","",IF(SUMIFS(Overrides!$D$9:$D$108,Overrides!$B$9:$B$108,$C267,Overrides!$C$9:$C$108,$L267)&gt;0,SUMIFS(Overrides!$D$9:$D$108,Overrides!$B$9:$B$108,$C267,Overrides!$C$9:$C$108,$L267),$L267))</f>
        <v>46477</v>
      </c>
      <c r="H267" s="120" t="n">
        <f aca="false">IF($G267="",0,IF(AND($G267&gt;='Cash Flow'!$E$6,$G267&lt;'Cash Flow'!$E$6+91),1,0))</f>
        <v>0</v>
      </c>
      <c r="I267" s="120" t="str">
        <f aca="false">IF($H267=1,MAX(1,INT(($G267-'Cash Flow'!$E$6)/7)+1),"")</f>
        <v/>
      </c>
      <c r="J267" s="7" t="str">
        <f aca="false">IF($H267=1,$G267*10000+ROW(),"")</f>
        <v/>
      </c>
      <c r="K267" s="7" t="str">
        <f aca="false">IF($H267=1,$I267*1000+COUNTIFS($I$4:$I$483,$I267,$J$4:$J$483,"&lt;"&amp;$J267)+1,"")</f>
        <v/>
      </c>
      <c r="L267" s="121" t="n">
        <f aca="false">IF($F267="","",IF(Recurring!$G$21="Move Before",IF(WEEKDAY($F267,2)=6,$F267-1,IF(WEEKDAY($F267,2)=7,$F267-2,$F267)),IF(Recurring!$G$21="Move After",IF(WEEKDAY($F267,2)=6,$F267+2,IF(WEEKDAY($F267,2)=7,$F267+1,$F267)),$F267)))</f>
        <v>46477</v>
      </c>
      <c r="M267" s="0" t="str">
        <f aca="true">IF(AND($H267=1,$D267="Expense",$G267&gt;TODAY(),$E267&gt;=100),$G267*100000+ROW(),"")</f>
        <v/>
      </c>
      <c r="N267" s="0" t="str">
        <f aca="true">IF(AND($H267=1,$D267="Income",$G267&gt;TODAY()),$G267*100000+ROW(),"")</f>
        <v/>
      </c>
    </row>
    <row r="268" customFormat="false" ht="15" hidden="false" customHeight="true" outlineLevel="0" collapsed="false">
      <c r="A268" s="117" t="n">
        <v>17</v>
      </c>
      <c r="B268" s="117" t="n">
        <v>9</v>
      </c>
      <c r="C268" s="7" t="str">
        <f aca="false">IF(OR(Recurring!$B$21="",Recurring!$H$21&lt;&gt;"Yes",Recurring!$D$21=""),"",Recurring!$B$21)</f>
        <v>Progressive Insurance</v>
      </c>
      <c r="D268" s="7" t="str">
        <f aca="false">IF($C268="","",Recurring!$C$21)</f>
        <v>Expense</v>
      </c>
      <c r="E268" s="118" t="n">
        <f aca="false">IF($C268="","",IF(SUMIFS(Overrides!$E$9:$E$108,Overrides!$B$9:$B$108,$C268,Overrides!$C$9:$C$108,$L268)&gt;0,SUMIFS(Overrides!$E$9:$E$108,Overrides!$B$9:$B$108,$C268,Overrides!$C$9:$C$108,$L268),Recurring!$D$21))</f>
        <v>143.37</v>
      </c>
      <c r="F268" s="119" t="n">
        <f aca="false">IF($C268="","",IF(Recurring!$E$21="Weekly",Recurring!$F$21+7*8,IF(Recurring!$E$21="Every 2 Weeks",Recurring!$F$21+14*8,IF(Recurring!$E$21="Monthly",EDATE(Recurring!$F$21,8),IF(Recurring!$E$21="Twice a Month",IF(MOD((IF(DAY(Recurring!$F$21)&lt;=20,0,1)+8),2)=1,EOMONTH(Recurring!$F$21,INT((IF(DAY(Recurring!$F$21)&lt;=20,0,1)+8)/2)),DATE(YEAR(EDATE(Recurring!$F$21,INT((IF(DAY(Recurring!$F$21)&lt;=20,0,1)+8)/2))),MONTH(EDATE(Recurring!$F$21,INT((IF(DAY(Recurring!$F$21)&lt;=20,0,1)+8)/2))),15)),IF(Recurring!$E$21="One Time",IF(9=1,Recurring!$F$21,""),""))))))</f>
        <v>46507</v>
      </c>
      <c r="G268" s="119" t="n">
        <f aca="false">IF($L268="","",IF(SUMIFS(Overrides!$D$9:$D$108,Overrides!$B$9:$B$108,$C268,Overrides!$C$9:$C$108,$L268)&gt;0,SUMIFS(Overrides!$D$9:$D$108,Overrides!$B$9:$B$108,$C268,Overrides!$C$9:$C$108,$L268),$L268))</f>
        <v>46507</v>
      </c>
      <c r="H268" s="120" t="n">
        <f aca="false">IF($G268="",0,IF(AND($G268&gt;='Cash Flow'!$E$6,$G268&lt;'Cash Flow'!$E$6+91),1,0))</f>
        <v>0</v>
      </c>
      <c r="I268" s="120" t="str">
        <f aca="false">IF($H268=1,MAX(1,INT(($G268-'Cash Flow'!$E$6)/7)+1),"")</f>
        <v/>
      </c>
      <c r="J268" s="7" t="str">
        <f aca="false">IF($H268=1,$G268*10000+ROW(),"")</f>
        <v/>
      </c>
      <c r="K268" s="7" t="str">
        <f aca="false">IF($H268=1,$I268*1000+COUNTIFS($I$4:$I$483,$I268,$J$4:$J$483,"&lt;"&amp;$J268)+1,"")</f>
        <v/>
      </c>
      <c r="L268" s="121" t="n">
        <f aca="false">IF($F268="","",IF(Recurring!$G$21="Move Before",IF(WEEKDAY($F268,2)=6,$F268-1,IF(WEEKDAY($F268,2)=7,$F268-2,$F268)),IF(Recurring!$G$21="Move After",IF(WEEKDAY($F268,2)=6,$F268+2,IF(WEEKDAY($F268,2)=7,$F268+1,$F268)),$F268)))</f>
        <v>46507</v>
      </c>
      <c r="M268" s="0" t="str">
        <f aca="true">IF(AND($H268=1,$D268="Expense",$G268&gt;TODAY(),$E268&gt;=100),$G268*100000+ROW(),"")</f>
        <v/>
      </c>
      <c r="N268" s="0" t="str">
        <f aca="true">IF(AND($H268=1,$D268="Income",$G268&gt;TODAY()),$G268*100000+ROW(),"")</f>
        <v/>
      </c>
    </row>
    <row r="269" customFormat="false" ht="15" hidden="false" customHeight="true" outlineLevel="0" collapsed="false">
      <c r="A269" s="117" t="n">
        <v>17</v>
      </c>
      <c r="B269" s="117" t="n">
        <v>10</v>
      </c>
      <c r="C269" s="7" t="str">
        <f aca="false">IF(OR(Recurring!$B$21="",Recurring!$H$21&lt;&gt;"Yes",Recurring!$D$21=""),"",Recurring!$B$21)</f>
        <v>Progressive Insurance</v>
      </c>
      <c r="D269" s="7" t="str">
        <f aca="false">IF($C269="","",Recurring!$C$21)</f>
        <v>Expense</v>
      </c>
      <c r="E269" s="118" t="n">
        <f aca="false">IF($C269="","",IF(SUMIFS(Overrides!$E$9:$E$108,Overrides!$B$9:$B$108,$C269,Overrides!$C$9:$C$108,$L269)&gt;0,SUMIFS(Overrides!$E$9:$E$108,Overrides!$B$9:$B$108,$C269,Overrides!$C$9:$C$108,$L269),Recurring!$D$21))</f>
        <v>143.37</v>
      </c>
      <c r="F269" s="119" t="n">
        <f aca="false">IF($C269="","",IF(Recurring!$E$21="Weekly",Recurring!$F$21+7*9,IF(Recurring!$E$21="Every 2 Weeks",Recurring!$F$21+14*9,IF(Recurring!$E$21="Monthly",EDATE(Recurring!$F$21,9),IF(Recurring!$E$21="Twice a Month",IF(MOD((IF(DAY(Recurring!$F$21)&lt;=20,0,1)+9),2)=1,EOMONTH(Recurring!$F$21,INT((IF(DAY(Recurring!$F$21)&lt;=20,0,1)+9)/2)),DATE(YEAR(EDATE(Recurring!$F$21,INT((IF(DAY(Recurring!$F$21)&lt;=20,0,1)+9)/2))),MONTH(EDATE(Recurring!$F$21,INT((IF(DAY(Recurring!$F$21)&lt;=20,0,1)+9)/2))),15)),IF(Recurring!$E$21="One Time",IF(10=1,Recurring!$F$21,""),""))))))</f>
        <v>46538</v>
      </c>
      <c r="G269" s="119" t="n">
        <f aca="false">IF($L269="","",IF(SUMIFS(Overrides!$D$9:$D$108,Overrides!$B$9:$B$108,$C269,Overrides!$C$9:$C$108,$L269)&gt;0,SUMIFS(Overrides!$D$9:$D$108,Overrides!$B$9:$B$108,$C269,Overrides!$C$9:$C$108,$L269),$L269))</f>
        <v>46538</v>
      </c>
      <c r="H269" s="120" t="n">
        <f aca="false">IF($G269="",0,IF(AND($G269&gt;='Cash Flow'!$E$6,$G269&lt;'Cash Flow'!$E$6+91),1,0))</f>
        <v>0</v>
      </c>
      <c r="I269" s="120" t="str">
        <f aca="false">IF($H269=1,MAX(1,INT(($G269-'Cash Flow'!$E$6)/7)+1),"")</f>
        <v/>
      </c>
      <c r="J269" s="7" t="str">
        <f aca="false">IF($H269=1,$G269*10000+ROW(),"")</f>
        <v/>
      </c>
      <c r="K269" s="7" t="str">
        <f aca="false">IF($H269=1,$I269*1000+COUNTIFS($I$4:$I$483,$I269,$J$4:$J$483,"&lt;"&amp;$J269)+1,"")</f>
        <v/>
      </c>
      <c r="L269" s="121" t="n">
        <f aca="false">IF($F269="","",IF(Recurring!$G$21="Move Before",IF(WEEKDAY($F269,2)=6,$F269-1,IF(WEEKDAY($F269,2)=7,$F269-2,$F269)),IF(Recurring!$G$21="Move After",IF(WEEKDAY($F269,2)=6,$F269+2,IF(WEEKDAY($F269,2)=7,$F269+1,$F269)),$F269)))</f>
        <v>46538</v>
      </c>
      <c r="M269" s="0" t="str">
        <f aca="true">IF(AND($H269=1,$D269="Expense",$G269&gt;TODAY(),$E269&gt;=100),$G269*100000+ROW(),"")</f>
        <v/>
      </c>
      <c r="N269" s="0" t="str">
        <f aca="true">IF(AND($H269=1,$D269="Income",$G269&gt;TODAY()),$G269*100000+ROW(),"")</f>
        <v/>
      </c>
    </row>
    <row r="270" customFormat="false" ht="15" hidden="false" customHeight="true" outlineLevel="0" collapsed="false">
      <c r="A270" s="117" t="n">
        <v>17</v>
      </c>
      <c r="B270" s="117" t="n">
        <v>11</v>
      </c>
      <c r="C270" s="7" t="str">
        <f aca="false">IF(OR(Recurring!$B$21="",Recurring!$H$21&lt;&gt;"Yes",Recurring!$D$21=""),"",Recurring!$B$21)</f>
        <v>Progressive Insurance</v>
      </c>
      <c r="D270" s="7" t="str">
        <f aca="false">IF($C270="","",Recurring!$C$21)</f>
        <v>Expense</v>
      </c>
      <c r="E270" s="118" t="n">
        <f aca="false">IF($C270="","",IF(SUMIFS(Overrides!$E$9:$E$108,Overrides!$B$9:$B$108,$C270,Overrides!$C$9:$C$108,$L270)&gt;0,SUMIFS(Overrides!$E$9:$E$108,Overrides!$B$9:$B$108,$C270,Overrides!$C$9:$C$108,$L270),Recurring!$D$21))</f>
        <v>143.37</v>
      </c>
      <c r="F270" s="119" t="n">
        <f aca="false">IF($C270="","",IF(Recurring!$E$21="Weekly",Recurring!$F$21+7*10,IF(Recurring!$E$21="Every 2 Weeks",Recurring!$F$21+14*10,IF(Recurring!$E$21="Monthly",EDATE(Recurring!$F$21,10),IF(Recurring!$E$21="Twice a Month",IF(MOD((IF(DAY(Recurring!$F$21)&lt;=20,0,1)+10),2)=1,EOMONTH(Recurring!$F$21,INT((IF(DAY(Recurring!$F$21)&lt;=20,0,1)+10)/2)),DATE(YEAR(EDATE(Recurring!$F$21,INT((IF(DAY(Recurring!$F$21)&lt;=20,0,1)+10)/2))),MONTH(EDATE(Recurring!$F$21,INT((IF(DAY(Recurring!$F$21)&lt;=20,0,1)+10)/2))),15)),IF(Recurring!$E$21="One Time",IF(11=1,Recurring!$F$21,""),""))))))</f>
        <v>46568</v>
      </c>
      <c r="G270" s="119" t="n">
        <f aca="false">IF($L270="","",IF(SUMIFS(Overrides!$D$9:$D$108,Overrides!$B$9:$B$108,$C270,Overrides!$C$9:$C$108,$L270)&gt;0,SUMIFS(Overrides!$D$9:$D$108,Overrides!$B$9:$B$108,$C270,Overrides!$C$9:$C$108,$L270),$L270))</f>
        <v>46568</v>
      </c>
      <c r="H270" s="120" t="n">
        <f aca="false">IF($G270="",0,IF(AND($G270&gt;='Cash Flow'!$E$6,$G270&lt;'Cash Flow'!$E$6+91),1,0))</f>
        <v>0</v>
      </c>
      <c r="I270" s="120" t="str">
        <f aca="false">IF($H270=1,MAX(1,INT(($G270-'Cash Flow'!$E$6)/7)+1),"")</f>
        <v/>
      </c>
      <c r="J270" s="7" t="str">
        <f aca="false">IF($H270=1,$G270*10000+ROW(),"")</f>
        <v/>
      </c>
      <c r="K270" s="7" t="str">
        <f aca="false">IF($H270=1,$I270*1000+COUNTIFS($I$4:$I$483,$I270,$J$4:$J$483,"&lt;"&amp;$J270)+1,"")</f>
        <v/>
      </c>
      <c r="L270" s="121" t="n">
        <f aca="false">IF($F270="","",IF(Recurring!$G$21="Move Before",IF(WEEKDAY($F270,2)=6,$F270-1,IF(WEEKDAY($F270,2)=7,$F270-2,$F270)),IF(Recurring!$G$21="Move After",IF(WEEKDAY($F270,2)=6,$F270+2,IF(WEEKDAY($F270,2)=7,$F270+1,$F270)),$F270)))</f>
        <v>46568</v>
      </c>
      <c r="M270" s="0" t="str">
        <f aca="true">IF(AND($H270=1,$D270="Expense",$G270&gt;TODAY(),$E270&gt;=100),$G270*100000+ROW(),"")</f>
        <v/>
      </c>
      <c r="N270" s="0" t="str">
        <f aca="true">IF(AND($H270=1,$D270="Income",$G270&gt;TODAY()),$G270*100000+ROW(),"")</f>
        <v/>
      </c>
    </row>
    <row r="271" customFormat="false" ht="15" hidden="false" customHeight="true" outlineLevel="0" collapsed="false">
      <c r="A271" s="117" t="n">
        <v>17</v>
      </c>
      <c r="B271" s="117" t="n">
        <v>12</v>
      </c>
      <c r="C271" s="7" t="str">
        <f aca="false">IF(OR(Recurring!$B$21="",Recurring!$H$21&lt;&gt;"Yes",Recurring!$D$21=""),"",Recurring!$B$21)</f>
        <v>Progressive Insurance</v>
      </c>
      <c r="D271" s="7" t="str">
        <f aca="false">IF($C271="","",Recurring!$C$21)</f>
        <v>Expense</v>
      </c>
      <c r="E271" s="118" t="n">
        <f aca="false">IF($C271="","",IF(SUMIFS(Overrides!$E$9:$E$108,Overrides!$B$9:$B$108,$C271,Overrides!$C$9:$C$108,$L271)&gt;0,SUMIFS(Overrides!$E$9:$E$108,Overrides!$B$9:$B$108,$C271,Overrides!$C$9:$C$108,$L271),Recurring!$D$21))</f>
        <v>143.37</v>
      </c>
      <c r="F271" s="119" t="n">
        <f aca="false">IF($C271="","",IF(Recurring!$E$21="Weekly",Recurring!$F$21+7*11,IF(Recurring!$E$21="Every 2 Weeks",Recurring!$F$21+14*11,IF(Recurring!$E$21="Monthly",EDATE(Recurring!$F$21,11),IF(Recurring!$E$21="Twice a Month",IF(MOD((IF(DAY(Recurring!$F$21)&lt;=20,0,1)+11),2)=1,EOMONTH(Recurring!$F$21,INT((IF(DAY(Recurring!$F$21)&lt;=20,0,1)+11)/2)),DATE(YEAR(EDATE(Recurring!$F$21,INT((IF(DAY(Recurring!$F$21)&lt;=20,0,1)+11)/2))),MONTH(EDATE(Recurring!$F$21,INT((IF(DAY(Recurring!$F$21)&lt;=20,0,1)+11)/2))),15)),IF(Recurring!$E$21="One Time",IF(12=1,Recurring!$F$21,""),""))))))</f>
        <v>46599</v>
      </c>
      <c r="G271" s="119" t="n">
        <f aca="false">IF($L271="","",IF(SUMIFS(Overrides!$D$9:$D$108,Overrides!$B$9:$B$108,$C271,Overrides!$C$9:$C$108,$L271)&gt;0,SUMIFS(Overrides!$D$9:$D$108,Overrides!$B$9:$B$108,$C271,Overrides!$C$9:$C$108,$L271),$L271))</f>
        <v>46599</v>
      </c>
      <c r="H271" s="120" t="n">
        <f aca="false">IF($G271="",0,IF(AND($G271&gt;='Cash Flow'!$E$6,$G271&lt;'Cash Flow'!$E$6+91),1,0))</f>
        <v>0</v>
      </c>
      <c r="I271" s="120" t="str">
        <f aca="false">IF($H271=1,MAX(1,INT(($G271-'Cash Flow'!$E$6)/7)+1),"")</f>
        <v/>
      </c>
      <c r="J271" s="7" t="str">
        <f aca="false">IF($H271=1,$G271*10000+ROW(),"")</f>
        <v/>
      </c>
      <c r="K271" s="7" t="str">
        <f aca="false">IF($H271=1,$I271*1000+COUNTIFS($I$4:$I$483,$I271,$J$4:$J$483,"&lt;"&amp;$J271)+1,"")</f>
        <v/>
      </c>
      <c r="L271" s="121" t="n">
        <f aca="false">IF($F271="","",IF(Recurring!$G$21="Move Before",IF(WEEKDAY($F271,2)=6,$F271-1,IF(WEEKDAY($F271,2)=7,$F271-2,$F271)),IF(Recurring!$G$21="Move After",IF(WEEKDAY($F271,2)=6,$F271+2,IF(WEEKDAY($F271,2)=7,$F271+1,$F271)),$F271)))</f>
        <v>46599</v>
      </c>
      <c r="M271" s="0" t="str">
        <f aca="true">IF(AND($H271=1,$D271="Expense",$G271&gt;TODAY(),$E271&gt;=100),$G271*100000+ROW(),"")</f>
        <v/>
      </c>
      <c r="N271" s="0" t="str">
        <f aca="true">IF(AND($H271=1,$D271="Income",$G271&gt;TODAY()),$G271*100000+ROW(),"")</f>
        <v/>
      </c>
    </row>
    <row r="272" customFormat="false" ht="15" hidden="false" customHeight="true" outlineLevel="0" collapsed="false">
      <c r="A272" s="117" t="n">
        <v>17</v>
      </c>
      <c r="B272" s="117" t="n">
        <v>13</v>
      </c>
      <c r="C272" s="7" t="str">
        <f aca="false">IF(OR(Recurring!$B$21="",Recurring!$H$21&lt;&gt;"Yes",Recurring!$D$21=""),"",Recurring!$B$21)</f>
        <v>Progressive Insurance</v>
      </c>
      <c r="D272" s="7" t="str">
        <f aca="false">IF($C272="","",Recurring!$C$21)</f>
        <v>Expense</v>
      </c>
      <c r="E272" s="118" t="n">
        <f aca="false">IF($C272="","",IF(SUMIFS(Overrides!$E$9:$E$108,Overrides!$B$9:$B$108,$C272,Overrides!$C$9:$C$108,$L272)&gt;0,SUMIFS(Overrides!$E$9:$E$108,Overrides!$B$9:$B$108,$C272,Overrides!$C$9:$C$108,$L272),Recurring!$D$21))</f>
        <v>143.37</v>
      </c>
      <c r="F272" s="119" t="n">
        <f aca="false">IF($C272="","",IF(Recurring!$E$21="Weekly",Recurring!$F$21+7*12,IF(Recurring!$E$21="Every 2 Weeks",Recurring!$F$21+14*12,IF(Recurring!$E$21="Monthly",EDATE(Recurring!$F$21,12),IF(Recurring!$E$21="Twice a Month",IF(MOD((IF(DAY(Recurring!$F$21)&lt;=20,0,1)+12),2)=1,EOMONTH(Recurring!$F$21,INT((IF(DAY(Recurring!$F$21)&lt;=20,0,1)+12)/2)),DATE(YEAR(EDATE(Recurring!$F$21,INT((IF(DAY(Recurring!$F$21)&lt;=20,0,1)+12)/2))),MONTH(EDATE(Recurring!$F$21,INT((IF(DAY(Recurring!$F$21)&lt;=20,0,1)+12)/2))),15)),IF(Recurring!$E$21="One Time",IF(13=1,Recurring!$F$21,""),""))))))</f>
        <v>46630</v>
      </c>
      <c r="G272" s="119" t="n">
        <f aca="false">IF($L272="","",IF(SUMIFS(Overrides!$D$9:$D$108,Overrides!$B$9:$B$108,$C272,Overrides!$C$9:$C$108,$L272)&gt;0,SUMIFS(Overrides!$D$9:$D$108,Overrides!$B$9:$B$108,$C272,Overrides!$C$9:$C$108,$L272),$L272))</f>
        <v>46630</v>
      </c>
      <c r="H272" s="120" t="n">
        <f aca="false">IF($G272="",0,IF(AND($G272&gt;='Cash Flow'!$E$6,$G272&lt;'Cash Flow'!$E$6+91),1,0))</f>
        <v>0</v>
      </c>
      <c r="I272" s="120" t="str">
        <f aca="false">IF($H272=1,MAX(1,INT(($G272-'Cash Flow'!$E$6)/7)+1),"")</f>
        <v/>
      </c>
      <c r="J272" s="7" t="str">
        <f aca="false">IF($H272=1,$G272*10000+ROW(),"")</f>
        <v/>
      </c>
      <c r="K272" s="7" t="str">
        <f aca="false">IF($H272=1,$I272*1000+COUNTIFS($I$4:$I$483,$I272,$J$4:$J$483,"&lt;"&amp;$J272)+1,"")</f>
        <v/>
      </c>
      <c r="L272" s="121" t="n">
        <f aca="false">IF($F272="","",IF(Recurring!$G$21="Move Before",IF(WEEKDAY($F272,2)=6,$F272-1,IF(WEEKDAY($F272,2)=7,$F272-2,$F272)),IF(Recurring!$G$21="Move After",IF(WEEKDAY($F272,2)=6,$F272+2,IF(WEEKDAY($F272,2)=7,$F272+1,$F272)),$F272)))</f>
        <v>46630</v>
      </c>
      <c r="M272" s="0" t="str">
        <f aca="true">IF(AND($H272=1,$D272="Expense",$G272&gt;TODAY(),$E272&gt;=100),$G272*100000+ROW(),"")</f>
        <v/>
      </c>
      <c r="N272" s="0" t="str">
        <f aca="true">IF(AND($H272=1,$D272="Income",$G272&gt;TODAY()),$G272*100000+ROW(),"")</f>
        <v/>
      </c>
    </row>
    <row r="273" customFormat="false" ht="15" hidden="false" customHeight="true" outlineLevel="0" collapsed="false">
      <c r="A273" s="117" t="n">
        <v>17</v>
      </c>
      <c r="B273" s="117" t="n">
        <v>14</v>
      </c>
      <c r="C273" s="7" t="str">
        <f aca="false">IF(OR(Recurring!$B$21="",Recurring!$H$21&lt;&gt;"Yes",Recurring!$D$21=""),"",Recurring!$B$21)</f>
        <v>Progressive Insurance</v>
      </c>
      <c r="D273" s="7" t="str">
        <f aca="false">IF($C273="","",Recurring!$C$21)</f>
        <v>Expense</v>
      </c>
      <c r="E273" s="118" t="n">
        <f aca="false">IF($C273="","",IF(SUMIFS(Overrides!$E$9:$E$108,Overrides!$B$9:$B$108,$C273,Overrides!$C$9:$C$108,$L273)&gt;0,SUMIFS(Overrides!$E$9:$E$108,Overrides!$B$9:$B$108,$C273,Overrides!$C$9:$C$108,$L273),Recurring!$D$21))</f>
        <v>143.37</v>
      </c>
      <c r="F273" s="119" t="n">
        <f aca="false">IF($C273="","",IF(Recurring!$E$21="Weekly",Recurring!$F$21+7*13,IF(Recurring!$E$21="Every 2 Weeks",Recurring!$F$21+14*13,IF(Recurring!$E$21="Monthly",EDATE(Recurring!$F$21,13),IF(Recurring!$E$21="Twice a Month",IF(MOD((IF(DAY(Recurring!$F$21)&lt;=20,0,1)+13),2)=1,EOMONTH(Recurring!$F$21,INT((IF(DAY(Recurring!$F$21)&lt;=20,0,1)+13)/2)),DATE(YEAR(EDATE(Recurring!$F$21,INT((IF(DAY(Recurring!$F$21)&lt;=20,0,1)+13)/2))),MONTH(EDATE(Recurring!$F$21,INT((IF(DAY(Recurring!$F$21)&lt;=20,0,1)+13)/2))),15)),IF(Recurring!$E$21="One Time",IF(14=1,Recurring!$F$21,""),""))))))</f>
        <v>46660</v>
      </c>
      <c r="G273" s="119" t="n">
        <f aca="false">IF($L273="","",IF(SUMIFS(Overrides!$D$9:$D$108,Overrides!$B$9:$B$108,$C273,Overrides!$C$9:$C$108,$L273)&gt;0,SUMIFS(Overrides!$D$9:$D$108,Overrides!$B$9:$B$108,$C273,Overrides!$C$9:$C$108,$L273),$L273))</f>
        <v>46660</v>
      </c>
      <c r="H273" s="120" t="n">
        <f aca="false">IF($G273="",0,IF(AND($G273&gt;='Cash Flow'!$E$6,$G273&lt;'Cash Flow'!$E$6+91),1,0))</f>
        <v>0</v>
      </c>
      <c r="I273" s="120" t="str">
        <f aca="false">IF($H273=1,MAX(1,INT(($G273-'Cash Flow'!$E$6)/7)+1),"")</f>
        <v/>
      </c>
      <c r="J273" s="7" t="str">
        <f aca="false">IF($H273=1,$G273*10000+ROW(),"")</f>
        <v/>
      </c>
      <c r="K273" s="7" t="str">
        <f aca="false">IF($H273=1,$I273*1000+COUNTIFS($I$4:$I$483,$I273,$J$4:$J$483,"&lt;"&amp;$J273)+1,"")</f>
        <v/>
      </c>
      <c r="L273" s="121" t="n">
        <f aca="false">IF($F273="","",IF(Recurring!$G$21="Move Before",IF(WEEKDAY($F273,2)=6,$F273-1,IF(WEEKDAY($F273,2)=7,$F273-2,$F273)),IF(Recurring!$G$21="Move After",IF(WEEKDAY($F273,2)=6,$F273+2,IF(WEEKDAY($F273,2)=7,$F273+1,$F273)),$F273)))</f>
        <v>46660</v>
      </c>
      <c r="M273" s="0" t="str">
        <f aca="true">IF(AND($H273=1,$D273="Expense",$G273&gt;TODAY(),$E273&gt;=100),$G273*100000+ROW(),"")</f>
        <v/>
      </c>
      <c r="N273" s="0" t="str">
        <f aca="true">IF(AND($H273=1,$D273="Income",$G273&gt;TODAY()),$G273*100000+ROW(),"")</f>
        <v/>
      </c>
    </row>
    <row r="274" customFormat="false" ht="15" hidden="false" customHeight="true" outlineLevel="0" collapsed="false">
      <c r="A274" s="117" t="n">
        <v>17</v>
      </c>
      <c r="B274" s="117" t="n">
        <v>15</v>
      </c>
      <c r="C274" s="7" t="str">
        <f aca="false">IF(OR(Recurring!$B$21="",Recurring!$H$21&lt;&gt;"Yes",Recurring!$D$21=""),"",Recurring!$B$21)</f>
        <v>Progressive Insurance</v>
      </c>
      <c r="D274" s="7" t="str">
        <f aca="false">IF($C274="","",Recurring!$C$21)</f>
        <v>Expense</v>
      </c>
      <c r="E274" s="118" t="n">
        <f aca="false">IF($C274="","",IF(SUMIFS(Overrides!$E$9:$E$108,Overrides!$B$9:$B$108,$C274,Overrides!$C$9:$C$108,$L274)&gt;0,SUMIFS(Overrides!$E$9:$E$108,Overrides!$B$9:$B$108,$C274,Overrides!$C$9:$C$108,$L274),Recurring!$D$21))</f>
        <v>143.37</v>
      </c>
      <c r="F274" s="119" t="n">
        <f aca="false">IF($C274="","",IF(Recurring!$E$21="Weekly",Recurring!$F$21+7*14,IF(Recurring!$E$21="Every 2 Weeks",Recurring!$F$21+14*14,IF(Recurring!$E$21="Monthly",EDATE(Recurring!$F$21,14),IF(Recurring!$E$21="Twice a Month",IF(MOD((IF(DAY(Recurring!$F$21)&lt;=20,0,1)+14),2)=1,EOMONTH(Recurring!$F$21,INT((IF(DAY(Recurring!$F$21)&lt;=20,0,1)+14)/2)),DATE(YEAR(EDATE(Recurring!$F$21,INT((IF(DAY(Recurring!$F$21)&lt;=20,0,1)+14)/2))),MONTH(EDATE(Recurring!$F$21,INT((IF(DAY(Recurring!$F$21)&lt;=20,0,1)+14)/2))),15)),IF(Recurring!$E$21="One Time",IF(15=1,Recurring!$F$21,""),""))))))</f>
        <v>46691</v>
      </c>
      <c r="G274" s="119" t="n">
        <f aca="false">IF($L274="","",IF(SUMIFS(Overrides!$D$9:$D$108,Overrides!$B$9:$B$108,$C274,Overrides!$C$9:$C$108,$L274)&gt;0,SUMIFS(Overrides!$D$9:$D$108,Overrides!$B$9:$B$108,$C274,Overrides!$C$9:$C$108,$L274),$L274))</f>
        <v>46691</v>
      </c>
      <c r="H274" s="120" t="n">
        <f aca="false">IF($G274="",0,IF(AND($G274&gt;='Cash Flow'!$E$6,$G274&lt;'Cash Flow'!$E$6+91),1,0))</f>
        <v>0</v>
      </c>
      <c r="I274" s="120" t="str">
        <f aca="false">IF($H274=1,MAX(1,INT(($G274-'Cash Flow'!$E$6)/7)+1),"")</f>
        <v/>
      </c>
      <c r="J274" s="7" t="str">
        <f aca="false">IF($H274=1,$G274*10000+ROW(),"")</f>
        <v/>
      </c>
      <c r="K274" s="7" t="str">
        <f aca="false">IF($H274=1,$I274*1000+COUNTIFS($I$4:$I$483,$I274,$J$4:$J$483,"&lt;"&amp;$J274)+1,"")</f>
        <v/>
      </c>
      <c r="L274" s="121" t="n">
        <f aca="false">IF($F274="","",IF(Recurring!$G$21="Move Before",IF(WEEKDAY($F274,2)=6,$F274-1,IF(WEEKDAY($F274,2)=7,$F274-2,$F274)),IF(Recurring!$G$21="Move After",IF(WEEKDAY($F274,2)=6,$F274+2,IF(WEEKDAY($F274,2)=7,$F274+1,$F274)),$F274)))</f>
        <v>46691</v>
      </c>
      <c r="M274" s="0" t="str">
        <f aca="true">IF(AND($H274=1,$D274="Expense",$G274&gt;TODAY(),$E274&gt;=100),$G274*100000+ROW(),"")</f>
        <v/>
      </c>
      <c r="N274" s="0" t="str">
        <f aca="true">IF(AND($H274=1,$D274="Income",$G274&gt;TODAY()),$G274*100000+ROW(),"")</f>
        <v/>
      </c>
    </row>
    <row r="275" customFormat="false" ht="15" hidden="false" customHeight="true" outlineLevel="0" collapsed="false">
      <c r="A275" s="117" t="n">
        <v>17</v>
      </c>
      <c r="B275" s="117" t="n">
        <v>16</v>
      </c>
      <c r="C275" s="7" t="str">
        <f aca="false">IF(OR(Recurring!$B$21="",Recurring!$H$21&lt;&gt;"Yes",Recurring!$D$21=""),"",Recurring!$B$21)</f>
        <v>Progressive Insurance</v>
      </c>
      <c r="D275" s="7" t="str">
        <f aca="false">IF($C275="","",Recurring!$C$21)</f>
        <v>Expense</v>
      </c>
      <c r="E275" s="118" t="n">
        <f aca="false">IF($C275="","",IF(SUMIFS(Overrides!$E$9:$E$108,Overrides!$B$9:$B$108,$C275,Overrides!$C$9:$C$108,$L275)&gt;0,SUMIFS(Overrides!$E$9:$E$108,Overrides!$B$9:$B$108,$C275,Overrides!$C$9:$C$108,$L275),Recurring!$D$21))</f>
        <v>143.37</v>
      </c>
      <c r="F275" s="119" t="n">
        <f aca="false">IF($C275="","",IF(Recurring!$E$21="Weekly",Recurring!$F$21+7*15,IF(Recurring!$E$21="Every 2 Weeks",Recurring!$F$21+14*15,IF(Recurring!$E$21="Monthly",EDATE(Recurring!$F$21,15),IF(Recurring!$E$21="Twice a Month",IF(MOD((IF(DAY(Recurring!$F$21)&lt;=20,0,1)+15),2)=1,EOMONTH(Recurring!$F$21,INT((IF(DAY(Recurring!$F$21)&lt;=20,0,1)+15)/2)),DATE(YEAR(EDATE(Recurring!$F$21,INT((IF(DAY(Recurring!$F$21)&lt;=20,0,1)+15)/2))),MONTH(EDATE(Recurring!$F$21,INT((IF(DAY(Recurring!$F$21)&lt;=20,0,1)+15)/2))),15)),IF(Recurring!$E$21="One Time",IF(16=1,Recurring!$F$21,""),""))))))</f>
        <v>46721</v>
      </c>
      <c r="G275" s="119" t="n">
        <f aca="false">IF($L275="","",IF(SUMIFS(Overrides!$D$9:$D$108,Overrides!$B$9:$B$108,$C275,Overrides!$C$9:$C$108,$L275)&gt;0,SUMIFS(Overrides!$D$9:$D$108,Overrides!$B$9:$B$108,$C275,Overrides!$C$9:$C$108,$L275),$L275))</f>
        <v>46721</v>
      </c>
      <c r="H275" s="120" t="n">
        <f aca="false">IF($G275="",0,IF(AND($G275&gt;='Cash Flow'!$E$6,$G275&lt;'Cash Flow'!$E$6+91),1,0))</f>
        <v>0</v>
      </c>
      <c r="I275" s="120" t="str">
        <f aca="false">IF($H275=1,MAX(1,INT(($G275-'Cash Flow'!$E$6)/7)+1),"")</f>
        <v/>
      </c>
      <c r="J275" s="7" t="str">
        <f aca="false">IF($H275=1,$G275*10000+ROW(),"")</f>
        <v/>
      </c>
      <c r="K275" s="7" t="str">
        <f aca="false">IF($H275=1,$I275*1000+COUNTIFS($I$4:$I$483,$I275,$J$4:$J$483,"&lt;"&amp;$J275)+1,"")</f>
        <v/>
      </c>
      <c r="L275" s="121" t="n">
        <f aca="false">IF($F275="","",IF(Recurring!$G$21="Move Before",IF(WEEKDAY($F275,2)=6,$F275-1,IF(WEEKDAY($F275,2)=7,$F275-2,$F275)),IF(Recurring!$G$21="Move After",IF(WEEKDAY($F275,2)=6,$F275+2,IF(WEEKDAY($F275,2)=7,$F275+1,$F275)),$F275)))</f>
        <v>46721</v>
      </c>
      <c r="M275" s="0" t="str">
        <f aca="true">IF(AND($H275=1,$D275="Expense",$G275&gt;TODAY(),$E275&gt;=100),$G275*100000+ROW(),"")</f>
        <v/>
      </c>
      <c r="N275" s="0" t="str">
        <f aca="true">IF(AND($H275=1,$D275="Income",$G275&gt;TODAY()),$G275*100000+ROW(),"")</f>
        <v/>
      </c>
    </row>
    <row r="276" customFormat="false" ht="15" hidden="false" customHeight="true" outlineLevel="0" collapsed="false">
      <c r="A276" s="117" t="n">
        <v>18</v>
      </c>
      <c r="B276" s="117" t="n">
        <v>1</v>
      </c>
      <c r="C276" s="7" t="str">
        <f aca="false">IF(OR(Recurring!$B$22="",Recurring!$H$22&lt;&gt;"Yes",Recurring!$D$22=""),"",Recurring!$B$22)</f>
        <v>School clothes (back to school)</v>
      </c>
      <c r="D276" s="7" t="str">
        <f aca="false">IF($C276="","",Recurring!$C$22)</f>
        <v>Expense</v>
      </c>
      <c r="E276" s="118" t="n">
        <f aca="false">IF($C276="","",IF(SUMIFS(Overrides!$E$9:$E$108,Overrides!$B$9:$B$108,$C276,Overrides!$C$9:$C$108,$L276)&gt;0,SUMIFS(Overrides!$E$9:$E$108,Overrides!$B$9:$B$108,$C276,Overrides!$C$9:$C$108,$L276),Recurring!$D$22))</f>
        <v>300</v>
      </c>
      <c r="F276" s="119" t="n">
        <f aca="false">IF($C276="","",IF(Recurring!$E$22="Weekly",Recurring!$F$22+7*0,IF(Recurring!$E$22="Every 2 Weeks",Recurring!$F$22+14*0,IF(Recurring!$E$22="Monthly",EDATE(Recurring!$F$22,0),IF(Recurring!$E$22="Twice a Month",IF(MOD((IF(DAY(Recurring!$F$22)&lt;=20,0,1)+0),2)=1,EOMONTH(Recurring!$F$22,INT((IF(DAY(Recurring!$F$22)&lt;=20,0,1)+0)/2)),DATE(YEAR(EDATE(Recurring!$F$22,INT((IF(DAY(Recurring!$F$22)&lt;=20,0,1)+0)/2))),MONTH(EDATE(Recurring!$F$22,INT((IF(DAY(Recurring!$F$22)&lt;=20,0,1)+0)/2))),15)),IF(Recurring!$E$22="One Time",IF(1=1,Recurring!$F$22,""),""))))))</f>
        <v>46256</v>
      </c>
      <c r="G276" s="119" t="n">
        <f aca="false">IF($L276="","",IF(SUMIFS(Overrides!$D$9:$D$108,Overrides!$B$9:$B$108,$C276,Overrides!$C$9:$C$108,$L276)&gt;0,SUMIFS(Overrides!$D$9:$D$108,Overrides!$B$9:$B$108,$C276,Overrides!$C$9:$C$108,$L276),$L276))</f>
        <v>46256</v>
      </c>
      <c r="H276" s="120" t="n">
        <f aca="false">IF($G276="",0,IF(AND($G276&gt;='Cash Flow'!$E$6-90,$G276&lt;'Cash Flow'!$E$6+91),1,0))</f>
        <v>1</v>
      </c>
      <c r="I276" s="120" t="n">
        <f aca="false">IF($H276=1,MAX(1,INT(($G276-'Cash Flow'!$E$6)/7)+1),"")</f>
        <v>2</v>
      </c>
      <c r="J276" s="7" t="n">
        <f aca="false">IF($H276=1,$G276*10000+ROW(),"")</f>
        <v>462560276</v>
      </c>
      <c r="K276" s="7" t="n">
        <f aca="false">IF($H276=1,$I276*1000+COUNTIFS($I$4:$I$483,$I276,$J$4:$J$483,"&lt;"&amp;$J276)+1,"")</f>
        <v>2002</v>
      </c>
      <c r="L276" s="121" t="n">
        <f aca="false">IF($F276="","",IF(Recurring!$G$22="Move Before",IF(WEEKDAY($F276,2)=6,$F276-1,IF(WEEKDAY($F276,2)=7,$F276-2,$F276)),IF(Recurring!$G$22="Move After",IF(WEEKDAY($F276,2)=6,$F276+2,IF(WEEKDAY($F276,2)=7,$F276+1,$F276)),$F276)))</f>
        <v>46256</v>
      </c>
      <c r="M276" s="0" t="str">
        <f aca="true">IF(AND($H276=1,$D276="Expense",$G276&gt;TODAY(),$E276&gt;=100),$G276*100000+ROW(),"")</f>
        <v/>
      </c>
      <c r="N276" s="0" t="str">
        <f aca="true">IF(AND($H276=1,$D276="Income",$G276&gt;TODAY()),$G276*100000+ROW(),"")</f>
        <v/>
      </c>
    </row>
    <row r="277" customFormat="false" ht="15" hidden="false" customHeight="true" outlineLevel="0" collapsed="false">
      <c r="A277" s="117" t="n">
        <v>18</v>
      </c>
      <c r="B277" s="117" t="n">
        <v>2</v>
      </c>
      <c r="C277" s="7" t="str">
        <f aca="false">IF(OR(Recurring!$B$22="",Recurring!$H$22&lt;&gt;"Yes",Recurring!$D$22=""),"",Recurring!$B$22)</f>
        <v>School clothes (back to school)</v>
      </c>
      <c r="D277" s="7" t="str">
        <f aca="false">IF($C277="","",Recurring!$C$22)</f>
        <v>Expense</v>
      </c>
      <c r="E277" s="118" t="n">
        <f aca="false">IF($C277="","",IF(SUMIFS(Overrides!$E$9:$E$108,Overrides!$B$9:$B$108,$C277,Overrides!$C$9:$C$108,$L277)&gt;0,SUMIFS(Overrides!$E$9:$E$108,Overrides!$B$9:$B$108,$C277,Overrides!$C$9:$C$108,$L277),Recurring!$D$22))</f>
        <v>300</v>
      </c>
      <c r="F277" s="119" t="str">
        <f aca="false">IF($C277="","",IF(Recurring!$E$22="Weekly",Recurring!$F$22+7*1,IF(Recurring!$E$22="Every 2 Weeks",Recurring!$F$22+14*1,IF(Recurring!$E$22="Monthly",EDATE(Recurring!$F$22,1),IF(Recurring!$E$22="Twice a Month",IF(MOD((IF(DAY(Recurring!$F$22)&lt;=20,0,1)+1),2)=1,EOMONTH(Recurring!$F$22,INT((IF(DAY(Recurring!$F$22)&lt;=20,0,1)+1)/2)),DATE(YEAR(EDATE(Recurring!$F$22,INT((IF(DAY(Recurring!$F$22)&lt;=20,0,1)+1)/2))),MONTH(EDATE(Recurring!$F$22,INT((IF(DAY(Recurring!$F$22)&lt;=20,0,1)+1)/2))),15)),IF(Recurring!$E$22="One Time",IF(2=1,Recurring!$F$22,""),""))))))</f>
        <v/>
      </c>
      <c r="G277" s="119" t="str">
        <f aca="false">IF($L277="","",IF(SUMIFS(Overrides!$D$9:$D$108,Overrides!$B$9:$B$108,$C277,Overrides!$C$9:$C$108,$L277)&gt;0,SUMIFS(Overrides!$D$9:$D$108,Overrides!$B$9:$B$108,$C277,Overrides!$C$9:$C$108,$L277),$L277))</f>
        <v/>
      </c>
      <c r="H277" s="120" t="n">
        <f aca="false">IF($G277="",0,IF(AND($G277&gt;='Cash Flow'!$E$6,$G277&lt;'Cash Flow'!$E$6+91),1,0))</f>
        <v>0</v>
      </c>
      <c r="I277" s="120" t="str">
        <f aca="false">IF($H277=1,MAX(1,INT(($G277-'Cash Flow'!$E$6)/7)+1),"")</f>
        <v/>
      </c>
      <c r="J277" s="7" t="str">
        <f aca="false">IF($H277=1,$G277*10000+ROW(),"")</f>
        <v/>
      </c>
      <c r="K277" s="7" t="str">
        <f aca="false">IF($H277=1,$I277*1000+COUNTIFS($I$4:$I$483,$I277,$J$4:$J$483,"&lt;"&amp;$J277)+1,"")</f>
        <v/>
      </c>
      <c r="L277" s="121" t="str">
        <f aca="false">IF($F277="","",IF(Recurring!$G$22="Move Before",IF(WEEKDAY($F277,2)=6,$F277-1,IF(WEEKDAY($F277,2)=7,$F277-2,$F277)),IF(Recurring!$G$22="Move After",IF(WEEKDAY($F277,2)=6,$F277+2,IF(WEEKDAY($F277,2)=7,$F277+1,$F277)),$F277)))</f>
        <v/>
      </c>
      <c r="M277" s="0" t="str">
        <f aca="true">IF(AND($H277=1,$D277="Expense",$G277&gt;TODAY(),$E277&gt;=100),$G277*100000+ROW(),"")</f>
        <v/>
      </c>
      <c r="N277" s="0" t="str">
        <f aca="true">IF(AND($H277=1,$D277="Income",$G277&gt;TODAY()),$G277*100000+ROW(),"")</f>
        <v/>
      </c>
    </row>
    <row r="278" customFormat="false" ht="15" hidden="false" customHeight="true" outlineLevel="0" collapsed="false">
      <c r="A278" s="117" t="n">
        <v>18</v>
      </c>
      <c r="B278" s="117" t="n">
        <v>3</v>
      </c>
      <c r="C278" s="7" t="str">
        <f aca="false">IF(OR(Recurring!$B$22="",Recurring!$H$22&lt;&gt;"Yes",Recurring!$D$22=""),"",Recurring!$B$22)</f>
        <v>School clothes (back to school)</v>
      </c>
      <c r="D278" s="7" t="str">
        <f aca="false">IF($C278="","",Recurring!$C$22)</f>
        <v>Expense</v>
      </c>
      <c r="E278" s="118" t="n">
        <f aca="false">IF($C278="","",IF(SUMIFS(Overrides!$E$9:$E$108,Overrides!$B$9:$B$108,$C278,Overrides!$C$9:$C$108,$L278)&gt;0,SUMIFS(Overrides!$E$9:$E$108,Overrides!$B$9:$B$108,$C278,Overrides!$C$9:$C$108,$L278),Recurring!$D$22))</f>
        <v>300</v>
      </c>
      <c r="F278" s="119" t="str">
        <f aca="false">IF($C278="","",IF(Recurring!$E$22="Weekly",Recurring!$F$22+7*2,IF(Recurring!$E$22="Every 2 Weeks",Recurring!$F$22+14*2,IF(Recurring!$E$22="Monthly",EDATE(Recurring!$F$22,2),IF(Recurring!$E$22="Twice a Month",IF(MOD((IF(DAY(Recurring!$F$22)&lt;=20,0,1)+2),2)=1,EOMONTH(Recurring!$F$22,INT((IF(DAY(Recurring!$F$22)&lt;=20,0,1)+2)/2)),DATE(YEAR(EDATE(Recurring!$F$22,INT((IF(DAY(Recurring!$F$22)&lt;=20,0,1)+2)/2))),MONTH(EDATE(Recurring!$F$22,INT((IF(DAY(Recurring!$F$22)&lt;=20,0,1)+2)/2))),15)),IF(Recurring!$E$22="One Time",IF(3=1,Recurring!$F$22,""),""))))))</f>
        <v/>
      </c>
      <c r="G278" s="119" t="str">
        <f aca="false">IF($L278="","",IF(SUMIFS(Overrides!$D$9:$D$108,Overrides!$B$9:$B$108,$C278,Overrides!$C$9:$C$108,$L278)&gt;0,SUMIFS(Overrides!$D$9:$D$108,Overrides!$B$9:$B$108,$C278,Overrides!$C$9:$C$108,$L278),$L278))</f>
        <v/>
      </c>
      <c r="H278" s="120" t="n">
        <f aca="false">IF($G278="",0,IF(AND($G278&gt;='Cash Flow'!$E$6,$G278&lt;'Cash Flow'!$E$6+91),1,0))</f>
        <v>0</v>
      </c>
      <c r="I278" s="120" t="str">
        <f aca="false">IF($H278=1,MAX(1,INT(($G278-'Cash Flow'!$E$6)/7)+1),"")</f>
        <v/>
      </c>
      <c r="J278" s="7" t="str">
        <f aca="false">IF($H278=1,$G278*10000+ROW(),"")</f>
        <v/>
      </c>
      <c r="K278" s="7" t="str">
        <f aca="false">IF($H278=1,$I278*1000+COUNTIFS($I$4:$I$483,$I278,$J$4:$J$483,"&lt;"&amp;$J278)+1,"")</f>
        <v/>
      </c>
      <c r="L278" s="121" t="str">
        <f aca="false">IF($F278="","",IF(Recurring!$G$22="Move Before",IF(WEEKDAY($F278,2)=6,$F278-1,IF(WEEKDAY($F278,2)=7,$F278-2,$F278)),IF(Recurring!$G$22="Move After",IF(WEEKDAY($F278,2)=6,$F278+2,IF(WEEKDAY($F278,2)=7,$F278+1,$F278)),$F278)))</f>
        <v/>
      </c>
      <c r="M278" s="0" t="str">
        <f aca="true">IF(AND($H278=1,$D278="Expense",$G278&gt;TODAY(),$E278&gt;=100),$G278*100000+ROW(),"")</f>
        <v/>
      </c>
      <c r="N278" s="0" t="str">
        <f aca="true">IF(AND($H278=1,$D278="Income",$G278&gt;TODAY()),$G278*100000+ROW(),"")</f>
        <v/>
      </c>
    </row>
    <row r="279" customFormat="false" ht="15" hidden="false" customHeight="true" outlineLevel="0" collapsed="false">
      <c r="A279" s="117" t="n">
        <v>18</v>
      </c>
      <c r="B279" s="117" t="n">
        <v>4</v>
      </c>
      <c r="C279" s="7" t="str">
        <f aca="false">IF(OR(Recurring!$B$22="",Recurring!$H$22&lt;&gt;"Yes",Recurring!$D$22=""),"",Recurring!$B$22)</f>
        <v>School clothes (back to school)</v>
      </c>
      <c r="D279" s="7" t="str">
        <f aca="false">IF($C279="","",Recurring!$C$22)</f>
        <v>Expense</v>
      </c>
      <c r="E279" s="118" t="n">
        <f aca="false">IF($C279="","",IF(SUMIFS(Overrides!$E$9:$E$108,Overrides!$B$9:$B$108,$C279,Overrides!$C$9:$C$108,$L279)&gt;0,SUMIFS(Overrides!$E$9:$E$108,Overrides!$B$9:$B$108,$C279,Overrides!$C$9:$C$108,$L279),Recurring!$D$22))</f>
        <v>300</v>
      </c>
      <c r="F279" s="119" t="str">
        <f aca="false">IF($C279="","",IF(Recurring!$E$22="Weekly",Recurring!$F$22+7*3,IF(Recurring!$E$22="Every 2 Weeks",Recurring!$F$22+14*3,IF(Recurring!$E$22="Monthly",EDATE(Recurring!$F$22,3),IF(Recurring!$E$22="Twice a Month",IF(MOD((IF(DAY(Recurring!$F$22)&lt;=20,0,1)+3),2)=1,EOMONTH(Recurring!$F$22,INT((IF(DAY(Recurring!$F$22)&lt;=20,0,1)+3)/2)),DATE(YEAR(EDATE(Recurring!$F$22,INT((IF(DAY(Recurring!$F$22)&lt;=20,0,1)+3)/2))),MONTH(EDATE(Recurring!$F$22,INT((IF(DAY(Recurring!$F$22)&lt;=20,0,1)+3)/2))),15)),IF(Recurring!$E$22="One Time",IF(4=1,Recurring!$F$22,""),""))))))</f>
        <v/>
      </c>
      <c r="G279" s="119" t="str">
        <f aca="false">IF($L279="","",IF(SUMIFS(Overrides!$D$9:$D$108,Overrides!$B$9:$B$108,$C279,Overrides!$C$9:$C$108,$L279)&gt;0,SUMIFS(Overrides!$D$9:$D$108,Overrides!$B$9:$B$108,$C279,Overrides!$C$9:$C$108,$L279),$L279))</f>
        <v/>
      </c>
      <c r="H279" s="120" t="n">
        <f aca="false">IF($G279="",0,IF(AND($G279&gt;='Cash Flow'!$E$6,$G279&lt;'Cash Flow'!$E$6+91),1,0))</f>
        <v>0</v>
      </c>
      <c r="I279" s="120" t="str">
        <f aca="false">IF($H279=1,MAX(1,INT(($G279-'Cash Flow'!$E$6)/7)+1),"")</f>
        <v/>
      </c>
      <c r="J279" s="7" t="str">
        <f aca="false">IF($H279=1,$G279*10000+ROW(),"")</f>
        <v/>
      </c>
      <c r="K279" s="7" t="str">
        <f aca="false">IF($H279=1,$I279*1000+COUNTIFS($I$4:$I$483,$I279,$J$4:$J$483,"&lt;"&amp;$J279)+1,"")</f>
        <v/>
      </c>
      <c r="L279" s="121" t="str">
        <f aca="false">IF($F279="","",IF(Recurring!$G$22="Move Before",IF(WEEKDAY($F279,2)=6,$F279-1,IF(WEEKDAY($F279,2)=7,$F279-2,$F279)),IF(Recurring!$G$22="Move After",IF(WEEKDAY($F279,2)=6,$F279+2,IF(WEEKDAY($F279,2)=7,$F279+1,$F279)),$F279)))</f>
        <v/>
      </c>
      <c r="M279" s="0" t="str">
        <f aca="true">IF(AND($H279=1,$D279="Expense",$G279&gt;TODAY(),$E279&gt;=100),$G279*100000+ROW(),"")</f>
        <v/>
      </c>
      <c r="N279" s="0" t="str">
        <f aca="true">IF(AND($H279=1,$D279="Income",$G279&gt;TODAY()),$G279*100000+ROW(),"")</f>
        <v/>
      </c>
    </row>
    <row r="280" customFormat="false" ht="15" hidden="false" customHeight="true" outlineLevel="0" collapsed="false">
      <c r="A280" s="117" t="n">
        <v>18</v>
      </c>
      <c r="B280" s="117" t="n">
        <v>5</v>
      </c>
      <c r="C280" s="7" t="str">
        <f aca="false">IF(OR(Recurring!$B$22="",Recurring!$H$22&lt;&gt;"Yes",Recurring!$D$22=""),"",Recurring!$B$22)</f>
        <v>School clothes (back to school)</v>
      </c>
      <c r="D280" s="7" t="str">
        <f aca="false">IF($C280="","",Recurring!$C$22)</f>
        <v>Expense</v>
      </c>
      <c r="E280" s="118" t="n">
        <f aca="false">IF($C280="","",IF(SUMIFS(Overrides!$E$9:$E$108,Overrides!$B$9:$B$108,$C280,Overrides!$C$9:$C$108,$L280)&gt;0,SUMIFS(Overrides!$E$9:$E$108,Overrides!$B$9:$B$108,$C280,Overrides!$C$9:$C$108,$L280),Recurring!$D$22))</f>
        <v>300</v>
      </c>
      <c r="F280" s="119" t="str">
        <f aca="false">IF($C280="","",IF(Recurring!$E$22="Weekly",Recurring!$F$22+7*4,IF(Recurring!$E$22="Every 2 Weeks",Recurring!$F$22+14*4,IF(Recurring!$E$22="Monthly",EDATE(Recurring!$F$22,4),IF(Recurring!$E$22="Twice a Month",IF(MOD((IF(DAY(Recurring!$F$22)&lt;=20,0,1)+4),2)=1,EOMONTH(Recurring!$F$22,INT((IF(DAY(Recurring!$F$22)&lt;=20,0,1)+4)/2)),DATE(YEAR(EDATE(Recurring!$F$22,INT((IF(DAY(Recurring!$F$22)&lt;=20,0,1)+4)/2))),MONTH(EDATE(Recurring!$F$22,INT((IF(DAY(Recurring!$F$22)&lt;=20,0,1)+4)/2))),15)),IF(Recurring!$E$22="One Time",IF(5=1,Recurring!$F$22,""),""))))))</f>
        <v/>
      </c>
      <c r="G280" s="119" t="str">
        <f aca="false">IF($L280="","",IF(SUMIFS(Overrides!$D$9:$D$108,Overrides!$B$9:$B$108,$C280,Overrides!$C$9:$C$108,$L280)&gt;0,SUMIFS(Overrides!$D$9:$D$108,Overrides!$B$9:$B$108,$C280,Overrides!$C$9:$C$108,$L280),$L280))</f>
        <v/>
      </c>
      <c r="H280" s="120" t="n">
        <f aca="false">IF($G280="",0,IF(AND($G280&gt;='Cash Flow'!$E$6,$G280&lt;'Cash Flow'!$E$6+91),1,0))</f>
        <v>0</v>
      </c>
      <c r="I280" s="120" t="str">
        <f aca="false">IF($H280=1,MAX(1,INT(($G280-'Cash Flow'!$E$6)/7)+1),"")</f>
        <v/>
      </c>
      <c r="J280" s="7" t="str">
        <f aca="false">IF($H280=1,$G280*10000+ROW(),"")</f>
        <v/>
      </c>
      <c r="K280" s="7" t="str">
        <f aca="false">IF($H280=1,$I280*1000+COUNTIFS($I$4:$I$483,$I280,$J$4:$J$483,"&lt;"&amp;$J280)+1,"")</f>
        <v/>
      </c>
      <c r="L280" s="121" t="str">
        <f aca="false">IF($F280="","",IF(Recurring!$G$22="Move Before",IF(WEEKDAY($F280,2)=6,$F280-1,IF(WEEKDAY($F280,2)=7,$F280-2,$F280)),IF(Recurring!$G$22="Move After",IF(WEEKDAY($F280,2)=6,$F280+2,IF(WEEKDAY($F280,2)=7,$F280+1,$F280)),$F280)))</f>
        <v/>
      </c>
      <c r="M280" s="0" t="str">
        <f aca="true">IF(AND($H280=1,$D280="Expense",$G280&gt;TODAY(),$E280&gt;=100),$G280*100000+ROW(),"")</f>
        <v/>
      </c>
      <c r="N280" s="0" t="str">
        <f aca="true">IF(AND($H280=1,$D280="Income",$G280&gt;TODAY()),$G280*100000+ROW(),"")</f>
        <v/>
      </c>
    </row>
    <row r="281" customFormat="false" ht="15" hidden="false" customHeight="true" outlineLevel="0" collapsed="false">
      <c r="A281" s="117" t="n">
        <v>18</v>
      </c>
      <c r="B281" s="117" t="n">
        <v>6</v>
      </c>
      <c r="C281" s="7" t="str">
        <f aca="false">IF(OR(Recurring!$B$22="",Recurring!$H$22&lt;&gt;"Yes",Recurring!$D$22=""),"",Recurring!$B$22)</f>
        <v>School clothes (back to school)</v>
      </c>
      <c r="D281" s="7" t="str">
        <f aca="false">IF($C281="","",Recurring!$C$22)</f>
        <v>Expense</v>
      </c>
      <c r="E281" s="118" t="n">
        <f aca="false">IF($C281="","",IF(SUMIFS(Overrides!$E$9:$E$108,Overrides!$B$9:$B$108,$C281,Overrides!$C$9:$C$108,$L281)&gt;0,SUMIFS(Overrides!$E$9:$E$108,Overrides!$B$9:$B$108,$C281,Overrides!$C$9:$C$108,$L281),Recurring!$D$22))</f>
        <v>300</v>
      </c>
      <c r="F281" s="119" t="str">
        <f aca="false">IF($C281="","",IF(Recurring!$E$22="Weekly",Recurring!$F$22+7*5,IF(Recurring!$E$22="Every 2 Weeks",Recurring!$F$22+14*5,IF(Recurring!$E$22="Monthly",EDATE(Recurring!$F$22,5),IF(Recurring!$E$22="Twice a Month",IF(MOD((IF(DAY(Recurring!$F$22)&lt;=20,0,1)+5),2)=1,EOMONTH(Recurring!$F$22,INT((IF(DAY(Recurring!$F$22)&lt;=20,0,1)+5)/2)),DATE(YEAR(EDATE(Recurring!$F$22,INT((IF(DAY(Recurring!$F$22)&lt;=20,0,1)+5)/2))),MONTH(EDATE(Recurring!$F$22,INT((IF(DAY(Recurring!$F$22)&lt;=20,0,1)+5)/2))),15)),IF(Recurring!$E$22="One Time",IF(6=1,Recurring!$F$22,""),""))))))</f>
        <v/>
      </c>
      <c r="G281" s="119" t="str">
        <f aca="false">IF($L281="","",IF(SUMIFS(Overrides!$D$9:$D$108,Overrides!$B$9:$B$108,$C281,Overrides!$C$9:$C$108,$L281)&gt;0,SUMIFS(Overrides!$D$9:$D$108,Overrides!$B$9:$B$108,$C281,Overrides!$C$9:$C$108,$L281),$L281))</f>
        <v/>
      </c>
      <c r="H281" s="120" t="n">
        <f aca="false">IF($G281="",0,IF(AND($G281&gt;='Cash Flow'!$E$6,$G281&lt;'Cash Flow'!$E$6+91),1,0))</f>
        <v>0</v>
      </c>
      <c r="I281" s="120" t="str">
        <f aca="false">IF($H281=1,MAX(1,INT(($G281-'Cash Flow'!$E$6)/7)+1),"")</f>
        <v/>
      </c>
      <c r="J281" s="7" t="str">
        <f aca="false">IF($H281=1,$G281*10000+ROW(),"")</f>
        <v/>
      </c>
      <c r="K281" s="7" t="str">
        <f aca="false">IF($H281=1,$I281*1000+COUNTIFS($I$4:$I$483,$I281,$J$4:$J$483,"&lt;"&amp;$J281)+1,"")</f>
        <v/>
      </c>
      <c r="L281" s="121" t="str">
        <f aca="false">IF($F281="","",IF(Recurring!$G$22="Move Before",IF(WEEKDAY($F281,2)=6,$F281-1,IF(WEEKDAY($F281,2)=7,$F281-2,$F281)),IF(Recurring!$G$22="Move After",IF(WEEKDAY($F281,2)=6,$F281+2,IF(WEEKDAY($F281,2)=7,$F281+1,$F281)),$F281)))</f>
        <v/>
      </c>
      <c r="M281" s="0" t="str">
        <f aca="true">IF(AND($H281=1,$D281="Expense",$G281&gt;TODAY(),$E281&gt;=100),$G281*100000+ROW(),"")</f>
        <v/>
      </c>
      <c r="N281" s="0" t="str">
        <f aca="true">IF(AND($H281=1,$D281="Income",$G281&gt;TODAY()),$G281*100000+ROW(),"")</f>
        <v/>
      </c>
    </row>
    <row r="282" customFormat="false" ht="15" hidden="false" customHeight="true" outlineLevel="0" collapsed="false">
      <c r="A282" s="117" t="n">
        <v>18</v>
      </c>
      <c r="B282" s="117" t="n">
        <v>7</v>
      </c>
      <c r="C282" s="7" t="str">
        <f aca="false">IF(OR(Recurring!$B$22="",Recurring!$H$22&lt;&gt;"Yes",Recurring!$D$22=""),"",Recurring!$B$22)</f>
        <v>School clothes (back to school)</v>
      </c>
      <c r="D282" s="7" t="str">
        <f aca="false">IF($C282="","",Recurring!$C$22)</f>
        <v>Expense</v>
      </c>
      <c r="E282" s="118" t="n">
        <f aca="false">IF($C282="","",IF(SUMIFS(Overrides!$E$9:$E$108,Overrides!$B$9:$B$108,$C282,Overrides!$C$9:$C$108,$L282)&gt;0,SUMIFS(Overrides!$E$9:$E$108,Overrides!$B$9:$B$108,$C282,Overrides!$C$9:$C$108,$L282),Recurring!$D$22))</f>
        <v>300</v>
      </c>
      <c r="F282" s="119" t="str">
        <f aca="false">IF($C282="","",IF(Recurring!$E$22="Weekly",Recurring!$F$22+7*6,IF(Recurring!$E$22="Every 2 Weeks",Recurring!$F$22+14*6,IF(Recurring!$E$22="Monthly",EDATE(Recurring!$F$22,6),IF(Recurring!$E$22="Twice a Month",IF(MOD((IF(DAY(Recurring!$F$22)&lt;=20,0,1)+6),2)=1,EOMONTH(Recurring!$F$22,INT((IF(DAY(Recurring!$F$22)&lt;=20,0,1)+6)/2)),DATE(YEAR(EDATE(Recurring!$F$22,INT((IF(DAY(Recurring!$F$22)&lt;=20,0,1)+6)/2))),MONTH(EDATE(Recurring!$F$22,INT((IF(DAY(Recurring!$F$22)&lt;=20,0,1)+6)/2))),15)),IF(Recurring!$E$22="One Time",IF(7=1,Recurring!$F$22,""),""))))))</f>
        <v/>
      </c>
      <c r="G282" s="119" t="str">
        <f aca="false">IF($L282="","",IF(SUMIFS(Overrides!$D$9:$D$108,Overrides!$B$9:$B$108,$C282,Overrides!$C$9:$C$108,$L282)&gt;0,SUMIFS(Overrides!$D$9:$D$108,Overrides!$B$9:$B$108,$C282,Overrides!$C$9:$C$108,$L282),$L282))</f>
        <v/>
      </c>
      <c r="H282" s="120" t="n">
        <f aca="false">IF($G282="",0,IF(AND($G282&gt;='Cash Flow'!$E$6,$G282&lt;'Cash Flow'!$E$6+91),1,0))</f>
        <v>0</v>
      </c>
      <c r="I282" s="120" t="str">
        <f aca="false">IF($H282=1,MAX(1,INT(($G282-'Cash Flow'!$E$6)/7)+1),"")</f>
        <v/>
      </c>
      <c r="J282" s="7" t="str">
        <f aca="false">IF($H282=1,$G282*10000+ROW(),"")</f>
        <v/>
      </c>
      <c r="K282" s="7" t="str">
        <f aca="false">IF($H282=1,$I282*1000+COUNTIFS($I$4:$I$483,$I282,$J$4:$J$483,"&lt;"&amp;$J282)+1,"")</f>
        <v/>
      </c>
      <c r="L282" s="121" t="str">
        <f aca="false">IF($F282="","",IF(Recurring!$G$22="Move Before",IF(WEEKDAY($F282,2)=6,$F282-1,IF(WEEKDAY($F282,2)=7,$F282-2,$F282)),IF(Recurring!$G$22="Move After",IF(WEEKDAY($F282,2)=6,$F282+2,IF(WEEKDAY($F282,2)=7,$F282+1,$F282)),$F282)))</f>
        <v/>
      </c>
      <c r="M282" s="0" t="str">
        <f aca="true">IF(AND($H282=1,$D282="Expense",$G282&gt;TODAY(),$E282&gt;=100),$G282*100000+ROW(),"")</f>
        <v/>
      </c>
      <c r="N282" s="0" t="str">
        <f aca="true">IF(AND($H282=1,$D282="Income",$G282&gt;TODAY()),$G282*100000+ROW(),"")</f>
        <v/>
      </c>
    </row>
    <row r="283" customFormat="false" ht="15" hidden="false" customHeight="true" outlineLevel="0" collapsed="false">
      <c r="A283" s="117" t="n">
        <v>18</v>
      </c>
      <c r="B283" s="117" t="n">
        <v>8</v>
      </c>
      <c r="C283" s="7" t="str">
        <f aca="false">IF(OR(Recurring!$B$22="",Recurring!$H$22&lt;&gt;"Yes",Recurring!$D$22=""),"",Recurring!$B$22)</f>
        <v>School clothes (back to school)</v>
      </c>
      <c r="D283" s="7" t="str">
        <f aca="false">IF($C283="","",Recurring!$C$22)</f>
        <v>Expense</v>
      </c>
      <c r="E283" s="118" t="n">
        <f aca="false">IF($C283="","",IF(SUMIFS(Overrides!$E$9:$E$108,Overrides!$B$9:$B$108,$C283,Overrides!$C$9:$C$108,$L283)&gt;0,SUMIFS(Overrides!$E$9:$E$108,Overrides!$B$9:$B$108,$C283,Overrides!$C$9:$C$108,$L283),Recurring!$D$22))</f>
        <v>300</v>
      </c>
      <c r="F283" s="119" t="str">
        <f aca="false">IF($C283="","",IF(Recurring!$E$22="Weekly",Recurring!$F$22+7*7,IF(Recurring!$E$22="Every 2 Weeks",Recurring!$F$22+14*7,IF(Recurring!$E$22="Monthly",EDATE(Recurring!$F$22,7),IF(Recurring!$E$22="Twice a Month",IF(MOD((IF(DAY(Recurring!$F$22)&lt;=20,0,1)+7),2)=1,EOMONTH(Recurring!$F$22,INT((IF(DAY(Recurring!$F$22)&lt;=20,0,1)+7)/2)),DATE(YEAR(EDATE(Recurring!$F$22,INT((IF(DAY(Recurring!$F$22)&lt;=20,0,1)+7)/2))),MONTH(EDATE(Recurring!$F$22,INT((IF(DAY(Recurring!$F$22)&lt;=20,0,1)+7)/2))),15)),IF(Recurring!$E$22="One Time",IF(8=1,Recurring!$F$22,""),""))))))</f>
        <v/>
      </c>
      <c r="G283" s="119" t="str">
        <f aca="false">IF($L283="","",IF(SUMIFS(Overrides!$D$9:$D$108,Overrides!$B$9:$B$108,$C283,Overrides!$C$9:$C$108,$L283)&gt;0,SUMIFS(Overrides!$D$9:$D$108,Overrides!$B$9:$B$108,$C283,Overrides!$C$9:$C$108,$L283),$L283))</f>
        <v/>
      </c>
      <c r="H283" s="120" t="n">
        <f aca="false">IF($G283="",0,IF(AND($G283&gt;='Cash Flow'!$E$6,$G283&lt;'Cash Flow'!$E$6+91),1,0))</f>
        <v>0</v>
      </c>
      <c r="I283" s="120" t="str">
        <f aca="false">IF($H283=1,MAX(1,INT(($G283-'Cash Flow'!$E$6)/7)+1),"")</f>
        <v/>
      </c>
      <c r="J283" s="7" t="str">
        <f aca="false">IF($H283=1,$G283*10000+ROW(),"")</f>
        <v/>
      </c>
      <c r="K283" s="7" t="str">
        <f aca="false">IF($H283=1,$I283*1000+COUNTIFS($I$4:$I$483,$I283,$J$4:$J$483,"&lt;"&amp;$J283)+1,"")</f>
        <v/>
      </c>
      <c r="L283" s="121" t="str">
        <f aca="false">IF($F283="","",IF(Recurring!$G$22="Move Before",IF(WEEKDAY($F283,2)=6,$F283-1,IF(WEEKDAY($F283,2)=7,$F283-2,$F283)),IF(Recurring!$G$22="Move After",IF(WEEKDAY($F283,2)=6,$F283+2,IF(WEEKDAY($F283,2)=7,$F283+1,$F283)),$F283)))</f>
        <v/>
      </c>
      <c r="M283" s="0" t="str">
        <f aca="true">IF(AND($H283=1,$D283="Expense",$G283&gt;TODAY(),$E283&gt;=100),$G283*100000+ROW(),"")</f>
        <v/>
      </c>
      <c r="N283" s="0" t="str">
        <f aca="true">IF(AND($H283=1,$D283="Income",$G283&gt;TODAY()),$G283*100000+ROW(),"")</f>
        <v/>
      </c>
    </row>
    <row r="284" customFormat="false" ht="15" hidden="false" customHeight="true" outlineLevel="0" collapsed="false">
      <c r="A284" s="117" t="n">
        <v>18</v>
      </c>
      <c r="B284" s="117" t="n">
        <v>9</v>
      </c>
      <c r="C284" s="7" t="str">
        <f aca="false">IF(OR(Recurring!$B$22="",Recurring!$H$22&lt;&gt;"Yes",Recurring!$D$22=""),"",Recurring!$B$22)</f>
        <v>School clothes (back to school)</v>
      </c>
      <c r="D284" s="7" t="str">
        <f aca="false">IF($C284="","",Recurring!$C$22)</f>
        <v>Expense</v>
      </c>
      <c r="E284" s="118" t="n">
        <f aca="false">IF($C284="","",IF(SUMIFS(Overrides!$E$9:$E$108,Overrides!$B$9:$B$108,$C284,Overrides!$C$9:$C$108,$L284)&gt;0,SUMIFS(Overrides!$E$9:$E$108,Overrides!$B$9:$B$108,$C284,Overrides!$C$9:$C$108,$L284),Recurring!$D$22))</f>
        <v>300</v>
      </c>
      <c r="F284" s="119" t="str">
        <f aca="false">IF($C284="","",IF(Recurring!$E$22="Weekly",Recurring!$F$22+7*8,IF(Recurring!$E$22="Every 2 Weeks",Recurring!$F$22+14*8,IF(Recurring!$E$22="Monthly",EDATE(Recurring!$F$22,8),IF(Recurring!$E$22="Twice a Month",IF(MOD((IF(DAY(Recurring!$F$22)&lt;=20,0,1)+8),2)=1,EOMONTH(Recurring!$F$22,INT((IF(DAY(Recurring!$F$22)&lt;=20,0,1)+8)/2)),DATE(YEAR(EDATE(Recurring!$F$22,INT((IF(DAY(Recurring!$F$22)&lt;=20,0,1)+8)/2))),MONTH(EDATE(Recurring!$F$22,INT((IF(DAY(Recurring!$F$22)&lt;=20,0,1)+8)/2))),15)),IF(Recurring!$E$22="One Time",IF(9=1,Recurring!$F$22,""),""))))))</f>
        <v/>
      </c>
      <c r="G284" s="119" t="str">
        <f aca="false">IF($L284="","",IF(SUMIFS(Overrides!$D$9:$D$108,Overrides!$B$9:$B$108,$C284,Overrides!$C$9:$C$108,$L284)&gt;0,SUMIFS(Overrides!$D$9:$D$108,Overrides!$B$9:$B$108,$C284,Overrides!$C$9:$C$108,$L284),$L284))</f>
        <v/>
      </c>
      <c r="H284" s="120" t="n">
        <f aca="false">IF($G284="",0,IF(AND($G284&gt;='Cash Flow'!$E$6,$G284&lt;'Cash Flow'!$E$6+91),1,0))</f>
        <v>0</v>
      </c>
      <c r="I284" s="120" t="str">
        <f aca="false">IF($H284=1,MAX(1,INT(($G284-'Cash Flow'!$E$6)/7)+1),"")</f>
        <v/>
      </c>
      <c r="J284" s="7" t="str">
        <f aca="false">IF($H284=1,$G284*10000+ROW(),"")</f>
        <v/>
      </c>
      <c r="K284" s="7" t="str">
        <f aca="false">IF($H284=1,$I284*1000+COUNTIFS($I$4:$I$483,$I284,$J$4:$J$483,"&lt;"&amp;$J284)+1,"")</f>
        <v/>
      </c>
      <c r="L284" s="121" t="str">
        <f aca="false">IF($F284="","",IF(Recurring!$G$22="Move Before",IF(WEEKDAY($F284,2)=6,$F284-1,IF(WEEKDAY($F284,2)=7,$F284-2,$F284)),IF(Recurring!$G$22="Move After",IF(WEEKDAY($F284,2)=6,$F284+2,IF(WEEKDAY($F284,2)=7,$F284+1,$F284)),$F284)))</f>
        <v/>
      </c>
      <c r="M284" s="0" t="str">
        <f aca="true">IF(AND($H284=1,$D284="Expense",$G284&gt;TODAY(),$E284&gt;=100),$G284*100000+ROW(),"")</f>
        <v/>
      </c>
      <c r="N284" s="0" t="str">
        <f aca="true">IF(AND($H284=1,$D284="Income",$G284&gt;TODAY()),$G284*100000+ROW(),"")</f>
        <v/>
      </c>
    </row>
    <row r="285" customFormat="false" ht="15" hidden="false" customHeight="true" outlineLevel="0" collapsed="false">
      <c r="A285" s="117" t="n">
        <v>18</v>
      </c>
      <c r="B285" s="117" t="n">
        <v>10</v>
      </c>
      <c r="C285" s="7" t="str">
        <f aca="false">IF(OR(Recurring!$B$22="",Recurring!$H$22&lt;&gt;"Yes",Recurring!$D$22=""),"",Recurring!$B$22)</f>
        <v>School clothes (back to school)</v>
      </c>
      <c r="D285" s="7" t="str">
        <f aca="false">IF($C285="","",Recurring!$C$22)</f>
        <v>Expense</v>
      </c>
      <c r="E285" s="118" t="n">
        <f aca="false">IF($C285="","",IF(SUMIFS(Overrides!$E$9:$E$108,Overrides!$B$9:$B$108,$C285,Overrides!$C$9:$C$108,$L285)&gt;0,SUMIFS(Overrides!$E$9:$E$108,Overrides!$B$9:$B$108,$C285,Overrides!$C$9:$C$108,$L285),Recurring!$D$22))</f>
        <v>300</v>
      </c>
      <c r="F285" s="119" t="str">
        <f aca="false">IF($C285="","",IF(Recurring!$E$22="Weekly",Recurring!$F$22+7*9,IF(Recurring!$E$22="Every 2 Weeks",Recurring!$F$22+14*9,IF(Recurring!$E$22="Monthly",EDATE(Recurring!$F$22,9),IF(Recurring!$E$22="Twice a Month",IF(MOD((IF(DAY(Recurring!$F$22)&lt;=20,0,1)+9),2)=1,EOMONTH(Recurring!$F$22,INT((IF(DAY(Recurring!$F$22)&lt;=20,0,1)+9)/2)),DATE(YEAR(EDATE(Recurring!$F$22,INT((IF(DAY(Recurring!$F$22)&lt;=20,0,1)+9)/2))),MONTH(EDATE(Recurring!$F$22,INT((IF(DAY(Recurring!$F$22)&lt;=20,0,1)+9)/2))),15)),IF(Recurring!$E$22="One Time",IF(10=1,Recurring!$F$22,""),""))))))</f>
        <v/>
      </c>
      <c r="G285" s="119" t="str">
        <f aca="false">IF($L285="","",IF(SUMIFS(Overrides!$D$9:$D$108,Overrides!$B$9:$B$108,$C285,Overrides!$C$9:$C$108,$L285)&gt;0,SUMIFS(Overrides!$D$9:$D$108,Overrides!$B$9:$B$108,$C285,Overrides!$C$9:$C$108,$L285),$L285))</f>
        <v/>
      </c>
      <c r="H285" s="120" t="n">
        <f aca="false">IF($G285="",0,IF(AND($G285&gt;='Cash Flow'!$E$6,$G285&lt;'Cash Flow'!$E$6+91),1,0))</f>
        <v>0</v>
      </c>
      <c r="I285" s="120" t="str">
        <f aca="false">IF($H285=1,MAX(1,INT(($G285-'Cash Flow'!$E$6)/7)+1),"")</f>
        <v/>
      </c>
      <c r="J285" s="7" t="str">
        <f aca="false">IF($H285=1,$G285*10000+ROW(),"")</f>
        <v/>
      </c>
      <c r="K285" s="7" t="str">
        <f aca="false">IF($H285=1,$I285*1000+COUNTIFS($I$4:$I$483,$I285,$J$4:$J$483,"&lt;"&amp;$J285)+1,"")</f>
        <v/>
      </c>
      <c r="L285" s="121" t="str">
        <f aca="false">IF($F285="","",IF(Recurring!$G$22="Move Before",IF(WEEKDAY($F285,2)=6,$F285-1,IF(WEEKDAY($F285,2)=7,$F285-2,$F285)),IF(Recurring!$G$22="Move After",IF(WEEKDAY($F285,2)=6,$F285+2,IF(WEEKDAY($F285,2)=7,$F285+1,$F285)),$F285)))</f>
        <v/>
      </c>
      <c r="M285" s="0" t="str">
        <f aca="true">IF(AND($H285=1,$D285="Expense",$G285&gt;TODAY(),$E285&gt;=100),$G285*100000+ROW(),"")</f>
        <v/>
      </c>
      <c r="N285" s="0" t="str">
        <f aca="true">IF(AND($H285=1,$D285="Income",$G285&gt;TODAY()),$G285*100000+ROW(),"")</f>
        <v/>
      </c>
    </row>
    <row r="286" customFormat="false" ht="15" hidden="false" customHeight="true" outlineLevel="0" collapsed="false">
      <c r="A286" s="117" t="n">
        <v>18</v>
      </c>
      <c r="B286" s="117" t="n">
        <v>11</v>
      </c>
      <c r="C286" s="7" t="str">
        <f aca="false">IF(OR(Recurring!$B$22="",Recurring!$H$22&lt;&gt;"Yes",Recurring!$D$22=""),"",Recurring!$B$22)</f>
        <v>School clothes (back to school)</v>
      </c>
      <c r="D286" s="7" t="str">
        <f aca="false">IF($C286="","",Recurring!$C$22)</f>
        <v>Expense</v>
      </c>
      <c r="E286" s="118" t="n">
        <f aca="false">IF($C286="","",IF(SUMIFS(Overrides!$E$9:$E$108,Overrides!$B$9:$B$108,$C286,Overrides!$C$9:$C$108,$L286)&gt;0,SUMIFS(Overrides!$E$9:$E$108,Overrides!$B$9:$B$108,$C286,Overrides!$C$9:$C$108,$L286),Recurring!$D$22))</f>
        <v>300</v>
      </c>
      <c r="F286" s="119" t="str">
        <f aca="false">IF($C286="","",IF(Recurring!$E$22="Weekly",Recurring!$F$22+7*10,IF(Recurring!$E$22="Every 2 Weeks",Recurring!$F$22+14*10,IF(Recurring!$E$22="Monthly",EDATE(Recurring!$F$22,10),IF(Recurring!$E$22="Twice a Month",IF(MOD((IF(DAY(Recurring!$F$22)&lt;=20,0,1)+10),2)=1,EOMONTH(Recurring!$F$22,INT((IF(DAY(Recurring!$F$22)&lt;=20,0,1)+10)/2)),DATE(YEAR(EDATE(Recurring!$F$22,INT((IF(DAY(Recurring!$F$22)&lt;=20,0,1)+10)/2))),MONTH(EDATE(Recurring!$F$22,INT((IF(DAY(Recurring!$F$22)&lt;=20,0,1)+10)/2))),15)),IF(Recurring!$E$22="One Time",IF(11=1,Recurring!$F$22,""),""))))))</f>
        <v/>
      </c>
      <c r="G286" s="119" t="str">
        <f aca="false">IF($L286="","",IF(SUMIFS(Overrides!$D$9:$D$108,Overrides!$B$9:$B$108,$C286,Overrides!$C$9:$C$108,$L286)&gt;0,SUMIFS(Overrides!$D$9:$D$108,Overrides!$B$9:$B$108,$C286,Overrides!$C$9:$C$108,$L286),$L286))</f>
        <v/>
      </c>
      <c r="H286" s="120" t="n">
        <f aca="false">IF($G286="",0,IF(AND($G286&gt;='Cash Flow'!$E$6,$G286&lt;'Cash Flow'!$E$6+91),1,0))</f>
        <v>0</v>
      </c>
      <c r="I286" s="120" t="str">
        <f aca="false">IF($H286=1,MAX(1,INT(($G286-'Cash Flow'!$E$6)/7)+1),"")</f>
        <v/>
      </c>
      <c r="J286" s="7" t="str">
        <f aca="false">IF($H286=1,$G286*10000+ROW(),"")</f>
        <v/>
      </c>
      <c r="K286" s="7" t="str">
        <f aca="false">IF($H286=1,$I286*1000+COUNTIFS($I$4:$I$483,$I286,$J$4:$J$483,"&lt;"&amp;$J286)+1,"")</f>
        <v/>
      </c>
      <c r="L286" s="121" t="str">
        <f aca="false">IF($F286="","",IF(Recurring!$G$22="Move Before",IF(WEEKDAY($F286,2)=6,$F286-1,IF(WEEKDAY($F286,2)=7,$F286-2,$F286)),IF(Recurring!$G$22="Move After",IF(WEEKDAY($F286,2)=6,$F286+2,IF(WEEKDAY($F286,2)=7,$F286+1,$F286)),$F286)))</f>
        <v/>
      </c>
      <c r="M286" s="0" t="str">
        <f aca="true">IF(AND($H286=1,$D286="Expense",$G286&gt;TODAY(),$E286&gt;=100),$G286*100000+ROW(),"")</f>
        <v/>
      </c>
      <c r="N286" s="0" t="str">
        <f aca="true">IF(AND($H286=1,$D286="Income",$G286&gt;TODAY()),$G286*100000+ROW(),"")</f>
        <v/>
      </c>
    </row>
    <row r="287" customFormat="false" ht="15" hidden="false" customHeight="true" outlineLevel="0" collapsed="false">
      <c r="A287" s="117" t="n">
        <v>18</v>
      </c>
      <c r="B287" s="117" t="n">
        <v>12</v>
      </c>
      <c r="C287" s="7" t="str">
        <f aca="false">IF(OR(Recurring!$B$22="",Recurring!$H$22&lt;&gt;"Yes",Recurring!$D$22=""),"",Recurring!$B$22)</f>
        <v>School clothes (back to school)</v>
      </c>
      <c r="D287" s="7" t="str">
        <f aca="false">IF($C287="","",Recurring!$C$22)</f>
        <v>Expense</v>
      </c>
      <c r="E287" s="118" t="n">
        <f aca="false">IF($C287="","",IF(SUMIFS(Overrides!$E$9:$E$108,Overrides!$B$9:$B$108,$C287,Overrides!$C$9:$C$108,$L287)&gt;0,SUMIFS(Overrides!$E$9:$E$108,Overrides!$B$9:$B$108,$C287,Overrides!$C$9:$C$108,$L287),Recurring!$D$22))</f>
        <v>300</v>
      </c>
      <c r="F287" s="119" t="str">
        <f aca="false">IF($C287="","",IF(Recurring!$E$22="Weekly",Recurring!$F$22+7*11,IF(Recurring!$E$22="Every 2 Weeks",Recurring!$F$22+14*11,IF(Recurring!$E$22="Monthly",EDATE(Recurring!$F$22,11),IF(Recurring!$E$22="Twice a Month",IF(MOD((IF(DAY(Recurring!$F$22)&lt;=20,0,1)+11),2)=1,EOMONTH(Recurring!$F$22,INT((IF(DAY(Recurring!$F$22)&lt;=20,0,1)+11)/2)),DATE(YEAR(EDATE(Recurring!$F$22,INT((IF(DAY(Recurring!$F$22)&lt;=20,0,1)+11)/2))),MONTH(EDATE(Recurring!$F$22,INT((IF(DAY(Recurring!$F$22)&lt;=20,0,1)+11)/2))),15)),IF(Recurring!$E$22="One Time",IF(12=1,Recurring!$F$22,""),""))))))</f>
        <v/>
      </c>
      <c r="G287" s="119" t="str">
        <f aca="false">IF($L287="","",IF(SUMIFS(Overrides!$D$9:$D$108,Overrides!$B$9:$B$108,$C287,Overrides!$C$9:$C$108,$L287)&gt;0,SUMIFS(Overrides!$D$9:$D$108,Overrides!$B$9:$B$108,$C287,Overrides!$C$9:$C$108,$L287),$L287))</f>
        <v/>
      </c>
      <c r="H287" s="120" t="n">
        <f aca="false">IF($G287="",0,IF(AND($G287&gt;='Cash Flow'!$E$6,$G287&lt;'Cash Flow'!$E$6+91),1,0))</f>
        <v>0</v>
      </c>
      <c r="I287" s="120" t="str">
        <f aca="false">IF($H287=1,MAX(1,INT(($G287-'Cash Flow'!$E$6)/7)+1),"")</f>
        <v/>
      </c>
      <c r="J287" s="7" t="str">
        <f aca="false">IF($H287=1,$G287*10000+ROW(),"")</f>
        <v/>
      </c>
      <c r="K287" s="7" t="str">
        <f aca="false">IF($H287=1,$I287*1000+COUNTIFS($I$4:$I$483,$I287,$J$4:$J$483,"&lt;"&amp;$J287)+1,"")</f>
        <v/>
      </c>
      <c r="L287" s="121" t="str">
        <f aca="false">IF($F287="","",IF(Recurring!$G$22="Move Before",IF(WEEKDAY($F287,2)=6,$F287-1,IF(WEEKDAY($F287,2)=7,$F287-2,$F287)),IF(Recurring!$G$22="Move After",IF(WEEKDAY($F287,2)=6,$F287+2,IF(WEEKDAY($F287,2)=7,$F287+1,$F287)),$F287)))</f>
        <v/>
      </c>
      <c r="M287" s="0" t="str">
        <f aca="true">IF(AND($H287=1,$D287="Expense",$G287&gt;TODAY(),$E287&gt;=100),$G287*100000+ROW(),"")</f>
        <v/>
      </c>
      <c r="N287" s="0" t="str">
        <f aca="true">IF(AND($H287=1,$D287="Income",$G287&gt;TODAY()),$G287*100000+ROW(),"")</f>
        <v/>
      </c>
    </row>
    <row r="288" customFormat="false" ht="15" hidden="false" customHeight="true" outlineLevel="0" collapsed="false">
      <c r="A288" s="117" t="n">
        <v>18</v>
      </c>
      <c r="B288" s="117" t="n">
        <v>13</v>
      </c>
      <c r="C288" s="7" t="str">
        <f aca="false">IF(OR(Recurring!$B$22="",Recurring!$H$22&lt;&gt;"Yes",Recurring!$D$22=""),"",Recurring!$B$22)</f>
        <v>School clothes (back to school)</v>
      </c>
      <c r="D288" s="7" t="str">
        <f aca="false">IF($C288="","",Recurring!$C$22)</f>
        <v>Expense</v>
      </c>
      <c r="E288" s="118" t="n">
        <f aca="false">IF($C288="","",IF(SUMIFS(Overrides!$E$9:$E$108,Overrides!$B$9:$B$108,$C288,Overrides!$C$9:$C$108,$L288)&gt;0,SUMIFS(Overrides!$E$9:$E$108,Overrides!$B$9:$B$108,$C288,Overrides!$C$9:$C$108,$L288),Recurring!$D$22))</f>
        <v>300</v>
      </c>
      <c r="F288" s="119" t="str">
        <f aca="false">IF($C288="","",IF(Recurring!$E$22="Weekly",Recurring!$F$22+7*12,IF(Recurring!$E$22="Every 2 Weeks",Recurring!$F$22+14*12,IF(Recurring!$E$22="Monthly",EDATE(Recurring!$F$22,12),IF(Recurring!$E$22="Twice a Month",IF(MOD((IF(DAY(Recurring!$F$22)&lt;=20,0,1)+12),2)=1,EOMONTH(Recurring!$F$22,INT((IF(DAY(Recurring!$F$22)&lt;=20,0,1)+12)/2)),DATE(YEAR(EDATE(Recurring!$F$22,INT((IF(DAY(Recurring!$F$22)&lt;=20,0,1)+12)/2))),MONTH(EDATE(Recurring!$F$22,INT((IF(DAY(Recurring!$F$22)&lt;=20,0,1)+12)/2))),15)),IF(Recurring!$E$22="One Time",IF(13=1,Recurring!$F$22,""),""))))))</f>
        <v/>
      </c>
      <c r="G288" s="119" t="str">
        <f aca="false">IF($L288="","",IF(SUMIFS(Overrides!$D$9:$D$108,Overrides!$B$9:$B$108,$C288,Overrides!$C$9:$C$108,$L288)&gt;0,SUMIFS(Overrides!$D$9:$D$108,Overrides!$B$9:$B$108,$C288,Overrides!$C$9:$C$108,$L288),$L288))</f>
        <v/>
      </c>
      <c r="H288" s="120" t="n">
        <f aca="false">IF($G288="",0,IF(AND($G288&gt;='Cash Flow'!$E$6,$G288&lt;'Cash Flow'!$E$6+91),1,0))</f>
        <v>0</v>
      </c>
      <c r="I288" s="120" t="str">
        <f aca="false">IF($H288=1,MAX(1,INT(($G288-'Cash Flow'!$E$6)/7)+1),"")</f>
        <v/>
      </c>
      <c r="J288" s="7" t="str">
        <f aca="false">IF($H288=1,$G288*10000+ROW(),"")</f>
        <v/>
      </c>
      <c r="K288" s="7" t="str">
        <f aca="false">IF($H288=1,$I288*1000+COUNTIFS($I$4:$I$483,$I288,$J$4:$J$483,"&lt;"&amp;$J288)+1,"")</f>
        <v/>
      </c>
      <c r="L288" s="121" t="str">
        <f aca="false">IF($F288="","",IF(Recurring!$G$22="Move Before",IF(WEEKDAY($F288,2)=6,$F288-1,IF(WEEKDAY($F288,2)=7,$F288-2,$F288)),IF(Recurring!$G$22="Move After",IF(WEEKDAY($F288,2)=6,$F288+2,IF(WEEKDAY($F288,2)=7,$F288+1,$F288)),$F288)))</f>
        <v/>
      </c>
      <c r="M288" s="0" t="str">
        <f aca="true">IF(AND($H288=1,$D288="Expense",$G288&gt;TODAY(),$E288&gt;=100),$G288*100000+ROW(),"")</f>
        <v/>
      </c>
      <c r="N288" s="0" t="str">
        <f aca="true">IF(AND($H288=1,$D288="Income",$G288&gt;TODAY()),$G288*100000+ROW(),"")</f>
        <v/>
      </c>
    </row>
    <row r="289" customFormat="false" ht="15" hidden="false" customHeight="true" outlineLevel="0" collapsed="false">
      <c r="A289" s="117" t="n">
        <v>18</v>
      </c>
      <c r="B289" s="117" t="n">
        <v>14</v>
      </c>
      <c r="C289" s="7" t="str">
        <f aca="false">IF(OR(Recurring!$B$22="",Recurring!$H$22&lt;&gt;"Yes",Recurring!$D$22=""),"",Recurring!$B$22)</f>
        <v>School clothes (back to school)</v>
      </c>
      <c r="D289" s="7" t="str">
        <f aca="false">IF($C289="","",Recurring!$C$22)</f>
        <v>Expense</v>
      </c>
      <c r="E289" s="118" t="n">
        <f aca="false">IF($C289="","",IF(SUMIFS(Overrides!$E$9:$E$108,Overrides!$B$9:$B$108,$C289,Overrides!$C$9:$C$108,$L289)&gt;0,SUMIFS(Overrides!$E$9:$E$108,Overrides!$B$9:$B$108,$C289,Overrides!$C$9:$C$108,$L289),Recurring!$D$22))</f>
        <v>300</v>
      </c>
      <c r="F289" s="119" t="str">
        <f aca="false">IF($C289="","",IF(Recurring!$E$22="Weekly",Recurring!$F$22+7*13,IF(Recurring!$E$22="Every 2 Weeks",Recurring!$F$22+14*13,IF(Recurring!$E$22="Monthly",EDATE(Recurring!$F$22,13),IF(Recurring!$E$22="Twice a Month",IF(MOD((IF(DAY(Recurring!$F$22)&lt;=20,0,1)+13),2)=1,EOMONTH(Recurring!$F$22,INT((IF(DAY(Recurring!$F$22)&lt;=20,0,1)+13)/2)),DATE(YEAR(EDATE(Recurring!$F$22,INT((IF(DAY(Recurring!$F$22)&lt;=20,0,1)+13)/2))),MONTH(EDATE(Recurring!$F$22,INT((IF(DAY(Recurring!$F$22)&lt;=20,0,1)+13)/2))),15)),IF(Recurring!$E$22="One Time",IF(14=1,Recurring!$F$22,""),""))))))</f>
        <v/>
      </c>
      <c r="G289" s="119" t="str">
        <f aca="false">IF($L289="","",IF(SUMIFS(Overrides!$D$9:$D$108,Overrides!$B$9:$B$108,$C289,Overrides!$C$9:$C$108,$L289)&gt;0,SUMIFS(Overrides!$D$9:$D$108,Overrides!$B$9:$B$108,$C289,Overrides!$C$9:$C$108,$L289),$L289))</f>
        <v/>
      </c>
      <c r="H289" s="120" t="n">
        <f aca="false">IF($G289="",0,IF(AND($G289&gt;='Cash Flow'!$E$6,$G289&lt;'Cash Flow'!$E$6+91),1,0))</f>
        <v>0</v>
      </c>
      <c r="I289" s="120" t="str">
        <f aca="false">IF($H289=1,MAX(1,INT(($G289-'Cash Flow'!$E$6)/7)+1),"")</f>
        <v/>
      </c>
      <c r="J289" s="7" t="str">
        <f aca="false">IF($H289=1,$G289*10000+ROW(),"")</f>
        <v/>
      </c>
      <c r="K289" s="7" t="str">
        <f aca="false">IF($H289=1,$I289*1000+COUNTIFS($I$4:$I$483,$I289,$J$4:$J$483,"&lt;"&amp;$J289)+1,"")</f>
        <v/>
      </c>
      <c r="L289" s="121" t="str">
        <f aca="false">IF($F289="","",IF(Recurring!$G$22="Move Before",IF(WEEKDAY($F289,2)=6,$F289-1,IF(WEEKDAY($F289,2)=7,$F289-2,$F289)),IF(Recurring!$G$22="Move After",IF(WEEKDAY($F289,2)=6,$F289+2,IF(WEEKDAY($F289,2)=7,$F289+1,$F289)),$F289)))</f>
        <v/>
      </c>
      <c r="M289" s="0" t="str">
        <f aca="true">IF(AND($H289=1,$D289="Expense",$G289&gt;TODAY(),$E289&gt;=100),$G289*100000+ROW(),"")</f>
        <v/>
      </c>
      <c r="N289" s="0" t="str">
        <f aca="true">IF(AND($H289=1,$D289="Income",$G289&gt;TODAY()),$G289*100000+ROW(),"")</f>
        <v/>
      </c>
    </row>
    <row r="290" customFormat="false" ht="15" hidden="false" customHeight="true" outlineLevel="0" collapsed="false">
      <c r="A290" s="117" t="n">
        <v>18</v>
      </c>
      <c r="B290" s="117" t="n">
        <v>15</v>
      </c>
      <c r="C290" s="7" t="str">
        <f aca="false">IF(OR(Recurring!$B$22="",Recurring!$H$22&lt;&gt;"Yes",Recurring!$D$22=""),"",Recurring!$B$22)</f>
        <v>School clothes (back to school)</v>
      </c>
      <c r="D290" s="7" t="str">
        <f aca="false">IF($C290="","",Recurring!$C$22)</f>
        <v>Expense</v>
      </c>
      <c r="E290" s="118" t="n">
        <f aca="false">IF($C290="","",IF(SUMIFS(Overrides!$E$9:$E$108,Overrides!$B$9:$B$108,$C290,Overrides!$C$9:$C$108,$L290)&gt;0,SUMIFS(Overrides!$E$9:$E$108,Overrides!$B$9:$B$108,$C290,Overrides!$C$9:$C$108,$L290),Recurring!$D$22))</f>
        <v>300</v>
      </c>
      <c r="F290" s="119" t="str">
        <f aca="false">IF($C290="","",IF(Recurring!$E$22="Weekly",Recurring!$F$22+7*14,IF(Recurring!$E$22="Every 2 Weeks",Recurring!$F$22+14*14,IF(Recurring!$E$22="Monthly",EDATE(Recurring!$F$22,14),IF(Recurring!$E$22="Twice a Month",IF(MOD((IF(DAY(Recurring!$F$22)&lt;=20,0,1)+14),2)=1,EOMONTH(Recurring!$F$22,INT((IF(DAY(Recurring!$F$22)&lt;=20,0,1)+14)/2)),DATE(YEAR(EDATE(Recurring!$F$22,INT((IF(DAY(Recurring!$F$22)&lt;=20,0,1)+14)/2))),MONTH(EDATE(Recurring!$F$22,INT((IF(DAY(Recurring!$F$22)&lt;=20,0,1)+14)/2))),15)),IF(Recurring!$E$22="One Time",IF(15=1,Recurring!$F$22,""),""))))))</f>
        <v/>
      </c>
      <c r="G290" s="119" t="str">
        <f aca="false">IF($L290="","",IF(SUMIFS(Overrides!$D$9:$D$108,Overrides!$B$9:$B$108,$C290,Overrides!$C$9:$C$108,$L290)&gt;0,SUMIFS(Overrides!$D$9:$D$108,Overrides!$B$9:$B$108,$C290,Overrides!$C$9:$C$108,$L290),$L290))</f>
        <v/>
      </c>
      <c r="H290" s="120" t="n">
        <f aca="false">IF($G290="",0,IF(AND($G290&gt;='Cash Flow'!$E$6,$G290&lt;'Cash Flow'!$E$6+91),1,0))</f>
        <v>0</v>
      </c>
      <c r="I290" s="120" t="str">
        <f aca="false">IF($H290=1,MAX(1,INT(($G290-'Cash Flow'!$E$6)/7)+1),"")</f>
        <v/>
      </c>
      <c r="J290" s="7" t="str">
        <f aca="false">IF($H290=1,$G290*10000+ROW(),"")</f>
        <v/>
      </c>
      <c r="K290" s="7" t="str">
        <f aca="false">IF($H290=1,$I290*1000+COUNTIFS($I$4:$I$483,$I290,$J$4:$J$483,"&lt;"&amp;$J290)+1,"")</f>
        <v/>
      </c>
      <c r="L290" s="121" t="str">
        <f aca="false">IF($F290="","",IF(Recurring!$G$22="Move Before",IF(WEEKDAY($F290,2)=6,$F290-1,IF(WEEKDAY($F290,2)=7,$F290-2,$F290)),IF(Recurring!$G$22="Move After",IF(WEEKDAY($F290,2)=6,$F290+2,IF(WEEKDAY($F290,2)=7,$F290+1,$F290)),$F290)))</f>
        <v/>
      </c>
      <c r="M290" s="0" t="str">
        <f aca="true">IF(AND($H290=1,$D290="Expense",$G290&gt;TODAY(),$E290&gt;=100),$G290*100000+ROW(),"")</f>
        <v/>
      </c>
      <c r="N290" s="0" t="str">
        <f aca="true">IF(AND($H290=1,$D290="Income",$G290&gt;TODAY()),$G290*100000+ROW(),"")</f>
        <v/>
      </c>
    </row>
    <row r="291" customFormat="false" ht="15" hidden="false" customHeight="true" outlineLevel="0" collapsed="false">
      <c r="A291" s="117" t="n">
        <v>18</v>
      </c>
      <c r="B291" s="117" t="n">
        <v>16</v>
      </c>
      <c r="C291" s="7" t="str">
        <f aca="false">IF(OR(Recurring!$B$22="",Recurring!$H$22&lt;&gt;"Yes",Recurring!$D$22=""),"",Recurring!$B$22)</f>
        <v>School clothes (back to school)</v>
      </c>
      <c r="D291" s="7" t="str">
        <f aca="false">IF($C291="","",Recurring!$C$22)</f>
        <v>Expense</v>
      </c>
      <c r="E291" s="118" t="n">
        <f aca="false">IF($C291="","",IF(SUMIFS(Overrides!$E$9:$E$108,Overrides!$B$9:$B$108,$C291,Overrides!$C$9:$C$108,$L291)&gt;0,SUMIFS(Overrides!$E$9:$E$108,Overrides!$B$9:$B$108,$C291,Overrides!$C$9:$C$108,$L291),Recurring!$D$22))</f>
        <v>300</v>
      </c>
      <c r="F291" s="119" t="str">
        <f aca="false">IF($C291="","",IF(Recurring!$E$22="Weekly",Recurring!$F$22+7*15,IF(Recurring!$E$22="Every 2 Weeks",Recurring!$F$22+14*15,IF(Recurring!$E$22="Monthly",EDATE(Recurring!$F$22,15),IF(Recurring!$E$22="Twice a Month",IF(MOD((IF(DAY(Recurring!$F$22)&lt;=20,0,1)+15),2)=1,EOMONTH(Recurring!$F$22,INT((IF(DAY(Recurring!$F$22)&lt;=20,0,1)+15)/2)),DATE(YEAR(EDATE(Recurring!$F$22,INT((IF(DAY(Recurring!$F$22)&lt;=20,0,1)+15)/2))),MONTH(EDATE(Recurring!$F$22,INT((IF(DAY(Recurring!$F$22)&lt;=20,0,1)+15)/2))),15)),IF(Recurring!$E$22="One Time",IF(16=1,Recurring!$F$22,""),""))))))</f>
        <v/>
      </c>
      <c r="G291" s="119" t="str">
        <f aca="false">IF($L291="","",IF(SUMIFS(Overrides!$D$9:$D$108,Overrides!$B$9:$B$108,$C291,Overrides!$C$9:$C$108,$L291)&gt;0,SUMIFS(Overrides!$D$9:$D$108,Overrides!$B$9:$B$108,$C291,Overrides!$C$9:$C$108,$L291),$L291))</f>
        <v/>
      </c>
      <c r="H291" s="120" t="n">
        <f aca="false">IF($G291="",0,IF(AND($G291&gt;='Cash Flow'!$E$6,$G291&lt;'Cash Flow'!$E$6+91),1,0))</f>
        <v>0</v>
      </c>
      <c r="I291" s="120" t="str">
        <f aca="false">IF($H291=1,MAX(1,INT(($G291-'Cash Flow'!$E$6)/7)+1),"")</f>
        <v/>
      </c>
      <c r="J291" s="7" t="str">
        <f aca="false">IF($H291=1,$G291*10000+ROW(),"")</f>
        <v/>
      </c>
      <c r="K291" s="7" t="str">
        <f aca="false">IF($H291=1,$I291*1000+COUNTIFS($I$4:$I$483,$I291,$J$4:$J$483,"&lt;"&amp;$J291)+1,"")</f>
        <v/>
      </c>
      <c r="L291" s="121" t="str">
        <f aca="false">IF($F291="","",IF(Recurring!$G$22="Move Before",IF(WEEKDAY($F291,2)=6,$F291-1,IF(WEEKDAY($F291,2)=7,$F291-2,$F291)),IF(Recurring!$G$22="Move After",IF(WEEKDAY($F291,2)=6,$F291+2,IF(WEEKDAY($F291,2)=7,$F291+1,$F291)),$F291)))</f>
        <v/>
      </c>
      <c r="M291" s="0" t="str">
        <f aca="true">IF(AND($H291=1,$D291="Expense",$G291&gt;TODAY(),$E291&gt;=100),$G291*100000+ROW(),"")</f>
        <v/>
      </c>
      <c r="N291" s="0" t="str">
        <f aca="true">IF(AND($H291=1,$D291="Income",$G291&gt;TODAY()),$G291*100000+ROW(),"")</f>
        <v/>
      </c>
    </row>
    <row r="292" customFormat="false" ht="15" hidden="false" customHeight="true" outlineLevel="0" collapsed="false">
      <c r="A292" s="117" t="n">
        <v>19</v>
      </c>
      <c r="B292" s="117" t="n">
        <v>1</v>
      </c>
      <c r="C292" s="7" t="str">
        <f aca="false">IF(OR(Recurring!$B$23="",Recurring!$H$23&lt;&gt;"Yes",Recurring!$D$23=""),"",Recurring!$B$23)</f>
        <v/>
      </c>
      <c r="D292" s="7" t="str">
        <f aca="false">IF($C292="","",Recurring!$C$23)</f>
        <v/>
      </c>
      <c r="E292" s="118" t="str">
        <f aca="false">IF($C292="","",IF(SUMIFS(Overrides!$E$9:$E$108,Overrides!$B$9:$B$108,$C292,Overrides!$C$9:$C$108,$L292)&gt;0,SUMIFS(Overrides!$E$9:$E$108,Overrides!$B$9:$B$108,$C292,Overrides!$C$9:$C$108,$L292),Recurring!$D$23))</f>
        <v/>
      </c>
      <c r="F292" s="119" t="str">
        <f aca="false">IF($C292="","",IF(Recurring!$E$23="Weekly",Recurring!$F$23+7*0,IF(Recurring!$E$23="Every 2 Weeks",Recurring!$F$23+14*0,IF(Recurring!$E$23="Monthly",EDATE(Recurring!$F$23,0),IF(Recurring!$E$23="Twice a Month",IF(MOD((IF(DAY(Recurring!$F$23)&lt;=20,0,1)+0),2)=1,EOMONTH(Recurring!$F$23,INT((IF(DAY(Recurring!$F$23)&lt;=20,0,1)+0)/2)),DATE(YEAR(EDATE(Recurring!$F$23,INT((IF(DAY(Recurring!$F$23)&lt;=20,0,1)+0)/2))),MONTH(EDATE(Recurring!$F$23,INT((IF(DAY(Recurring!$F$23)&lt;=20,0,1)+0)/2))),15)),IF(Recurring!$E$23="One Time",IF(1=1,Recurring!$F$23,""),""))))))</f>
        <v/>
      </c>
      <c r="G292" s="119" t="str">
        <f aca="false">IF($L292="","",IF(SUMIFS(Overrides!$D$9:$D$108,Overrides!$B$9:$B$108,$C292,Overrides!$C$9:$C$108,$L292)&gt;0,SUMIFS(Overrides!$D$9:$D$108,Overrides!$B$9:$B$108,$C292,Overrides!$C$9:$C$108,$L292),$L292))</f>
        <v/>
      </c>
      <c r="H292" s="120" t="n">
        <f aca="false">IF($G292="",0,IF(AND($G292&gt;='Cash Flow'!$E$6-90,$G292&lt;'Cash Flow'!$E$6+91),1,0))</f>
        <v>0</v>
      </c>
      <c r="I292" s="120" t="str">
        <f aca="false">IF($H292=1,MAX(1,INT(($G292-'Cash Flow'!$E$6)/7)+1),"")</f>
        <v/>
      </c>
      <c r="J292" s="7" t="str">
        <f aca="false">IF($H292=1,$G292*10000+ROW(),"")</f>
        <v/>
      </c>
      <c r="K292" s="7" t="str">
        <f aca="false">IF($H292=1,$I292*1000+COUNTIFS($I$4:$I$483,$I292,$J$4:$J$483,"&lt;"&amp;$J292)+1,"")</f>
        <v/>
      </c>
      <c r="L292" s="121" t="str">
        <f aca="false">IF($F292="","",IF(Recurring!$G$23="Move Before",IF(WEEKDAY($F292,2)=6,$F292-1,IF(WEEKDAY($F292,2)=7,$F292-2,$F292)),IF(Recurring!$G$23="Move After",IF(WEEKDAY($F292,2)=6,$F292+2,IF(WEEKDAY($F292,2)=7,$F292+1,$F292)),$F292)))</f>
        <v/>
      </c>
      <c r="M292" s="0" t="str">
        <f aca="true">IF(AND($H292=1,$D292="Expense",$G292&gt;TODAY(),$E292&gt;=100),$G292*100000+ROW(),"")</f>
        <v/>
      </c>
      <c r="N292" s="0" t="str">
        <f aca="true">IF(AND($H292=1,$D292="Income",$G292&gt;TODAY()),$G292*100000+ROW(),"")</f>
        <v/>
      </c>
    </row>
    <row r="293" customFormat="false" ht="15" hidden="false" customHeight="true" outlineLevel="0" collapsed="false">
      <c r="A293" s="117" t="n">
        <v>19</v>
      </c>
      <c r="B293" s="117" t="n">
        <v>2</v>
      </c>
      <c r="C293" s="7" t="str">
        <f aca="false">IF(OR(Recurring!$B$23="",Recurring!$H$23&lt;&gt;"Yes",Recurring!$D$23=""),"",Recurring!$B$23)</f>
        <v/>
      </c>
      <c r="D293" s="7" t="str">
        <f aca="false">IF($C293="","",Recurring!$C$23)</f>
        <v/>
      </c>
      <c r="E293" s="118" t="str">
        <f aca="false">IF($C293="","",IF(SUMIFS(Overrides!$E$9:$E$108,Overrides!$B$9:$B$108,$C293,Overrides!$C$9:$C$108,$L293)&gt;0,SUMIFS(Overrides!$E$9:$E$108,Overrides!$B$9:$B$108,$C293,Overrides!$C$9:$C$108,$L293),Recurring!$D$23))</f>
        <v/>
      </c>
      <c r="F293" s="119" t="str">
        <f aca="false">IF($C293="","",IF(Recurring!$E$23="Weekly",Recurring!$F$23+7*1,IF(Recurring!$E$23="Every 2 Weeks",Recurring!$F$23+14*1,IF(Recurring!$E$23="Monthly",EDATE(Recurring!$F$23,1),IF(Recurring!$E$23="Twice a Month",IF(MOD((IF(DAY(Recurring!$F$23)&lt;=20,0,1)+1),2)=1,EOMONTH(Recurring!$F$23,INT((IF(DAY(Recurring!$F$23)&lt;=20,0,1)+1)/2)),DATE(YEAR(EDATE(Recurring!$F$23,INT((IF(DAY(Recurring!$F$23)&lt;=20,0,1)+1)/2))),MONTH(EDATE(Recurring!$F$23,INT((IF(DAY(Recurring!$F$23)&lt;=20,0,1)+1)/2))),15)),IF(Recurring!$E$23="One Time",IF(2=1,Recurring!$F$23,""),""))))))</f>
        <v/>
      </c>
      <c r="G293" s="119" t="str">
        <f aca="false">IF($L293="","",IF(SUMIFS(Overrides!$D$9:$D$108,Overrides!$B$9:$B$108,$C293,Overrides!$C$9:$C$108,$L293)&gt;0,SUMIFS(Overrides!$D$9:$D$108,Overrides!$B$9:$B$108,$C293,Overrides!$C$9:$C$108,$L293),$L293))</f>
        <v/>
      </c>
      <c r="H293" s="120" t="n">
        <f aca="false">IF($G293="",0,IF(AND($G293&gt;='Cash Flow'!$E$6,$G293&lt;'Cash Flow'!$E$6+91),1,0))</f>
        <v>0</v>
      </c>
      <c r="I293" s="120" t="str">
        <f aca="false">IF($H293=1,MAX(1,INT(($G293-'Cash Flow'!$E$6)/7)+1),"")</f>
        <v/>
      </c>
      <c r="J293" s="7" t="str">
        <f aca="false">IF($H293=1,$G293*10000+ROW(),"")</f>
        <v/>
      </c>
      <c r="K293" s="7" t="str">
        <f aca="false">IF($H293=1,$I293*1000+COUNTIFS($I$4:$I$483,$I293,$J$4:$J$483,"&lt;"&amp;$J293)+1,"")</f>
        <v/>
      </c>
      <c r="L293" s="121" t="str">
        <f aca="false">IF($F293="","",IF(Recurring!$G$23="Move Before",IF(WEEKDAY($F293,2)=6,$F293-1,IF(WEEKDAY($F293,2)=7,$F293-2,$F293)),IF(Recurring!$G$23="Move After",IF(WEEKDAY($F293,2)=6,$F293+2,IF(WEEKDAY($F293,2)=7,$F293+1,$F293)),$F293)))</f>
        <v/>
      </c>
      <c r="M293" s="0" t="str">
        <f aca="true">IF(AND($H293=1,$D293="Expense",$G293&gt;TODAY(),$E293&gt;=100),$G293*100000+ROW(),"")</f>
        <v/>
      </c>
      <c r="N293" s="0" t="str">
        <f aca="true">IF(AND($H293=1,$D293="Income",$G293&gt;TODAY()),$G293*100000+ROW(),"")</f>
        <v/>
      </c>
    </row>
    <row r="294" customFormat="false" ht="15" hidden="false" customHeight="true" outlineLevel="0" collapsed="false">
      <c r="A294" s="117" t="n">
        <v>19</v>
      </c>
      <c r="B294" s="117" t="n">
        <v>3</v>
      </c>
      <c r="C294" s="7" t="str">
        <f aca="false">IF(OR(Recurring!$B$23="",Recurring!$H$23&lt;&gt;"Yes",Recurring!$D$23=""),"",Recurring!$B$23)</f>
        <v/>
      </c>
      <c r="D294" s="7" t="str">
        <f aca="false">IF($C294="","",Recurring!$C$23)</f>
        <v/>
      </c>
      <c r="E294" s="118" t="str">
        <f aca="false">IF($C294="","",IF(SUMIFS(Overrides!$E$9:$E$108,Overrides!$B$9:$B$108,$C294,Overrides!$C$9:$C$108,$L294)&gt;0,SUMIFS(Overrides!$E$9:$E$108,Overrides!$B$9:$B$108,$C294,Overrides!$C$9:$C$108,$L294),Recurring!$D$23))</f>
        <v/>
      </c>
      <c r="F294" s="119" t="str">
        <f aca="false">IF($C294="","",IF(Recurring!$E$23="Weekly",Recurring!$F$23+7*2,IF(Recurring!$E$23="Every 2 Weeks",Recurring!$F$23+14*2,IF(Recurring!$E$23="Monthly",EDATE(Recurring!$F$23,2),IF(Recurring!$E$23="Twice a Month",IF(MOD((IF(DAY(Recurring!$F$23)&lt;=20,0,1)+2),2)=1,EOMONTH(Recurring!$F$23,INT((IF(DAY(Recurring!$F$23)&lt;=20,0,1)+2)/2)),DATE(YEAR(EDATE(Recurring!$F$23,INT((IF(DAY(Recurring!$F$23)&lt;=20,0,1)+2)/2))),MONTH(EDATE(Recurring!$F$23,INT((IF(DAY(Recurring!$F$23)&lt;=20,0,1)+2)/2))),15)),IF(Recurring!$E$23="One Time",IF(3=1,Recurring!$F$23,""),""))))))</f>
        <v/>
      </c>
      <c r="G294" s="119" t="str">
        <f aca="false">IF($L294="","",IF(SUMIFS(Overrides!$D$9:$D$108,Overrides!$B$9:$B$108,$C294,Overrides!$C$9:$C$108,$L294)&gt;0,SUMIFS(Overrides!$D$9:$D$108,Overrides!$B$9:$B$108,$C294,Overrides!$C$9:$C$108,$L294),$L294))</f>
        <v/>
      </c>
      <c r="H294" s="120" t="n">
        <f aca="false">IF($G294="",0,IF(AND($G294&gt;='Cash Flow'!$E$6,$G294&lt;'Cash Flow'!$E$6+91),1,0))</f>
        <v>0</v>
      </c>
      <c r="I294" s="120" t="str">
        <f aca="false">IF($H294=1,MAX(1,INT(($G294-'Cash Flow'!$E$6)/7)+1),"")</f>
        <v/>
      </c>
      <c r="J294" s="7" t="str">
        <f aca="false">IF($H294=1,$G294*10000+ROW(),"")</f>
        <v/>
      </c>
      <c r="K294" s="7" t="str">
        <f aca="false">IF($H294=1,$I294*1000+COUNTIFS($I$4:$I$483,$I294,$J$4:$J$483,"&lt;"&amp;$J294)+1,"")</f>
        <v/>
      </c>
      <c r="L294" s="121" t="str">
        <f aca="false">IF($F294="","",IF(Recurring!$G$23="Move Before",IF(WEEKDAY($F294,2)=6,$F294-1,IF(WEEKDAY($F294,2)=7,$F294-2,$F294)),IF(Recurring!$G$23="Move After",IF(WEEKDAY($F294,2)=6,$F294+2,IF(WEEKDAY($F294,2)=7,$F294+1,$F294)),$F294)))</f>
        <v/>
      </c>
      <c r="M294" s="0" t="str">
        <f aca="true">IF(AND($H294=1,$D294="Expense",$G294&gt;TODAY(),$E294&gt;=100),$G294*100000+ROW(),"")</f>
        <v/>
      </c>
      <c r="N294" s="0" t="str">
        <f aca="true">IF(AND($H294=1,$D294="Income",$G294&gt;TODAY()),$G294*100000+ROW(),"")</f>
        <v/>
      </c>
    </row>
    <row r="295" customFormat="false" ht="15" hidden="false" customHeight="true" outlineLevel="0" collapsed="false">
      <c r="A295" s="117" t="n">
        <v>19</v>
      </c>
      <c r="B295" s="117" t="n">
        <v>4</v>
      </c>
      <c r="C295" s="7" t="str">
        <f aca="false">IF(OR(Recurring!$B$23="",Recurring!$H$23&lt;&gt;"Yes",Recurring!$D$23=""),"",Recurring!$B$23)</f>
        <v/>
      </c>
      <c r="D295" s="7" t="str">
        <f aca="false">IF($C295="","",Recurring!$C$23)</f>
        <v/>
      </c>
      <c r="E295" s="118" t="str">
        <f aca="false">IF($C295="","",IF(SUMIFS(Overrides!$E$9:$E$108,Overrides!$B$9:$B$108,$C295,Overrides!$C$9:$C$108,$L295)&gt;0,SUMIFS(Overrides!$E$9:$E$108,Overrides!$B$9:$B$108,$C295,Overrides!$C$9:$C$108,$L295),Recurring!$D$23))</f>
        <v/>
      </c>
      <c r="F295" s="119" t="str">
        <f aca="false">IF($C295="","",IF(Recurring!$E$23="Weekly",Recurring!$F$23+7*3,IF(Recurring!$E$23="Every 2 Weeks",Recurring!$F$23+14*3,IF(Recurring!$E$23="Monthly",EDATE(Recurring!$F$23,3),IF(Recurring!$E$23="Twice a Month",IF(MOD((IF(DAY(Recurring!$F$23)&lt;=20,0,1)+3),2)=1,EOMONTH(Recurring!$F$23,INT((IF(DAY(Recurring!$F$23)&lt;=20,0,1)+3)/2)),DATE(YEAR(EDATE(Recurring!$F$23,INT((IF(DAY(Recurring!$F$23)&lt;=20,0,1)+3)/2))),MONTH(EDATE(Recurring!$F$23,INT((IF(DAY(Recurring!$F$23)&lt;=20,0,1)+3)/2))),15)),IF(Recurring!$E$23="One Time",IF(4=1,Recurring!$F$23,""),""))))))</f>
        <v/>
      </c>
      <c r="G295" s="119" t="str">
        <f aca="false">IF($L295="","",IF(SUMIFS(Overrides!$D$9:$D$108,Overrides!$B$9:$B$108,$C295,Overrides!$C$9:$C$108,$L295)&gt;0,SUMIFS(Overrides!$D$9:$D$108,Overrides!$B$9:$B$108,$C295,Overrides!$C$9:$C$108,$L295),$L295))</f>
        <v/>
      </c>
      <c r="H295" s="120" t="n">
        <f aca="false">IF($G295="",0,IF(AND($G295&gt;='Cash Flow'!$E$6,$G295&lt;'Cash Flow'!$E$6+91),1,0))</f>
        <v>0</v>
      </c>
      <c r="I295" s="120" t="str">
        <f aca="false">IF($H295=1,MAX(1,INT(($G295-'Cash Flow'!$E$6)/7)+1),"")</f>
        <v/>
      </c>
      <c r="J295" s="7" t="str">
        <f aca="false">IF($H295=1,$G295*10000+ROW(),"")</f>
        <v/>
      </c>
      <c r="K295" s="7" t="str">
        <f aca="false">IF($H295=1,$I295*1000+COUNTIFS($I$4:$I$483,$I295,$J$4:$J$483,"&lt;"&amp;$J295)+1,"")</f>
        <v/>
      </c>
      <c r="L295" s="121" t="str">
        <f aca="false">IF($F295="","",IF(Recurring!$G$23="Move Before",IF(WEEKDAY($F295,2)=6,$F295-1,IF(WEEKDAY($F295,2)=7,$F295-2,$F295)),IF(Recurring!$G$23="Move After",IF(WEEKDAY($F295,2)=6,$F295+2,IF(WEEKDAY($F295,2)=7,$F295+1,$F295)),$F295)))</f>
        <v/>
      </c>
      <c r="M295" s="0" t="str">
        <f aca="true">IF(AND($H295=1,$D295="Expense",$G295&gt;TODAY(),$E295&gt;=100),$G295*100000+ROW(),"")</f>
        <v/>
      </c>
      <c r="N295" s="0" t="str">
        <f aca="true">IF(AND($H295=1,$D295="Income",$G295&gt;TODAY()),$G295*100000+ROW(),"")</f>
        <v/>
      </c>
    </row>
    <row r="296" customFormat="false" ht="15" hidden="false" customHeight="true" outlineLevel="0" collapsed="false">
      <c r="A296" s="117" t="n">
        <v>19</v>
      </c>
      <c r="B296" s="117" t="n">
        <v>5</v>
      </c>
      <c r="C296" s="7" t="str">
        <f aca="false">IF(OR(Recurring!$B$23="",Recurring!$H$23&lt;&gt;"Yes",Recurring!$D$23=""),"",Recurring!$B$23)</f>
        <v/>
      </c>
      <c r="D296" s="7" t="str">
        <f aca="false">IF($C296="","",Recurring!$C$23)</f>
        <v/>
      </c>
      <c r="E296" s="118" t="str">
        <f aca="false">IF($C296="","",IF(SUMIFS(Overrides!$E$9:$E$108,Overrides!$B$9:$B$108,$C296,Overrides!$C$9:$C$108,$L296)&gt;0,SUMIFS(Overrides!$E$9:$E$108,Overrides!$B$9:$B$108,$C296,Overrides!$C$9:$C$108,$L296),Recurring!$D$23))</f>
        <v/>
      </c>
      <c r="F296" s="119" t="str">
        <f aca="false">IF($C296="","",IF(Recurring!$E$23="Weekly",Recurring!$F$23+7*4,IF(Recurring!$E$23="Every 2 Weeks",Recurring!$F$23+14*4,IF(Recurring!$E$23="Monthly",EDATE(Recurring!$F$23,4),IF(Recurring!$E$23="Twice a Month",IF(MOD((IF(DAY(Recurring!$F$23)&lt;=20,0,1)+4),2)=1,EOMONTH(Recurring!$F$23,INT((IF(DAY(Recurring!$F$23)&lt;=20,0,1)+4)/2)),DATE(YEAR(EDATE(Recurring!$F$23,INT((IF(DAY(Recurring!$F$23)&lt;=20,0,1)+4)/2))),MONTH(EDATE(Recurring!$F$23,INT((IF(DAY(Recurring!$F$23)&lt;=20,0,1)+4)/2))),15)),IF(Recurring!$E$23="One Time",IF(5=1,Recurring!$F$23,""),""))))))</f>
        <v/>
      </c>
      <c r="G296" s="119" t="str">
        <f aca="false">IF($L296="","",IF(SUMIFS(Overrides!$D$9:$D$108,Overrides!$B$9:$B$108,$C296,Overrides!$C$9:$C$108,$L296)&gt;0,SUMIFS(Overrides!$D$9:$D$108,Overrides!$B$9:$B$108,$C296,Overrides!$C$9:$C$108,$L296),$L296))</f>
        <v/>
      </c>
      <c r="H296" s="120" t="n">
        <f aca="false">IF($G296="",0,IF(AND($G296&gt;='Cash Flow'!$E$6,$G296&lt;'Cash Flow'!$E$6+91),1,0))</f>
        <v>0</v>
      </c>
      <c r="I296" s="120" t="str">
        <f aca="false">IF($H296=1,MAX(1,INT(($G296-'Cash Flow'!$E$6)/7)+1),"")</f>
        <v/>
      </c>
      <c r="J296" s="7" t="str">
        <f aca="false">IF($H296=1,$G296*10000+ROW(),"")</f>
        <v/>
      </c>
      <c r="K296" s="7" t="str">
        <f aca="false">IF($H296=1,$I296*1000+COUNTIFS($I$4:$I$483,$I296,$J$4:$J$483,"&lt;"&amp;$J296)+1,"")</f>
        <v/>
      </c>
      <c r="L296" s="121" t="str">
        <f aca="false">IF($F296="","",IF(Recurring!$G$23="Move Before",IF(WEEKDAY($F296,2)=6,$F296-1,IF(WEEKDAY($F296,2)=7,$F296-2,$F296)),IF(Recurring!$G$23="Move After",IF(WEEKDAY($F296,2)=6,$F296+2,IF(WEEKDAY($F296,2)=7,$F296+1,$F296)),$F296)))</f>
        <v/>
      </c>
      <c r="M296" s="0" t="str">
        <f aca="true">IF(AND($H296=1,$D296="Expense",$G296&gt;TODAY(),$E296&gt;=100),$G296*100000+ROW(),"")</f>
        <v/>
      </c>
      <c r="N296" s="0" t="str">
        <f aca="true">IF(AND($H296=1,$D296="Income",$G296&gt;TODAY()),$G296*100000+ROW(),"")</f>
        <v/>
      </c>
    </row>
    <row r="297" customFormat="false" ht="15" hidden="false" customHeight="true" outlineLevel="0" collapsed="false">
      <c r="A297" s="117" t="n">
        <v>19</v>
      </c>
      <c r="B297" s="117" t="n">
        <v>6</v>
      </c>
      <c r="C297" s="7" t="str">
        <f aca="false">IF(OR(Recurring!$B$23="",Recurring!$H$23&lt;&gt;"Yes",Recurring!$D$23=""),"",Recurring!$B$23)</f>
        <v/>
      </c>
      <c r="D297" s="7" t="str">
        <f aca="false">IF($C297="","",Recurring!$C$23)</f>
        <v/>
      </c>
      <c r="E297" s="118" t="str">
        <f aca="false">IF($C297="","",IF(SUMIFS(Overrides!$E$9:$E$108,Overrides!$B$9:$B$108,$C297,Overrides!$C$9:$C$108,$L297)&gt;0,SUMIFS(Overrides!$E$9:$E$108,Overrides!$B$9:$B$108,$C297,Overrides!$C$9:$C$108,$L297),Recurring!$D$23))</f>
        <v/>
      </c>
      <c r="F297" s="119" t="str">
        <f aca="false">IF($C297="","",IF(Recurring!$E$23="Weekly",Recurring!$F$23+7*5,IF(Recurring!$E$23="Every 2 Weeks",Recurring!$F$23+14*5,IF(Recurring!$E$23="Monthly",EDATE(Recurring!$F$23,5),IF(Recurring!$E$23="Twice a Month",IF(MOD((IF(DAY(Recurring!$F$23)&lt;=20,0,1)+5),2)=1,EOMONTH(Recurring!$F$23,INT((IF(DAY(Recurring!$F$23)&lt;=20,0,1)+5)/2)),DATE(YEAR(EDATE(Recurring!$F$23,INT((IF(DAY(Recurring!$F$23)&lt;=20,0,1)+5)/2))),MONTH(EDATE(Recurring!$F$23,INT((IF(DAY(Recurring!$F$23)&lt;=20,0,1)+5)/2))),15)),IF(Recurring!$E$23="One Time",IF(6=1,Recurring!$F$23,""),""))))))</f>
        <v/>
      </c>
      <c r="G297" s="119" t="str">
        <f aca="false">IF($L297="","",IF(SUMIFS(Overrides!$D$9:$D$108,Overrides!$B$9:$B$108,$C297,Overrides!$C$9:$C$108,$L297)&gt;0,SUMIFS(Overrides!$D$9:$D$108,Overrides!$B$9:$B$108,$C297,Overrides!$C$9:$C$108,$L297),$L297))</f>
        <v/>
      </c>
      <c r="H297" s="120" t="n">
        <f aca="false">IF($G297="",0,IF(AND($G297&gt;='Cash Flow'!$E$6,$G297&lt;'Cash Flow'!$E$6+91),1,0))</f>
        <v>0</v>
      </c>
      <c r="I297" s="120" t="str">
        <f aca="false">IF($H297=1,MAX(1,INT(($G297-'Cash Flow'!$E$6)/7)+1),"")</f>
        <v/>
      </c>
      <c r="J297" s="7" t="str">
        <f aca="false">IF($H297=1,$G297*10000+ROW(),"")</f>
        <v/>
      </c>
      <c r="K297" s="7" t="str">
        <f aca="false">IF($H297=1,$I297*1000+COUNTIFS($I$4:$I$483,$I297,$J$4:$J$483,"&lt;"&amp;$J297)+1,"")</f>
        <v/>
      </c>
      <c r="L297" s="121" t="str">
        <f aca="false">IF($F297="","",IF(Recurring!$G$23="Move Before",IF(WEEKDAY($F297,2)=6,$F297-1,IF(WEEKDAY($F297,2)=7,$F297-2,$F297)),IF(Recurring!$G$23="Move After",IF(WEEKDAY($F297,2)=6,$F297+2,IF(WEEKDAY($F297,2)=7,$F297+1,$F297)),$F297)))</f>
        <v/>
      </c>
      <c r="M297" s="0" t="str">
        <f aca="true">IF(AND($H297=1,$D297="Expense",$G297&gt;TODAY(),$E297&gt;=100),$G297*100000+ROW(),"")</f>
        <v/>
      </c>
      <c r="N297" s="0" t="str">
        <f aca="true">IF(AND($H297=1,$D297="Income",$G297&gt;TODAY()),$G297*100000+ROW(),"")</f>
        <v/>
      </c>
    </row>
    <row r="298" customFormat="false" ht="15" hidden="false" customHeight="true" outlineLevel="0" collapsed="false">
      <c r="A298" s="117" t="n">
        <v>19</v>
      </c>
      <c r="B298" s="117" t="n">
        <v>7</v>
      </c>
      <c r="C298" s="7" t="str">
        <f aca="false">IF(OR(Recurring!$B$23="",Recurring!$H$23&lt;&gt;"Yes",Recurring!$D$23=""),"",Recurring!$B$23)</f>
        <v/>
      </c>
      <c r="D298" s="7" t="str">
        <f aca="false">IF($C298="","",Recurring!$C$23)</f>
        <v/>
      </c>
      <c r="E298" s="118" t="str">
        <f aca="false">IF($C298="","",IF(SUMIFS(Overrides!$E$9:$E$108,Overrides!$B$9:$B$108,$C298,Overrides!$C$9:$C$108,$L298)&gt;0,SUMIFS(Overrides!$E$9:$E$108,Overrides!$B$9:$B$108,$C298,Overrides!$C$9:$C$108,$L298),Recurring!$D$23))</f>
        <v/>
      </c>
      <c r="F298" s="119" t="str">
        <f aca="false">IF($C298="","",IF(Recurring!$E$23="Weekly",Recurring!$F$23+7*6,IF(Recurring!$E$23="Every 2 Weeks",Recurring!$F$23+14*6,IF(Recurring!$E$23="Monthly",EDATE(Recurring!$F$23,6),IF(Recurring!$E$23="Twice a Month",IF(MOD((IF(DAY(Recurring!$F$23)&lt;=20,0,1)+6),2)=1,EOMONTH(Recurring!$F$23,INT((IF(DAY(Recurring!$F$23)&lt;=20,0,1)+6)/2)),DATE(YEAR(EDATE(Recurring!$F$23,INT((IF(DAY(Recurring!$F$23)&lt;=20,0,1)+6)/2))),MONTH(EDATE(Recurring!$F$23,INT((IF(DAY(Recurring!$F$23)&lt;=20,0,1)+6)/2))),15)),IF(Recurring!$E$23="One Time",IF(7=1,Recurring!$F$23,""),""))))))</f>
        <v/>
      </c>
      <c r="G298" s="119" t="str">
        <f aca="false">IF($L298="","",IF(SUMIFS(Overrides!$D$9:$D$108,Overrides!$B$9:$B$108,$C298,Overrides!$C$9:$C$108,$L298)&gt;0,SUMIFS(Overrides!$D$9:$D$108,Overrides!$B$9:$B$108,$C298,Overrides!$C$9:$C$108,$L298),$L298))</f>
        <v/>
      </c>
      <c r="H298" s="120" t="n">
        <f aca="false">IF($G298="",0,IF(AND($G298&gt;='Cash Flow'!$E$6,$G298&lt;'Cash Flow'!$E$6+91),1,0))</f>
        <v>0</v>
      </c>
      <c r="I298" s="120" t="str">
        <f aca="false">IF($H298=1,MAX(1,INT(($G298-'Cash Flow'!$E$6)/7)+1),"")</f>
        <v/>
      </c>
      <c r="J298" s="7" t="str">
        <f aca="false">IF($H298=1,$G298*10000+ROW(),"")</f>
        <v/>
      </c>
      <c r="K298" s="7" t="str">
        <f aca="false">IF($H298=1,$I298*1000+COUNTIFS($I$4:$I$483,$I298,$J$4:$J$483,"&lt;"&amp;$J298)+1,"")</f>
        <v/>
      </c>
      <c r="L298" s="121" t="str">
        <f aca="false">IF($F298="","",IF(Recurring!$G$23="Move Before",IF(WEEKDAY($F298,2)=6,$F298-1,IF(WEEKDAY($F298,2)=7,$F298-2,$F298)),IF(Recurring!$G$23="Move After",IF(WEEKDAY($F298,2)=6,$F298+2,IF(WEEKDAY($F298,2)=7,$F298+1,$F298)),$F298)))</f>
        <v/>
      </c>
      <c r="M298" s="0" t="str">
        <f aca="true">IF(AND($H298=1,$D298="Expense",$G298&gt;TODAY(),$E298&gt;=100),$G298*100000+ROW(),"")</f>
        <v/>
      </c>
      <c r="N298" s="0" t="str">
        <f aca="true">IF(AND($H298=1,$D298="Income",$G298&gt;TODAY()),$G298*100000+ROW(),"")</f>
        <v/>
      </c>
    </row>
    <row r="299" customFormat="false" ht="15" hidden="false" customHeight="true" outlineLevel="0" collapsed="false">
      <c r="A299" s="117" t="n">
        <v>19</v>
      </c>
      <c r="B299" s="117" t="n">
        <v>8</v>
      </c>
      <c r="C299" s="7" t="str">
        <f aca="false">IF(OR(Recurring!$B$23="",Recurring!$H$23&lt;&gt;"Yes",Recurring!$D$23=""),"",Recurring!$B$23)</f>
        <v/>
      </c>
      <c r="D299" s="7" t="str">
        <f aca="false">IF($C299="","",Recurring!$C$23)</f>
        <v/>
      </c>
      <c r="E299" s="118" t="str">
        <f aca="false">IF($C299="","",IF(SUMIFS(Overrides!$E$9:$E$108,Overrides!$B$9:$B$108,$C299,Overrides!$C$9:$C$108,$L299)&gt;0,SUMIFS(Overrides!$E$9:$E$108,Overrides!$B$9:$B$108,$C299,Overrides!$C$9:$C$108,$L299),Recurring!$D$23))</f>
        <v/>
      </c>
      <c r="F299" s="119" t="str">
        <f aca="false">IF($C299="","",IF(Recurring!$E$23="Weekly",Recurring!$F$23+7*7,IF(Recurring!$E$23="Every 2 Weeks",Recurring!$F$23+14*7,IF(Recurring!$E$23="Monthly",EDATE(Recurring!$F$23,7),IF(Recurring!$E$23="Twice a Month",IF(MOD((IF(DAY(Recurring!$F$23)&lt;=20,0,1)+7),2)=1,EOMONTH(Recurring!$F$23,INT((IF(DAY(Recurring!$F$23)&lt;=20,0,1)+7)/2)),DATE(YEAR(EDATE(Recurring!$F$23,INT((IF(DAY(Recurring!$F$23)&lt;=20,0,1)+7)/2))),MONTH(EDATE(Recurring!$F$23,INT((IF(DAY(Recurring!$F$23)&lt;=20,0,1)+7)/2))),15)),IF(Recurring!$E$23="One Time",IF(8=1,Recurring!$F$23,""),""))))))</f>
        <v/>
      </c>
      <c r="G299" s="119" t="str">
        <f aca="false">IF($L299="","",IF(SUMIFS(Overrides!$D$9:$D$108,Overrides!$B$9:$B$108,$C299,Overrides!$C$9:$C$108,$L299)&gt;0,SUMIFS(Overrides!$D$9:$D$108,Overrides!$B$9:$B$108,$C299,Overrides!$C$9:$C$108,$L299),$L299))</f>
        <v/>
      </c>
      <c r="H299" s="120" t="n">
        <f aca="false">IF($G299="",0,IF(AND($G299&gt;='Cash Flow'!$E$6,$G299&lt;'Cash Flow'!$E$6+91),1,0))</f>
        <v>0</v>
      </c>
      <c r="I299" s="120" t="str">
        <f aca="false">IF($H299=1,MAX(1,INT(($G299-'Cash Flow'!$E$6)/7)+1),"")</f>
        <v/>
      </c>
      <c r="J299" s="7" t="str">
        <f aca="false">IF($H299=1,$G299*10000+ROW(),"")</f>
        <v/>
      </c>
      <c r="K299" s="7" t="str">
        <f aca="false">IF($H299=1,$I299*1000+COUNTIFS($I$4:$I$483,$I299,$J$4:$J$483,"&lt;"&amp;$J299)+1,"")</f>
        <v/>
      </c>
      <c r="L299" s="121" t="str">
        <f aca="false">IF($F299="","",IF(Recurring!$G$23="Move Before",IF(WEEKDAY($F299,2)=6,$F299-1,IF(WEEKDAY($F299,2)=7,$F299-2,$F299)),IF(Recurring!$G$23="Move After",IF(WEEKDAY($F299,2)=6,$F299+2,IF(WEEKDAY($F299,2)=7,$F299+1,$F299)),$F299)))</f>
        <v/>
      </c>
      <c r="M299" s="0" t="str">
        <f aca="true">IF(AND($H299=1,$D299="Expense",$G299&gt;TODAY(),$E299&gt;=100),$G299*100000+ROW(),"")</f>
        <v/>
      </c>
      <c r="N299" s="0" t="str">
        <f aca="true">IF(AND($H299=1,$D299="Income",$G299&gt;TODAY()),$G299*100000+ROW(),"")</f>
        <v/>
      </c>
    </row>
    <row r="300" customFormat="false" ht="15" hidden="false" customHeight="true" outlineLevel="0" collapsed="false">
      <c r="A300" s="117" t="n">
        <v>19</v>
      </c>
      <c r="B300" s="117" t="n">
        <v>9</v>
      </c>
      <c r="C300" s="7" t="str">
        <f aca="false">IF(OR(Recurring!$B$23="",Recurring!$H$23&lt;&gt;"Yes",Recurring!$D$23=""),"",Recurring!$B$23)</f>
        <v/>
      </c>
      <c r="D300" s="7" t="str">
        <f aca="false">IF($C300="","",Recurring!$C$23)</f>
        <v/>
      </c>
      <c r="E300" s="118" t="str">
        <f aca="false">IF($C300="","",IF(SUMIFS(Overrides!$E$9:$E$108,Overrides!$B$9:$B$108,$C300,Overrides!$C$9:$C$108,$L300)&gt;0,SUMIFS(Overrides!$E$9:$E$108,Overrides!$B$9:$B$108,$C300,Overrides!$C$9:$C$108,$L300),Recurring!$D$23))</f>
        <v/>
      </c>
      <c r="F300" s="119" t="str">
        <f aca="false">IF($C300="","",IF(Recurring!$E$23="Weekly",Recurring!$F$23+7*8,IF(Recurring!$E$23="Every 2 Weeks",Recurring!$F$23+14*8,IF(Recurring!$E$23="Monthly",EDATE(Recurring!$F$23,8),IF(Recurring!$E$23="Twice a Month",IF(MOD((IF(DAY(Recurring!$F$23)&lt;=20,0,1)+8),2)=1,EOMONTH(Recurring!$F$23,INT((IF(DAY(Recurring!$F$23)&lt;=20,0,1)+8)/2)),DATE(YEAR(EDATE(Recurring!$F$23,INT((IF(DAY(Recurring!$F$23)&lt;=20,0,1)+8)/2))),MONTH(EDATE(Recurring!$F$23,INT((IF(DAY(Recurring!$F$23)&lt;=20,0,1)+8)/2))),15)),IF(Recurring!$E$23="One Time",IF(9=1,Recurring!$F$23,""),""))))))</f>
        <v/>
      </c>
      <c r="G300" s="119" t="str">
        <f aca="false">IF($L300="","",IF(SUMIFS(Overrides!$D$9:$D$108,Overrides!$B$9:$B$108,$C300,Overrides!$C$9:$C$108,$L300)&gt;0,SUMIFS(Overrides!$D$9:$D$108,Overrides!$B$9:$B$108,$C300,Overrides!$C$9:$C$108,$L300),$L300))</f>
        <v/>
      </c>
      <c r="H300" s="120" t="n">
        <f aca="false">IF($G300="",0,IF(AND($G300&gt;='Cash Flow'!$E$6,$G300&lt;'Cash Flow'!$E$6+91),1,0))</f>
        <v>0</v>
      </c>
      <c r="I300" s="120" t="str">
        <f aca="false">IF($H300=1,MAX(1,INT(($G300-'Cash Flow'!$E$6)/7)+1),"")</f>
        <v/>
      </c>
      <c r="J300" s="7" t="str">
        <f aca="false">IF($H300=1,$G300*10000+ROW(),"")</f>
        <v/>
      </c>
      <c r="K300" s="7" t="str">
        <f aca="false">IF($H300=1,$I300*1000+COUNTIFS($I$4:$I$483,$I300,$J$4:$J$483,"&lt;"&amp;$J300)+1,"")</f>
        <v/>
      </c>
      <c r="L300" s="121" t="str">
        <f aca="false">IF($F300="","",IF(Recurring!$G$23="Move Before",IF(WEEKDAY($F300,2)=6,$F300-1,IF(WEEKDAY($F300,2)=7,$F300-2,$F300)),IF(Recurring!$G$23="Move After",IF(WEEKDAY($F300,2)=6,$F300+2,IF(WEEKDAY($F300,2)=7,$F300+1,$F300)),$F300)))</f>
        <v/>
      </c>
      <c r="M300" s="0" t="str">
        <f aca="true">IF(AND($H300=1,$D300="Expense",$G300&gt;TODAY(),$E300&gt;=100),$G300*100000+ROW(),"")</f>
        <v/>
      </c>
      <c r="N300" s="0" t="str">
        <f aca="true">IF(AND($H300=1,$D300="Income",$G300&gt;TODAY()),$G300*100000+ROW(),"")</f>
        <v/>
      </c>
    </row>
    <row r="301" customFormat="false" ht="15" hidden="false" customHeight="true" outlineLevel="0" collapsed="false">
      <c r="A301" s="117" t="n">
        <v>19</v>
      </c>
      <c r="B301" s="117" t="n">
        <v>10</v>
      </c>
      <c r="C301" s="7" t="str">
        <f aca="false">IF(OR(Recurring!$B$23="",Recurring!$H$23&lt;&gt;"Yes",Recurring!$D$23=""),"",Recurring!$B$23)</f>
        <v/>
      </c>
      <c r="D301" s="7" t="str">
        <f aca="false">IF($C301="","",Recurring!$C$23)</f>
        <v/>
      </c>
      <c r="E301" s="118" t="str">
        <f aca="false">IF($C301="","",IF(SUMIFS(Overrides!$E$9:$E$108,Overrides!$B$9:$B$108,$C301,Overrides!$C$9:$C$108,$L301)&gt;0,SUMIFS(Overrides!$E$9:$E$108,Overrides!$B$9:$B$108,$C301,Overrides!$C$9:$C$108,$L301),Recurring!$D$23))</f>
        <v/>
      </c>
      <c r="F301" s="119" t="str">
        <f aca="false">IF($C301="","",IF(Recurring!$E$23="Weekly",Recurring!$F$23+7*9,IF(Recurring!$E$23="Every 2 Weeks",Recurring!$F$23+14*9,IF(Recurring!$E$23="Monthly",EDATE(Recurring!$F$23,9),IF(Recurring!$E$23="Twice a Month",IF(MOD((IF(DAY(Recurring!$F$23)&lt;=20,0,1)+9),2)=1,EOMONTH(Recurring!$F$23,INT((IF(DAY(Recurring!$F$23)&lt;=20,0,1)+9)/2)),DATE(YEAR(EDATE(Recurring!$F$23,INT((IF(DAY(Recurring!$F$23)&lt;=20,0,1)+9)/2))),MONTH(EDATE(Recurring!$F$23,INT((IF(DAY(Recurring!$F$23)&lt;=20,0,1)+9)/2))),15)),IF(Recurring!$E$23="One Time",IF(10=1,Recurring!$F$23,""),""))))))</f>
        <v/>
      </c>
      <c r="G301" s="119" t="str">
        <f aca="false">IF($L301="","",IF(SUMIFS(Overrides!$D$9:$D$108,Overrides!$B$9:$B$108,$C301,Overrides!$C$9:$C$108,$L301)&gt;0,SUMIFS(Overrides!$D$9:$D$108,Overrides!$B$9:$B$108,$C301,Overrides!$C$9:$C$108,$L301),$L301))</f>
        <v/>
      </c>
      <c r="H301" s="120" t="n">
        <f aca="false">IF($G301="",0,IF(AND($G301&gt;='Cash Flow'!$E$6,$G301&lt;'Cash Flow'!$E$6+91),1,0))</f>
        <v>0</v>
      </c>
      <c r="I301" s="120" t="str">
        <f aca="false">IF($H301=1,MAX(1,INT(($G301-'Cash Flow'!$E$6)/7)+1),"")</f>
        <v/>
      </c>
      <c r="J301" s="7" t="str">
        <f aca="false">IF($H301=1,$G301*10000+ROW(),"")</f>
        <v/>
      </c>
      <c r="K301" s="7" t="str">
        <f aca="false">IF($H301=1,$I301*1000+COUNTIFS($I$4:$I$483,$I301,$J$4:$J$483,"&lt;"&amp;$J301)+1,"")</f>
        <v/>
      </c>
      <c r="L301" s="121" t="str">
        <f aca="false">IF($F301="","",IF(Recurring!$G$23="Move Before",IF(WEEKDAY($F301,2)=6,$F301-1,IF(WEEKDAY($F301,2)=7,$F301-2,$F301)),IF(Recurring!$G$23="Move After",IF(WEEKDAY($F301,2)=6,$F301+2,IF(WEEKDAY($F301,2)=7,$F301+1,$F301)),$F301)))</f>
        <v/>
      </c>
      <c r="M301" s="0" t="str">
        <f aca="true">IF(AND($H301=1,$D301="Expense",$G301&gt;TODAY(),$E301&gt;=100),$G301*100000+ROW(),"")</f>
        <v/>
      </c>
      <c r="N301" s="0" t="str">
        <f aca="true">IF(AND($H301=1,$D301="Income",$G301&gt;TODAY()),$G301*100000+ROW(),"")</f>
        <v/>
      </c>
    </row>
    <row r="302" customFormat="false" ht="15" hidden="false" customHeight="true" outlineLevel="0" collapsed="false">
      <c r="A302" s="117" t="n">
        <v>19</v>
      </c>
      <c r="B302" s="117" t="n">
        <v>11</v>
      </c>
      <c r="C302" s="7" t="str">
        <f aca="false">IF(OR(Recurring!$B$23="",Recurring!$H$23&lt;&gt;"Yes",Recurring!$D$23=""),"",Recurring!$B$23)</f>
        <v/>
      </c>
      <c r="D302" s="7" t="str">
        <f aca="false">IF($C302="","",Recurring!$C$23)</f>
        <v/>
      </c>
      <c r="E302" s="118" t="str">
        <f aca="false">IF($C302="","",IF(SUMIFS(Overrides!$E$9:$E$108,Overrides!$B$9:$B$108,$C302,Overrides!$C$9:$C$108,$L302)&gt;0,SUMIFS(Overrides!$E$9:$E$108,Overrides!$B$9:$B$108,$C302,Overrides!$C$9:$C$108,$L302),Recurring!$D$23))</f>
        <v/>
      </c>
      <c r="F302" s="119" t="str">
        <f aca="false">IF($C302="","",IF(Recurring!$E$23="Weekly",Recurring!$F$23+7*10,IF(Recurring!$E$23="Every 2 Weeks",Recurring!$F$23+14*10,IF(Recurring!$E$23="Monthly",EDATE(Recurring!$F$23,10),IF(Recurring!$E$23="Twice a Month",IF(MOD((IF(DAY(Recurring!$F$23)&lt;=20,0,1)+10),2)=1,EOMONTH(Recurring!$F$23,INT((IF(DAY(Recurring!$F$23)&lt;=20,0,1)+10)/2)),DATE(YEAR(EDATE(Recurring!$F$23,INT((IF(DAY(Recurring!$F$23)&lt;=20,0,1)+10)/2))),MONTH(EDATE(Recurring!$F$23,INT((IF(DAY(Recurring!$F$23)&lt;=20,0,1)+10)/2))),15)),IF(Recurring!$E$23="One Time",IF(11=1,Recurring!$F$23,""),""))))))</f>
        <v/>
      </c>
      <c r="G302" s="119" t="str">
        <f aca="false">IF($L302="","",IF(SUMIFS(Overrides!$D$9:$D$108,Overrides!$B$9:$B$108,$C302,Overrides!$C$9:$C$108,$L302)&gt;0,SUMIFS(Overrides!$D$9:$D$108,Overrides!$B$9:$B$108,$C302,Overrides!$C$9:$C$108,$L302),$L302))</f>
        <v/>
      </c>
      <c r="H302" s="120" t="n">
        <f aca="false">IF($G302="",0,IF(AND($G302&gt;='Cash Flow'!$E$6,$G302&lt;'Cash Flow'!$E$6+91),1,0))</f>
        <v>0</v>
      </c>
      <c r="I302" s="120" t="str">
        <f aca="false">IF($H302=1,MAX(1,INT(($G302-'Cash Flow'!$E$6)/7)+1),"")</f>
        <v/>
      </c>
      <c r="J302" s="7" t="str">
        <f aca="false">IF($H302=1,$G302*10000+ROW(),"")</f>
        <v/>
      </c>
      <c r="K302" s="7" t="str">
        <f aca="false">IF($H302=1,$I302*1000+COUNTIFS($I$4:$I$483,$I302,$J$4:$J$483,"&lt;"&amp;$J302)+1,"")</f>
        <v/>
      </c>
      <c r="L302" s="121" t="str">
        <f aca="false">IF($F302="","",IF(Recurring!$G$23="Move Before",IF(WEEKDAY($F302,2)=6,$F302-1,IF(WEEKDAY($F302,2)=7,$F302-2,$F302)),IF(Recurring!$G$23="Move After",IF(WEEKDAY($F302,2)=6,$F302+2,IF(WEEKDAY($F302,2)=7,$F302+1,$F302)),$F302)))</f>
        <v/>
      </c>
      <c r="M302" s="0" t="str">
        <f aca="true">IF(AND($H302=1,$D302="Expense",$G302&gt;TODAY(),$E302&gt;=100),$G302*100000+ROW(),"")</f>
        <v/>
      </c>
      <c r="N302" s="0" t="str">
        <f aca="true">IF(AND($H302=1,$D302="Income",$G302&gt;TODAY()),$G302*100000+ROW(),"")</f>
        <v/>
      </c>
    </row>
    <row r="303" customFormat="false" ht="15" hidden="false" customHeight="true" outlineLevel="0" collapsed="false">
      <c r="A303" s="117" t="n">
        <v>19</v>
      </c>
      <c r="B303" s="117" t="n">
        <v>12</v>
      </c>
      <c r="C303" s="7" t="str">
        <f aca="false">IF(OR(Recurring!$B$23="",Recurring!$H$23&lt;&gt;"Yes",Recurring!$D$23=""),"",Recurring!$B$23)</f>
        <v/>
      </c>
      <c r="D303" s="7" t="str">
        <f aca="false">IF($C303="","",Recurring!$C$23)</f>
        <v/>
      </c>
      <c r="E303" s="118" t="str">
        <f aca="false">IF($C303="","",IF(SUMIFS(Overrides!$E$9:$E$108,Overrides!$B$9:$B$108,$C303,Overrides!$C$9:$C$108,$L303)&gt;0,SUMIFS(Overrides!$E$9:$E$108,Overrides!$B$9:$B$108,$C303,Overrides!$C$9:$C$108,$L303),Recurring!$D$23))</f>
        <v/>
      </c>
      <c r="F303" s="119" t="str">
        <f aca="false">IF($C303="","",IF(Recurring!$E$23="Weekly",Recurring!$F$23+7*11,IF(Recurring!$E$23="Every 2 Weeks",Recurring!$F$23+14*11,IF(Recurring!$E$23="Monthly",EDATE(Recurring!$F$23,11),IF(Recurring!$E$23="Twice a Month",IF(MOD((IF(DAY(Recurring!$F$23)&lt;=20,0,1)+11),2)=1,EOMONTH(Recurring!$F$23,INT((IF(DAY(Recurring!$F$23)&lt;=20,0,1)+11)/2)),DATE(YEAR(EDATE(Recurring!$F$23,INT((IF(DAY(Recurring!$F$23)&lt;=20,0,1)+11)/2))),MONTH(EDATE(Recurring!$F$23,INT((IF(DAY(Recurring!$F$23)&lt;=20,0,1)+11)/2))),15)),IF(Recurring!$E$23="One Time",IF(12=1,Recurring!$F$23,""),""))))))</f>
        <v/>
      </c>
      <c r="G303" s="119" t="str">
        <f aca="false">IF($L303="","",IF(SUMIFS(Overrides!$D$9:$D$108,Overrides!$B$9:$B$108,$C303,Overrides!$C$9:$C$108,$L303)&gt;0,SUMIFS(Overrides!$D$9:$D$108,Overrides!$B$9:$B$108,$C303,Overrides!$C$9:$C$108,$L303),$L303))</f>
        <v/>
      </c>
      <c r="H303" s="120" t="n">
        <f aca="false">IF($G303="",0,IF(AND($G303&gt;='Cash Flow'!$E$6,$G303&lt;'Cash Flow'!$E$6+91),1,0))</f>
        <v>0</v>
      </c>
      <c r="I303" s="120" t="str">
        <f aca="false">IF($H303=1,MAX(1,INT(($G303-'Cash Flow'!$E$6)/7)+1),"")</f>
        <v/>
      </c>
      <c r="J303" s="7" t="str">
        <f aca="false">IF($H303=1,$G303*10000+ROW(),"")</f>
        <v/>
      </c>
      <c r="K303" s="7" t="str">
        <f aca="false">IF($H303=1,$I303*1000+COUNTIFS($I$4:$I$483,$I303,$J$4:$J$483,"&lt;"&amp;$J303)+1,"")</f>
        <v/>
      </c>
      <c r="L303" s="121" t="str">
        <f aca="false">IF($F303="","",IF(Recurring!$G$23="Move Before",IF(WEEKDAY($F303,2)=6,$F303-1,IF(WEEKDAY($F303,2)=7,$F303-2,$F303)),IF(Recurring!$G$23="Move After",IF(WEEKDAY($F303,2)=6,$F303+2,IF(WEEKDAY($F303,2)=7,$F303+1,$F303)),$F303)))</f>
        <v/>
      </c>
      <c r="M303" s="0" t="str">
        <f aca="true">IF(AND($H303=1,$D303="Expense",$G303&gt;TODAY(),$E303&gt;=100),$G303*100000+ROW(),"")</f>
        <v/>
      </c>
      <c r="N303" s="0" t="str">
        <f aca="true">IF(AND($H303=1,$D303="Income",$G303&gt;TODAY()),$G303*100000+ROW(),"")</f>
        <v/>
      </c>
    </row>
    <row r="304" customFormat="false" ht="15" hidden="false" customHeight="true" outlineLevel="0" collapsed="false">
      <c r="A304" s="117" t="n">
        <v>19</v>
      </c>
      <c r="B304" s="117" t="n">
        <v>13</v>
      </c>
      <c r="C304" s="7" t="str">
        <f aca="false">IF(OR(Recurring!$B$23="",Recurring!$H$23&lt;&gt;"Yes",Recurring!$D$23=""),"",Recurring!$B$23)</f>
        <v/>
      </c>
      <c r="D304" s="7" t="str">
        <f aca="false">IF($C304="","",Recurring!$C$23)</f>
        <v/>
      </c>
      <c r="E304" s="118" t="str">
        <f aca="false">IF($C304="","",IF(SUMIFS(Overrides!$E$9:$E$108,Overrides!$B$9:$B$108,$C304,Overrides!$C$9:$C$108,$L304)&gt;0,SUMIFS(Overrides!$E$9:$E$108,Overrides!$B$9:$B$108,$C304,Overrides!$C$9:$C$108,$L304),Recurring!$D$23))</f>
        <v/>
      </c>
      <c r="F304" s="119" t="str">
        <f aca="false">IF($C304="","",IF(Recurring!$E$23="Weekly",Recurring!$F$23+7*12,IF(Recurring!$E$23="Every 2 Weeks",Recurring!$F$23+14*12,IF(Recurring!$E$23="Monthly",EDATE(Recurring!$F$23,12),IF(Recurring!$E$23="Twice a Month",IF(MOD((IF(DAY(Recurring!$F$23)&lt;=20,0,1)+12),2)=1,EOMONTH(Recurring!$F$23,INT((IF(DAY(Recurring!$F$23)&lt;=20,0,1)+12)/2)),DATE(YEAR(EDATE(Recurring!$F$23,INT((IF(DAY(Recurring!$F$23)&lt;=20,0,1)+12)/2))),MONTH(EDATE(Recurring!$F$23,INT((IF(DAY(Recurring!$F$23)&lt;=20,0,1)+12)/2))),15)),IF(Recurring!$E$23="One Time",IF(13=1,Recurring!$F$23,""),""))))))</f>
        <v/>
      </c>
      <c r="G304" s="119" t="str">
        <f aca="false">IF($L304="","",IF(SUMIFS(Overrides!$D$9:$D$108,Overrides!$B$9:$B$108,$C304,Overrides!$C$9:$C$108,$L304)&gt;0,SUMIFS(Overrides!$D$9:$D$108,Overrides!$B$9:$B$108,$C304,Overrides!$C$9:$C$108,$L304),$L304))</f>
        <v/>
      </c>
      <c r="H304" s="120" t="n">
        <f aca="false">IF($G304="",0,IF(AND($G304&gt;='Cash Flow'!$E$6,$G304&lt;'Cash Flow'!$E$6+91),1,0))</f>
        <v>0</v>
      </c>
      <c r="I304" s="120" t="str">
        <f aca="false">IF($H304=1,MAX(1,INT(($G304-'Cash Flow'!$E$6)/7)+1),"")</f>
        <v/>
      </c>
      <c r="J304" s="7" t="str">
        <f aca="false">IF($H304=1,$G304*10000+ROW(),"")</f>
        <v/>
      </c>
      <c r="K304" s="7" t="str">
        <f aca="false">IF($H304=1,$I304*1000+COUNTIFS($I$4:$I$483,$I304,$J$4:$J$483,"&lt;"&amp;$J304)+1,"")</f>
        <v/>
      </c>
      <c r="L304" s="121" t="str">
        <f aca="false">IF($F304="","",IF(Recurring!$G$23="Move Before",IF(WEEKDAY($F304,2)=6,$F304-1,IF(WEEKDAY($F304,2)=7,$F304-2,$F304)),IF(Recurring!$G$23="Move After",IF(WEEKDAY($F304,2)=6,$F304+2,IF(WEEKDAY($F304,2)=7,$F304+1,$F304)),$F304)))</f>
        <v/>
      </c>
      <c r="M304" s="0" t="str">
        <f aca="true">IF(AND($H304=1,$D304="Expense",$G304&gt;TODAY(),$E304&gt;=100),$G304*100000+ROW(),"")</f>
        <v/>
      </c>
      <c r="N304" s="0" t="str">
        <f aca="true">IF(AND($H304=1,$D304="Income",$G304&gt;TODAY()),$G304*100000+ROW(),"")</f>
        <v/>
      </c>
    </row>
    <row r="305" customFormat="false" ht="15" hidden="false" customHeight="true" outlineLevel="0" collapsed="false">
      <c r="A305" s="117" t="n">
        <v>19</v>
      </c>
      <c r="B305" s="117" t="n">
        <v>14</v>
      </c>
      <c r="C305" s="7" t="str">
        <f aca="false">IF(OR(Recurring!$B$23="",Recurring!$H$23&lt;&gt;"Yes",Recurring!$D$23=""),"",Recurring!$B$23)</f>
        <v/>
      </c>
      <c r="D305" s="7" t="str">
        <f aca="false">IF($C305="","",Recurring!$C$23)</f>
        <v/>
      </c>
      <c r="E305" s="118" t="str">
        <f aca="false">IF($C305="","",IF(SUMIFS(Overrides!$E$9:$E$108,Overrides!$B$9:$B$108,$C305,Overrides!$C$9:$C$108,$L305)&gt;0,SUMIFS(Overrides!$E$9:$E$108,Overrides!$B$9:$B$108,$C305,Overrides!$C$9:$C$108,$L305),Recurring!$D$23))</f>
        <v/>
      </c>
      <c r="F305" s="119" t="str">
        <f aca="false">IF($C305="","",IF(Recurring!$E$23="Weekly",Recurring!$F$23+7*13,IF(Recurring!$E$23="Every 2 Weeks",Recurring!$F$23+14*13,IF(Recurring!$E$23="Monthly",EDATE(Recurring!$F$23,13),IF(Recurring!$E$23="Twice a Month",IF(MOD((IF(DAY(Recurring!$F$23)&lt;=20,0,1)+13),2)=1,EOMONTH(Recurring!$F$23,INT((IF(DAY(Recurring!$F$23)&lt;=20,0,1)+13)/2)),DATE(YEAR(EDATE(Recurring!$F$23,INT((IF(DAY(Recurring!$F$23)&lt;=20,0,1)+13)/2))),MONTH(EDATE(Recurring!$F$23,INT((IF(DAY(Recurring!$F$23)&lt;=20,0,1)+13)/2))),15)),IF(Recurring!$E$23="One Time",IF(14=1,Recurring!$F$23,""),""))))))</f>
        <v/>
      </c>
      <c r="G305" s="119" t="str">
        <f aca="false">IF($L305="","",IF(SUMIFS(Overrides!$D$9:$D$108,Overrides!$B$9:$B$108,$C305,Overrides!$C$9:$C$108,$L305)&gt;0,SUMIFS(Overrides!$D$9:$D$108,Overrides!$B$9:$B$108,$C305,Overrides!$C$9:$C$108,$L305),$L305))</f>
        <v/>
      </c>
      <c r="H305" s="120" t="n">
        <f aca="false">IF($G305="",0,IF(AND($G305&gt;='Cash Flow'!$E$6,$G305&lt;'Cash Flow'!$E$6+91),1,0))</f>
        <v>0</v>
      </c>
      <c r="I305" s="120" t="str">
        <f aca="false">IF($H305=1,MAX(1,INT(($G305-'Cash Flow'!$E$6)/7)+1),"")</f>
        <v/>
      </c>
      <c r="J305" s="7" t="str">
        <f aca="false">IF($H305=1,$G305*10000+ROW(),"")</f>
        <v/>
      </c>
      <c r="K305" s="7" t="str">
        <f aca="false">IF($H305=1,$I305*1000+COUNTIFS($I$4:$I$483,$I305,$J$4:$J$483,"&lt;"&amp;$J305)+1,"")</f>
        <v/>
      </c>
      <c r="L305" s="121" t="str">
        <f aca="false">IF($F305="","",IF(Recurring!$G$23="Move Before",IF(WEEKDAY($F305,2)=6,$F305-1,IF(WEEKDAY($F305,2)=7,$F305-2,$F305)),IF(Recurring!$G$23="Move After",IF(WEEKDAY($F305,2)=6,$F305+2,IF(WEEKDAY($F305,2)=7,$F305+1,$F305)),$F305)))</f>
        <v/>
      </c>
      <c r="M305" s="0" t="str">
        <f aca="true">IF(AND($H305=1,$D305="Expense",$G305&gt;TODAY(),$E305&gt;=100),$G305*100000+ROW(),"")</f>
        <v/>
      </c>
      <c r="N305" s="0" t="str">
        <f aca="true">IF(AND($H305=1,$D305="Income",$G305&gt;TODAY()),$G305*100000+ROW(),"")</f>
        <v/>
      </c>
    </row>
    <row r="306" customFormat="false" ht="15" hidden="false" customHeight="true" outlineLevel="0" collapsed="false">
      <c r="A306" s="117" t="n">
        <v>19</v>
      </c>
      <c r="B306" s="117" t="n">
        <v>15</v>
      </c>
      <c r="C306" s="7" t="str">
        <f aca="false">IF(OR(Recurring!$B$23="",Recurring!$H$23&lt;&gt;"Yes",Recurring!$D$23=""),"",Recurring!$B$23)</f>
        <v/>
      </c>
      <c r="D306" s="7" t="str">
        <f aca="false">IF($C306="","",Recurring!$C$23)</f>
        <v/>
      </c>
      <c r="E306" s="118" t="str">
        <f aca="false">IF($C306="","",IF(SUMIFS(Overrides!$E$9:$E$108,Overrides!$B$9:$B$108,$C306,Overrides!$C$9:$C$108,$L306)&gt;0,SUMIFS(Overrides!$E$9:$E$108,Overrides!$B$9:$B$108,$C306,Overrides!$C$9:$C$108,$L306),Recurring!$D$23))</f>
        <v/>
      </c>
      <c r="F306" s="119" t="str">
        <f aca="false">IF($C306="","",IF(Recurring!$E$23="Weekly",Recurring!$F$23+7*14,IF(Recurring!$E$23="Every 2 Weeks",Recurring!$F$23+14*14,IF(Recurring!$E$23="Monthly",EDATE(Recurring!$F$23,14),IF(Recurring!$E$23="Twice a Month",IF(MOD((IF(DAY(Recurring!$F$23)&lt;=20,0,1)+14),2)=1,EOMONTH(Recurring!$F$23,INT((IF(DAY(Recurring!$F$23)&lt;=20,0,1)+14)/2)),DATE(YEAR(EDATE(Recurring!$F$23,INT((IF(DAY(Recurring!$F$23)&lt;=20,0,1)+14)/2))),MONTH(EDATE(Recurring!$F$23,INT((IF(DAY(Recurring!$F$23)&lt;=20,0,1)+14)/2))),15)),IF(Recurring!$E$23="One Time",IF(15=1,Recurring!$F$23,""),""))))))</f>
        <v/>
      </c>
      <c r="G306" s="119" t="str">
        <f aca="false">IF($L306="","",IF(SUMIFS(Overrides!$D$9:$D$108,Overrides!$B$9:$B$108,$C306,Overrides!$C$9:$C$108,$L306)&gt;0,SUMIFS(Overrides!$D$9:$D$108,Overrides!$B$9:$B$108,$C306,Overrides!$C$9:$C$108,$L306),$L306))</f>
        <v/>
      </c>
      <c r="H306" s="120" t="n">
        <f aca="false">IF($G306="",0,IF(AND($G306&gt;='Cash Flow'!$E$6,$G306&lt;'Cash Flow'!$E$6+91),1,0))</f>
        <v>0</v>
      </c>
      <c r="I306" s="120" t="str">
        <f aca="false">IF($H306=1,MAX(1,INT(($G306-'Cash Flow'!$E$6)/7)+1),"")</f>
        <v/>
      </c>
      <c r="J306" s="7" t="str">
        <f aca="false">IF($H306=1,$G306*10000+ROW(),"")</f>
        <v/>
      </c>
      <c r="K306" s="7" t="str">
        <f aca="false">IF($H306=1,$I306*1000+COUNTIFS($I$4:$I$483,$I306,$J$4:$J$483,"&lt;"&amp;$J306)+1,"")</f>
        <v/>
      </c>
      <c r="L306" s="121" t="str">
        <f aca="false">IF($F306="","",IF(Recurring!$G$23="Move Before",IF(WEEKDAY($F306,2)=6,$F306-1,IF(WEEKDAY($F306,2)=7,$F306-2,$F306)),IF(Recurring!$G$23="Move After",IF(WEEKDAY($F306,2)=6,$F306+2,IF(WEEKDAY($F306,2)=7,$F306+1,$F306)),$F306)))</f>
        <v/>
      </c>
      <c r="M306" s="0" t="str">
        <f aca="true">IF(AND($H306=1,$D306="Expense",$G306&gt;TODAY(),$E306&gt;=100),$G306*100000+ROW(),"")</f>
        <v/>
      </c>
      <c r="N306" s="0" t="str">
        <f aca="true">IF(AND($H306=1,$D306="Income",$G306&gt;TODAY()),$G306*100000+ROW(),"")</f>
        <v/>
      </c>
    </row>
    <row r="307" customFormat="false" ht="15" hidden="false" customHeight="true" outlineLevel="0" collapsed="false">
      <c r="A307" s="117" t="n">
        <v>19</v>
      </c>
      <c r="B307" s="117" t="n">
        <v>16</v>
      </c>
      <c r="C307" s="7" t="str">
        <f aca="false">IF(OR(Recurring!$B$23="",Recurring!$H$23&lt;&gt;"Yes",Recurring!$D$23=""),"",Recurring!$B$23)</f>
        <v/>
      </c>
      <c r="D307" s="7" t="str">
        <f aca="false">IF($C307="","",Recurring!$C$23)</f>
        <v/>
      </c>
      <c r="E307" s="118" t="str">
        <f aca="false">IF($C307="","",IF(SUMIFS(Overrides!$E$9:$E$108,Overrides!$B$9:$B$108,$C307,Overrides!$C$9:$C$108,$L307)&gt;0,SUMIFS(Overrides!$E$9:$E$108,Overrides!$B$9:$B$108,$C307,Overrides!$C$9:$C$108,$L307),Recurring!$D$23))</f>
        <v/>
      </c>
      <c r="F307" s="119" t="str">
        <f aca="false">IF($C307="","",IF(Recurring!$E$23="Weekly",Recurring!$F$23+7*15,IF(Recurring!$E$23="Every 2 Weeks",Recurring!$F$23+14*15,IF(Recurring!$E$23="Monthly",EDATE(Recurring!$F$23,15),IF(Recurring!$E$23="Twice a Month",IF(MOD((IF(DAY(Recurring!$F$23)&lt;=20,0,1)+15),2)=1,EOMONTH(Recurring!$F$23,INT((IF(DAY(Recurring!$F$23)&lt;=20,0,1)+15)/2)),DATE(YEAR(EDATE(Recurring!$F$23,INT((IF(DAY(Recurring!$F$23)&lt;=20,0,1)+15)/2))),MONTH(EDATE(Recurring!$F$23,INT((IF(DAY(Recurring!$F$23)&lt;=20,0,1)+15)/2))),15)),IF(Recurring!$E$23="One Time",IF(16=1,Recurring!$F$23,""),""))))))</f>
        <v/>
      </c>
      <c r="G307" s="119" t="str">
        <f aca="false">IF($L307="","",IF(SUMIFS(Overrides!$D$9:$D$108,Overrides!$B$9:$B$108,$C307,Overrides!$C$9:$C$108,$L307)&gt;0,SUMIFS(Overrides!$D$9:$D$108,Overrides!$B$9:$B$108,$C307,Overrides!$C$9:$C$108,$L307),$L307))</f>
        <v/>
      </c>
      <c r="H307" s="120" t="n">
        <f aca="false">IF($G307="",0,IF(AND($G307&gt;='Cash Flow'!$E$6,$G307&lt;'Cash Flow'!$E$6+91),1,0))</f>
        <v>0</v>
      </c>
      <c r="I307" s="120" t="str">
        <f aca="false">IF($H307=1,MAX(1,INT(($G307-'Cash Flow'!$E$6)/7)+1),"")</f>
        <v/>
      </c>
      <c r="J307" s="7" t="str">
        <f aca="false">IF($H307=1,$G307*10000+ROW(),"")</f>
        <v/>
      </c>
      <c r="K307" s="7" t="str">
        <f aca="false">IF($H307=1,$I307*1000+COUNTIFS($I$4:$I$483,$I307,$J$4:$J$483,"&lt;"&amp;$J307)+1,"")</f>
        <v/>
      </c>
      <c r="L307" s="121" t="str">
        <f aca="false">IF($F307="","",IF(Recurring!$G$23="Move Before",IF(WEEKDAY($F307,2)=6,$F307-1,IF(WEEKDAY($F307,2)=7,$F307-2,$F307)),IF(Recurring!$G$23="Move After",IF(WEEKDAY($F307,2)=6,$F307+2,IF(WEEKDAY($F307,2)=7,$F307+1,$F307)),$F307)))</f>
        <v/>
      </c>
      <c r="M307" s="0" t="str">
        <f aca="true">IF(AND($H307=1,$D307="Expense",$G307&gt;TODAY(),$E307&gt;=100),$G307*100000+ROW(),"")</f>
        <v/>
      </c>
      <c r="N307" s="0" t="str">
        <f aca="true">IF(AND($H307=1,$D307="Income",$G307&gt;TODAY()),$G307*100000+ROW(),"")</f>
        <v/>
      </c>
    </row>
    <row r="308" customFormat="false" ht="15" hidden="false" customHeight="true" outlineLevel="0" collapsed="false">
      <c r="A308" s="117" t="n">
        <v>20</v>
      </c>
      <c r="B308" s="117" t="n">
        <v>1</v>
      </c>
      <c r="C308" s="7" t="str">
        <f aca="false">IF(OR(Recurring!$B$24="",Recurring!$H$24&lt;&gt;"Yes",Recurring!$D$24=""),"",Recurring!$B$24)</f>
        <v/>
      </c>
      <c r="D308" s="7" t="str">
        <f aca="false">IF($C308="","",Recurring!$C$24)</f>
        <v/>
      </c>
      <c r="E308" s="118" t="str">
        <f aca="false">IF($C308="","",IF(SUMIFS(Overrides!$E$9:$E$108,Overrides!$B$9:$B$108,$C308,Overrides!$C$9:$C$108,$L308)&gt;0,SUMIFS(Overrides!$E$9:$E$108,Overrides!$B$9:$B$108,$C308,Overrides!$C$9:$C$108,$L308),Recurring!$D$24))</f>
        <v/>
      </c>
      <c r="F308" s="119" t="str">
        <f aca="false">IF($C308="","",IF(Recurring!$E$24="Weekly",Recurring!$F$24+7*0,IF(Recurring!$E$24="Every 2 Weeks",Recurring!$F$24+14*0,IF(Recurring!$E$24="Monthly",EDATE(Recurring!$F$24,0),IF(Recurring!$E$24="Twice a Month",IF(MOD((IF(DAY(Recurring!$F$24)&lt;=20,0,1)+0),2)=1,EOMONTH(Recurring!$F$24,INT((IF(DAY(Recurring!$F$24)&lt;=20,0,1)+0)/2)),DATE(YEAR(EDATE(Recurring!$F$24,INT((IF(DAY(Recurring!$F$24)&lt;=20,0,1)+0)/2))),MONTH(EDATE(Recurring!$F$24,INT((IF(DAY(Recurring!$F$24)&lt;=20,0,1)+0)/2))),15)),IF(Recurring!$E$24="One Time",IF(1=1,Recurring!$F$24,""),""))))))</f>
        <v/>
      </c>
      <c r="G308" s="119" t="str">
        <f aca="false">IF($L308="","",IF(SUMIFS(Overrides!$D$9:$D$108,Overrides!$B$9:$B$108,$C308,Overrides!$C$9:$C$108,$L308)&gt;0,SUMIFS(Overrides!$D$9:$D$108,Overrides!$B$9:$B$108,$C308,Overrides!$C$9:$C$108,$L308),$L308))</f>
        <v/>
      </c>
      <c r="H308" s="120" t="n">
        <f aca="false">IF($G308="",0,IF(AND($G308&gt;='Cash Flow'!$E$6-90,$G308&lt;'Cash Flow'!$E$6+91),1,0))</f>
        <v>0</v>
      </c>
      <c r="I308" s="120" t="str">
        <f aca="false">IF($H308=1,MAX(1,INT(($G308-'Cash Flow'!$E$6)/7)+1),"")</f>
        <v/>
      </c>
      <c r="J308" s="7" t="str">
        <f aca="false">IF($H308=1,$G308*10000+ROW(),"")</f>
        <v/>
      </c>
      <c r="K308" s="7" t="str">
        <f aca="false">IF($H308=1,$I308*1000+COUNTIFS($I$4:$I$483,$I308,$J$4:$J$483,"&lt;"&amp;$J308)+1,"")</f>
        <v/>
      </c>
      <c r="L308" s="121" t="str">
        <f aca="false">IF($F308="","",IF(Recurring!$G$24="Move Before",IF(WEEKDAY($F308,2)=6,$F308-1,IF(WEEKDAY($F308,2)=7,$F308-2,$F308)),IF(Recurring!$G$24="Move After",IF(WEEKDAY($F308,2)=6,$F308+2,IF(WEEKDAY($F308,2)=7,$F308+1,$F308)),$F308)))</f>
        <v/>
      </c>
      <c r="M308" s="0" t="str">
        <f aca="true">IF(AND($H308=1,$D308="Expense",$G308&gt;TODAY(),$E308&gt;=100),$G308*100000+ROW(),"")</f>
        <v/>
      </c>
      <c r="N308" s="0" t="str">
        <f aca="true">IF(AND($H308=1,$D308="Income",$G308&gt;TODAY()),$G308*100000+ROW(),"")</f>
        <v/>
      </c>
    </row>
    <row r="309" customFormat="false" ht="15" hidden="false" customHeight="true" outlineLevel="0" collapsed="false">
      <c r="A309" s="117" t="n">
        <v>20</v>
      </c>
      <c r="B309" s="117" t="n">
        <v>2</v>
      </c>
      <c r="C309" s="7" t="str">
        <f aca="false">IF(OR(Recurring!$B$24="",Recurring!$H$24&lt;&gt;"Yes",Recurring!$D$24=""),"",Recurring!$B$24)</f>
        <v/>
      </c>
      <c r="D309" s="7" t="str">
        <f aca="false">IF($C309="","",Recurring!$C$24)</f>
        <v/>
      </c>
      <c r="E309" s="118" t="str">
        <f aca="false">IF($C309="","",IF(SUMIFS(Overrides!$E$9:$E$108,Overrides!$B$9:$B$108,$C309,Overrides!$C$9:$C$108,$L309)&gt;0,SUMIFS(Overrides!$E$9:$E$108,Overrides!$B$9:$B$108,$C309,Overrides!$C$9:$C$108,$L309),Recurring!$D$24))</f>
        <v/>
      </c>
      <c r="F309" s="119" t="str">
        <f aca="false">IF($C309="","",IF(Recurring!$E$24="Weekly",Recurring!$F$24+7*1,IF(Recurring!$E$24="Every 2 Weeks",Recurring!$F$24+14*1,IF(Recurring!$E$24="Monthly",EDATE(Recurring!$F$24,1),IF(Recurring!$E$24="Twice a Month",IF(MOD((IF(DAY(Recurring!$F$24)&lt;=20,0,1)+1),2)=1,EOMONTH(Recurring!$F$24,INT((IF(DAY(Recurring!$F$24)&lt;=20,0,1)+1)/2)),DATE(YEAR(EDATE(Recurring!$F$24,INT((IF(DAY(Recurring!$F$24)&lt;=20,0,1)+1)/2))),MONTH(EDATE(Recurring!$F$24,INT((IF(DAY(Recurring!$F$24)&lt;=20,0,1)+1)/2))),15)),IF(Recurring!$E$24="One Time",IF(2=1,Recurring!$F$24,""),""))))))</f>
        <v/>
      </c>
      <c r="G309" s="119" t="str">
        <f aca="false">IF($L309="","",IF(SUMIFS(Overrides!$D$9:$D$108,Overrides!$B$9:$B$108,$C309,Overrides!$C$9:$C$108,$L309)&gt;0,SUMIFS(Overrides!$D$9:$D$108,Overrides!$B$9:$B$108,$C309,Overrides!$C$9:$C$108,$L309),$L309))</f>
        <v/>
      </c>
      <c r="H309" s="120" t="n">
        <f aca="false">IF($G309="",0,IF(AND($G309&gt;='Cash Flow'!$E$6,$G309&lt;'Cash Flow'!$E$6+91),1,0))</f>
        <v>0</v>
      </c>
      <c r="I309" s="120" t="str">
        <f aca="false">IF($H309=1,MAX(1,INT(($G309-'Cash Flow'!$E$6)/7)+1),"")</f>
        <v/>
      </c>
      <c r="J309" s="7" t="str">
        <f aca="false">IF($H309=1,$G309*10000+ROW(),"")</f>
        <v/>
      </c>
      <c r="K309" s="7" t="str">
        <f aca="false">IF($H309=1,$I309*1000+COUNTIFS($I$4:$I$483,$I309,$J$4:$J$483,"&lt;"&amp;$J309)+1,"")</f>
        <v/>
      </c>
      <c r="L309" s="121" t="str">
        <f aca="false">IF($F309="","",IF(Recurring!$G$24="Move Before",IF(WEEKDAY($F309,2)=6,$F309-1,IF(WEEKDAY($F309,2)=7,$F309-2,$F309)),IF(Recurring!$G$24="Move After",IF(WEEKDAY($F309,2)=6,$F309+2,IF(WEEKDAY($F309,2)=7,$F309+1,$F309)),$F309)))</f>
        <v/>
      </c>
      <c r="M309" s="0" t="str">
        <f aca="true">IF(AND($H309=1,$D309="Expense",$G309&gt;TODAY(),$E309&gt;=100),$G309*100000+ROW(),"")</f>
        <v/>
      </c>
      <c r="N309" s="0" t="str">
        <f aca="true">IF(AND($H309=1,$D309="Income",$G309&gt;TODAY()),$G309*100000+ROW(),"")</f>
        <v/>
      </c>
    </row>
    <row r="310" customFormat="false" ht="15" hidden="false" customHeight="true" outlineLevel="0" collapsed="false">
      <c r="A310" s="117" t="n">
        <v>20</v>
      </c>
      <c r="B310" s="117" t="n">
        <v>3</v>
      </c>
      <c r="C310" s="7" t="str">
        <f aca="false">IF(OR(Recurring!$B$24="",Recurring!$H$24&lt;&gt;"Yes",Recurring!$D$24=""),"",Recurring!$B$24)</f>
        <v/>
      </c>
      <c r="D310" s="7" t="str">
        <f aca="false">IF($C310="","",Recurring!$C$24)</f>
        <v/>
      </c>
      <c r="E310" s="118" t="str">
        <f aca="false">IF($C310="","",IF(SUMIFS(Overrides!$E$9:$E$108,Overrides!$B$9:$B$108,$C310,Overrides!$C$9:$C$108,$L310)&gt;0,SUMIFS(Overrides!$E$9:$E$108,Overrides!$B$9:$B$108,$C310,Overrides!$C$9:$C$108,$L310),Recurring!$D$24))</f>
        <v/>
      </c>
      <c r="F310" s="119" t="str">
        <f aca="false">IF($C310="","",IF(Recurring!$E$24="Weekly",Recurring!$F$24+7*2,IF(Recurring!$E$24="Every 2 Weeks",Recurring!$F$24+14*2,IF(Recurring!$E$24="Monthly",EDATE(Recurring!$F$24,2),IF(Recurring!$E$24="Twice a Month",IF(MOD((IF(DAY(Recurring!$F$24)&lt;=20,0,1)+2),2)=1,EOMONTH(Recurring!$F$24,INT((IF(DAY(Recurring!$F$24)&lt;=20,0,1)+2)/2)),DATE(YEAR(EDATE(Recurring!$F$24,INT((IF(DAY(Recurring!$F$24)&lt;=20,0,1)+2)/2))),MONTH(EDATE(Recurring!$F$24,INT((IF(DAY(Recurring!$F$24)&lt;=20,0,1)+2)/2))),15)),IF(Recurring!$E$24="One Time",IF(3=1,Recurring!$F$24,""),""))))))</f>
        <v/>
      </c>
      <c r="G310" s="119" t="str">
        <f aca="false">IF($L310="","",IF(SUMIFS(Overrides!$D$9:$D$108,Overrides!$B$9:$B$108,$C310,Overrides!$C$9:$C$108,$L310)&gt;0,SUMIFS(Overrides!$D$9:$D$108,Overrides!$B$9:$B$108,$C310,Overrides!$C$9:$C$108,$L310),$L310))</f>
        <v/>
      </c>
      <c r="H310" s="120" t="n">
        <f aca="false">IF($G310="",0,IF(AND($G310&gt;='Cash Flow'!$E$6,$G310&lt;'Cash Flow'!$E$6+91),1,0))</f>
        <v>0</v>
      </c>
      <c r="I310" s="120" t="str">
        <f aca="false">IF($H310=1,MAX(1,INT(($G310-'Cash Flow'!$E$6)/7)+1),"")</f>
        <v/>
      </c>
      <c r="J310" s="7" t="str">
        <f aca="false">IF($H310=1,$G310*10000+ROW(),"")</f>
        <v/>
      </c>
      <c r="K310" s="7" t="str">
        <f aca="false">IF($H310=1,$I310*1000+COUNTIFS($I$4:$I$483,$I310,$J$4:$J$483,"&lt;"&amp;$J310)+1,"")</f>
        <v/>
      </c>
      <c r="L310" s="121" t="str">
        <f aca="false">IF($F310="","",IF(Recurring!$G$24="Move Before",IF(WEEKDAY($F310,2)=6,$F310-1,IF(WEEKDAY($F310,2)=7,$F310-2,$F310)),IF(Recurring!$G$24="Move After",IF(WEEKDAY($F310,2)=6,$F310+2,IF(WEEKDAY($F310,2)=7,$F310+1,$F310)),$F310)))</f>
        <v/>
      </c>
      <c r="M310" s="0" t="str">
        <f aca="true">IF(AND($H310=1,$D310="Expense",$G310&gt;TODAY(),$E310&gt;=100),$G310*100000+ROW(),"")</f>
        <v/>
      </c>
      <c r="N310" s="0" t="str">
        <f aca="true">IF(AND($H310=1,$D310="Income",$G310&gt;TODAY()),$G310*100000+ROW(),"")</f>
        <v/>
      </c>
    </row>
    <row r="311" customFormat="false" ht="15" hidden="false" customHeight="true" outlineLevel="0" collapsed="false">
      <c r="A311" s="117" t="n">
        <v>20</v>
      </c>
      <c r="B311" s="117" t="n">
        <v>4</v>
      </c>
      <c r="C311" s="7" t="str">
        <f aca="false">IF(OR(Recurring!$B$24="",Recurring!$H$24&lt;&gt;"Yes",Recurring!$D$24=""),"",Recurring!$B$24)</f>
        <v/>
      </c>
      <c r="D311" s="7" t="str">
        <f aca="false">IF($C311="","",Recurring!$C$24)</f>
        <v/>
      </c>
      <c r="E311" s="118" t="str">
        <f aca="false">IF($C311="","",IF(SUMIFS(Overrides!$E$9:$E$108,Overrides!$B$9:$B$108,$C311,Overrides!$C$9:$C$108,$L311)&gt;0,SUMIFS(Overrides!$E$9:$E$108,Overrides!$B$9:$B$108,$C311,Overrides!$C$9:$C$108,$L311),Recurring!$D$24))</f>
        <v/>
      </c>
      <c r="F311" s="119" t="str">
        <f aca="false">IF($C311="","",IF(Recurring!$E$24="Weekly",Recurring!$F$24+7*3,IF(Recurring!$E$24="Every 2 Weeks",Recurring!$F$24+14*3,IF(Recurring!$E$24="Monthly",EDATE(Recurring!$F$24,3),IF(Recurring!$E$24="Twice a Month",IF(MOD((IF(DAY(Recurring!$F$24)&lt;=20,0,1)+3),2)=1,EOMONTH(Recurring!$F$24,INT((IF(DAY(Recurring!$F$24)&lt;=20,0,1)+3)/2)),DATE(YEAR(EDATE(Recurring!$F$24,INT((IF(DAY(Recurring!$F$24)&lt;=20,0,1)+3)/2))),MONTH(EDATE(Recurring!$F$24,INT((IF(DAY(Recurring!$F$24)&lt;=20,0,1)+3)/2))),15)),IF(Recurring!$E$24="One Time",IF(4=1,Recurring!$F$24,""),""))))))</f>
        <v/>
      </c>
      <c r="G311" s="119" t="str">
        <f aca="false">IF($L311="","",IF(SUMIFS(Overrides!$D$9:$D$108,Overrides!$B$9:$B$108,$C311,Overrides!$C$9:$C$108,$L311)&gt;0,SUMIFS(Overrides!$D$9:$D$108,Overrides!$B$9:$B$108,$C311,Overrides!$C$9:$C$108,$L311),$L311))</f>
        <v/>
      </c>
      <c r="H311" s="120" t="n">
        <f aca="false">IF($G311="",0,IF(AND($G311&gt;='Cash Flow'!$E$6,$G311&lt;'Cash Flow'!$E$6+91),1,0))</f>
        <v>0</v>
      </c>
      <c r="I311" s="120" t="str">
        <f aca="false">IF($H311=1,MAX(1,INT(($G311-'Cash Flow'!$E$6)/7)+1),"")</f>
        <v/>
      </c>
      <c r="J311" s="7" t="str">
        <f aca="false">IF($H311=1,$G311*10000+ROW(),"")</f>
        <v/>
      </c>
      <c r="K311" s="7" t="str">
        <f aca="false">IF($H311=1,$I311*1000+COUNTIFS($I$4:$I$483,$I311,$J$4:$J$483,"&lt;"&amp;$J311)+1,"")</f>
        <v/>
      </c>
      <c r="L311" s="121" t="str">
        <f aca="false">IF($F311="","",IF(Recurring!$G$24="Move Before",IF(WEEKDAY($F311,2)=6,$F311-1,IF(WEEKDAY($F311,2)=7,$F311-2,$F311)),IF(Recurring!$G$24="Move After",IF(WEEKDAY($F311,2)=6,$F311+2,IF(WEEKDAY($F311,2)=7,$F311+1,$F311)),$F311)))</f>
        <v/>
      </c>
      <c r="M311" s="0" t="str">
        <f aca="true">IF(AND($H311=1,$D311="Expense",$G311&gt;TODAY(),$E311&gt;=100),$G311*100000+ROW(),"")</f>
        <v/>
      </c>
      <c r="N311" s="0" t="str">
        <f aca="true">IF(AND($H311=1,$D311="Income",$G311&gt;TODAY()),$G311*100000+ROW(),"")</f>
        <v/>
      </c>
    </row>
    <row r="312" customFormat="false" ht="15" hidden="false" customHeight="true" outlineLevel="0" collapsed="false">
      <c r="A312" s="117" t="n">
        <v>20</v>
      </c>
      <c r="B312" s="117" t="n">
        <v>5</v>
      </c>
      <c r="C312" s="7" t="str">
        <f aca="false">IF(OR(Recurring!$B$24="",Recurring!$H$24&lt;&gt;"Yes",Recurring!$D$24=""),"",Recurring!$B$24)</f>
        <v/>
      </c>
      <c r="D312" s="7" t="str">
        <f aca="false">IF($C312="","",Recurring!$C$24)</f>
        <v/>
      </c>
      <c r="E312" s="118" t="str">
        <f aca="false">IF($C312="","",IF(SUMIFS(Overrides!$E$9:$E$108,Overrides!$B$9:$B$108,$C312,Overrides!$C$9:$C$108,$L312)&gt;0,SUMIFS(Overrides!$E$9:$E$108,Overrides!$B$9:$B$108,$C312,Overrides!$C$9:$C$108,$L312),Recurring!$D$24))</f>
        <v/>
      </c>
      <c r="F312" s="119" t="str">
        <f aca="false">IF($C312="","",IF(Recurring!$E$24="Weekly",Recurring!$F$24+7*4,IF(Recurring!$E$24="Every 2 Weeks",Recurring!$F$24+14*4,IF(Recurring!$E$24="Monthly",EDATE(Recurring!$F$24,4),IF(Recurring!$E$24="Twice a Month",IF(MOD((IF(DAY(Recurring!$F$24)&lt;=20,0,1)+4),2)=1,EOMONTH(Recurring!$F$24,INT((IF(DAY(Recurring!$F$24)&lt;=20,0,1)+4)/2)),DATE(YEAR(EDATE(Recurring!$F$24,INT((IF(DAY(Recurring!$F$24)&lt;=20,0,1)+4)/2))),MONTH(EDATE(Recurring!$F$24,INT((IF(DAY(Recurring!$F$24)&lt;=20,0,1)+4)/2))),15)),IF(Recurring!$E$24="One Time",IF(5=1,Recurring!$F$24,""),""))))))</f>
        <v/>
      </c>
      <c r="G312" s="119" t="str">
        <f aca="false">IF($L312="","",IF(SUMIFS(Overrides!$D$9:$D$108,Overrides!$B$9:$B$108,$C312,Overrides!$C$9:$C$108,$L312)&gt;0,SUMIFS(Overrides!$D$9:$D$108,Overrides!$B$9:$B$108,$C312,Overrides!$C$9:$C$108,$L312),$L312))</f>
        <v/>
      </c>
      <c r="H312" s="120" t="n">
        <f aca="false">IF($G312="",0,IF(AND($G312&gt;='Cash Flow'!$E$6,$G312&lt;'Cash Flow'!$E$6+91),1,0))</f>
        <v>0</v>
      </c>
      <c r="I312" s="120" t="str">
        <f aca="false">IF($H312=1,MAX(1,INT(($G312-'Cash Flow'!$E$6)/7)+1),"")</f>
        <v/>
      </c>
      <c r="J312" s="7" t="str">
        <f aca="false">IF($H312=1,$G312*10000+ROW(),"")</f>
        <v/>
      </c>
      <c r="K312" s="7" t="str">
        <f aca="false">IF($H312=1,$I312*1000+COUNTIFS($I$4:$I$483,$I312,$J$4:$J$483,"&lt;"&amp;$J312)+1,"")</f>
        <v/>
      </c>
      <c r="L312" s="121" t="str">
        <f aca="false">IF($F312="","",IF(Recurring!$G$24="Move Before",IF(WEEKDAY($F312,2)=6,$F312-1,IF(WEEKDAY($F312,2)=7,$F312-2,$F312)),IF(Recurring!$G$24="Move After",IF(WEEKDAY($F312,2)=6,$F312+2,IF(WEEKDAY($F312,2)=7,$F312+1,$F312)),$F312)))</f>
        <v/>
      </c>
      <c r="M312" s="0" t="str">
        <f aca="true">IF(AND($H312=1,$D312="Expense",$G312&gt;TODAY(),$E312&gt;=100),$G312*100000+ROW(),"")</f>
        <v/>
      </c>
      <c r="N312" s="0" t="str">
        <f aca="true">IF(AND($H312=1,$D312="Income",$G312&gt;TODAY()),$G312*100000+ROW(),"")</f>
        <v/>
      </c>
    </row>
    <row r="313" customFormat="false" ht="15" hidden="false" customHeight="true" outlineLevel="0" collapsed="false">
      <c r="A313" s="117" t="n">
        <v>20</v>
      </c>
      <c r="B313" s="117" t="n">
        <v>6</v>
      </c>
      <c r="C313" s="7" t="str">
        <f aca="false">IF(OR(Recurring!$B$24="",Recurring!$H$24&lt;&gt;"Yes",Recurring!$D$24=""),"",Recurring!$B$24)</f>
        <v/>
      </c>
      <c r="D313" s="7" t="str">
        <f aca="false">IF($C313="","",Recurring!$C$24)</f>
        <v/>
      </c>
      <c r="E313" s="118" t="str">
        <f aca="false">IF($C313="","",IF(SUMIFS(Overrides!$E$9:$E$108,Overrides!$B$9:$B$108,$C313,Overrides!$C$9:$C$108,$L313)&gt;0,SUMIFS(Overrides!$E$9:$E$108,Overrides!$B$9:$B$108,$C313,Overrides!$C$9:$C$108,$L313),Recurring!$D$24))</f>
        <v/>
      </c>
      <c r="F313" s="119" t="str">
        <f aca="false">IF($C313="","",IF(Recurring!$E$24="Weekly",Recurring!$F$24+7*5,IF(Recurring!$E$24="Every 2 Weeks",Recurring!$F$24+14*5,IF(Recurring!$E$24="Monthly",EDATE(Recurring!$F$24,5),IF(Recurring!$E$24="Twice a Month",IF(MOD((IF(DAY(Recurring!$F$24)&lt;=20,0,1)+5),2)=1,EOMONTH(Recurring!$F$24,INT((IF(DAY(Recurring!$F$24)&lt;=20,0,1)+5)/2)),DATE(YEAR(EDATE(Recurring!$F$24,INT((IF(DAY(Recurring!$F$24)&lt;=20,0,1)+5)/2))),MONTH(EDATE(Recurring!$F$24,INT((IF(DAY(Recurring!$F$24)&lt;=20,0,1)+5)/2))),15)),IF(Recurring!$E$24="One Time",IF(6=1,Recurring!$F$24,""),""))))))</f>
        <v/>
      </c>
      <c r="G313" s="119" t="str">
        <f aca="false">IF($L313="","",IF(SUMIFS(Overrides!$D$9:$D$108,Overrides!$B$9:$B$108,$C313,Overrides!$C$9:$C$108,$L313)&gt;0,SUMIFS(Overrides!$D$9:$D$108,Overrides!$B$9:$B$108,$C313,Overrides!$C$9:$C$108,$L313),$L313))</f>
        <v/>
      </c>
      <c r="H313" s="120" t="n">
        <f aca="false">IF($G313="",0,IF(AND($G313&gt;='Cash Flow'!$E$6,$G313&lt;'Cash Flow'!$E$6+91),1,0))</f>
        <v>0</v>
      </c>
      <c r="I313" s="120" t="str">
        <f aca="false">IF($H313=1,MAX(1,INT(($G313-'Cash Flow'!$E$6)/7)+1),"")</f>
        <v/>
      </c>
      <c r="J313" s="7" t="str">
        <f aca="false">IF($H313=1,$G313*10000+ROW(),"")</f>
        <v/>
      </c>
      <c r="K313" s="7" t="str">
        <f aca="false">IF($H313=1,$I313*1000+COUNTIFS($I$4:$I$483,$I313,$J$4:$J$483,"&lt;"&amp;$J313)+1,"")</f>
        <v/>
      </c>
      <c r="L313" s="121" t="str">
        <f aca="false">IF($F313="","",IF(Recurring!$G$24="Move Before",IF(WEEKDAY($F313,2)=6,$F313-1,IF(WEEKDAY($F313,2)=7,$F313-2,$F313)),IF(Recurring!$G$24="Move After",IF(WEEKDAY($F313,2)=6,$F313+2,IF(WEEKDAY($F313,2)=7,$F313+1,$F313)),$F313)))</f>
        <v/>
      </c>
      <c r="M313" s="0" t="str">
        <f aca="true">IF(AND($H313=1,$D313="Expense",$G313&gt;TODAY(),$E313&gt;=100),$G313*100000+ROW(),"")</f>
        <v/>
      </c>
      <c r="N313" s="0" t="str">
        <f aca="true">IF(AND($H313=1,$D313="Income",$G313&gt;TODAY()),$G313*100000+ROW(),"")</f>
        <v/>
      </c>
    </row>
    <row r="314" customFormat="false" ht="15" hidden="false" customHeight="true" outlineLevel="0" collapsed="false">
      <c r="A314" s="117" t="n">
        <v>20</v>
      </c>
      <c r="B314" s="117" t="n">
        <v>7</v>
      </c>
      <c r="C314" s="7" t="str">
        <f aca="false">IF(OR(Recurring!$B$24="",Recurring!$H$24&lt;&gt;"Yes",Recurring!$D$24=""),"",Recurring!$B$24)</f>
        <v/>
      </c>
      <c r="D314" s="7" t="str">
        <f aca="false">IF($C314="","",Recurring!$C$24)</f>
        <v/>
      </c>
      <c r="E314" s="118" t="str">
        <f aca="false">IF($C314="","",IF(SUMIFS(Overrides!$E$9:$E$108,Overrides!$B$9:$B$108,$C314,Overrides!$C$9:$C$108,$L314)&gt;0,SUMIFS(Overrides!$E$9:$E$108,Overrides!$B$9:$B$108,$C314,Overrides!$C$9:$C$108,$L314),Recurring!$D$24))</f>
        <v/>
      </c>
      <c r="F314" s="119" t="str">
        <f aca="false">IF($C314="","",IF(Recurring!$E$24="Weekly",Recurring!$F$24+7*6,IF(Recurring!$E$24="Every 2 Weeks",Recurring!$F$24+14*6,IF(Recurring!$E$24="Monthly",EDATE(Recurring!$F$24,6),IF(Recurring!$E$24="Twice a Month",IF(MOD((IF(DAY(Recurring!$F$24)&lt;=20,0,1)+6),2)=1,EOMONTH(Recurring!$F$24,INT((IF(DAY(Recurring!$F$24)&lt;=20,0,1)+6)/2)),DATE(YEAR(EDATE(Recurring!$F$24,INT((IF(DAY(Recurring!$F$24)&lt;=20,0,1)+6)/2))),MONTH(EDATE(Recurring!$F$24,INT((IF(DAY(Recurring!$F$24)&lt;=20,0,1)+6)/2))),15)),IF(Recurring!$E$24="One Time",IF(7=1,Recurring!$F$24,""),""))))))</f>
        <v/>
      </c>
      <c r="G314" s="119" t="str">
        <f aca="false">IF($L314="","",IF(SUMIFS(Overrides!$D$9:$D$108,Overrides!$B$9:$B$108,$C314,Overrides!$C$9:$C$108,$L314)&gt;0,SUMIFS(Overrides!$D$9:$D$108,Overrides!$B$9:$B$108,$C314,Overrides!$C$9:$C$108,$L314),$L314))</f>
        <v/>
      </c>
      <c r="H314" s="120" t="n">
        <f aca="false">IF($G314="",0,IF(AND($G314&gt;='Cash Flow'!$E$6,$G314&lt;'Cash Flow'!$E$6+91),1,0))</f>
        <v>0</v>
      </c>
      <c r="I314" s="120" t="str">
        <f aca="false">IF($H314=1,MAX(1,INT(($G314-'Cash Flow'!$E$6)/7)+1),"")</f>
        <v/>
      </c>
      <c r="J314" s="7" t="str">
        <f aca="false">IF($H314=1,$G314*10000+ROW(),"")</f>
        <v/>
      </c>
      <c r="K314" s="7" t="str">
        <f aca="false">IF($H314=1,$I314*1000+COUNTIFS($I$4:$I$483,$I314,$J$4:$J$483,"&lt;"&amp;$J314)+1,"")</f>
        <v/>
      </c>
      <c r="L314" s="121" t="str">
        <f aca="false">IF($F314="","",IF(Recurring!$G$24="Move Before",IF(WEEKDAY($F314,2)=6,$F314-1,IF(WEEKDAY($F314,2)=7,$F314-2,$F314)),IF(Recurring!$G$24="Move After",IF(WEEKDAY($F314,2)=6,$F314+2,IF(WEEKDAY($F314,2)=7,$F314+1,$F314)),$F314)))</f>
        <v/>
      </c>
      <c r="M314" s="0" t="str">
        <f aca="true">IF(AND($H314=1,$D314="Expense",$G314&gt;TODAY(),$E314&gt;=100),$G314*100000+ROW(),"")</f>
        <v/>
      </c>
      <c r="N314" s="0" t="str">
        <f aca="true">IF(AND($H314=1,$D314="Income",$G314&gt;TODAY()),$G314*100000+ROW(),"")</f>
        <v/>
      </c>
    </row>
    <row r="315" customFormat="false" ht="15" hidden="false" customHeight="true" outlineLevel="0" collapsed="false">
      <c r="A315" s="117" t="n">
        <v>20</v>
      </c>
      <c r="B315" s="117" t="n">
        <v>8</v>
      </c>
      <c r="C315" s="7" t="str">
        <f aca="false">IF(OR(Recurring!$B$24="",Recurring!$H$24&lt;&gt;"Yes",Recurring!$D$24=""),"",Recurring!$B$24)</f>
        <v/>
      </c>
      <c r="D315" s="7" t="str">
        <f aca="false">IF($C315="","",Recurring!$C$24)</f>
        <v/>
      </c>
      <c r="E315" s="118" t="str">
        <f aca="false">IF($C315="","",IF(SUMIFS(Overrides!$E$9:$E$108,Overrides!$B$9:$B$108,$C315,Overrides!$C$9:$C$108,$L315)&gt;0,SUMIFS(Overrides!$E$9:$E$108,Overrides!$B$9:$B$108,$C315,Overrides!$C$9:$C$108,$L315),Recurring!$D$24))</f>
        <v/>
      </c>
      <c r="F315" s="119" t="str">
        <f aca="false">IF($C315="","",IF(Recurring!$E$24="Weekly",Recurring!$F$24+7*7,IF(Recurring!$E$24="Every 2 Weeks",Recurring!$F$24+14*7,IF(Recurring!$E$24="Monthly",EDATE(Recurring!$F$24,7),IF(Recurring!$E$24="Twice a Month",IF(MOD((IF(DAY(Recurring!$F$24)&lt;=20,0,1)+7),2)=1,EOMONTH(Recurring!$F$24,INT((IF(DAY(Recurring!$F$24)&lt;=20,0,1)+7)/2)),DATE(YEAR(EDATE(Recurring!$F$24,INT((IF(DAY(Recurring!$F$24)&lt;=20,0,1)+7)/2))),MONTH(EDATE(Recurring!$F$24,INT((IF(DAY(Recurring!$F$24)&lt;=20,0,1)+7)/2))),15)),IF(Recurring!$E$24="One Time",IF(8=1,Recurring!$F$24,""),""))))))</f>
        <v/>
      </c>
      <c r="G315" s="119" t="str">
        <f aca="false">IF($L315="","",IF(SUMIFS(Overrides!$D$9:$D$108,Overrides!$B$9:$B$108,$C315,Overrides!$C$9:$C$108,$L315)&gt;0,SUMIFS(Overrides!$D$9:$D$108,Overrides!$B$9:$B$108,$C315,Overrides!$C$9:$C$108,$L315),$L315))</f>
        <v/>
      </c>
      <c r="H315" s="120" t="n">
        <f aca="false">IF($G315="",0,IF(AND($G315&gt;='Cash Flow'!$E$6,$G315&lt;'Cash Flow'!$E$6+91),1,0))</f>
        <v>0</v>
      </c>
      <c r="I315" s="120" t="str">
        <f aca="false">IF($H315=1,MAX(1,INT(($G315-'Cash Flow'!$E$6)/7)+1),"")</f>
        <v/>
      </c>
      <c r="J315" s="7" t="str">
        <f aca="false">IF($H315=1,$G315*10000+ROW(),"")</f>
        <v/>
      </c>
      <c r="K315" s="7" t="str">
        <f aca="false">IF($H315=1,$I315*1000+COUNTIFS($I$4:$I$483,$I315,$J$4:$J$483,"&lt;"&amp;$J315)+1,"")</f>
        <v/>
      </c>
      <c r="L315" s="121" t="str">
        <f aca="false">IF($F315="","",IF(Recurring!$G$24="Move Before",IF(WEEKDAY($F315,2)=6,$F315-1,IF(WEEKDAY($F315,2)=7,$F315-2,$F315)),IF(Recurring!$G$24="Move After",IF(WEEKDAY($F315,2)=6,$F315+2,IF(WEEKDAY($F315,2)=7,$F315+1,$F315)),$F315)))</f>
        <v/>
      </c>
      <c r="M315" s="0" t="str">
        <f aca="true">IF(AND($H315=1,$D315="Expense",$G315&gt;TODAY(),$E315&gt;=100),$G315*100000+ROW(),"")</f>
        <v/>
      </c>
      <c r="N315" s="0" t="str">
        <f aca="true">IF(AND($H315=1,$D315="Income",$G315&gt;TODAY()),$G315*100000+ROW(),"")</f>
        <v/>
      </c>
    </row>
    <row r="316" customFormat="false" ht="15" hidden="false" customHeight="true" outlineLevel="0" collapsed="false">
      <c r="A316" s="117" t="n">
        <v>20</v>
      </c>
      <c r="B316" s="117" t="n">
        <v>9</v>
      </c>
      <c r="C316" s="7" t="str">
        <f aca="false">IF(OR(Recurring!$B$24="",Recurring!$H$24&lt;&gt;"Yes",Recurring!$D$24=""),"",Recurring!$B$24)</f>
        <v/>
      </c>
      <c r="D316" s="7" t="str">
        <f aca="false">IF($C316="","",Recurring!$C$24)</f>
        <v/>
      </c>
      <c r="E316" s="118" t="str">
        <f aca="false">IF($C316="","",IF(SUMIFS(Overrides!$E$9:$E$108,Overrides!$B$9:$B$108,$C316,Overrides!$C$9:$C$108,$L316)&gt;0,SUMIFS(Overrides!$E$9:$E$108,Overrides!$B$9:$B$108,$C316,Overrides!$C$9:$C$108,$L316),Recurring!$D$24))</f>
        <v/>
      </c>
      <c r="F316" s="119" t="str">
        <f aca="false">IF($C316="","",IF(Recurring!$E$24="Weekly",Recurring!$F$24+7*8,IF(Recurring!$E$24="Every 2 Weeks",Recurring!$F$24+14*8,IF(Recurring!$E$24="Monthly",EDATE(Recurring!$F$24,8),IF(Recurring!$E$24="Twice a Month",IF(MOD((IF(DAY(Recurring!$F$24)&lt;=20,0,1)+8),2)=1,EOMONTH(Recurring!$F$24,INT((IF(DAY(Recurring!$F$24)&lt;=20,0,1)+8)/2)),DATE(YEAR(EDATE(Recurring!$F$24,INT((IF(DAY(Recurring!$F$24)&lt;=20,0,1)+8)/2))),MONTH(EDATE(Recurring!$F$24,INT((IF(DAY(Recurring!$F$24)&lt;=20,0,1)+8)/2))),15)),IF(Recurring!$E$24="One Time",IF(9=1,Recurring!$F$24,""),""))))))</f>
        <v/>
      </c>
      <c r="G316" s="119" t="str">
        <f aca="false">IF($L316="","",IF(SUMIFS(Overrides!$D$9:$D$108,Overrides!$B$9:$B$108,$C316,Overrides!$C$9:$C$108,$L316)&gt;0,SUMIFS(Overrides!$D$9:$D$108,Overrides!$B$9:$B$108,$C316,Overrides!$C$9:$C$108,$L316),$L316))</f>
        <v/>
      </c>
      <c r="H316" s="120" t="n">
        <f aca="false">IF($G316="",0,IF(AND($G316&gt;='Cash Flow'!$E$6,$G316&lt;'Cash Flow'!$E$6+91),1,0))</f>
        <v>0</v>
      </c>
      <c r="I316" s="120" t="str">
        <f aca="false">IF($H316=1,MAX(1,INT(($G316-'Cash Flow'!$E$6)/7)+1),"")</f>
        <v/>
      </c>
      <c r="J316" s="7" t="str">
        <f aca="false">IF($H316=1,$G316*10000+ROW(),"")</f>
        <v/>
      </c>
      <c r="K316" s="7" t="str">
        <f aca="false">IF($H316=1,$I316*1000+COUNTIFS($I$4:$I$483,$I316,$J$4:$J$483,"&lt;"&amp;$J316)+1,"")</f>
        <v/>
      </c>
      <c r="L316" s="121" t="str">
        <f aca="false">IF($F316="","",IF(Recurring!$G$24="Move Before",IF(WEEKDAY($F316,2)=6,$F316-1,IF(WEEKDAY($F316,2)=7,$F316-2,$F316)),IF(Recurring!$G$24="Move After",IF(WEEKDAY($F316,2)=6,$F316+2,IF(WEEKDAY($F316,2)=7,$F316+1,$F316)),$F316)))</f>
        <v/>
      </c>
      <c r="M316" s="0" t="str">
        <f aca="true">IF(AND($H316=1,$D316="Expense",$G316&gt;TODAY(),$E316&gt;=100),$G316*100000+ROW(),"")</f>
        <v/>
      </c>
      <c r="N316" s="0" t="str">
        <f aca="true">IF(AND($H316=1,$D316="Income",$G316&gt;TODAY()),$G316*100000+ROW(),"")</f>
        <v/>
      </c>
    </row>
    <row r="317" customFormat="false" ht="15" hidden="false" customHeight="true" outlineLevel="0" collapsed="false">
      <c r="A317" s="117" t="n">
        <v>20</v>
      </c>
      <c r="B317" s="117" t="n">
        <v>10</v>
      </c>
      <c r="C317" s="7" t="str">
        <f aca="false">IF(OR(Recurring!$B$24="",Recurring!$H$24&lt;&gt;"Yes",Recurring!$D$24=""),"",Recurring!$B$24)</f>
        <v/>
      </c>
      <c r="D317" s="7" t="str">
        <f aca="false">IF($C317="","",Recurring!$C$24)</f>
        <v/>
      </c>
      <c r="E317" s="118" t="str">
        <f aca="false">IF($C317="","",IF(SUMIFS(Overrides!$E$9:$E$108,Overrides!$B$9:$B$108,$C317,Overrides!$C$9:$C$108,$L317)&gt;0,SUMIFS(Overrides!$E$9:$E$108,Overrides!$B$9:$B$108,$C317,Overrides!$C$9:$C$108,$L317),Recurring!$D$24))</f>
        <v/>
      </c>
      <c r="F317" s="119" t="str">
        <f aca="false">IF($C317="","",IF(Recurring!$E$24="Weekly",Recurring!$F$24+7*9,IF(Recurring!$E$24="Every 2 Weeks",Recurring!$F$24+14*9,IF(Recurring!$E$24="Monthly",EDATE(Recurring!$F$24,9),IF(Recurring!$E$24="Twice a Month",IF(MOD((IF(DAY(Recurring!$F$24)&lt;=20,0,1)+9),2)=1,EOMONTH(Recurring!$F$24,INT((IF(DAY(Recurring!$F$24)&lt;=20,0,1)+9)/2)),DATE(YEAR(EDATE(Recurring!$F$24,INT((IF(DAY(Recurring!$F$24)&lt;=20,0,1)+9)/2))),MONTH(EDATE(Recurring!$F$24,INT((IF(DAY(Recurring!$F$24)&lt;=20,0,1)+9)/2))),15)),IF(Recurring!$E$24="One Time",IF(10=1,Recurring!$F$24,""),""))))))</f>
        <v/>
      </c>
      <c r="G317" s="119" t="str">
        <f aca="false">IF($L317="","",IF(SUMIFS(Overrides!$D$9:$D$108,Overrides!$B$9:$B$108,$C317,Overrides!$C$9:$C$108,$L317)&gt;0,SUMIFS(Overrides!$D$9:$D$108,Overrides!$B$9:$B$108,$C317,Overrides!$C$9:$C$108,$L317),$L317))</f>
        <v/>
      </c>
      <c r="H317" s="120" t="n">
        <f aca="false">IF($G317="",0,IF(AND($G317&gt;='Cash Flow'!$E$6,$G317&lt;'Cash Flow'!$E$6+91),1,0))</f>
        <v>0</v>
      </c>
      <c r="I317" s="120" t="str">
        <f aca="false">IF($H317=1,MAX(1,INT(($G317-'Cash Flow'!$E$6)/7)+1),"")</f>
        <v/>
      </c>
      <c r="J317" s="7" t="str">
        <f aca="false">IF($H317=1,$G317*10000+ROW(),"")</f>
        <v/>
      </c>
      <c r="K317" s="7" t="str">
        <f aca="false">IF($H317=1,$I317*1000+COUNTIFS($I$4:$I$483,$I317,$J$4:$J$483,"&lt;"&amp;$J317)+1,"")</f>
        <v/>
      </c>
      <c r="L317" s="121" t="str">
        <f aca="false">IF($F317="","",IF(Recurring!$G$24="Move Before",IF(WEEKDAY($F317,2)=6,$F317-1,IF(WEEKDAY($F317,2)=7,$F317-2,$F317)),IF(Recurring!$G$24="Move After",IF(WEEKDAY($F317,2)=6,$F317+2,IF(WEEKDAY($F317,2)=7,$F317+1,$F317)),$F317)))</f>
        <v/>
      </c>
      <c r="M317" s="0" t="str">
        <f aca="true">IF(AND($H317=1,$D317="Expense",$G317&gt;TODAY(),$E317&gt;=100),$G317*100000+ROW(),"")</f>
        <v/>
      </c>
      <c r="N317" s="0" t="str">
        <f aca="true">IF(AND($H317=1,$D317="Income",$G317&gt;TODAY()),$G317*100000+ROW(),"")</f>
        <v/>
      </c>
    </row>
    <row r="318" customFormat="false" ht="15" hidden="false" customHeight="true" outlineLevel="0" collapsed="false">
      <c r="A318" s="117" t="n">
        <v>20</v>
      </c>
      <c r="B318" s="117" t="n">
        <v>11</v>
      </c>
      <c r="C318" s="7" t="str">
        <f aca="false">IF(OR(Recurring!$B$24="",Recurring!$H$24&lt;&gt;"Yes",Recurring!$D$24=""),"",Recurring!$B$24)</f>
        <v/>
      </c>
      <c r="D318" s="7" t="str">
        <f aca="false">IF($C318="","",Recurring!$C$24)</f>
        <v/>
      </c>
      <c r="E318" s="118" t="str">
        <f aca="false">IF($C318="","",IF(SUMIFS(Overrides!$E$9:$E$108,Overrides!$B$9:$B$108,$C318,Overrides!$C$9:$C$108,$L318)&gt;0,SUMIFS(Overrides!$E$9:$E$108,Overrides!$B$9:$B$108,$C318,Overrides!$C$9:$C$108,$L318),Recurring!$D$24))</f>
        <v/>
      </c>
      <c r="F318" s="119" t="str">
        <f aca="false">IF($C318="","",IF(Recurring!$E$24="Weekly",Recurring!$F$24+7*10,IF(Recurring!$E$24="Every 2 Weeks",Recurring!$F$24+14*10,IF(Recurring!$E$24="Monthly",EDATE(Recurring!$F$24,10),IF(Recurring!$E$24="Twice a Month",IF(MOD((IF(DAY(Recurring!$F$24)&lt;=20,0,1)+10),2)=1,EOMONTH(Recurring!$F$24,INT((IF(DAY(Recurring!$F$24)&lt;=20,0,1)+10)/2)),DATE(YEAR(EDATE(Recurring!$F$24,INT((IF(DAY(Recurring!$F$24)&lt;=20,0,1)+10)/2))),MONTH(EDATE(Recurring!$F$24,INT((IF(DAY(Recurring!$F$24)&lt;=20,0,1)+10)/2))),15)),IF(Recurring!$E$24="One Time",IF(11=1,Recurring!$F$24,""),""))))))</f>
        <v/>
      </c>
      <c r="G318" s="119" t="str">
        <f aca="false">IF($L318="","",IF(SUMIFS(Overrides!$D$9:$D$108,Overrides!$B$9:$B$108,$C318,Overrides!$C$9:$C$108,$L318)&gt;0,SUMIFS(Overrides!$D$9:$D$108,Overrides!$B$9:$B$108,$C318,Overrides!$C$9:$C$108,$L318),$L318))</f>
        <v/>
      </c>
      <c r="H318" s="120" t="n">
        <f aca="false">IF($G318="",0,IF(AND($G318&gt;='Cash Flow'!$E$6,$G318&lt;'Cash Flow'!$E$6+91),1,0))</f>
        <v>0</v>
      </c>
      <c r="I318" s="120" t="str">
        <f aca="false">IF($H318=1,MAX(1,INT(($G318-'Cash Flow'!$E$6)/7)+1),"")</f>
        <v/>
      </c>
      <c r="J318" s="7" t="str">
        <f aca="false">IF($H318=1,$G318*10000+ROW(),"")</f>
        <v/>
      </c>
      <c r="K318" s="7" t="str">
        <f aca="false">IF($H318=1,$I318*1000+COUNTIFS($I$4:$I$483,$I318,$J$4:$J$483,"&lt;"&amp;$J318)+1,"")</f>
        <v/>
      </c>
      <c r="L318" s="121" t="str">
        <f aca="false">IF($F318="","",IF(Recurring!$G$24="Move Before",IF(WEEKDAY($F318,2)=6,$F318-1,IF(WEEKDAY($F318,2)=7,$F318-2,$F318)),IF(Recurring!$G$24="Move After",IF(WEEKDAY($F318,2)=6,$F318+2,IF(WEEKDAY($F318,2)=7,$F318+1,$F318)),$F318)))</f>
        <v/>
      </c>
      <c r="M318" s="0" t="str">
        <f aca="true">IF(AND($H318=1,$D318="Expense",$G318&gt;TODAY(),$E318&gt;=100),$G318*100000+ROW(),"")</f>
        <v/>
      </c>
      <c r="N318" s="0" t="str">
        <f aca="true">IF(AND($H318=1,$D318="Income",$G318&gt;TODAY()),$G318*100000+ROW(),"")</f>
        <v/>
      </c>
    </row>
    <row r="319" customFormat="false" ht="15" hidden="false" customHeight="true" outlineLevel="0" collapsed="false">
      <c r="A319" s="117" t="n">
        <v>20</v>
      </c>
      <c r="B319" s="117" t="n">
        <v>12</v>
      </c>
      <c r="C319" s="7" t="str">
        <f aca="false">IF(OR(Recurring!$B$24="",Recurring!$H$24&lt;&gt;"Yes",Recurring!$D$24=""),"",Recurring!$B$24)</f>
        <v/>
      </c>
      <c r="D319" s="7" t="str">
        <f aca="false">IF($C319="","",Recurring!$C$24)</f>
        <v/>
      </c>
      <c r="E319" s="118" t="str">
        <f aca="false">IF($C319="","",IF(SUMIFS(Overrides!$E$9:$E$108,Overrides!$B$9:$B$108,$C319,Overrides!$C$9:$C$108,$L319)&gt;0,SUMIFS(Overrides!$E$9:$E$108,Overrides!$B$9:$B$108,$C319,Overrides!$C$9:$C$108,$L319),Recurring!$D$24))</f>
        <v/>
      </c>
      <c r="F319" s="119" t="str">
        <f aca="false">IF($C319="","",IF(Recurring!$E$24="Weekly",Recurring!$F$24+7*11,IF(Recurring!$E$24="Every 2 Weeks",Recurring!$F$24+14*11,IF(Recurring!$E$24="Monthly",EDATE(Recurring!$F$24,11),IF(Recurring!$E$24="Twice a Month",IF(MOD((IF(DAY(Recurring!$F$24)&lt;=20,0,1)+11),2)=1,EOMONTH(Recurring!$F$24,INT((IF(DAY(Recurring!$F$24)&lt;=20,0,1)+11)/2)),DATE(YEAR(EDATE(Recurring!$F$24,INT((IF(DAY(Recurring!$F$24)&lt;=20,0,1)+11)/2))),MONTH(EDATE(Recurring!$F$24,INT((IF(DAY(Recurring!$F$24)&lt;=20,0,1)+11)/2))),15)),IF(Recurring!$E$24="One Time",IF(12=1,Recurring!$F$24,""),""))))))</f>
        <v/>
      </c>
      <c r="G319" s="119" t="str">
        <f aca="false">IF($L319="","",IF(SUMIFS(Overrides!$D$9:$D$108,Overrides!$B$9:$B$108,$C319,Overrides!$C$9:$C$108,$L319)&gt;0,SUMIFS(Overrides!$D$9:$D$108,Overrides!$B$9:$B$108,$C319,Overrides!$C$9:$C$108,$L319),$L319))</f>
        <v/>
      </c>
      <c r="H319" s="120" t="n">
        <f aca="false">IF($G319="",0,IF(AND($G319&gt;='Cash Flow'!$E$6,$G319&lt;'Cash Flow'!$E$6+91),1,0))</f>
        <v>0</v>
      </c>
      <c r="I319" s="120" t="str">
        <f aca="false">IF($H319=1,MAX(1,INT(($G319-'Cash Flow'!$E$6)/7)+1),"")</f>
        <v/>
      </c>
      <c r="J319" s="7" t="str">
        <f aca="false">IF($H319=1,$G319*10000+ROW(),"")</f>
        <v/>
      </c>
      <c r="K319" s="7" t="str">
        <f aca="false">IF($H319=1,$I319*1000+COUNTIFS($I$4:$I$483,$I319,$J$4:$J$483,"&lt;"&amp;$J319)+1,"")</f>
        <v/>
      </c>
      <c r="L319" s="121" t="str">
        <f aca="false">IF($F319="","",IF(Recurring!$G$24="Move Before",IF(WEEKDAY($F319,2)=6,$F319-1,IF(WEEKDAY($F319,2)=7,$F319-2,$F319)),IF(Recurring!$G$24="Move After",IF(WEEKDAY($F319,2)=6,$F319+2,IF(WEEKDAY($F319,2)=7,$F319+1,$F319)),$F319)))</f>
        <v/>
      </c>
      <c r="M319" s="0" t="str">
        <f aca="true">IF(AND($H319=1,$D319="Expense",$G319&gt;TODAY(),$E319&gt;=100),$G319*100000+ROW(),"")</f>
        <v/>
      </c>
      <c r="N319" s="0" t="str">
        <f aca="true">IF(AND($H319=1,$D319="Income",$G319&gt;TODAY()),$G319*100000+ROW(),"")</f>
        <v/>
      </c>
    </row>
    <row r="320" customFormat="false" ht="15" hidden="false" customHeight="true" outlineLevel="0" collapsed="false">
      <c r="A320" s="117" t="n">
        <v>20</v>
      </c>
      <c r="B320" s="117" t="n">
        <v>13</v>
      </c>
      <c r="C320" s="7" t="str">
        <f aca="false">IF(OR(Recurring!$B$24="",Recurring!$H$24&lt;&gt;"Yes",Recurring!$D$24=""),"",Recurring!$B$24)</f>
        <v/>
      </c>
      <c r="D320" s="7" t="str">
        <f aca="false">IF($C320="","",Recurring!$C$24)</f>
        <v/>
      </c>
      <c r="E320" s="118" t="str">
        <f aca="false">IF($C320="","",IF(SUMIFS(Overrides!$E$9:$E$108,Overrides!$B$9:$B$108,$C320,Overrides!$C$9:$C$108,$L320)&gt;0,SUMIFS(Overrides!$E$9:$E$108,Overrides!$B$9:$B$108,$C320,Overrides!$C$9:$C$108,$L320),Recurring!$D$24))</f>
        <v/>
      </c>
      <c r="F320" s="119" t="str">
        <f aca="false">IF($C320="","",IF(Recurring!$E$24="Weekly",Recurring!$F$24+7*12,IF(Recurring!$E$24="Every 2 Weeks",Recurring!$F$24+14*12,IF(Recurring!$E$24="Monthly",EDATE(Recurring!$F$24,12),IF(Recurring!$E$24="Twice a Month",IF(MOD((IF(DAY(Recurring!$F$24)&lt;=20,0,1)+12),2)=1,EOMONTH(Recurring!$F$24,INT((IF(DAY(Recurring!$F$24)&lt;=20,0,1)+12)/2)),DATE(YEAR(EDATE(Recurring!$F$24,INT((IF(DAY(Recurring!$F$24)&lt;=20,0,1)+12)/2))),MONTH(EDATE(Recurring!$F$24,INT((IF(DAY(Recurring!$F$24)&lt;=20,0,1)+12)/2))),15)),IF(Recurring!$E$24="One Time",IF(13=1,Recurring!$F$24,""),""))))))</f>
        <v/>
      </c>
      <c r="G320" s="119" t="str">
        <f aca="false">IF($L320="","",IF(SUMIFS(Overrides!$D$9:$D$108,Overrides!$B$9:$B$108,$C320,Overrides!$C$9:$C$108,$L320)&gt;0,SUMIFS(Overrides!$D$9:$D$108,Overrides!$B$9:$B$108,$C320,Overrides!$C$9:$C$108,$L320),$L320))</f>
        <v/>
      </c>
      <c r="H320" s="120" t="n">
        <f aca="false">IF($G320="",0,IF(AND($G320&gt;='Cash Flow'!$E$6,$G320&lt;'Cash Flow'!$E$6+91),1,0))</f>
        <v>0</v>
      </c>
      <c r="I320" s="120" t="str">
        <f aca="false">IF($H320=1,MAX(1,INT(($G320-'Cash Flow'!$E$6)/7)+1),"")</f>
        <v/>
      </c>
      <c r="J320" s="7" t="str">
        <f aca="false">IF($H320=1,$G320*10000+ROW(),"")</f>
        <v/>
      </c>
      <c r="K320" s="7" t="str">
        <f aca="false">IF($H320=1,$I320*1000+COUNTIFS($I$4:$I$483,$I320,$J$4:$J$483,"&lt;"&amp;$J320)+1,"")</f>
        <v/>
      </c>
      <c r="L320" s="121" t="str">
        <f aca="false">IF($F320="","",IF(Recurring!$G$24="Move Before",IF(WEEKDAY($F320,2)=6,$F320-1,IF(WEEKDAY($F320,2)=7,$F320-2,$F320)),IF(Recurring!$G$24="Move After",IF(WEEKDAY($F320,2)=6,$F320+2,IF(WEEKDAY($F320,2)=7,$F320+1,$F320)),$F320)))</f>
        <v/>
      </c>
      <c r="M320" s="0" t="str">
        <f aca="true">IF(AND($H320=1,$D320="Expense",$G320&gt;TODAY(),$E320&gt;=100),$G320*100000+ROW(),"")</f>
        <v/>
      </c>
      <c r="N320" s="0" t="str">
        <f aca="true">IF(AND($H320=1,$D320="Income",$G320&gt;TODAY()),$G320*100000+ROW(),"")</f>
        <v/>
      </c>
    </row>
    <row r="321" customFormat="false" ht="15" hidden="false" customHeight="true" outlineLevel="0" collapsed="false">
      <c r="A321" s="117" t="n">
        <v>20</v>
      </c>
      <c r="B321" s="117" t="n">
        <v>14</v>
      </c>
      <c r="C321" s="7" t="str">
        <f aca="false">IF(OR(Recurring!$B$24="",Recurring!$H$24&lt;&gt;"Yes",Recurring!$D$24=""),"",Recurring!$B$24)</f>
        <v/>
      </c>
      <c r="D321" s="7" t="str">
        <f aca="false">IF($C321="","",Recurring!$C$24)</f>
        <v/>
      </c>
      <c r="E321" s="118" t="str">
        <f aca="false">IF($C321="","",IF(SUMIFS(Overrides!$E$9:$E$108,Overrides!$B$9:$B$108,$C321,Overrides!$C$9:$C$108,$L321)&gt;0,SUMIFS(Overrides!$E$9:$E$108,Overrides!$B$9:$B$108,$C321,Overrides!$C$9:$C$108,$L321),Recurring!$D$24))</f>
        <v/>
      </c>
      <c r="F321" s="119" t="str">
        <f aca="false">IF($C321="","",IF(Recurring!$E$24="Weekly",Recurring!$F$24+7*13,IF(Recurring!$E$24="Every 2 Weeks",Recurring!$F$24+14*13,IF(Recurring!$E$24="Monthly",EDATE(Recurring!$F$24,13),IF(Recurring!$E$24="Twice a Month",IF(MOD((IF(DAY(Recurring!$F$24)&lt;=20,0,1)+13),2)=1,EOMONTH(Recurring!$F$24,INT((IF(DAY(Recurring!$F$24)&lt;=20,0,1)+13)/2)),DATE(YEAR(EDATE(Recurring!$F$24,INT((IF(DAY(Recurring!$F$24)&lt;=20,0,1)+13)/2))),MONTH(EDATE(Recurring!$F$24,INT((IF(DAY(Recurring!$F$24)&lt;=20,0,1)+13)/2))),15)),IF(Recurring!$E$24="One Time",IF(14=1,Recurring!$F$24,""),""))))))</f>
        <v/>
      </c>
      <c r="G321" s="119" t="str">
        <f aca="false">IF($L321="","",IF(SUMIFS(Overrides!$D$9:$D$108,Overrides!$B$9:$B$108,$C321,Overrides!$C$9:$C$108,$L321)&gt;0,SUMIFS(Overrides!$D$9:$D$108,Overrides!$B$9:$B$108,$C321,Overrides!$C$9:$C$108,$L321),$L321))</f>
        <v/>
      </c>
      <c r="H321" s="120" t="n">
        <f aca="false">IF($G321="",0,IF(AND($G321&gt;='Cash Flow'!$E$6,$G321&lt;'Cash Flow'!$E$6+91),1,0))</f>
        <v>0</v>
      </c>
      <c r="I321" s="120" t="str">
        <f aca="false">IF($H321=1,MAX(1,INT(($G321-'Cash Flow'!$E$6)/7)+1),"")</f>
        <v/>
      </c>
      <c r="J321" s="7" t="str">
        <f aca="false">IF($H321=1,$G321*10000+ROW(),"")</f>
        <v/>
      </c>
      <c r="K321" s="7" t="str">
        <f aca="false">IF($H321=1,$I321*1000+COUNTIFS($I$4:$I$483,$I321,$J$4:$J$483,"&lt;"&amp;$J321)+1,"")</f>
        <v/>
      </c>
      <c r="L321" s="121" t="str">
        <f aca="false">IF($F321="","",IF(Recurring!$G$24="Move Before",IF(WEEKDAY($F321,2)=6,$F321-1,IF(WEEKDAY($F321,2)=7,$F321-2,$F321)),IF(Recurring!$G$24="Move After",IF(WEEKDAY($F321,2)=6,$F321+2,IF(WEEKDAY($F321,2)=7,$F321+1,$F321)),$F321)))</f>
        <v/>
      </c>
      <c r="M321" s="0" t="str">
        <f aca="true">IF(AND($H321=1,$D321="Expense",$G321&gt;TODAY(),$E321&gt;=100),$G321*100000+ROW(),"")</f>
        <v/>
      </c>
      <c r="N321" s="0" t="str">
        <f aca="true">IF(AND($H321=1,$D321="Income",$G321&gt;TODAY()),$G321*100000+ROW(),"")</f>
        <v/>
      </c>
    </row>
    <row r="322" customFormat="false" ht="15" hidden="false" customHeight="true" outlineLevel="0" collapsed="false">
      <c r="A322" s="117" t="n">
        <v>20</v>
      </c>
      <c r="B322" s="117" t="n">
        <v>15</v>
      </c>
      <c r="C322" s="7" t="str">
        <f aca="false">IF(OR(Recurring!$B$24="",Recurring!$H$24&lt;&gt;"Yes",Recurring!$D$24=""),"",Recurring!$B$24)</f>
        <v/>
      </c>
      <c r="D322" s="7" t="str">
        <f aca="false">IF($C322="","",Recurring!$C$24)</f>
        <v/>
      </c>
      <c r="E322" s="118" t="str">
        <f aca="false">IF($C322="","",IF(SUMIFS(Overrides!$E$9:$E$108,Overrides!$B$9:$B$108,$C322,Overrides!$C$9:$C$108,$L322)&gt;0,SUMIFS(Overrides!$E$9:$E$108,Overrides!$B$9:$B$108,$C322,Overrides!$C$9:$C$108,$L322),Recurring!$D$24))</f>
        <v/>
      </c>
      <c r="F322" s="119" t="str">
        <f aca="false">IF($C322="","",IF(Recurring!$E$24="Weekly",Recurring!$F$24+7*14,IF(Recurring!$E$24="Every 2 Weeks",Recurring!$F$24+14*14,IF(Recurring!$E$24="Monthly",EDATE(Recurring!$F$24,14),IF(Recurring!$E$24="Twice a Month",IF(MOD((IF(DAY(Recurring!$F$24)&lt;=20,0,1)+14),2)=1,EOMONTH(Recurring!$F$24,INT((IF(DAY(Recurring!$F$24)&lt;=20,0,1)+14)/2)),DATE(YEAR(EDATE(Recurring!$F$24,INT((IF(DAY(Recurring!$F$24)&lt;=20,0,1)+14)/2))),MONTH(EDATE(Recurring!$F$24,INT((IF(DAY(Recurring!$F$24)&lt;=20,0,1)+14)/2))),15)),IF(Recurring!$E$24="One Time",IF(15=1,Recurring!$F$24,""),""))))))</f>
        <v/>
      </c>
      <c r="G322" s="119" t="str">
        <f aca="false">IF($L322="","",IF(SUMIFS(Overrides!$D$9:$D$108,Overrides!$B$9:$B$108,$C322,Overrides!$C$9:$C$108,$L322)&gt;0,SUMIFS(Overrides!$D$9:$D$108,Overrides!$B$9:$B$108,$C322,Overrides!$C$9:$C$108,$L322),$L322))</f>
        <v/>
      </c>
      <c r="H322" s="120" t="n">
        <f aca="false">IF($G322="",0,IF(AND($G322&gt;='Cash Flow'!$E$6,$G322&lt;'Cash Flow'!$E$6+91),1,0))</f>
        <v>0</v>
      </c>
      <c r="I322" s="120" t="str">
        <f aca="false">IF($H322=1,MAX(1,INT(($G322-'Cash Flow'!$E$6)/7)+1),"")</f>
        <v/>
      </c>
      <c r="J322" s="7" t="str">
        <f aca="false">IF($H322=1,$G322*10000+ROW(),"")</f>
        <v/>
      </c>
      <c r="K322" s="7" t="str">
        <f aca="false">IF($H322=1,$I322*1000+COUNTIFS($I$4:$I$483,$I322,$J$4:$J$483,"&lt;"&amp;$J322)+1,"")</f>
        <v/>
      </c>
      <c r="L322" s="121" t="str">
        <f aca="false">IF($F322="","",IF(Recurring!$G$24="Move Before",IF(WEEKDAY($F322,2)=6,$F322-1,IF(WEEKDAY($F322,2)=7,$F322-2,$F322)),IF(Recurring!$G$24="Move After",IF(WEEKDAY($F322,2)=6,$F322+2,IF(WEEKDAY($F322,2)=7,$F322+1,$F322)),$F322)))</f>
        <v/>
      </c>
      <c r="M322" s="0" t="str">
        <f aca="true">IF(AND($H322=1,$D322="Expense",$G322&gt;TODAY(),$E322&gt;=100),$G322*100000+ROW(),"")</f>
        <v/>
      </c>
      <c r="N322" s="0" t="str">
        <f aca="true">IF(AND($H322=1,$D322="Income",$G322&gt;TODAY()),$G322*100000+ROW(),"")</f>
        <v/>
      </c>
    </row>
    <row r="323" customFormat="false" ht="15" hidden="false" customHeight="true" outlineLevel="0" collapsed="false">
      <c r="A323" s="117" t="n">
        <v>20</v>
      </c>
      <c r="B323" s="117" t="n">
        <v>16</v>
      </c>
      <c r="C323" s="7" t="str">
        <f aca="false">IF(OR(Recurring!$B$24="",Recurring!$H$24&lt;&gt;"Yes",Recurring!$D$24=""),"",Recurring!$B$24)</f>
        <v/>
      </c>
      <c r="D323" s="7" t="str">
        <f aca="false">IF($C323="","",Recurring!$C$24)</f>
        <v/>
      </c>
      <c r="E323" s="118" t="str">
        <f aca="false">IF($C323="","",IF(SUMIFS(Overrides!$E$9:$E$108,Overrides!$B$9:$B$108,$C323,Overrides!$C$9:$C$108,$L323)&gt;0,SUMIFS(Overrides!$E$9:$E$108,Overrides!$B$9:$B$108,$C323,Overrides!$C$9:$C$108,$L323),Recurring!$D$24))</f>
        <v/>
      </c>
      <c r="F323" s="119" t="str">
        <f aca="false">IF($C323="","",IF(Recurring!$E$24="Weekly",Recurring!$F$24+7*15,IF(Recurring!$E$24="Every 2 Weeks",Recurring!$F$24+14*15,IF(Recurring!$E$24="Monthly",EDATE(Recurring!$F$24,15),IF(Recurring!$E$24="Twice a Month",IF(MOD((IF(DAY(Recurring!$F$24)&lt;=20,0,1)+15),2)=1,EOMONTH(Recurring!$F$24,INT((IF(DAY(Recurring!$F$24)&lt;=20,0,1)+15)/2)),DATE(YEAR(EDATE(Recurring!$F$24,INT((IF(DAY(Recurring!$F$24)&lt;=20,0,1)+15)/2))),MONTH(EDATE(Recurring!$F$24,INT((IF(DAY(Recurring!$F$24)&lt;=20,0,1)+15)/2))),15)),IF(Recurring!$E$24="One Time",IF(16=1,Recurring!$F$24,""),""))))))</f>
        <v/>
      </c>
      <c r="G323" s="119" t="str">
        <f aca="false">IF($L323="","",IF(SUMIFS(Overrides!$D$9:$D$108,Overrides!$B$9:$B$108,$C323,Overrides!$C$9:$C$108,$L323)&gt;0,SUMIFS(Overrides!$D$9:$D$108,Overrides!$B$9:$B$108,$C323,Overrides!$C$9:$C$108,$L323),$L323))</f>
        <v/>
      </c>
      <c r="H323" s="120" t="n">
        <f aca="false">IF($G323="",0,IF(AND($G323&gt;='Cash Flow'!$E$6,$G323&lt;'Cash Flow'!$E$6+91),1,0))</f>
        <v>0</v>
      </c>
      <c r="I323" s="120" t="str">
        <f aca="false">IF($H323=1,MAX(1,INT(($G323-'Cash Flow'!$E$6)/7)+1),"")</f>
        <v/>
      </c>
      <c r="J323" s="7" t="str">
        <f aca="false">IF($H323=1,$G323*10000+ROW(),"")</f>
        <v/>
      </c>
      <c r="K323" s="7" t="str">
        <f aca="false">IF($H323=1,$I323*1000+COUNTIFS($I$4:$I$483,$I323,$J$4:$J$483,"&lt;"&amp;$J323)+1,"")</f>
        <v/>
      </c>
      <c r="L323" s="121" t="str">
        <f aca="false">IF($F323="","",IF(Recurring!$G$24="Move Before",IF(WEEKDAY($F323,2)=6,$F323-1,IF(WEEKDAY($F323,2)=7,$F323-2,$F323)),IF(Recurring!$G$24="Move After",IF(WEEKDAY($F323,2)=6,$F323+2,IF(WEEKDAY($F323,2)=7,$F323+1,$F323)),$F323)))</f>
        <v/>
      </c>
      <c r="M323" s="0" t="str">
        <f aca="true">IF(AND($H323=1,$D323="Expense",$G323&gt;TODAY(),$E323&gt;=100),$G323*100000+ROW(),"")</f>
        <v/>
      </c>
      <c r="N323" s="0" t="str">
        <f aca="true">IF(AND($H323=1,$D323="Income",$G323&gt;TODAY()),$G323*100000+ROW(),"")</f>
        <v/>
      </c>
    </row>
    <row r="324" customFormat="false" ht="15" hidden="false" customHeight="true" outlineLevel="0" collapsed="false">
      <c r="A324" s="117" t="n">
        <v>21</v>
      </c>
      <c r="B324" s="117" t="n">
        <v>1</v>
      </c>
      <c r="C324" s="7" t="str">
        <f aca="false">IF(OR(Recurring!$B$25="",Recurring!$H$25&lt;&gt;"Yes",Recurring!$D$25=""),"",Recurring!$B$25)</f>
        <v/>
      </c>
      <c r="D324" s="7" t="str">
        <f aca="false">IF($C324="","",Recurring!$C$25)</f>
        <v/>
      </c>
      <c r="E324" s="118" t="str">
        <f aca="false">IF($C324="","",IF(SUMIFS(Overrides!$E$9:$E$108,Overrides!$B$9:$B$108,$C324,Overrides!$C$9:$C$108,$L324)&gt;0,SUMIFS(Overrides!$E$9:$E$108,Overrides!$B$9:$B$108,$C324,Overrides!$C$9:$C$108,$L324),Recurring!$D$25))</f>
        <v/>
      </c>
      <c r="F324" s="119" t="str">
        <f aca="false">IF($C324="","",IF(Recurring!$E$25="Weekly",Recurring!$F$25+7*0,IF(Recurring!$E$25="Every 2 Weeks",Recurring!$F$25+14*0,IF(Recurring!$E$25="Monthly",EDATE(Recurring!$F$25,0),IF(Recurring!$E$25="Twice a Month",IF(MOD((IF(DAY(Recurring!$F$25)&lt;=20,0,1)+0),2)=1,EOMONTH(Recurring!$F$25,INT((IF(DAY(Recurring!$F$25)&lt;=20,0,1)+0)/2)),DATE(YEAR(EDATE(Recurring!$F$25,INT((IF(DAY(Recurring!$F$25)&lt;=20,0,1)+0)/2))),MONTH(EDATE(Recurring!$F$25,INT((IF(DAY(Recurring!$F$25)&lt;=20,0,1)+0)/2))),15)),IF(Recurring!$E$25="One Time",IF(1=1,Recurring!$F$25,""),""))))))</f>
        <v/>
      </c>
      <c r="G324" s="119" t="str">
        <f aca="false">IF($L324="","",IF(SUMIFS(Overrides!$D$9:$D$108,Overrides!$B$9:$B$108,$C324,Overrides!$C$9:$C$108,$L324)&gt;0,SUMIFS(Overrides!$D$9:$D$108,Overrides!$B$9:$B$108,$C324,Overrides!$C$9:$C$108,$L324),$L324))</f>
        <v/>
      </c>
      <c r="H324" s="120" t="n">
        <f aca="false">IF($G324="",0,IF(AND($G324&gt;='Cash Flow'!$E$6-90,$G324&lt;'Cash Flow'!$E$6+91),1,0))</f>
        <v>0</v>
      </c>
      <c r="I324" s="120" t="str">
        <f aca="false">IF($H324=1,MAX(1,INT(($G324-'Cash Flow'!$E$6)/7)+1),"")</f>
        <v/>
      </c>
      <c r="J324" s="7" t="str">
        <f aca="false">IF($H324=1,$G324*10000+ROW(),"")</f>
        <v/>
      </c>
      <c r="K324" s="7" t="str">
        <f aca="false">IF($H324=1,$I324*1000+COUNTIFS($I$4:$I$483,$I324,$J$4:$J$483,"&lt;"&amp;$J324)+1,"")</f>
        <v/>
      </c>
      <c r="L324" s="121" t="str">
        <f aca="false">IF($F324="","",IF(Recurring!$G$25="Move Before",IF(WEEKDAY($F324,2)=6,$F324-1,IF(WEEKDAY($F324,2)=7,$F324-2,$F324)),IF(Recurring!$G$25="Move After",IF(WEEKDAY($F324,2)=6,$F324+2,IF(WEEKDAY($F324,2)=7,$F324+1,$F324)),$F324)))</f>
        <v/>
      </c>
      <c r="M324" s="0" t="str">
        <f aca="true">IF(AND($H324=1,$D324="Expense",$G324&gt;TODAY(),$E324&gt;=100),$G324*100000+ROW(),"")</f>
        <v/>
      </c>
      <c r="N324" s="0" t="str">
        <f aca="true">IF(AND($H324=1,$D324="Income",$G324&gt;TODAY()),$G324*100000+ROW(),"")</f>
        <v/>
      </c>
    </row>
    <row r="325" customFormat="false" ht="15" hidden="false" customHeight="true" outlineLevel="0" collapsed="false">
      <c r="A325" s="117" t="n">
        <v>21</v>
      </c>
      <c r="B325" s="117" t="n">
        <v>2</v>
      </c>
      <c r="C325" s="7" t="str">
        <f aca="false">IF(OR(Recurring!$B$25="",Recurring!$H$25&lt;&gt;"Yes",Recurring!$D$25=""),"",Recurring!$B$25)</f>
        <v/>
      </c>
      <c r="D325" s="7" t="str">
        <f aca="false">IF($C325="","",Recurring!$C$25)</f>
        <v/>
      </c>
      <c r="E325" s="118" t="str">
        <f aca="false">IF($C325="","",IF(SUMIFS(Overrides!$E$9:$E$108,Overrides!$B$9:$B$108,$C325,Overrides!$C$9:$C$108,$L325)&gt;0,SUMIFS(Overrides!$E$9:$E$108,Overrides!$B$9:$B$108,$C325,Overrides!$C$9:$C$108,$L325),Recurring!$D$25))</f>
        <v/>
      </c>
      <c r="F325" s="119" t="str">
        <f aca="false">IF($C325="","",IF(Recurring!$E$25="Weekly",Recurring!$F$25+7*1,IF(Recurring!$E$25="Every 2 Weeks",Recurring!$F$25+14*1,IF(Recurring!$E$25="Monthly",EDATE(Recurring!$F$25,1),IF(Recurring!$E$25="Twice a Month",IF(MOD((IF(DAY(Recurring!$F$25)&lt;=20,0,1)+1),2)=1,EOMONTH(Recurring!$F$25,INT((IF(DAY(Recurring!$F$25)&lt;=20,0,1)+1)/2)),DATE(YEAR(EDATE(Recurring!$F$25,INT((IF(DAY(Recurring!$F$25)&lt;=20,0,1)+1)/2))),MONTH(EDATE(Recurring!$F$25,INT((IF(DAY(Recurring!$F$25)&lt;=20,0,1)+1)/2))),15)),IF(Recurring!$E$25="One Time",IF(2=1,Recurring!$F$25,""),""))))))</f>
        <v/>
      </c>
      <c r="G325" s="119" t="str">
        <f aca="false">IF($L325="","",IF(SUMIFS(Overrides!$D$9:$D$108,Overrides!$B$9:$B$108,$C325,Overrides!$C$9:$C$108,$L325)&gt;0,SUMIFS(Overrides!$D$9:$D$108,Overrides!$B$9:$B$108,$C325,Overrides!$C$9:$C$108,$L325),$L325))</f>
        <v/>
      </c>
      <c r="H325" s="120" t="n">
        <f aca="false">IF($G325="",0,IF(AND($G325&gt;='Cash Flow'!$E$6,$G325&lt;'Cash Flow'!$E$6+91),1,0))</f>
        <v>0</v>
      </c>
      <c r="I325" s="120" t="str">
        <f aca="false">IF($H325=1,MAX(1,INT(($G325-'Cash Flow'!$E$6)/7)+1),"")</f>
        <v/>
      </c>
      <c r="J325" s="7" t="str">
        <f aca="false">IF($H325=1,$G325*10000+ROW(),"")</f>
        <v/>
      </c>
      <c r="K325" s="7" t="str">
        <f aca="false">IF($H325=1,$I325*1000+COUNTIFS($I$4:$I$483,$I325,$J$4:$J$483,"&lt;"&amp;$J325)+1,"")</f>
        <v/>
      </c>
      <c r="L325" s="121" t="str">
        <f aca="false">IF($F325="","",IF(Recurring!$G$25="Move Before",IF(WEEKDAY($F325,2)=6,$F325-1,IF(WEEKDAY($F325,2)=7,$F325-2,$F325)),IF(Recurring!$G$25="Move After",IF(WEEKDAY($F325,2)=6,$F325+2,IF(WEEKDAY($F325,2)=7,$F325+1,$F325)),$F325)))</f>
        <v/>
      </c>
      <c r="M325" s="0" t="str">
        <f aca="true">IF(AND($H325=1,$D325="Expense",$G325&gt;TODAY(),$E325&gt;=100),$G325*100000+ROW(),"")</f>
        <v/>
      </c>
      <c r="N325" s="0" t="str">
        <f aca="true">IF(AND($H325=1,$D325="Income",$G325&gt;TODAY()),$G325*100000+ROW(),"")</f>
        <v/>
      </c>
    </row>
    <row r="326" customFormat="false" ht="15" hidden="false" customHeight="true" outlineLevel="0" collapsed="false">
      <c r="A326" s="117" t="n">
        <v>21</v>
      </c>
      <c r="B326" s="117" t="n">
        <v>3</v>
      </c>
      <c r="C326" s="7" t="str">
        <f aca="false">IF(OR(Recurring!$B$25="",Recurring!$H$25&lt;&gt;"Yes",Recurring!$D$25=""),"",Recurring!$B$25)</f>
        <v/>
      </c>
      <c r="D326" s="7" t="str">
        <f aca="false">IF($C326="","",Recurring!$C$25)</f>
        <v/>
      </c>
      <c r="E326" s="118" t="str">
        <f aca="false">IF($C326="","",IF(SUMIFS(Overrides!$E$9:$E$108,Overrides!$B$9:$B$108,$C326,Overrides!$C$9:$C$108,$L326)&gt;0,SUMIFS(Overrides!$E$9:$E$108,Overrides!$B$9:$B$108,$C326,Overrides!$C$9:$C$108,$L326),Recurring!$D$25))</f>
        <v/>
      </c>
      <c r="F326" s="119" t="str">
        <f aca="false">IF($C326="","",IF(Recurring!$E$25="Weekly",Recurring!$F$25+7*2,IF(Recurring!$E$25="Every 2 Weeks",Recurring!$F$25+14*2,IF(Recurring!$E$25="Monthly",EDATE(Recurring!$F$25,2),IF(Recurring!$E$25="Twice a Month",IF(MOD((IF(DAY(Recurring!$F$25)&lt;=20,0,1)+2),2)=1,EOMONTH(Recurring!$F$25,INT((IF(DAY(Recurring!$F$25)&lt;=20,0,1)+2)/2)),DATE(YEAR(EDATE(Recurring!$F$25,INT((IF(DAY(Recurring!$F$25)&lt;=20,0,1)+2)/2))),MONTH(EDATE(Recurring!$F$25,INT((IF(DAY(Recurring!$F$25)&lt;=20,0,1)+2)/2))),15)),IF(Recurring!$E$25="One Time",IF(3=1,Recurring!$F$25,""),""))))))</f>
        <v/>
      </c>
      <c r="G326" s="119" t="str">
        <f aca="false">IF($L326="","",IF(SUMIFS(Overrides!$D$9:$D$108,Overrides!$B$9:$B$108,$C326,Overrides!$C$9:$C$108,$L326)&gt;0,SUMIFS(Overrides!$D$9:$D$108,Overrides!$B$9:$B$108,$C326,Overrides!$C$9:$C$108,$L326),$L326))</f>
        <v/>
      </c>
      <c r="H326" s="120" t="n">
        <f aca="false">IF($G326="",0,IF(AND($G326&gt;='Cash Flow'!$E$6,$G326&lt;'Cash Flow'!$E$6+91),1,0))</f>
        <v>0</v>
      </c>
      <c r="I326" s="120" t="str">
        <f aca="false">IF($H326=1,MAX(1,INT(($G326-'Cash Flow'!$E$6)/7)+1),"")</f>
        <v/>
      </c>
      <c r="J326" s="7" t="str">
        <f aca="false">IF($H326=1,$G326*10000+ROW(),"")</f>
        <v/>
      </c>
      <c r="K326" s="7" t="str">
        <f aca="false">IF($H326=1,$I326*1000+COUNTIFS($I$4:$I$483,$I326,$J$4:$J$483,"&lt;"&amp;$J326)+1,"")</f>
        <v/>
      </c>
      <c r="L326" s="121" t="str">
        <f aca="false">IF($F326="","",IF(Recurring!$G$25="Move Before",IF(WEEKDAY($F326,2)=6,$F326-1,IF(WEEKDAY($F326,2)=7,$F326-2,$F326)),IF(Recurring!$G$25="Move After",IF(WEEKDAY($F326,2)=6,$F326+2,IF(WEEKDAY($F326,2)=7,$F326+1,$F326)),$F326)))</f>
        <v/>
      </c>
      <c r="M326" s="0" t="str">
        <f aca="true">IF(AND($H326=1,$D326="Expense",$G326&gt;TODAY(),$E326&gt;=100),$G326*100000+ROW(),"")</f>
        <v/>
      </c>
      <c r="N326" s="0" t="str">
        <f aca="true">IF(AND($H326=1,$D326="Income",$G326&gt;TODAY()),$G326*100000+ROW(),"")</f>
        <v/>
      </c>
    </row>
    <row r="327" customFormat="false" ht="15" hidden="false" customHeight="true" outlineLevel="0" collapsed="false">
      <c r="A327" s="117" t="n">
        <v>21</v>
      </c>
      <c r="B327" s="117" t="n">
        <v>4</v>
      </c>
      <c r="C327" s="7" t="str">
        <f aca="false">IF(OR(Recurring!$B$25="",Recurring!$H$25&lt;&gt;"Yes",Recurring!$D$25=""),"",Recurring!$B$25)</f>
        <v/>
      </c>
      <c r="D327" s="7" t="str">
        <f aca="false">IF($C327="","",Recurring!$C$25)</f>
        <v/>
      </c>
      <c r="E327" s="118" t="str">
        <f aca="false">IF($C327="","",IF(SUMIFS(Overrides!$E$9:$E$108,Overrides!$B$9:$B$108,$C327,Overrides!$C$9:$C$108,$L327)&gt;0,SUMIFS(Overrides!$E$9:$E$108,Overrides!$B$9:$B$108,$C327,Overrides!$C$9:$C$108,$L327),Recurring!$D$25))</f>
        <v/>
      </c>
      <c r="F327" s="119" t="str">
        <f aca="false">IF($C327="","",IF(Recurring!$E$25="Weekly",Recurring!$F$25+7*3,IF(Recurring!$E$25="Every 2 Weeks",Recurring!$F$25+14*3,IF(Recurring!$E$25="Monthly",EDATE(Recurring!$F$25,3),IF(Recurring!$E$25="Twice a Month",IF(MOD((IF(DAY(Recurring!$F$25)&lt;=20,0,1)+3),2)=1,EOMONTH(Recurring!$F$25,INT((IF(DAY(Recurring!$F$25)&lt;=20,0,1)+3)/2)),DATE(YEAR(EDATE(Recurring!$F$25,INT((IF(DAY(Recurring!$F$25)&lt;=20,0,1)+3)/2))),MONTH(EDATE(Recurring!$F$25,INT((IF(DAY(Recurring!$F$25)&lt;=20,0,1)+3)/2))),15)),IF(Recurring!$E$25="One Time",IF(4=1,Recurring!$F$25,""),""))))))</f>
        <v/>
      </c>
      <c r="G327" s="119" t="str">
        <f aca="false">IF($L327="","",IF(SUMIFS(Overrides!$D$9:$D$108,Overrides!$B$9:$B$108,$C327,Overrides!$C$9:$C$108,$L327)&gt;0,SUMIFS(Overrides!$D$9:$D$108,Overrides!$B$9:$B$108,$C327,Overrides!$C$9:$C$108,$L327),$L327))</f>
        <v/>
      </c>
      <c r="H327" s="120" t="n">
        <f aca="false">IF($G327="",0,IF(AND($G327&gt;='Cash Flow'!$E$6,$G327&lt;'Cash Flow'!$E$6+91),1,0))</f>
        <v>0</v>
      </c>
      <c r="I327" s="120" t="str">
        <f aca="false">IF($H327=1,MAX(1,INT(($G327-'Cash Flow'!$E$6)/7)+1),"")</f>
        <v/>
      </c>
      <c r="J327" s="7" t="str">
        <f aca="false">IF($H327=1,$G327*10000+ROW(),"")</f>
        <v/>
      </c>
      <c r="K327" s="7" t="str">
        <f aca="false">IF($H327=1,$I327*1000+COUNTIFS($I$4:$I$483,$I327,$J$4:$J$483,"&lt;"&amp;$J327)+1,"")</f>
        <v/>
      </c>
      <c r="L327" s="121" t="str">
        <f aca="false">IF($F327="","",IF(Recurring!$G$25="Move Before",IF(WEEKDAY($F327,2)=6,$F327-1,IF(WEEKDAY($F327,2)=7,$F327-2,$F327)),IF(Recurring!$G$25="Move After",IF(WEEKDAY($F327,2)=6,$F327+2,IF(WEEKDAY($F327,2)=7,$F327+1,$F327)),$F327)))</f>
        <v/>
      </c>
      <c r="M327" s="0" t="str">
        <f aca="true">IF(AND($H327=1,$D327="Expense",$G327&gt;TODAY(),$E327&gt;=100),$G327*100000+ROW(),"")</f>
        <v/>
      </c>
      <c r="N327" s="0" t="str">
        <f aca="true">IF(AND($H327=1,$D327="Income",$G327&gt;TODAY()),$G327*100000+ROW(),"")</f>
        <v/>
      </c>
    </row>
    <row r="328" customFormat="false" ht="15" hidden="false" customHeight="true" outlineLevel="0" collapsed="false">
      <c r="A328" s="117" t="n">
        <v>21</v>
      </c>
      <c r="B328" s="117" t="n">
        <v>5</v>
      </c>
      <c r="C328" s="7" t="str">
        <f aca="false">IF(OR(Recurring!$B$25="",Recurring!$H$25&lt;&gt;"Yes",Recurring!$D$25=""),"",Recurring!$B$25)</f>
        <v/>
      </c>
      <c r="D328" s="7" t="str">
        <f aca="false">IF($C328="","",Recurring!$C$25)</f>
        <v/>
      </c>
      <c r="E328" s="118" t="str">
        <f aca="false">IF($C328="","",IF(SUMIFS(Overrides!$E$9:$E$108,Overrides!$B$9:$B$108,$C328,Overrides!$C$9:$C$108,$L328)&gt;0,SUMIFS(Overrides!$E$9:$E$108,Overrides!$B$9:$B$108,$C328,Overrides!$C$9:$C$108,$L328),Recurring!$D$25))</f>
        <v/>
      </c>
      <c r="F328" s="119" t="str">
        <f aca="false">IF($C328="","",IF(Recurring!$E$25="Weekly",Recurring!$F$25+7*4,IF(Recurring!$E$25="Every 2 Weeks",Recurring!$F$25+14*4,IF(Recurring!$E$25="Monthly",EDATE(Recurring!$F$25,4),IF(Recurring!$E$25="Twice a Month",IF(MOD((IF(DAY(Recurring!$F$25)&lt;=20,0,1)+4),2)=1,EOMONTH(Recurring!$F$25,INT((IF(DAY(Recurring!$F$25)&lt;=20,0,1)+4)/2)),DATE(YEAR(EDATE(Recurring!$F$25,INT((IF(DAY(Recurring!$F$25)&lt;=20,0,1)+4)/2))),MONTH(EDATE(Recurring!$F$25,INT((IF(DAY(Recurring!$F$25)&lt;=20,0,1)+4)/2))),15)),IF(Recurring!$E$25="One Time",IF(5=1,Recurring!$F$25,""),""))))))</f>
        <v/>
      </c>
      <c r="G328" s="119" t="str">
        <f aca="false">IF($L328="","",IF(SUMIFS(Overrides!$D$9:$D$108,Overrides!$B$9:$B$108,$C328,Overrides!$C$9:$C$108,$L328)&gt;0,SUMIFS(Overrides!$D$9:$D$108,Overrides!$B$9:$B$108,$C328,Overrides!$C$9:$C$108,$L328),$L328))</f>
        <v/>
      </c>
      <c r="H328" s="120" t="n">
        <f aca="false">IF($G328="",0,IF(AND($G328&gt;='Cash Flow'!$E$6,$G328&lt;'Cash Flow'!$E$6+91),1,0))</f>
        <v>0</v>
      </c>
      <c r="I328" s="120" t="str">
        <f aca="false">IF($H328=1,MAX(1,INT(($G328-'Cash Flow'!$E$6)/7)+1),"")</f>
        <v/>
      </c>
      <c r="J328" s="7" t="str">
        <f aca="false">IF($H328=1,$G328*10000+ROW(),"")</f>
        <v/>
      </c>
      <c r="K328" s="7" t="str">
        <f aca="false">IF($H328=1,$I328*1000+COUNTIFS($I$4:$I$483,$I328,$J$4:$J$483,"&lt;"&amp;$J328)+1,"")</f>
        <v/>
      </c>
      <c r="L328" s="121" t="str">
        <f aca="false">IF($F328="","",IF(Recurring!$G$25="Move Before",IF(WEEKDAY($F328,2)=6,$F328-1,IF(WEEKDAY($F328,2)=7,$F328-2,$F328)),IF(Recurring!$G$25="Move After",IF(WEEKDAY($F328,2)=6,$F328+2,IF(WEEKDAY($F328,2)=7,$F328+1,$F328)),$F328)))</f>
        <v/>
      </c>
      <c r="M328" s="0" t="str">
        <f aca="true">IF(AND($H328=1,$D328="Expense",$G328&gt;TODAY(),$E328&gt;=100),$G328*100000+ROW(),"")</f>
        <v/>
      </c>
      <c r="N328" s="0" t="str">
        <f aca="true">IF(AND($H328=1,$D328="Income",$G328&gt;TODAY()),$G328*100000+ROW(),"")</f>
        <v/>
      </c>
    </row>
    <row r="329" customFormat="false" ht="15" hidden="false" customHeight="true" outlineLevel="0" collapsed="false">
      <c r="A329" s="117" t="n">
        <v>21</v>
      </c>
      <c r="B329" s="117" t="n">
        <v>6</v>
      </c>
      <c r="C329" s="7" t="str">
        <f aca="false">IF(OR(Recurring!$B$25="",Recurring!$H$25&lt;&gt;"Yes",Recurring!$D$25=""),"",Recurring!$B$25)</f>
        <v/>
      </c>
      <c r="D329" s="7" t="str">
        <f aca="false">IF($C329="","",Recurring!$C$25)</f>
        <v/>
      </c>
      <c r="E329" s="118" t="str">
        <f aca="false">IF($C329="","",IF(SUMIFS(Overrides!$E$9:$E$108,Overrides!$B$9:$B$108,$C329,Overrides!$C$9:$C$108,$L329)&gt;0,SUMIFS(Overrides!$E$9:$E$108,Overrides!$B$9:$B$108,$C329,Overrides!$C$9:$C$108,$L329),Recurring!$D$25))</f>
        <v/>
      </c>
      <c r="F329" s="119" t="str">
        <f aca="false">IF($C329="","",IF(Recurring!$E$25="Weekly",Recurring!$F$25+7*5,IF(Recurring!$E$25="Every 2 Weeks",Recurring!$F$25+14*5,IF(Recurring!$E$25="Monthly",EDATE(Recurring!$F$25,5),IF(Recurring!$E$25="Twice a Month",IF(MOD((IF(DAY(Recurring!$F$25)&lt;=20,0,1)+5),2)=1,EOMONTH(Recurring!$F$25,INT((IF(DAY(Recurring!$F$25)&lt;=20,0,1)+5)/2)),DATE(YEAR(EDATE(Recurring!$F$25,INT((IF(DAY(Recurring!$F$25)&lt;=20,0,1)+5)/2))),MONTH(EDATE(Recurring!$F$25,INT((IF(DAY(Recurring!$F$25)&lt;=20,0,1)+5)/2))),15)),IF(Recurring!$E$25="One Time",IF(6=1,Recurring!$F$25,""),""))))))</f>
        <v/>
      </c>
      <c r="G329" s="119" t="str">
        <f aca="false">IF($L329="","",IF(SUMIFS(Overrides!$D$9:$D$108,Overrides!$B$9:$B$108,$C329,Overrides!$C$9:$C$108,$L329)&gt;0,SUMIFS(Overrides!$D$9:$D$108,Overrides!$B$9:$B$108,$C329,Overrides!$C$9:$C$108,$L329),$L329))</f>
        <v/>
      </c>
      <c r="H329" s="120" t="n">
        <f aca="false">IF($G329="",0,IF(AND($G329&gt;='Cash Flow'!$E$6,$G329&lt;'Cash Flow'!$E$6+91),1,0))</f>
        <v>0</v>
      </c>
      <c r="I329" s="120" t="str">
        <f aca="false">IF($H329=1,MAX(1,INT(($G329-'Cash Flow'!$E$6)/7)+1),"")</f>
        <v/>
      </c>
      <c r="J329" s="7" t="str">
        <f aca="false">IF($H329=1,$G329*10000+ROW(),"")</f>
        <v/>
      </c>
      <c r="K329" s="7" t="str">
        <f aca="false">IF($H329=1,$I329*1000+COUNTIFS($I$4:$I$483,$I329,$J$4:$J$483,"&lt;"&amp;$J329)+1,"")</f>
        <v/>
      </c>
      <c r="L329" s="121" t="str">
        <f aca="false">IF($F329="","",IF(Recurring!$G$25="Move Before",IF(WEEKDAY($F329,2)=6,$F329-1,IF(WEEKDAY($F329,2)=7,$F329-2,$F329)),IF(Recurring!$G$25="Move After",IF(WEEKDAY($F329,2)=6,$F329+2,IF(WEEKDAY($F329,2)=7,$F329+1,$F329)),$F329)))</f>
        <v/>
      </c>
      <c r="M329" s="0" t="str">
        <f aca="true">IF(AND($H329=1,$D329="Expense",$G329&gt;TODAY(),$E329&gt;=100),$G329*100000+ROW(),"")</f>
        <v/>
      </c>
      <c r="N329" s="0" t="str">
        <f aca="true">IF(AND($H329=1,$D329="Income",$G329&gt;TODAY()),$G329*100000+ROW(),"")</f>
        <v/>
      </c>
    </row>
    <row r="330" customFormat="false" ht="15" hidden="false" customHeight="true" outlineLevel="0" collapsed="false">
      <c r="A330" s="117" t="n">
        <v>21</v>
      </c>
      <c r="B330" s="117" t="n">
        <v>7</v>
      </c>
      <c r="C330" s="7" t="str">
        <f aca="false">IF(OR(Recurring!$B$25="",Recurring!$H$25&lt;&gt;"Yes",Recurring!$D$25=""),"",Recurring!$B$25)</f>
        <v/>
      </c>
      <c r="D330" s="7" t="str">
        <f aca="false">IF($C330="","",Recurring!$C$25)</f>
        <v/>
      </c>
      <c r="E330" s="118" t="str">
        <f aca="false">IF($C330="","",IF(SUMIFS(Overrides!$E$9:$E$108,Overrides!$B$9:$B$108,$C330,Overrides!$C$9:$C$108,$L330)&gt;0,SUMIFS(Overrides!$E$9:$E$108,Overrides!$B$9:$B$108,$C330,Overrides!$C$9:$C$108,$L330),Recurring!$D$25))</f>
        <v/>
      </c>
      <c r="F330" s="119" t="str">
        <f aca="false">IF($C330="","",IF(Recurring!$E$25="Weekly",Recurring!$F$25+7*6,IF(Recurring!$E$25="Every 2 Weeks",Recurring!$F$25+14*6,IF(Recurring!$E$25="Monthly",EDATE(Recurring!$F$25,6),IF(Recurring!$E$25="Twice a Month",IF(MOD((IF(DAY(Recurring!$F$25)&lt;=20,0,1)+6),2)=1,EOMONTH(Recurring!$F$25,INT((IF(DAY(Recurring!$F$25)&lt;=20,0,1)+6)/2)),DATE(YEAR(EDATE(Recurring!$F$25,INT((IF(DAY(Recurring!$F$25)&lt;=20,0,1)+6)/2))),MONTH(EDATE(Recurring!$F$25,INT((IF(DAY(Recurring!$F$25)&lt;=20,0,1)+6)/2))),15)),IF(Recurring!$E$25="One Time",IF(7=1,Recurring!$F$25,""),""))))))</f>
        <v/>
      </c>
      <c r="G330" s="119" t="str">
        <f aca="false">IF($L330="","",IF(SUMIFS(Overrides!$D$9:$D$108,Overrides!$B$9:$B$108,$C330,Overrides!$C$9:$C$108,$L330)&gt;0,SUMIFS(Overrides!$D$9:$D$108,Overrides!$B$9:$B$108,$C330,Overrides!$C$9:$C$108,$L330),$L330))</f>
        <v/>
      </c>
      <c r="H330" s="120" t="n">
        <f aca="false">IF($G330="",0,IF(AND($G330&gt;='Cash Flow'!$E$6,$G330&lt;'Cash Flow'!$E$6+91),1,0))</f>
        <v>0</v>
      </c>
      <c r="I330" s="120" t="str">
        <f aca="false">IF($H330=1,MAX(1,INT(($G330-'Cash Flow'!$E$6)/7)+1),"")</f>
        <v/>
      </c>
      <c r="J330" s="7" t="str">
        <f aca="false">IF($H330=1,$G330*10000+ROW(),"")</f>
        <v/>
      </c>
      <c r="K330" s="7" t="str">
        <f aca="false">IF($H330=1,$I330*1000+COUNTIFS($I$4:$I$483,$I330,$J$4:$J$483,"&lt;"&amp;$J330)+1,"")</f>
        <v/>
      </c>
      <c r="L330" s="121" t="str">
        <f aca="false">IF($F330="","",IF(Recurring!$G$25="Move Before",IF(WEEKDAY($F330,2)=6,$F330-1,IF(WEEKDAY($F330,2)=7,$F330-2,$F330)),IF(Recurring!$G$25="Move After",IF(WEEKDAY($F330,2)=6,$F330+2,IF(WEEKDAY($F330,2)=7,$F330+1,$F330)),$F330)))</f>
        <v/>
      </c>
      <c r="M330" s="0" t="str">
        <f aca="true">IF(AND($H330=1,$D330="Expense",$G330&gt;TODAY(),$E330&gt;=100),$G330*100000+ROW(),"")</f>
        <v/>
      </c>
      <c r="N330" s="0" t="str">
        <f aca="true">IF(AND($H330=1,$D330="Income",$G330&gt;TODAY()),$G330*100000+ROW(),"")</f>
        <v/>
      </c>
    </row>
    <row r="331" customFormat="false" ht="15" hidden="false" customHeight="true" outlineLevel="0" collapsed="false">
      <c r="A331" s="117" t="n">
        <v>21</v>
      </c>
      <c r="B331" s="117" t="n">
        <v>8</v>
      </c>
      <c r="C331" s="7" t="str">
        <f aca="false">IF(OR(Recurring!$B$25="",Recurring!$H$25&lt;&gt;"Yes",Recurring!$D$25=""),"",Recurring!$B$25)</f>
        <v/>
      </c>
      <c r="D331" s="7" t="str">
        <f aca="false">IF($C331="","",Recurring!$C$25)</f>
        <v/>
      </c>
      <c r="E331" s="118" t="str">
        <f aca="false">IF($C331="","",IF(SUMIFS(Overrides!$E$9:$E$108,Overrides!$B$9:$B$108,$C331,Overrides!$C$9:$C$108,$L331)&gt;0,SUMIFS(Overrides!$E$9:$E$108,Overrides!$B$9:$B$108,$C331,Overrides!$C$9:$C$108,$L331),Recurring!$D$25))</f>
        <v/>
      </c>
      <c r="F331" s="119" t="str">
        <f aca="false">IF($C331="","",IF(Recurring!$E$25="Weekly",Recurring!$F$25+7*7,IF(Recurring!$E$25="Every 2 Weeks",Recurring!$F$25+14*7,IF(Recurring!$E$25="Monthly",EDATE(Recurring!$F$25,7),IF(Recurring!$E$25="Twice a Month",IF(MOD((IF(DAY(Recurring!$F$25)&lt;=20,0,1)+7),2)=1,EOMONTH(Recurring!$F$25,INT((IF(DAY(Recurring!$F$25)&lt;=20,0,1)+7)/2)),DATE(YEAR(EDATE(Recurring!$F$25,INT((IF(DAY(Recurring!$F$25)&lt;=20,0,1)+7)/2))),MONTH(EDATE(Recurring!$F$25,INT((IF(DAY(Recurring!$F$25)&lt;=20,0,1)+7)/2))),15)),IF(Recurring!$E$25="One Time",IF(8=1,Recurring!$F$25,""),""))))))</f>
        <v/>
      </c>
      <c r="G331" s="119" t="str">
        <f aca="false">IF($L331="","",IF(SUMIFS(Overrides!$D$9:$D$108,Overrides!$B$9:$B$108,$C331,Overrides!$C$9:$C$108,$L331)&gt;0,SUMIFS(Overrides!$D$9:$D$108,Overrides!$B$9:$B$108,$C331,Overrides!$C$9:$C$108,$L331),$L331))</f>
        <v/>
      </c>
      <c r="H331" s="120" t="n">
        <f aca="false">IF($G331="",0,IF(AND($G331&gt;='Cash Flow'!$E$6,$G331&lt;'Cash Flow'!$E$6+91),1,0))</f>
        <v>0</v>
      </c>
      <c r="I331" s="120" t="str">
        <f aca="false">IF($H331=1,MAX(1,INT(($G331-'Cash Flow'!$E$6)/7)+1),"")</f>
        <v/>
      </c>
      <c r="J331" s="7" t="str">
        <f aca="false">IF($H331=1,$G331*10000+ROW(),"")</f>
        <v/>
      </c>
      <c r="K331" s="7" t="str">
        <f aca="false">IF($H331=1,$I331*1000+COUNTIFS($I$4:$I$483,$I331,$J$4:$J$483,"&lt;"&amp;$J331)+1,"")</f>
        <v/>
      </c>
      <c r="L331" s="121" t="str">
        <f aca="false">IF($F331="","",IF(Recurring!$G$25="Move Before",IF(WEEKDAY($F331,2)=6,$F331-1,IF(WEEKDAY($F331,2)=7,$F331-2,$F331)),IF(Recurring!$G$25="Move After",IF(WEEKDAY($F331,2)=6,$F331+2,IF(WEEKDAY($F331,2)=7,$F331+1,$F331)),$F331)))</f>
        <v/>
      </c>
      <c r="M331" s="0" t="str">
        <f aca="true">IF(AND($H331=1,$D331="Expense",$G331&gt;TODAY(),$E331&gt;=100),$G331*100000+ROW(),"")</f>
        <v/>
      </c>
      <c r="N331" s="0" t="str">
        <f aca="true">IF(AND($H331=1,$D331="Income",$G331&gt;TODAY()),$G331*100000+ROW(),"")</f>
        <v/>
      </c>
    </row>
    <row r="332" customFormat="false" ht="15" hidden="false" customHeight="true" outlineLevel="0" collapsed="false">
      <c r="A332" s="117" t="n">
        <v>21</v>
      </c>
      <c r="B332" s="117" t="n">
        <v>9</v>
      </c>
      <c r="C332" s="7" t="str">
        <f aca="false">IF(OR(Recurring!$B$25="",Recurring!$H$25&lt;&gt;"Yes",Recurring!$D$25=""),"",Recurring!$B$25)</f>
        <v/>
      </c>
      <c r="D332" s="7" t="str">
        <f aca="false">IF($C332="","",Recurring!$C$25)</f>
        <v/>
      </c>
      <c r="E332" s="118" t="str">
        <f aca="false">IF($C332="","",IF(SUMIFS(Overrides!$E$9:$E$108,Overrides!$B$9:$B$108,$C332,Overrides!$C$9:$C$108,$L332)&gt;0,SUMIFS(Overrides!$E$9:$E$108,Overrides!$B$9:$B$108,$C332,Overrides!$C$9:$C$108,$L332),Recurring!$D$25))</f>
        <v/>
      </c>
      <c r="F332" s="119" t="str">
        <f aca="false">IF($C332="","",IF(Recurring!$E$25="Weekly",Recurring!$F$25+7*8,IF(Recurring!$E$25="Every 2 Weeks",Recurring!$F$25+14*8,IF(Recurring!$E$25="Monthly",EDATE(Recurring!$F$25,8),IF(Recurring!$E$25="Twice a Month",IF(MOD((IF(DAY(Recurring!$F$25)&lt;=20,0,1)+8),2)=1,EOMONTH(Recurring!$F$25,INT((IF(DAY(Recurring!$F$25)&lt;=20,0,1)+8)/2)),DATE(YEAR(EDATE(Recurring!$F$25,INT((IF(DAY(Recurring!$F$25)&lt;=20,0,1)+8)/2))),MONTH(EDATE(Recurring!$F$25,INT((IF(DAY(Recurring!$F$25)&lt;=20,0,1)+8)/2))),15)),IF(Recurring!$E$25="One Time",IF(9=1,Recurring!$F$25,""),""))))))</f>
        <v/>
      </c>
      <c r="G332" s="119" t="str">
        <f aca="false">IF($L332="","",IF(SUMIFS(Overrides!$D$9:$D$108,Overrides!$B$9:$B$108,$C332,Overrides!$C$9:$C$108,$L332)&gt;0,SUMIFS(Overrides!$D$9:$D$108,Overrides!$B$9:$B$108,$C332,Overrides!$C$9:$C$108,$L332),$L332))</f>
        <v/>
      </c>
      <c r="H332" s="120" t="n">
        <f aca="false">IF($G332="",0,IF(AND($G332&gt;='Cash Flow'!$E$6,$G332&lt;'Cash Flow'!$E$6+91),1,0))</f>
        <v>0</v>
      </c>
      <c r="I332" s="120" t="str">
        <f aca="false">IF($H332=1,MAX(1,INT(($G332-'Cash Flow'!$E$6)/7)+1),"")</f>
        <v/>
      </c>
      <c r="J332" s="7" t="str">
        <f aca="false">IF($H332=1,$G332*10000+ROW(),"")</f>
        <v/>
      </c>
      <c r="K332" s="7" t="str">
        <f aca="false">IF($H332=1,$I332*1000+COUNTIFS($I$4:$I$483,$I332,$J$4:$J$483,"&lt;"&amp;$J332)+1,"")</f>
        <v/>
      </c>
      <c r="L332" s="121" t="str">
        <f aca="false">IF($F332="","",IF(Recurring!$G$25="Move Before",IF(WEEKDAY($F332,2)=6,$F332-1,IF(WEEKDAY($F332,2)=7,$F332-2,$F332)),IF(Recurring!$G$25="Move After",IF(WEEKDAY($F332,2)=6,$F332+2,IF(WEEKDAY($F332,2)=7,$F332+1,$F332)),$F332)))</f>
        <v/>
      </c>
      <c r="M332" s="0" t="str">
        <f aca="true">IF(AND($H332=1,$D332="Expense",$G332&gt;TODAY(),$E332&gt;=100),$G332*100000+ROW(),"")</f>
        <v/>
      </c>
      <c r="N332" s="0" t="str">
        <f aca="true">IF(AND($H332=1,$D332="Income",$G332&gt;TODAY()),$G332*100000+ROW(),"")</f>
        <v/>
      </c>
    </row>
    <row r="333" customFormat="false" ht="15" hidden="false" customHeight="true" outlineLevel="0" collapsed="false">
      <c r="A333" s="117" t="n">
        <v>21</v>
      </c>
      <c r="B333" s="117" t="n">
        <v>10</v>
      </c>
      <c r="C333" s="7" t="str">
        <f aca="false">IF(OR(Recurring!$B$25="",Recurring!$H$25&lt;&gt;"Yes",Recurring!$D$25=""),"",Recurring!$B$25)</f>
        <v/>
      </c>
      <c r="D333" s="7" t="str">
        <f aca="false">IF($C333="","",Recurring!$C$25)</f>
        <v/>
      </c>
      <c r="E333" s="118" t="str">
        <f aca="false">IF($C333="","",IF(SUMIFS(Overrides!$E$9:$E$108,Overrides!$B$9:$B$108,$C333,Overrides!$C$9:$C$108,$L333)&gt;0,SUMIFS(Overrides!$E$9:$E$108,Overrides!$B$9:$B$108,$C333,Overrides!$C$9:$C$108,$L333),Recurring!$D$25))</f>
        <v/>
      </c>
      <c r="F333" s="119" t="str">
        <f aca="false">IF($C333="","",IF(Recurring!$E$25="Weekly",Recurring!$F$25+7*9,IF(Recurring!$E$25="Every 2 Weeks",Recurring!$F$25+14*9,IF(Recurring!$E$25="Monthly",EDATE(Recurring!$F$25,9),IF(Recurring!$E$25="Twice a Month",IF(MOD((IF(DAY(Recurring!$F$25)&lt;=20,0,1)+9),2)=1,EOMONTH(Recurring!$F$25,INT((IF(DAY(Recurring!$F$25)&lt;=20,0,1)+9)/2)),DATE(YEAR(EDATE(Recurring!$F$25,INT((IF(DAY(Recurring!$F$25)&lt;=20,0,1)+9)/2))),MONTH(EDATE(Recurring!$F$25,INT((IF(DAY(Recurring!$F$25)&lt;=20,0,1)+9)/2))),15)),IF(Recurring!$E$25="One Time",IF(10=1,Recurring!$F$25,""),""))))))</f>
        <v/>
      </c>
      <c r="G333" s="119" t="str">
        <f aca="false">IF($L333="","",IF(SUMIFS(Overrides!$D$9:$D$108,Overrides!$B$9:$B$108,$C333,Overrides!$C$9:$C$108,$L333)&gt;0,SUMIFS(Overrides!$D$9:$D$108,Overrides!$B$9:$B$108,$C333,Overrides!$C$9:$C$108,$L333),$L333))</f>
        <v/>
      </c>
      <c r="H333" s="120" t="n">
        <f aca="false">IF($G333="",0,IF(AND($G333&gt;='Cash Flow'!$E$6,$G333&lt;'Cash Flow'!$E$6+91),1,0))</f>
        <v>0</v>
      </c>
      <c r="I333" s="120" t="str">
        <f aca="false">IF($H333=1,MAX(1,INT(($G333-'Cash Flow'!$E$6)/7)+1),"")</f>
        <v/>
      </c>
      <c r="J333" s="7" t="str">
        <f aca="false">IF($H333=1,$G333*10000+ROW(),"")</f>
        <v/>
      </c>
      <c r="K333" s="7" t="str">
        <f aca="false">IF($H333=1,$I333*1000+COUNTIFS($I$4:$I$483,$I333,$J$4:$J$483,"&lt;"&amp;$J333)+1,"")</f>
        <v/>
      </c>
      <c r="L333" s="121" t="str">
        <f aca="false">IF($F333="","",IF(Recurring!$G$25="Move Before",IF(WEEKDAY($F333,2)=6,$F333-1,IF(WEEKDAY($F333,2)=7,$F333-2,$F333)),IF(Recurring!$G$25="Move After",IF(WEEKDAY($F333,2)=6,$F333+2,IF(WEEKDAY($F333,2)=7,$F333+1,$F333)),$F333)))</f>
        <v/>
      </c>
      <c r="M333" s="0" t="str">
        <f aca="true">IF(AND($H333=1,$D333="Expense",$G333&gt;TODAY(),$E333&gt;=100),$G333*100000+ROW(),"")</f>
        <v/>
      </c>
      <c r="N333" s="0" t="str">
        <f aca="true">IF(AND($H333=1,$D333="Income",$G333&gt;TODAY()),$G333*100000+ROW(),"")</f>
        <v/>
      </c>
    </row>
    <row r="334" customFormat="false" ht="15" hidden="false" customHeight="true" outlineLevel="0" collapsed="false">
      <c r="A334" s="117" t="n">
        <v>21</v>
      </c>
      <c r="B334" s="117" t="n">
        <v>11</v>
      </c>
      <c r="C334" s="7" t="str">
        <f aca="false">IF(OR(Recurring!$B$25="",Recurring!$H$25&lt;&gt;"Yes",Recurring!$D$25=""),"",Recurring!$B$25)</f>
        <v/>
      </c>
      <c r="D334" s="7" t="str">
        <f aca="false">IF($C334="","",Recurring!$C$25)</f>
        <v/>
      </c>
      <c r="E334" s="118" t="str">
        <f aca="false">IF($C334="","",IF(SUMIFS(Overrides!$E$9:$E$108,Overrides!$B$9:$B$108,$C334,Overrides!$C$9:$C$108,$L334)&gt;0,SUMIFS(Overrides!$E$9:$E$108,Overrides!$B$9:$B$108,$C334,Overrides!$C$9:$C$108,$L334),Recurring!$D$25))</f>
        <v/>
      </c>
      <c r="F334" s="119" t="str">
        <f aca="false">IF($C334="","",IF(Recurring!$E$25="Weekly",Recurring!$F$25+7*10,IF(Recurring!$E$25="Every 2 Weeks",Recurring!$F$25+14*10,IF(Recurring!$E$25="Monthly",EDATE(Recurring!$F$25,10),IF(Recurring!$E$25="Twice a Month",IF(MOD((IF(DAY(Recurring!$F$25)&lt;=20,0,1)+10),2)=1,EOMONTH(Recurring!$F$25,INT((IF(DAY(Recurring!$F$25)&lt;=20,0,1)+10)/2)),DATE(YEAR(EDATE(Recurring!$F$25,INT((IF(DAY(Recurring!$F$25)&lt;=20,0,1)+10)/2))),MONTH(EDATE(Recurring!$F$25,INT((IF(DAY(Recurring!$F$25)&lt;=20,0,1)+10)/2))),15)),IF(Recurring!$E$25="One Time",IF(11=1,Recurring!$F$25,""),""))))))</f>
        <v/>
      </c>
      <c r="G334" s="119" t="str">
        <f aca="false">IF($L334="","",IF(SUMIFS(Overrides!$D$9:$D$108,Overrides!$B$9:$B$108,$C334,Overrides!$C$9:$C$108,$L334)&gt;0,SUMIFS(Overrides!$D$9:$D$108,Overrides!$B$9:$B$108,$C334,Overrides!$C$9:$C$108,$L334),$L334))</f>
        <v/>
      </c>
      <c r="H334" s="120" t="n">
        <f aca="false">IF($G334="",0,IF(AND($G334&gt;='Cash Flow'!$E$6,$G334&lt;'Cash Flow'!$E$6+91),1,0))</f>
        <v>0</v>
      </c>
      <c r="I334" s="120" t="str">
        <f aca="false">IF($H334=1,MAX(1,INT(($G334-'Cash Flow'!$E$6)/7)+1),"")</f>
        <v/>
      </c>
      <c r="J334" s="7" t="str">
        <f aca="false">IF($H334=1,$G334*10000+ROW(),"")</f>
        <v/>
      </c>
      <c r="K334" s="7" t="str">
        <f aca="false">IF($H334=1,$I334*1000+COUNTIFS($I$4:$I$483,$I334,$J$4:$J$483,"&lt;"&amp;$J334)+1,"")</f>
        <v/>
      </c>
      <c r="L334" s="121" t="str">
        <f aca="false">IF($F334="","",IF(Recurring!$G$25="Move Before",IF(WEEKDAY($F334,2)=6,$F334-1,IF(WEEKDAY($F334,2)=7,$F334-2,$F334)),IF(Recurring!$G$25="Move After",IF(WEEKDAY($F334,2)=6,$F334+2,IF(WEEKDAY($F334,2)=7,$F334+1,$F334)),$F334)))</f>
        <v/>
      </c>
      <c r="M334" s="0" t="str">
        <f aca="true">IF(AND($H334=1,$D334="Expense",$G334&gt;TODAY(),$E334&gt;=100),$G334*100000+ROW(),"")</f>
        <v/>
      </c>
      <c r="N334" s="0" t="str">
        <f aca="true">IF(AND($H334=1,$D334="Income",$G334&gt;TODAY()),$G334*100000+ROW(),"")</f>
        <v/>
      </c>
    </row>
    <row r="335" customFormat="false" ht="15" hidden="false" customHeight="true" outlineLevel="0" collapsed="false">
      <c r="A335" s="117" t="n">
        <v>21</v>
      </c>
      <c r="B335" s="117" t="n">
        <v>12</v>
      </c>
      <c r="C335" s="7" t="str">
        <f aca="false">IF(OR(Recurring!$B$25="",Recurring!$H$25&lt;&gt;"Yes",Recurring!$D$25=""),"",Recurring!$B$25)</f>
        <v/>
      </c>
      <c r="D335" s="7" t="str">
        <f aca="false">IF($C335="","",Recurring!$C$25)</f>
        <v/>
      </c>
      <c r="E335" s="118" t="str">
        <f aca="false">IF($C335="","",IF(SUMIFS(Overrides!$E$9:$E$108,Overrides!$B$9:$B$108,$C335,Overrides!$C$9:$C$108,$L335)&gt;0,SUMIFS(Overrides!$E$9:$E$108,Overrides!$B$9:$B$108,$C335,Overrides!$C$9:$C$108,$L335),Recurring!$D$25))</f>
        <v/>
      </c>
      <c r="F335" s="119" t="str">
        <f aca="false">IF($C335="","",IF(Recurring!$E$25="Weekly",Recurring!$F$25+7*11,IF(Recurring!$E$25="Every 2 Weeks",Recurring!$F$25+14*11,IF(Recurring!$E$25="Monthly",EDATE(Recurring!$F$25,11),IF(Recurring!$E$25="Twice a Month",IF(MOD((IF(DAY(Recurring!$F$25)&lt;=20,0,1)+11),2)=1,EOMONTH(Recurring!$F$25,INT((IF(DAY(Recurring!$F$25)&lt;=20,0,1)+11)/2)),DATE(YEAR(EDATE(Recurring!$F$25,INT((IF(DAY(Recurring!$F$25)&lt;=20,0,1)+11)/2))),MONTH(EDATE(Recurring!$F$25,INT((IF(DAY(Recurring!$F$25)&lt;=20,0,1)+11)/2))),15)),IF(Recurring!$E$25="One Time",IF(12=1,Recurring!$F$25,""),""))))))</f>
        <v/>
      </c>
      <c r="G335" s="119" t="str">
        <f aca="false">IF($L335="","",IF(SUMIFS(Overrides!$D$9:$D$108,Overrides!$B$9:$B$108,$C335,Overrides!$C$9:$C$108,$L335)&gt;0,SUMIFS(Overrides!$D$9:$D$108,Overrides!$B$9:$B$108,$C335,Overrides!$C$9:$C$108,$L335),$L335))</f>
        <v/>
      </c>
      <c r="H335" s="120" t="n">
        <f aca="false">IF($G335="",0,IF(AND($G335&gt;='Cash Flow'!$E$6,$G335&lt;'Cash Flow'!$E$6+91),1,0))</f>
        <v>0</v>
      </c>
      <c r="I335" s="120" t="str">
        <f aca="false">IF($H335=1,MAX(1,INT(($G335-'Cash Flow'!$E$6)/7)+1),"")</f>
        <v/>
      </c>
      <c r="J335" s="7" t="str">
        <f aca="false">IF($H335=1,$G335*10000+ROW(),"")</f>
        <v/>
      </c>
      <c r="K335" s="7" t="str">
        <f aca="false">IF($H335=1,$I335*1000+COUNTIFS($I$4:$I$483,$I335,$J$4:$J$483,"&lt;"&amp;$J335)+1,"")</f>
        <v/>
      </c>
      <c r="L335" s="121" t="str">
        <f aca="false">IF($F335="","",IF(Recurring!$G$25="Move Before",IF(WEEKDAY($F335,2)=6,$F335-1,IF(WEEKDAY($F335,2)=7,$F335-2,$F335)),IF(Recurring!$G$25="Move After",IF(WEEKDAY($F335,2)=6,$F335+2,IF(WEEKDAY($F335,2)=7,$F335+1,$F335)),$F335)))</f>
        <v/>
      </c>
      <c r="M335" s="0" t="str">
        <f aca="true">IF(AND($H335=1,$D335="Expense",$G335&gt;TODAY(),$E335&gt;=100),$G335*100000+ROW(),"")</f>
        <v/>
      </c>
      <c r="N335" s="0" t="str">
        <f aca="true">IF(AND($H335=1,$D335="Income",$G335&gt;TODAY()),$G335*100000+ROW(),"")</f>
        <v/>
      </c>
    </row>
    <row r="336" customFormat="false" ht="15" hidden="false" customHeight="true" outlineLevel="0" collapsed="false">
      <c r="A336" s="117" t="n">
        <v>21</v>
      </c>
      <c r="B336" s="117" t="n">
        <v>13</v>
      </c>
      <c r="C336" s="7" t="str">
        <f aca="false">IF(OR(Recurring!$B$25="",Recurring!$H$25&lt;&gt;"Yes",Recurring!$D$25=""),"",Recurring!$B$25)</f>
        <v/>
      </c>
      <c r="D336" s="7" t="str">
        <f aca="false">IF($C336="","",Recurring!$C$25)</f>
        <v/>
      </c>
      <c r="E336" s="118" t="str">
        <f aca="false">IF($C336="","",IF(SUMIFS(Overrides!$E$9:$E$108,Overrides!$B$9:$B$108,$C336,Overrides!$C$9:$C$108,$L336)&gt;0,SUMIFS(Overrides!$E$9:$E$108,Overrides!$B$9:$B$108,$C336,Overrides!$C$9:$C$108,$L336),Recurring!$D$25))</f>
        <v/>
      </c>
      <c r="F336" s="119" t="str">
        <f aca="false">IF($C336="","",IF(Recurring!$E$25="Weekly",Recurring!$F$25+7*12,IF(Recurring!$E$25="Every 2 Weeks",Recurring!$F$25+14*12,IF(Recurring!$E$25="Monthly",EDATE(Recurring!$F$25,12),IF(Recurring!$E$25="Twice a Month",IF(MOD((IF(DAY(Recurring!$F$25)&lt;=20,0,1)+12),2)=1,EOMONTH(Recurring!$F$25,INT((IF(DAY(Recurring!$F$25)&lt;=20,0,1)+12)/2)),DATE(YEAR(EDATE(Recurring!$F$25,INT((IF(DAY(Recurring!$F$25)&lt;=20,0,1)+12)/2))),MONTH(EDATE(Recurring!$F$25,INT((IF(DAY(Recurring!$F$25)&lt;=20,0,1)+12)/2))),15)),IF(Recurring!$E$25="One Time",IF(13=1,Recurring!$F$25,""),""))))))</f>
        <v/>
      </c>
      <c r="G336" s="119" t="str">
        <f aca="false">IF($L336="","",IF(SUMIFS(Overrides!$D$9:$D$108,Overrides!$B$9:$B$108,$C336,Overrides!$C$9:$C$108,$L336)&gt;0,SUMIFS(Overrides!$D$9:$D$108,Overrides!$B$9:$B$108,$C336,Overrides!$C$9:$C$108,$L336),$L336))</f>
        <v/>
      </c>
      <c r="H336" s="120" t="n">
        <f aca="false">IF($G336="",0,IF(AND($G336&gt;='Cash Flow'!$E$6,$G336&lt;'Cash Flow'!$E$6+91),1,0))</f>
        <v>0</v>
      </c>
      <c r="I336" s="120" t="str">
        <f aca="false">IF($H336=1,MAX(1,INT(($G336-'Cash Flow'!$E$6)/7)+1),"")</f>
        <v/>
      </c>
      <c r="J336" s="7" t="str">
        <f aca="false">IF($H336=1,$G336*10000+ROW(),"")</f>
        <v/>
      </c>
      <c r="K336" s="7" t="str">
        <f aca="false">IF($H336=1,$I336*1000+COUNTIFS($I$4:$I$483,$I336,$J$4:$J$483,"&lt;"&amp;$J336)+1,"")</f>
        <v/>
      </c>
      <c r="L336" s="121" t="str">
        <f aca="false">IF($F336="","",IF(Recurring!$G$25="Move Before",IF(WEEKDAY($F336,2)=6,$F336-1,IF(WEEKDAY($F336,2)=7,$F336-2,$F336)),IF(Recurring!$G$25="Move After",IF(WEEKDAY($F336,2)=6,$F336+2,IF(WEEKDAY($F336,2)=7,$F336+1,$F336)),$F336)))</f>
        <v/>
      </c>
      <c r="M336" s="0" t="str">
        <f aca="true">IF(AND($H336=1,$D336="Expense",$G336&gt;TODAY(),$E336&gt;=100),$G336*100000+ROW(),"")</f>
        <v/>
      </c>
      <c r="N336" s="0" t="str">
        <f aca="true">IF(AND($H336=1,$D336="Income",$G336&gt;TODAY()),$G336*100000+ROW(),"")</f>
        <v/>
      </c>
    </row>
    <row r="337" customFormat="false" ht="15" hidden="false" customHeight="true" outlineLevel="0" collapsed="false">
      <c r="A337" s="117" t="n">
        <v>21</v>
      </c>
      <c r="B337" s="117" t="n">
        <v>14</v>
      </c>
      <c r="C337" s="7" t="str">
        <f aca="false">IF(OR(Recurring!$B$25="",Recurring!$H$25&lt;&gt;"Yes",Recurring!$D$25=""),"",Recurring!$B$25)</f>
        <v/>
      </c>
      <c r="D337" s="7" t="str">
        <f aca="false">IF($C337="","",Recurring!$C$25)</f>
        <v/>
      </c>
      <c r="E337" s="118" t="str">
        <f aca="false">IF($C337="","",IF(SUMIFS(Overrides!$E$9:$E$108,Overrides!$B$9:$B$108,$C337,Overrides!$C$9:$C$108,$L337)&gt;0,SUMIFS(Overrides!$E$9:$E$108,Overrides!$B$9:$B$108,$C337,Overrides!$C$9:$C$108,$L337),Recurring!$D$25))</f>
        <v/>
      </c>
      <c r="F337" s="119" t="str">
        <f aca="false">IF($C337="","",IF(Recurring!$E$25="Weekly",Recurring!$F$25+7*13,IF(Recurring!$E$25="Every 2 Weeks",Recurring!$F$25+14*13,IF(Recurring!$E$25="Monthly",EDATE(Recurring!$F$25,13),IF(Recurring!$E$25="Twice a Month",IF(MOD((IF(DAY(Recurring!$F$25)&lt;=20,0,1)+13),2)=1,EOMONTH(Recurring!$F$25,INT((IF(DAY(Recurring!$F$25)&lt;=20,0,1)+13)/2)),DATE(YEAR(EDATE(Recurring!$F$25,INT((IF(DAY(Recurring!$F$25)&lt;=20,0,1)+13)/2))),MONTH(EDATE(Recurring!$F$25,INT((IF(DAY(Recurring!$F$25)&lt;=20,0,1)+13)/2))),15)),IF(Recurring!$E$25="One Time",IF(14=1,Recurring!$F$25,""),""))))))</f>
        <v/>
      </c>
      <c r="G337" s="119" t="str">
        <f aca="false">IF($L337="","",IF(SUMIFS(Overrides!$D$9:$D$108,Overrides!$B$9:$B$108,$C337,Overrides!$C$9:$C$108,$L337)&gt;0,SUMIFS(Overrides!$D$9:$D$108,Overrides!$B$9:$B$108,$C337,Overrides!$C$9:$C$108,$L337),$L337))</f>
        <v/>
      </c>
      <c r="H337" s="120" t="n">
        <f aca="false">IF($G337="",0,IF(AND($G337&gt;='Cash Flow'!$E$6,$G337&lt;'Cash Flow'!$E$6+91),1,0))</f>
        <v>0</v>
      </c>
      <c r="I337" s="120" t="str">
        <f aca="false">IF($H337=1,MAX(1,INT(($G337-'Cash Flow'!$E$6)/7)+1),"")</f>
        <v/>
      </c>
      <c r="J337" s="7" t="str">
        <f aca="false">IF($H337=1,$G337*10000+ROW(),"")</f>
        <v/>
      </c>
      <c r="K337" s="7" t="str">
        <f aca="false">IF($H337=1,$I337*1000+COUNTIFS($I$4:$I$483,$I337,$J$4:$J$483,"&lt;"&amp;$J337)+1,"")</f>
        <v/>
      </c>
      <c r="L337" s="121" t="str">
        <f aca="false">IF($F337="","",IF(Recurring!$G$25="Move Before",IF(WEEKDAY($F337,2)=6,$F337-1,IF(WEEKDAY($F337,2)=7,$F337-2,$F337)),IF(Recurring!$G$25="Move After",IF(WEEKDAY($F337,2)=6,$F337+2,IF(WEEKDAY($F337,2)=7,$F337+1,$F337)),$F337)))</f>
        <v/>
      </c>
      <c r="M337" s="0" t="str">
        <f aca="true">IF(AND($H337=1,$D337="Expense",$G337&gt;TODAY(),$E337&gt;=100),$G337*100000+ROW(),"")</f>
        <v/>
      </c>
      <c r="N337" s="0" t="str">
        <f aca="true">IF(AND($H337=1,$D337="Income",$G337&gt;TODAY()),$G337*100000+ROW(),"")</f>
        <v/>
      </c>
    </row>
    <row r="338" customFormat="false" ht="15" hidden="false" customHeight="true" outlineLevel="0" collapsed="false">
      <c r="A338" s="117" t="n">
        <v>21</v>
      </c>
      <c r="B338" s="117" t="n">
        <v>15</v>
      </c>
      <c r="C338" s="7" t="str">
        <f aca="false">IF(OR(Recurring!$B$25="",Recurring!$H$25&lt;&gt;"Yes",Recurring!$D$25=""),"",Recurring!$B$25)</f>
        <v/>
      </c>
      <c r="D338" s="7" t="str">
        <f aca="false">IF($C338="","",Recurring!$C$25)</f>
        <v/>
      </c>
      <c r="E338" s="118" t="str">
        <f aca="false">IF($C338="","",IF(SUMIFS(Overrides!$E$9:$E$108,Overrides!$B$9:$B$108,$C338,Overrides!$C$9:$C$108,$L338)&gt;0,SUMIFS(Overrides!$E$9:$E$108,Overrides!$B$9:$B$108,$C338,Overrides!$C$9:$C$108,$L338),Recurring!$D$25))</f>
        <v/>
      </c>
      <c r="F338" s="119" t="str">
        <f aca="false">IF($C338="","",IF(Recurring!$E$25="Weekly",Recurring!$F$25+7*14,IF(Recurring!$E$25="Every 2 Weeks",Recurring!$F$25+14*14,IF(Recurring!$E$25="Monthly",EDATE(Recurring!$F$25,14),IF(Recurring!$E$25="Twice a Month",IF(MOD((IF(DAY(Recurring!$F$25)&lt;=20,0,1)+14),2)=1,EOMONTH(Recurring!$F$25,INT((IF(DAY(Recurring!$F$25)&lt;=20,0,1)+14)/2)),DATE(YEAR(EDATE(Recurring!$F$25,INT((IF(DAY(Recurring!$F$25)&lt;=20,0,1)+14)/2))),MONTH(EDATE(Recurring!$F$25,INT((IF(DAY(Recurring!$F$25)&lt;=20,0,1)+14)/2))),15)),IF(Recurring!$E$25="One Time",IF(15=1,Recurring!$F$25,""),""))))))</f>
        <v/>
      </c>
      <c r="G338" s="119" t="str">
        <f aca="false">IF($L338="","",IF(SUMIFS(Overrides!$D$9:$D$108,Overrides!$B$9:$B$108,$C338,Overrides!$C$9:$C$108,$L338)&gt;0,SUMIFS(Overrides!$D$9:$D$108,Overrides!$B$9:$B$108,$C338,Overrides!$C$9:$C$108,$L338),$L338))</f>
        <v/>
      </c>
      <c r="H338" s="120" t="n">
        <f aca="false">IF($G338="",0,IF(AND($G338&gt;='Cash Flow'!$E$6,$G338&lt;'Cash Flow'!$E$6+91),1,0))</f>
        <v>0</v>
      </c>
      <c r="I338" s="120" t="str">
        <f aca="false">IF($H338=1,MAX(1,INT(($G338-'Cash Flow'!$E$6)/7)+1),"")</f>
        <v/>
      </c>
      <c r="J338" s="7" t="str">
        <f aca="false">IF($H338=1,$G338*10000+ROW(),"")</f>
        <v/>
      </c>
      <c r="K338" s="7" t="str">
        <f aca="false">IF($H338=1,$I338*1000+COUNTIFS($I$4:$I$483,$I338,$J$4:$J$483,"&lt;"&amp;$J338)+1,"")</f>
        <v/>
      </c>
      <c r="L338" s="121" t="str">
        <f aca="false">IF($F338="","",IF(Recurring!$G$25="Move Before",IF(WEEKDAY($F338,2)=6,$F338-1,IF(WEEKDAY($F338,2)=7,$F338-2,$F338)),IF(Recurring!$G$25="Move After",IF(WEEKDAY($F338,2)=6,$F338+2,IF(WEEKDAY($F338,2)=7,$F338+1,$F338)),$F338)))</f>
        <v/>
      </c>
      <c r="M338" s="0" t="str">
        <f aca="true">IF(AND($H338=1,$D338="Expense",$G338&gt;TODAY(),$E338&gt;=100),$G338*100000+ROW(),"")</f>
        <v/>
      </c>
      <c r="N338" s="0" t="str">
        <f aca="true">IF(AND($H338=1,$D338="Income",$G338&gt;TODAY()),$G338*100000+ROW(),"")</f>
        <v/>
      </c>
    </row>
    <row r="339" customFormat="false" ht="15" hidden="false" customHeight="true" outlineLevel="0" collapsed="false">
      <c r="A339" s="117" t="n">
        <v>21</v>
      </c>
      <c r="B339" s="117" t="n">
        <v>16</v>
      </c>
      <c r="C339" s="7" t="str">
        <f aca="false">IF(OR(Recurring!$B$25="",Recurring!$H$25&lt;&gt;"Yes",Recurring!$D$25=""),"",Recurring!$B$25)</f>
        <v/>
      </c>
      <c r="D339" s="7" t="str">
        <f aca="false">IF($C339="","",Recurring!$C$25)</f>
        <v/>
      </c>
      <c r="E339" s="118" t="str">
        <f aca="false">IF($C339="","",IF(SUMIFS(Overrides!$E$9:$E$108,Overrides!$B$9:$B$108,$C339,Overrides!$C$9:$C$108,$L339)&gt;0,SUMIFS(Overrides!$E$9:$E$108,Overrides!$B$9:$B$108,$C339,Overrides!$C$9:$C$108,$L339),Recurring!$D$25))</f>
        <v/>
      </c>
      <c r="F339" s="119" t="str">
        <f aca="false">IF($C339="","",IF(Recurring!$E$25="Weekly",Recurring!$F$25+7*15,IF(Recurring!$E$25="Every 2 Weeks",Recurring!$F$25+14*15,IF(Recurring!$E$25="Monthly",EDATE(Recurring!$F$25,15),IF(Recurring!$E$25="Twice a Month",IF(MOD((IF(DAY(Recurring!$F$25)&lt;=20,0,1)+15),2)=1,EOMONTH(Recurring!$F$25,INT((IF(DAY(Recurring!$F$25)&lt;=20,0,1)+15)/2)),DATE(YEAR(EDATE(Recurring!$F$25,INT((IF(DAY(Recurring!$F$25)&lt;=20,0,1)+15)/2))),MONTH(EDATE(Recurring!$F$25,INT((IF(DAY(Recurring!$F$25)&lt;=20,0,1)+15)/2))),15)),IF(Recurring!$E$25="One Time",IF(16=1,Recurring!$F$25,""),""))))))</f>
        <v/>
      </c>
      <c r="G339" s="119" t="str">
        <f aca="false">IF($L339="","",IF(SUMIFS(Overrides!$D$9:$D$108,Overrides!$B$9:$B$108,$C339,Overrides!$C$9:$C$108,$L339)&gt;0,SUMIFS(Overrides!$D$9:$D$108,Overrides!$B$9:$B$108,$C339,Overrides!$C$9:$C$108,$L339),$L339))</f>
        <v/>
      </c>
      <c r="H339" s="120" t="n">
        <f aca="false">IF($G339="",0,IF(AND($G339&gt;='Cash Flow'!$E$6,$G339&lt;'Cash Flow'!$E$6+91),1,0))</f>
        <v>0</v>
      </c>
      <c r="I339" s="120" t="str">
        <f aca="false">IF($H339=1,MAX(1,INT(($G339-'Cash Flow'!$E$6)/7)+1),"")</f>
        <v/>
      </c>
      <c r="J339" s="7" t="str">
        <f aca="false">IF($H339=1,$G339*10000+ROW(),"")</f>
        <v/>
      </c>
      <c r="K339" s="7" t="str">
        <f aca="false">IF($H339=1,$I339*1000+COUNTIFS($I$4:$I$483,$I339,$J$4:$J$483,"&lt;"&amp;$J339)+1,"")</f>
        <v/>
      </c>
      <c r="L339" s="121" t="str">
        <f aca="false">IF($F339="","",IF(Recurring!$G$25="Move Before",IF(WEEKDAY($F339,2)=6,$F339-1,IF(WEEKDAY($F339,2)=7,$F339-2,$F339)),IF(Recurring!$G$25="Move After",IF(WEEKDAY($F339,2)=6,$F339+2,IF(WEEKDAY($F339,2)=7,$F339+1,$F339)),$F339)))</f>
        <v/>
      </c>
      <c r="M339" s="0" t="str">
        <f aca="true">IF(AND($H339=1,$D339="Expense",$G339&gt;TODAY(),$E339&gt;=100),$G339*100000+ROW(),"")</f>
        <v/>
      </c>
      <c r="N339" s="0" t="str">
        <f aca="true">IF(AND($H339=1,$D339="Income",$G339&gt;TODAY()),$G339*100000+ROW(),"")</f>
        <v/>
      </c>
    </row>
    <row r="340" customFormat="false" ht="15" hidden="false" customHeight="true" outlineLevel="0" collapsed="false">
      <c r="A340" s="117" t="n">
        <v>22</v>
      </c>
      <c r="B340" s="117" t="n">
        <v>1</v>
      </c>
      <c r="C340" s="7" t="str">
        <f aca="false">IF(OR(Recurring!$B$26="",Recurring!$H$26&lt;&gt;"Yes",Recurring!$D$26=""),"",Recurring!$B$26)</f>
        <v/>
      </c>
      <c r="D340" s="7" t="str">
        <f aca="false">IF($C340="","",Recurring!$C$26)</f>
        <v/>
      </c>
      <c r="E340" s="118" t="str">
        <f aca="false">IF($C340="","",IF(SUMIFS(Overrides!$E$9:$E$108,Overrides!$B$9:$B$108,$C340,Overrides!$C$9:$C$108,$L340)&gt;0,SUMIFS(Overrides!$E$9:$E$108,Overrides!$B$9:$B$108,$C340,Overrides!$C$9:$C$108,$L340),Recurring!$D$26))</f>
        <v/>
      </c>
      <c r="F340" s="119" t="str">
        <f aca="false">IF($C340="","",IF(Recurring!$E$26="Weekly",Recurring!$F$26+7*0,IF(Recurring!$E$26="Every 2 Weeks",Recurring!$F$26+14*0,IF(Recurring!$E$26="Monthly",EDATE(Recurring!$F$26,0),IF(Recurring!$E$26="Twice a Month",IF(MOD((IF(DAY(Recurring!$F$26)&lt;=20,0,1)+0),2)=1,EOMONTH(Recurring!$F$26,INT((IF(DAY(Recurring!$F$26)&lt;=20,0,1)+0)/2)),DATE(YEAR(EDATE(Recurring!$F$26,INT((IF(DAY(Recurring!$F$26)&lt;=20,0,1)+0)/2))),MONTH(EDATE(Recurring!$F$26,INT((IF(DAY(Recurring!$F$26)&lt;=20,0,1)+0)/2))),15)),IF(Recurring!$E$26="One Time",IF(1=1,Recurring!$F$26,""),""))))))</f>
        <v/>
      </c>
      <c r="G340" s="119" t="str">
        <f aca="false">IF($L340="","",IF(SUMIFS(Overrides!$D$9:$D$108,Overrides!$B$9:$B$108,$C340,Overrides!$C$9:$C$108,$L340)&gt;0,SUMIFS(Overrides!$D$9:$D$108,Overrides!$B$9:$B$108,$C340,Overrides!$C$9:$C$108,$L340),$L340))</f>
        <v/>
      </c>
      <c r="H340" s="120" t="n">
        <f aca="false">IF($G340="",0,IF(AND($G340&gt;='Cash Flow'!$E$6-90,$G340&lt;'Cash Flow'!$E$6+91),1,0))</f>
        <v>0</v>
      </c>
      <c r="I340" s="120" t="str">
        <f aca="false">IF($H340=1,MAX(1,INT(($G340-'Cash Flow'!$E$6)/7)+1),"")</f>
        <v/>
      </c>
      <c r="J340" s="7" t="str">
        <f aca="false">IF($H340=1,$G340*10000+ROW(),"")</f>
        <v/>
      </c>
      <c r="K340" s="7" t="str">
        <f aca="false">IF($H340=1,$I340*1000+COUNTIFS($I$4:$I$483,$I340,$J$4:$J$483,"&lt;"&amp;$J340)+1,"")</f>
        <v/>
      </c>
      <c r="L340" s="121" t="str">
        <f aca="false">IF($F340="","",IF(Recurring!$G$26="Move Before",IF(WEEKDAY($F340,2)=6,$F340-1,IF(WEEKDAY($F340,2)=7,$F340-2,$F340)),IF(Recurring!$G$26="Move After",IF(WEEKDAY($F340,2)=6,$F340+2,IF(WEEKDAY($F340,2)=7,$F340+1,$F340)),$F340)))</f>
        <v/>
      </c>
      <c r="M340" s="0" t="str">
        <f aca="true">IF(AND($H340=1,$D340="Expense",$G340&gt;TODAY(),$E340&gt;=100),$G340*100000+ROW(),"")</f>
        <v/>
      </c>
      <c r="N340" s="0" t="str">
        <f aca="true">IF(AND($H340=1,$D340="Income",$G340&gt;TODAY()),$G340*100000+ROW(),"")</f>
        <v/>
      </c>
    </row>
    <row r="341" customFormat="false" ht="15" hidden="false" customHeight="true" outlineLevel="0" collapsed="false">
      <c r="A341" s="117" t="n">
        <v>22</v>
      </c>
      <c r="B341" s="117" t="n">
        <v>2</v>
      </c>
      <c r="C341" s="7" t="str">
        <f aca="false">IF(OR(Recurring!$B$26="",Recurring!$H$26&lt;&gt;"Yes",Recurring!$D$26=""),"",Recurring!$B$26)</f>
        <v/>
      </c>
      <c r="D341" s="7" t="str">
        <f aca="false">IF($C341="","",Recurring!$C$26)</f>
        <v/>
      </c>
      <c r="E341" s="118" t="str">
        <f aca="false">IF($C341="","",IF(SUMIFS(Overrides!$E$9:$E$108,Overrides!$B$9:$B$108,$C341,Overrides!$C$9:$C$108,$L341)&gt;0,SUMIFS(Overrides!$E$9:$E$108,Overrides!$B$9:$B$108,$C341,Overrides!$C$9:$C$108,$L341),Recurring!$D$26))</f>
        <v/>
      </c>
      <c r="F341" s="119" t="str">
        <f aca="false">IF($C341="","",IF(Recurring!$E$26="Weekly",Recurring!$F$26+7*1,IF(Recurring!$E$26="Every 2 Weeks",Recurring!$F$26+14*1,IF(Recurring!$E$26="Monthly",EDATE(Recurring!$F$26,1),IF(Recurring!$E$26="Twice a Month",IF(MOD((IF(DAY(Recurring!$F$26)&lt;=20,0,1)+1),2)=1,EOMONTH(Recurring!$F$26,INT((IF(DAY(Recurring!$F$26)&lt;=20,0,1)+1)/2)),DATE(YEAR(EDATE(Recurring!$F$26,INT((IF(DAY(Recurring!$F$26)&lt;=20,0,1)+1)/2))),MONTH(EDATE(Recurring!$F$26,INT((IF(DAY(Recurring!$F$26)&lt;=20,0,1)+1)/2))),15)),IF(Recurring!$E$26="One Time",IF(2=1,Recurring!$F$26,""),""))))))</f>
        <v/>
      </c>
      <c r="G341" s="119" t="str">
        <f aca="false">IF($L341="","",IF(SUMIFS(Overrides!$D$9:$D$108,Overrides!$B$9:$B$108,$C341,Overrides!$C$9:$C$108,$L341)&gt;0,SUMIFS(Overrides!$D$9:$D$108,Overrides!$B$9:$B$108,$C341,Overrides!$C$9:$C$108,$L341),$L341))</f>
        <v/>
      </c>
      <c r="H341" s="120" t="n">
        <f aca="false">IF($G341="",0,IF(AND($G341&gt;='Cash Flow'!$E$6,$G341&lt;'Cash Flow'!$E$6+91),1,0))</f>
        <v>0</v>
      </c>
      <c r="I341" s="120" t="str">
        <f aca="false">IF($H341=1,MAX(1,INT(($G341-'Cash Flow'!$E$6)/7)+1),"")</f>
        <v/>
      </c>
      <c r="J341" s="7" t="str">
        <f aca="false">IF($H341=1,$G341*10000+ROW(),"")</f>
        <v/>
      </c>
      <c r="K341" s="7" t="str">
        <f aca="false">IF($H341=1,$I341*1000+COUNTIFS($I$4:$I$483,$I341,$J$4:$J$483,"&lt;"&amp;$J341)+1,"")</f>
        <v/>
      </c>
      <c r="L341" s="121" t="str">
        <f aca="false">IF($F341="","",IF(Recurring!$G$26="Move Before",IF(WEEKDAY($F341,2)=6,$F341-1,IF(WEEKDAY($F341,2)=7,$F341-2,$F341)),IF(Recurring!$G$26="Move After",IF(WEEKDAY($F341,2)=6,$F341+2,IF(WEEKDAY($F341,2)=7,$F341+1,$F341)),$F341)))</f>
        <v/>
      </c>
      <c r="M341" s="0" t="str">
        <f aca="true">IF(AND($H341=1,$D341="Expense",$G341&gt;TODAY(),$E341&gt;=100),$G341*100000+ROW(),"")</f>
        <v/>
      </c>
      <c r="N341" s="0" t="str">
        <f aca="true">IF(AND($H341=1,$D341="Income",$G341&gt;TODAY()),$G341*100000+ROW(),"")</f>
        <v/>
      </c>
    </row>
    <row r="342" customFormat="false" ht="15" hidden="false" customHeight="true" outlineLevel="0" collapsed="false">
      <c r="A342" s="117" t="n">
        <v>22</v>
      </c>
      <c r="B342" s="117" t="n">
        <v>3</v>
      </c>
      <c r="C342" s="7" t="str">
        <f aca="false">IF(OR(Recurring!$B$26="",Recurring!$H$26&lt;&gt;"Yes",Recurring!$D$26=""),"",Recurring!$B$26)</f>
        <v/>
      </c>
      <c r="D342" s="7" t="str">
        <f aca="false">IF($C342="","",Recurring!$C$26)</f>
        <v/>
      </c>
      <c r="E342" s="118" t="str">
        <f aca="false">IF($C342="","",IF(SUMIFS(Overrides!$E$9:$E$108,Overrides!$B$9:$B$108,$C342,Overrides!$C$9:$C$108,$L342)&gt;0,SUMIFS(Overrides!$E$9:$E$108,Overrides!$B$9:$B$108,$C342,Overrides!$C$9:$C$108,$L342),Recurring!$D$26))</f>
        <v/>
      </c>
      <c r="F342" s="119" t="str">
        <f aca="false">IF($C342="","",IF(Recurring!$E$26="Weekly",Recurring!$F$26+7*2,IF(Recurring!$E$26="Every 2 Weeks",Recurring!$F$26+14*2,IF(Recurring!$E$26="Monthly",EDATE(Recurring!$F$26,2),IF(Recurring!$E$26="Twice a Month",IF(MOD((IF(DAY(Recurring!$F$26)&lt;=20,0,1)+2),2)=1,EOMONTH(Recurring!$F$26,INT((IF(DAY(Recurring!$F$26)&lt;=20,0,1)+2)/2)),DATE(YEAR(EDATE(Recurring!$F$26,INT((IF(DAY(Recurring!$F$26)&lt;=20,0,1)+2)/2))),MONTH(EDATE(Recurring!$F$26,INT((IF(DAY(Recurring!$F$26)&lt;=20,0,1)+2)/2))),15)),IF(Recurring!$E$26="One Time",IF(3=1,Recurring!$F$26,""),""))))))</f>
        <v/>
      </c>
      <c r="G342" s="119" t="str">
        <f aca="false">IF($L342="","",IF(SUMIFS(Overrides!$D$9:$D$108,Overrides!$B$9:$B$108,$C342,Overrides!$C$9:$C$108,$L342)&gt;0,SUMIFS(Overrides!$D$9:$D$108,Overrides!$B$9:$B$108,$C342,Overrides!$C$9:$C$108,$L342),$L342))</f>
        <v/>
      </c>
      <c r="H342" s="120" t="n">
        <f aca="false">IF($G342="",0,IF(AND($G342&gt;='Cash Flow'!$E$6,$G342&lt;'Cash Flow'!$E$6+91),1,0))</f>
        <v>0</v>
      </c>
      <c r="I342" s="120" t="str">
        <f aca="false">IF($H342=1,MAX(1,INT(($G342-'Cash Flow'!$E$6)/7)+1),"")</f>
        <v/>
      </c>
      <c r="J342" s="7" t="str">
        <f aca="false">IF($H342=1,$G342*10000+ROW(),"")</f>
        <v/>
      </c>
      <c r="K342" s="7" t="str">
        <f aca="false">IF($H342=1,$I342*1000+COUNTIFS($I$4:$I$483,$I342,$J$4:$J$483,"&lt;"&amp;$J342)+1,"")</f>
        <v/>
      </c>
      <c r="L342" s="121" t="str">
        <f aca="false">IF($F342="","",IF(Recurring!$G$26="Move Before",IF(WEEKDAY($F342,2)=6,$F342-1,IF(WEEKDAY($F342,2)=7,$F342-2,$F342)),IF(Recurring!$G$26="Move After",IF(WEEKDAY($F342,2)=6,$F342+2,IF(WEEKDAY($F342,2)=7,$F342+1,$F342)),$F342)))</f>
        <v/>
      </c>
      <c r="M342" s="0" t="str">
        <f aca="true">IF(AND($H342=1,$D342="Expense",$G342&gt;TODAY(),$E342&gt;=100),$G342*100000+ROW(),"")</f>
        <v/>
      </c>
      <c r="N342" s="0" t="str">
        <f aca="true">IF(AND($H342=1,$D342="Income",$G342&gt;TODAY()),$G342*100000+ROW(),"")</f>
        <v/>
      </c>
    </row>
    <row r="343" customFormat="false" ht="15" hidden="false" customHeight="true" outlineLevel="0" collapsed="false">
      <c r="A343" s="117" t="n">
        <v>22</v>
      </c>
      <c r="B343" s="117" t="n">
        <v>4</v>
      </c>
      <c r="C343" s="7" t="str">
        <f aca="false">IF(OR(Recurring!$B$26="",Recurring!$H$26&lt;&gt;"Yes",Recurring!$D$26=""),"",Recurring!$B$26)</f>
        <v/>
      </c>
      <c r="D343" s="7" t="str">
        <f aca="false">IF($C343="","",Recurring!$C$26)</f>
        <v/>
      </c>
      <c r="E343" s="118" t="str">
        <f aca="false">IF($C343="","",IF(SUMIFS(Overrides!$E$9:$E$108,Overrides!$B$9:$B$108,$C343,Overrides!$C$9:$C$108,$L343)&gt;0,SUMIFS(Overrides!$E$9:$E$108,Overrides!$B$9:$B$108,$C343,Overrides!$C$9:$C$108,$L343),Recurring!$D$26))</f>
        <v/>
      </c>
      <c r="F343" s="119" t="str">
        <f aca="false">IF($C343="","",IF(Recurring!$E$26="Weekly",Recurring!$F$26+7*3,IF(Recurring!$E$26="Every 2 Weeks",Recurring!$F$26+14*3,IF(Recurring!$E$26="Monthly",EDATE(Recurring!$F$26,3),IF(Recurring!$E$26="Twice a Month",IF(MOD((IF(DAY(Recurring!$F$26)&lt;=20,0,1)+3),2)=1,EOMONTH(Recurring!$F$26,INT((IF(DAY(Recurring!$F$26)&lt;=20,0,1)+3)/2)),DATE(YEAR(EDATE(Recurring!$F$26,INT((IF(DAY(Recurring!$F$26)&lt;=20,0,1)+3)/2))),MONTH(EDATE(Recurring!$F$26,INT((IF(DAY(Recurring!$F$26)&lt;=20,0,1)+3)/2))),15)),IF(Recurring!$E$26="One Time",IF(4=1,Recurring!$F$26,""),""))))))</f>
        <v/>
      </c>
      <c r="G343" s="119" t="str">
        <f aca="false">IF($L343="","",IF(SUMIFS(Overrides!$D$9:$D$108,Overrides!$B$9:$B$108,$C343,Overrides!$C$9:$C$108,$L343)&gt;0,SUMIFS(Overrides!$D$9:$D$108,Overrides!$B$9:$B$108,$C343,Overrides!$C$9:$C$108,$L343),$L343))</f>
        <v/>
      </c>
      <c r="H343" s="120" t="n">
        <f aca="false">IF($G343="",0,IF(AND($G343&gt;='Cash Flow'!$E$6,$G343&lt;'Cash Flow'!$E$6+91),1,0))</f>
        <v>0</v>
      </c>
      <c r="I343" s="120" t="str">
        <f aca="false">IF($H343=1,MAX(1,INT(($G343-'Cash Flow'!$E$6)/7)+1),"")</f>
        <v/>
      </c>
      <c r="J343" s="7" t="str">
        <f aca="false">IF($H343=1,$G343*10000+ROW(),"")</f>
        <v/>
      </c>
      <c r="K343" s="7" t="str">
        <f aca="false">IF($H343=1,$I343*1000+COUNTIFS($I$4:$I$483,$I343,$J$4:$J$483,"&lt;"&amp;$J343)+1,"")</f>
        <v/>
      </c>
      <c r="L343" s="121" t="str">
        <f aca="false">IF($F343="","",IF(Recurring!$G$26="Move Before",IF(WEEKDAY($F343,2)=6,$F343-1,IF(WEEKDAY($F343,2)=7,$F343-2,$F343)),IF(Recurring!$G$26="Move After",IF(WEEKDAY($F343,2)=6,$F343+2,IF(WEEKDAY($F343,2)=7,$F343+1,$F343)),$F343)))</f>
        <v/>
      </c>
      <c r="M343" s="0" t="str">
        <f aca="true">IF(AND($H343=1,$D343="Expense",$G343&gt;TODAY(),$E343&gt;=100),$G343*100000+ROW(),"")</f>
        <v/>
      </c>
      <c r="N343" s="0" t="str">
        <f aca="true">IF(AND($H343=1,$D343="Income",$G343&gt;TODAY()),$G343*100000+ROW(),"")</f>
        <v/>
      </c>
    </row>
    <row r="344" customFormat="false" ht="15" hidden="false" customHeight="true" outlineLevel="0" collapsed="false">
      <c r="A344" s="117" t="n">
        <v>22</v>
      </c>
      <c r="B344" s="117" t="n">
        <v>5</v>
      </c>
      <c r="C344" s="7" t="str">
        <f aca="false">IF(OR(Recurring!$B$26="",Recurring!$H$26&lt;&gt;"Yes",Recurring!$D$26=""),"",Recurring!$B$26)</f>
        <v/>
      </c>
      <c r="D344" s="7" t="str">
        <f aca="false">IF($C344="","",Recurring!$C$26)</f>
        <v/>
      </c>
      <c r="E344" s="118" t="str">
        <f aca="false">IF($C344="","",IF(SUMIFS(Overrides!$E$9:$E$108,Overrides!$B$9:$B$108,$C344,Overrides!$C$9:$C$108,$L344)&gt;0,SUMIFS(Overrides!$E$9:$E$108,Overrides!$B$9:$B$108,$C344,Overrides!$C$9:$C$108,$L344),Recurring!$D$26))</f>
        <v/>
      </c>
      <c r="F344" s="119" t="str">
        <f aca="false">IF($C344="","",IF(Recurring!$E$26="Weekly",Recurring!$F$26+7*4,IF(Recurring!$E$26="Every 2 Weeks",Recurring!$F$26+14*4,IF(Recurring!$E$26="Monthly",EDATE(Recurring!$F$26,4),IF(Recurring!$E$26="Twice a Month",IF(MOD((IF(DAY(Recurring!$F$26)&lt;=20,0,1)+4),2)=1,EOMONTH(Recurring!$F$26,INT((IF(DAY(Recurring!$F$26)&lt;=20,0,1)+4)/2)),DATE(YEAR(EDATE(Recurring!$F$26,INT((IF(DAY(Recurring!$F$26)&lt;=20,0,1)+4)/2))),MONTH(EDATE(Recurring!$F$26,INT((IF(DAY(Recurring!$F$26)&lt;=20,0,1)+4)/2))),15)),IF(Recurring!$E$26="One Time",IF(5=1,Recurring!$F$26,""),""))))))</f>
        <v/>
      </c>
      <c r="G344" s="119" t="str">
        <f aca="false">IF($L344="","",IF(SUMIFS(Overrides!$D$9:$D$108,Overrides!$B$9:$B$108,$C344,Overrides!$C$9:$C$108,$L344)&gt;0,SUMIFS(Overrides!$D$9:$D$108,Overrides!$B$9:$B$108,$C344,Overrides!$C$9:$C$108,$L344),$L344))</f>
        <v/>
      </c>
      <c r="H344" s="120" t="n">
        <f aca="false">IF($G344="",0,IF(AND($G344&gt;='Cash Flow'!$E$6,$G344&lt;'Cash Flow'!$E$6+91),1,0))</f>
        <v>0</v>
      </c>
      <c r="I344" s="120" t="str">
        <f aca="false">IF($H344=1,MAX(1,INT(($G344-'Cash Flow'!$E$6)/7)+1),"")</f>
        <v/>
      </c>
      <c r="J344" s="7" t="str">
        <f aca="false">IF($H344=1,$G344*10000+ROW(),"")</f>
        <v/>
      </c>
      <c r="K344" s="7" t="str">
        <f aca="false">IF($H344=1,$I344*1000+COUNTIFS($I$4:$I$483,$I344,$J$4:$J$483,"&lt;"&amp;$J344)+1,"")</f>
        <v/>
      </c>
      <c r="L344" s="121" t="str">
        <f aca="false">IF($F344="","",IF(Recurring!$G$26="Move Before",IF(WEEKDAY($F344,2)=6,$F344-1,IF(WEEKDAY($F344,2)=7,$F344-2,$F344)),IF(Recurring!$G$26="Move After",IF(WEEKDAY($F344,2)=6,$F344+2,IF(WEEKDAY($F344,2)=7,$F344+1,$F344)),$F344)))</f>
        <v/>
      </c>
      <c r="M344" s="0" t="str">
        <f aca="true">IF(AND($H344=1,$D344="Expense",$G344&gt;TODAY(),$E344&gt;=100),$G344*100000+ROW(),"")</f>
        <v/>
      </c>
      <c r="N344" s="0" t="str">
        <f aca="true">IF(AND($H344=1,$D344="Income",$G344&gt;TODAY()),$G344*100000+ROW(),"")</f>
        <v/>
      </c>
    </row>
    <row r="345" customFormat="false" ht="15" hidden="false" customHeight="true" outlineLevel="0" collapsed="false">
      <c r="A345" s="117" t="n">
        <v>22</v>
      </c>
      <c r="B345" s="117" t="n">
        <v>6</v>
      </c>
      <c r="C345" s="7" t="str">
        <f aca="false">IF(OR(Recurring!$B$26="",Recurring!$H$26&lt;&gt;"Yes",Recurring!$D$26=""),"",Recurring!$B$26)</f>
        <v/>
      </c>
      <c r="D345" s="7" t="str">
        <f aca="false">IF($C345="","",Recurring!$C$26)</f>
        <v/>
      </c>
      <c r="E345" s="118" t="str">
        <f aca="false">IF($C345="","",IF(SUMIFS(Overrides!$E$9:$E$108,Overrides!$B$9:$B$108,$C345,Overrides!$C$9:$C$108,$L345)&gt;0,SUMIFS(Overrides!$E$9:$E$108,Overrides!$B$9:$B$108,$C345,Overrides!$C$9:$C$108,$L345),Recurring!$D$26))</f>
        <v/>
      </c>
      <c r="F345" s="119" t="str">
        <f aca="false">IF($C345="","",IF(Recurring!$E$26="Weekly",Recurring!$F$26+7*5,IF(Recurring!$E$26="Every 2 Weeks",Recurring!$F$26+14*5,IF(Recurring!$E$26="Monthly",EDATE(Recurring!$F$26,5),IF(Recurring!$E$26="Twice a Month",IF(MOD((IF(DAY(Recurring!$F$26)&lt;=20,0,1)+5),2)=1,EOMONTH(Recurring!$F$26,INT((IF(DAY(Recurring!$F$26)&lt;=20,0,1)+5)/2)),DATE(YEAR(EDATE(Recurring!$F$26,INT((IF(DAY(Recurring!$F$26)&lt;=20,0,1)+5)/2))),MONTH(EDATE(Recurring!$F$26,INT((IF(DAY(Recurring!$F$26)&lt;=20,0,1)+5)/2))),15)),IF(Recurring!$E$26="One Time",IF(6=1,Recurring!$F$26,""),""))))))</f>
        <v/>
      </c>
      <c r="G345" s="119" t="str">
        <f aca="false">IF($L345="","",IF(SUMIFS(Overrides!$D$9:$D$108,Overrides!$B$9:$B$108,$C345,Overrides!$C$9:$C$108,$L345)&gt;0,SUMIFS(Overrides!$D$9:$D$108,Overrides!$B$9:$B$108,$C345,Overrides!$C$9:$C$108,$L345),$L345))</f>
        <v/>
      </c>
      <c r="H345" s="120" t="n">
        <f aca="false">IF($G345="",0,IF(AND($G345&gt;='Cash Flow'!$E$6,$G345&lt;'Cash Flow'!$E$6+91),1,0))</f>
        <v>0</v>
      </c>
      <c r="I345" s="120" t="str">
        <f aca="false">IF($H345=1,MAX(1,INT(($G345-'Cash Flow'!$E$6)/7)+1),"")</f>
        <v/>
      </c>
      <c r="J345" s="7" t="str">
        <f aca="false">IF($H345=1,$G345*10000+ROW(),"")</f>
        <v/>
      </c>
      <c r="K345" s="7" t="str">
        <f aca="false">IF($H345=1,$I345*1000+COUNTIFS($I$4:$I$483,$I345,$J$4:$J$483,"&lt;"&amp;$J345)+1,"")</f>
        <v/>
      </c>
      <c r="L345" s="121" t="str">
        <f aca="false">IF($F345="","",IF(Recurring!$G$26="Move Before",IF(WEEKDAY($F345,2)=6,$F345-1,IF(WEEKDAY($F345,2)=7,$F345-2,$F345)),IF(Recurring!$G$26="Move After",IF(WEEKDAY($F345,2)=6,$F345+2,IF(WEEKDAY($F345,2)=7,$F345+1,$F345)),$F345)))</f>
        <v/>
      </c>
      <c r="M345" s="0" t="str">
        <f aca="true">IF(AND($H345=1,$D345="Expense",$G345&gt;TODAY(),$E345&gt;=100),$G345*100000+ROW(),"")</f>
        <v/>
      </c>
      <c r="N345" s="0" t="str">
        <f aca="true">IF(AND($H345=1,$D345="Income",$G345&gt;TODAY()),$G345*100000+ROW(),"")</f>
        <v/>
      </c>
    </row>
    <row r="346" customFormat="false" ht="15" hidden="false" customHeight="true" outlineLevel="0" collapsed="false">
      <c r="A346" s="117" t="n">
        <v>22</v>
      </c>
      <c r="B346" s="117" t="n">
        <v>7</v>
      </c>
      <c r="C346" s="7" t="str">
        <f aca="false">IF(OR(Recurring!$B$26="",Recurring!$H$26&lt;&gt;"Yes",Recurring!$D$26=""),"",Recurring!$B$26)</f>
        <v/>
      </c>
      <c r="D346" s="7" t="str">
        <f aca="false">IF($C346="","",Recurring!$C$26)</f>
        <v/>
      </c>
      <c r="E346" s="118" t="str">
        <f aca="false">IF($C346="","",IF(SUMIFS(Overrides!$E$9:$E$108,Overrides!$B$9:$B$108,$C346,Overrides!$C$9:$C$108,$L346)&gt;0,SUMIFS(Overrides!$E$9:$E$108,Overrides!$B$9:$B$108,$C346,Overrides!$C$9:$C$108,$L346),Recurring!$D$26))</f>
        <v/>
      </c>
      <c r="F346" s="119" t="str">
        <f aca="false">IF($C346="","",IF(Recurring!$E$26="Weekly",Recurring!$F$26+7*6,IF(Recurring!$E$26="Every 2 Weeks",Recurring!$F$26+14*6,IF(Recurring!$E$26="Monthly",EDATE(Recurring!$F$26,6),IF(Recurring!$E$26="Twice a Month",IF(MOD((IF(DAY(Recurring!$F$26)&lt;=20,0,1)+6),2)=1,EOMONTH(Recurring!$F$26,INT((IF(DAY(Recurring!$F$26)&lt;=20,0,1)+6)/2)),DATE(YEAR(EDATE(Recurring!$F$26,INT((IF(DAY(Recurring!$F$26)&lt;=20,0,1)+6)/2))),MONTH(EDATE(Recurring!$F$26,INT((IF(DAY(Recurring!$F$26)&lt;=20,0,1)+6)/2))),15)),IF(Recurring!$E$26="One Time",IF(7=1,Recurring!$F$26,""),""))))))</f>
        <v/>
      </c>
      <c r="G346" s="119" t="str">
        <f aca="false">IF($L346="","",IF(SUMIFS(Overrides!$D$9:$D$108,Overrides!$B$9:$B$108,$C346,Overrides!$C$9:$C$108,$L346)&gt;0,SUMIFS(Overrides!$D$9:$D$108,Overrides!$B$9:$B$108,$C346,Overrides!$C$9:$C$108,$L346),$L346))</f>
        <v/>
      </c>
      <c r="H346" s="120" t="n">
        <f aca="false">IF($G346="",0,IF(AND($G346&gt;='Cash Flow'!$E$6,$G346&lt;'Cash Flow'!$E$6+91),1,0))</f>
        <v>0</v>
      </c>
      <c r="I346" s="120" t="str">
        <f aca="false">IF($H346=1,MAX(1,INT(($G346-'Cash Flow'!$E$6)/7)+1),"")</f>
        <v/>
      </c>
      <c r="J346" s="7" t="str">
        <f aca="false">IF($H346=1,$G346*10000+ROW(),"")</f>
        <v/>
      </c>
      <c r="K346" s="7" t="str">
        <f aca="false">IF($H346=1,$I346*1000+COUNTIFS($I$4:$I$483,$I346,$J$4:$J$483,"&lt;"&amp;$J346)+1,"")</f>
        <v/>
      </c>
      <c r="L346" s="121" t="str">
        <f aca="false">IF($F346="","",IF(Recurring!$G$26="Move Before",IF(WEEKDAY($F346,2)=6,$F346-1,IF(WEEKDAY($F346,2)=7,$F346-2,$F346)),IF(Recurring!$G$26="Move After",IF(WEEKDAY($F346,2)=6,$F346+2,IF(WEEKDAY($F346,2)=7,$F346+1,$F346)),$F346)))</f>
        <v/>
      </c>
      <c r="M346" s="0" t="str">
        <f aca="true">IF(AND($H346=1,$D346="Expense",$G346&gt;TODAY(),$E346&gt;=100),$G346*100000+ROW(),"")</f>
        <v/>
      </c>
      <c r="N346" s="0" t="str">
        <f aca="true">IF(AND($H346=1,$D346="Income",$G346&gt;TODAY()),$G346*100000+ROW(),"")</f>
        <v/>
      </c>
    </row>
    <row r="347" customFormat="false" ht="15" hidden="false" customHeight="true" outlineLevel="0" collapsed="false">
      <c r="A347" s="117" t="n">
        <v>22</v>
      </c>
      <c r="B347" s="117" t="n">
        <v>8</v>
      </c>
      <c r="C347" s="7" t="str">
        <f aca="false">IF(OR(Recurring!$B$26="",Recurring!$H$26&lt;&gt;"Yes",Recurring!$D$26=""),"",Recurring!$B$26)</f>
        <v/>
      </c>
      <c r="D347" s="7" t="str">
        <f aca="false">IF($C347="","",Recurring!$C$26)</f>
        <v/>
      </c>
      <c r="E347" s="118" t="str">
        <f aca="false">IF($C347="","",IF(SUMIFS(Overrides!$E$9:$E$108,Overrides!$B$9:$B$108,$C347,Overrides!$C$9:$C$108,$L347)&gt;0,SUMIFS(Overrides!$E$9:$E$108,Overrides!$B$9:$B$108,$C347,Overrides!$C$9:$C$108,$L347),Recurring!$D$26))</f>
        <v/>
      </c>
      <c r="F347" s="119" t="str">
        <f aca="false">IF($C347="","",IF(Recurring!$E$26="Weekly",Recurring!$F$26+7*7,IF(Recurring!$E$26="Every 2 Weeks",Recurring!$F$26+14*7,IF(Recurring!$E$26="Monthly",EDATE(Recurring!$F$26,7),IF(Recurring!$E$26="Twice a Month",IF(MOD((IF(DAY(Recurring!$F$26)&lt;=20,0,1)+7),2)=1,EOMONTH(Recurring!$F$26,INT((IF(DAY(Recurring!$F$26)&lt;=20,0,1)+7)/2)),DATE(YEAR(EDATE(Recurring!$F$26,INT((IF(DAY(Recurring!$F$26)&lt;=20,0,1)+7)/2))),MONTH(EDATE(Recurring!$F$26,INT((IF(DAY(Recurring!$F$26)&lt;=20,0,1)+7)/2))),15)),IF(Recurring!$E$26="One Time",IF(8=1,Recurring!$F$26,""),""))))))</f>
        <v/>
      </c>
      <c r="G347" s="119" t="str">
        <f aca="false">IF($L347="","",IF(SUMIFS(Overrides!$D$9:$D$108,Overrides!$B$9:$B$108,$C347,Overrides!$C$9:$C$108,$L347)&gt;0,SUMIFS(Overrides!$D$9:$D$108,Overrides!$B$9:$B$108,$C347,Overrides!$C$9:$C$108,$L347),$L347))</f>
        <v/>
      </c>
      <c r="H347" s="120" t="n">
        <f aca="false">IF($G347="",0,IF(AND($G347&gt;='Cash Flow'!$E$6,$G347&lt;'Cash Flow'!$E$6+91),1,0))</f>
        <v>0</v>
      </c>
      <c r="I347" s="120" t="str">
        <f aca="false">IF($H347=1,MAX(1,INT(($G347-'Cash Flow'!$E$6)/7)+1),"")</f>
        <v/>
      </c>
      <c r="J347" s="7" t="str">
        <f aca="false">IF($H347=1,$G347*10000+ROW(),"")</f>
        <v/>
      </c>
      <c r="K347" s="7" t="str">
        <f aca="false">IF($H347=1,$I347*1000+COUNTIFS($I$4:$I$483,$I347,$J$4:$J$483,"&lt;"&amp;$J347)+1,"")</f>
        <v/>
      </c>
      <c r="L347" s="121" t="str">
        <f aca="false">IF($F347="","",IF(Recurring!$G$26="Move Before",IF(WEEKDAY($F347,2)=6,$F347-1,IF(WEEKDAY($F347,2)=7,$F347-2,$F347)),IF(Recurring!$G$26="Move After",IF(WEEKDAY($F347,2)=6,$F347+2,IF(WEEKDAY($F347,2)=7,$F347+1,$F347)),$F347)))</f>
        <v/>
      </c>
      <c r="M347" s="0" t="str">
        <f aca="true">IF(AND($H347=1,$D347="Expense",$G347&gt;TODAY(),$E347&gt;=100),$G347*100000+ROW(),"")</f>
        <v/>
      </c>
      <c r="N347" s="0" t="str">
        <f aca="true">IF(AND($H347=1,$D347="Income",$G347&gt;TODAY()),$G347*100000+ROW(),"")</f>
        <v/>
      </c>
    </row>
    <row r="348" customFormat="false" ht="15" hidden="false" customHeight="true" outlineLevel="0" collapsed="false">
      <c r="A348" s="117" t="n">
        <v>22</v>
      </c>
      <c r="B348" s="117" t="n">
        <v>9</v>
      </c>
      <c r="C348" s="7" t="str">
        <f aca="false">IF(OR(Recurring!$B$26="",Recurring!$H$26&lt;&gt;"Yes",Recurring!$D$26=""),"",Recurring!$B$26)</f>
        <v/>
      </c>
      <c r="D348" s="7" t="str">
        <f aca="false">IF($C348="","",Recurring!$C$26)</f>
        <v/>
      </c>
      <c r="E348" s="118" t="str">
        <f aca="false">IF($C348="","",IF(SUMIFS(Overrides!$E$9:$E$108,Overrides!$B$9:$B$108,$C348,Overrides!$C$9:$C$108,$L348)&gt;0,SUMIFS(Overrides!$E$9:$E$108,Overrides!$B$9:$B$108,$C348,Overrides!$C$9:$C$108,$L348),Recurring!$D$26))</f>
        <v/>
      </c>
      <c r="F348" s="119" t="str">
        <f aca="false">IF($C348="","",IF(Recurring!$E$26="Weekly",Recurring!$F$26+7*8,IF(Recurring!$E$26="Every 2 Weeks",Recurring!$F$26+14*8,IF(Recurring!$E$26="Monthly",EDATE(Recurring!$F$26,8),IF(Recurring!$E$26="Twice a Month",IF(MOD((IF(DAY(Recurring!$F$26)&lt;=20,0,1)+8),2)=1,EOMONTH(Recurring!$F$26,INT((IF(DAY(Recurring!$F$26)&lt;=20,0,1)+8)/2)),DATE(YEAR(EDATE(Recurring!$F$26,INT((IF(DAY(Recurring!$F$26)&lt;=20,0,1)+8)/2))),MONTH(EDATE(Recurring!$F$26,INT((IF(DAY(Recurring!$F$26)&lt;=20,0,1)+8)/2))),15)),IF(Recurring!$E$26="One Time",IF(9=1,Recurring!$F$26,""),""))))))</f>
        <v/>
      </c>
      <c r="G348" s="119" t="str">
        <f aca="false">IF($L348="","",IF(SUMIFS(Overrides!$D$9:$D$108,Overrides!$B$9:$B$108,$C348,Overrides!$C$9:$C$108,$L348)&gt;0,SUMIFS(Overrides!$D$9:$D$108,Overrides!$B$9:$B$108,$C348,Overrides!$C$9:$C$108,$L348),$L348))</f>
        <v/>
      </c>
      <c r="H348" s="120" t="n">
        <f aca="false">IF($G348="",0,IF(AND($G348&gt;='Cash Flow'!$E$6,$G348&lt;'Cash Flow'!$E$6+91),1,0))</f>
        <v>0</v>
      </c>
      <c r="I348" s="120" t="str">
        <f aca="false">IF($H348=1,MAX(1,INT(($G348-'Cash Flow'!$E$6)/7)+1),"")</f>
        <v/>
      </c>
      <c r="J348" s="7" t="str">
        <f aca="false">IF($H348=1,$G348*10000+ROW(),"")</f>
        <v/>
      </c>
      <c r="K348" s="7" t="str">
        <f aca="false">IF($H348=1,$I348*1000+COUNTIFS($I$4:$I$483,$I348,$J$4:$J$483,"&lt;"&amp;$J348)+1,"")</f>
        <v/>
      </c>
      <c r="L348" s="121" t="str">
        <f aca="false">IF($F348="","",IF(Recurring!$G$26="Move Before",IF(WEEKDAY($F348,2)=6,$F348-1,IF(WEEKDAY($F348,2)=7,$F348-2,$F348)),IF(Recurring!$G$26="Move After",IF(WEEKDAY($F348,2)=6,$F348+2,IF(WEEKDAY($F348,2)=7,$F348+1,$F348)),$F348)))</f>
        <v/>
      </c>
      <c r="M348" s="0" t="str">
        <f aca="true">IF(AND($H348=1,$D348="Expense",$G348&gt;TODAY(),$E348&gt;=100),$G348*100000+ROW(),"")</f>
        <v/>
      </c>
      <c r="N348" s="0" t="str">
        <f aca="true">IF(AND($H348=1,$D348="Income",$G348&gt;TODAY()),$G348*100000+ROW(),"")</f>
        <v/>
      </c>
    </row>
    <row r="349" customFormat="false" ht="15" hidden="false" customHeight="true" outlineLevel="0" collapsed="false">
      <c r="A349" s="117" t="n">
        <v>22</v>
      </c>
      <c r="B349" s="117" t="n">
        <v>10</v>
      </c>
      <c r="C349" s="7" t="str">
        <f aca="false">IF(OR(Recurring!$B$26="",Recurring!$H$26&lt;&gt;"Yes",Recurring!$D$26=""),"",Recurring!$B$26)</f>
        <v/>
      </c>
      <c r="D349" s="7" t="str">
        <f aca="false">IF($C349="","",Recurring!$C$26)</f>
        <v/>
      </c>
      <c r="E349" s="118" t="str">
        <f aca="false">IF($C349="","",IF(SUMIFS(Overrides!$E$9:$E$108,Overrides!$B$9:$B$108,$C349,Overrides!$C$9:$C$108,$L349)&gt;0,SUMIFS(Overrides!$E$9:$E$108,Overrides!$B$9:$B$108,$C349,Overrides!$C$9:$C$108,$L349),Recurring!$D$26))</f>
        <v/>
      </c>
      <c r="F349" s="119" t="str">
        <f aca="false">IF($C349="","",IF(Recurring!$E$26="Weekly",Recurring!$F$26+7*9,IF(Recurring!$E$26="Every 2 Weeks",Recurring!$F$26+14*9,IF(Recurring!$E$26="Monthly",EDATE(Recurring!$F$26,9),IF(Recurring!$E$26="Twice a Month",IF(MOD((IF(DAY(Recurring!$F$26)&lt;=20,0,1)+9),2)=1,EOMONTH(Recurring!$F$26,INT((IF(DAY(Recurring!$F$26)&lt;=20,0,1)+9)/2)),DATE(YEAR(EDATE(Recurring!$F$26,INT((IF(DAY(Recurring!$F$26)&lt;=20,0,1)+9)/2))),MONTH(EDATE(Recurring!$F$26,INT((IF(DAY(Recurring!$F$26)&lt;=20,0,1)+9)/2))),15)),IF(Recurring!$E$26="One Time",IF(10=1,Recurring!$F$26,""),""))))))</f>
        <v/>
      </c>
      <c r="G349" s="119" t="str">
        <f aca="false">IF($L349="","",IF(SUMIFS(Overrides!$D$9:$D$108,Overrides!$B$9:$B$108,$C349,Overrides!$C$9:$C$108,$L349)&gt;0,SUMIFS(Overrides!$D$9:$D$108,Overrides!$B$9:$B$108,$C349,Overrides!$C$9:$C$108,$L349),$L349))</f>
        <v/>
      </c>
      <c r="H349" s="120" t="n">
        <f aca="false">IF($G349="",0,IF(AND($G349&gt;='Cash Flow'!$E$6,$G349&lt;'Cash Flow'!$E$6+91),1,0))</f>
        <v>0</v>
      </c>
      <c r="I349" s="120" t="str">
        <f aca="false">IF($H349=1,MAX(1,INT(($G349-'Cash Flow'!$E$6)/7)+1),"")</f>
        <v/>
      </c>
      <c r="J349" s="7" t="str">
        <f aca="false">IF($H349=1,$G349*10000+ROW(),"")</f>
        <v/>
      </c>
      <c r="K349" s="7" t="str">
        <f aca="false">IF($H349=1,$I349*1000+COUNTIFS($I$4:$I$483,$I349,$J$4:$J$483,"&lt;"&amp;$J349)+1,"")</f>
        <v/>
      </c>
      <c r="L349" s="121" t="str">
        <f aca="false">IF($F349="","",IF(Recurring!$G$26="Move Before",IF(WEEKDAY($F349,2)=6,$F349-1,IF(WEEKDAY($F349,2)=7,$F349-2,$F349)),IF(Recurring!$G$26="Move After",IF(WEEKDAY($F349,2)=6,$F349+2,IF(WEEKDAY($F349,2)=7,$F349+1,$F349)),$F349)))</f>
        <v/>
      </c>
      <c r="M349" s="0" t="str">
        <f aca="true">IF(AND($H349=1,$D349="Expense",$G349&gt;TODAY(),$E349&gt;=100),$G349*100000+ROW(),"")</f>
        <v/>
      </c>
      <c r="N349" s="0" t="str">
        <f aca="true">IF(AND($H349=1,$D349="Income",$G349&gt;TODAY()),$G349*100000+ROW(),"")</f>
        <v/>
      </c>
    </row>
    <row r="350" customFormat="false" ht="15" hidden="false" customHeight="true" outlineLevel="0" collapsed="false">
      <c r="A350" s="117" t="n">
        <v>22</v>
      </c>
      <c r="B350" s="117" t="n">
        <v>11</v>
      </c>
      <c r="C350" s="7" t="str">
        <f aca="false">IF(OR(Recurring!$B$26="",Recurring!$H$26&lt;&gt;"Yes",Recurring!$D$26=""),"",Recurring!$B$26)</f>
        <v/>
      </c>
      <c r="D350" s="7" t="str">
        <f aca="false">IF($C350="","",Recurring!$C$26)</f>
        <v/>
      </c>
      <c r="E350" s="118" t="str">
        <f aca="false">IF($C350="","",IF(SUMIFS(Overrides!$E$9:$E$108,Overrides!$B$9:$B$108,$C350,Overrides!$C$9:$C$108,$L350)&gt;0,SUMIFS(Overrides!$E$9:$E$108,Overrides!$B$9:$B$108,$C350,Overrides!$C$9:$C$108,$L350),Recurring!$D$26))</f>
        <v/>
      </c>
      <c r="F350" s="119" t="str">
        <f aca="false">IF($C350="","",IF(Recurring!$E$26="Weekly",Recurring!$F$26+7*10,IF(Recurring!$E$26="Every 2 Weeks",Recurring!$F$26+14*10,IF(Recurring!$E$26="Monthly",EDATE(Recurring!$F$26,10),IF(Recurring!$E$26="Twice a Month",IF(MOD((IF(DAY(Recurring!$F$26)&lt;=20,0,1)+10),2)=1,EOMONTH(Recurring!$F$26,INT((IF(DAY(Recurring!$F$26)&lt;=20,0,1)+10)/2)),DATE(YEAR(EDATE(Recurring!$F$26,INT((IF(DAY(Recurring!$F$26)&lt;=20,0,1)+10)/2))),MONTH(EDATE(Recurring!$F$26,INT((IF(DAY(Recurring!$F$26)&lt;=20,0,1)+10)/2))),15)),IF(Recurring!$E$26="One Time",IF(11=1,Recurring!$F$26,""),""))))))</f>
        <v/>
      </c>
      <c r="G350" s="119" t="str">
        <f aca="false">IF($L350="","",IF(SUMIFS(Overrides!$D$9:$D$108,Overrides!$B$9:$B$108,$C350,Overrides!$C$9:$C$108,$L350)&gt;0,SUMIFS(Overrides!$D$9:$D$108,Overrides!$B$9:$B$108,$C350,Overrides!$C$9:$C$108,$L350),$L350))</f>
        <v/>
      </c>
      <c r="H350" s="120" t="n">
        <f aca="false">IF($G350="",0,IF(AND($G350&gt;='Cash Flow'!$E$6,$G350&lt;'Cash Flow'!$E$6+91),1,0))</f>
        <v>0</v>
      </c>
      <c r="I350" s="120" t="str">
        <f aca="false">IF($H350=1,MAX(1,INT(($G350-'Cash Flow'!$E$6)/7)+1),"")</f>
        <v/>
      </c>
      <c r="J350" s="7" t="str">
        <f aca="false">IF($H350=1,$G350*10000+ROW(),"")</f>
        <v/>
      </c>
      <c r="K350" s="7" t="str">
        <f aca="false">IF($H350=1,$I350*1000+COUNTIFS($I$4:$I$483,$I350,$J$4:$J$483,"&lt;"&amp;$J350)+1,"")</f>
        <v/>
      </c>
      <c r="L350" s="121" t="str">
        <f aca="false">IF($F350="","",IF(Recurring!$G$26="Move Before",IF(WEEKDAY($F350,2)=6,$F350-1,IF(WEEKDAY($F350,2)=7,$F350-2,$F350)),IF(Recurring!$G$26="Move After",IF(WEEKDAY($F350,2)=6,$F350+2,IF(WEEKDAY($F350,2)=7,$F350+1,$F350)),$F350)))</f>
        <v/>
      </c>
      <c r="M350" s="0" t="str">
        <f aca="true">IF(AND($H350=1,$D350="Expense",$G350&gt;TODAY(),$E350&gt;=100),$G350*100000+ROW(),"")</f>
        <v/>
      </c>
      <c r="N350" s="0" t="str">
        <f aca="true">IF(AND($H350=1,$D350="Income",$G350&gt;TODAY()),$G350*100000+ROW(),"")</f>
        <v/>
      </c>
    </row>
    <row r="351" customFormat="false" ht="15" hidden="false" customHeight="true" outlineLevel="0" collapsed="false">
      <c r="A351" s="117" t="n">
        <v>22</v>
      </c>
      <c r="B351" s="117" t="n">
        <v>12</v>
      </c>
      <c r="C351" s="7" t="str">
        <f aca="false">IF(OR(Recurring!$B$26="",Recurring!$H$26&lt;&gt;"Yes",Recurring!$D$26=""),"",Recurring!$B$26)</f>
        <v/>
      </c>
      <c r="D351" s="7" t="str">
        <f aca="false">IF($C351="","",Recurring!$C$26)</f>
        <v/>
      </c>
      <c r="E351" s="118" t="str">
        <f aca="false">IF($C351="","",IF(SUMIFS(Overrides!$E$9:$E$108,Overrides!$B$9:$B$108,$C351,Overrides!$C$9:$C$108,$L351)&gt;0,SUMIFS(Overrides!$E$9:$E$108,Overrides!$B$9:$B$108,$C351,Overrides!$C$9:$C$108,$L351),Recurring!$D$26))</f>
        <v/>
      </c>
      <c r="F351" s="119" t="str">
        <f aca="false">IF($C351="","",IF(Recurring!$E$26="Weekly",Recurring!$F$26+7*11,IF(Recurring!$E$26="Every 2 Weeks",Recurring!$F$26+14*11,IF(Recurring!$E$26="Monthly",EDATE(Recurring!$F$26,11),IF(Recurring!$E$26="Twice a Month",IF(MOD((IF(DAY(Recurring!$F$26)&lt;=20,0,1)+11),2)=1,EOMONTH(Recurring!$F$26,INT((IF(DAY(Recurring!$F$26)&lt;=20,0,1)+11)/2)),DATE(YEAR(EDATE(Recurring!$F$26,INT((IF(DAY(Recurring!$F$26)&lt;=20,0,1)+11)/2))),MONTH(EDATE(Recurring!$F$26,INT((IF(DAY(Recurring!$F$26)&lt;=20,0,1)+11)/2))),15)),IF(Recurring!$E$26="One Time",IF(12=1,Recurring!$F$26,""),""))))))</f>
        <v/>
      </c>
      <c r="G351" s="119" t="str">
        <f aca="false">IF($L351="","",IF(SUMIFS(Overrides!$D$9:$D$108,Overrides!$B$9:$B$108,$C351,Overrides!$C$9:$C$108,$L351)&gt;0,SUMIFS(Overrides!$D$9:$D$108,Overrides!$B$9:$B$108,$C351,Overrides!$C$9:$C$108,$L351),$L351))</f>
        <v/>
      </c>
      <c r="H351" s="120" t="n">
        <f aca="false">IF($G351="",0,IF(AND($G351&gt;='Cash Flow'!$E$6,$G351&lt;'Cash Flow'!$E$6+91),1,0))</f>
        <v>0</v>
      </c>
      <c r="I351" s="120" t="str">
        <f aca="false">IF($H351=1,MAX(1,INT(($G351-'Cash Flow'!$E$6)/7)+1),"")</f>
        <v/>
      </c>
      <c r="J351" s="7" t="str">
        <f aca="false">IF($H351=1,$G351*10000+ROW(),"")</f>
        <v/>
      </c>
      <c r="K351" s="7" t="str">
        <f aca="false">IF($H351=1,$I351*1000+COUNTIFS($I$4:$I$483,$I351,$J$4:$J$483,"&lt;"&amp;$J351)+1,"")</f>
        <v/>
      </c>
      <c r="L351" s="121" t="str">
        <f aca="false">IF($F351="","",IF(Recurring!$G$26="Move Before",IF(WEEKDAY($F351,2)=6,$F351-1,IF(WEEKDAY($F351,2)=7,$F351-2,$F351)),IF(Recurring!$G$26="Move After",IF(WEEKDAY($F351,2)=6,$F351+2,IF(WEEKDAY($F351,2)=7,$F351+1,$F351)),$F351)))</f>
        <v/>
      </c>
      <c r="M351" s="0" t="str">
        <f aca="true">IF(AND($H351=1,$D351="Expense",$G351&gt;TODAY(),$E351&gt;=100),$G351*100000+ROW(),"")</f>
        <v/>
      </c>
      <c r="N351" s="0" t="str">
        <f aca="true">IF(AND($H351=1,$D351="Income",$G351&gt;TODAY()),$G351*100000+ROW(),"")</f>
        <v/>
      </c>
    </row>
    <row r="352" customFormat="false" ht="15" hidden="false" customHeight="true" outlineLevel="0" collapsed="false">
      <c r="A352" s="117" t="n">
        <v>22</v>
      </c>
      <c r="B352" s="117" t="n">
        <v>13</v>
      </c>
      <c r="C352" s="7" t="str">
        <f aca="false">IF(OR(Recurring!$B$26="",Recurring!$H$26&lt;&gt;"Yes",Recurring!$D$26=""),"",Recurring!$B$26)</f>
        <v/>
      </c>
      <c r="D352" s="7" t="str">
        <f aca="false">IF($C352="","",Recurring!$C$26)</f>
        <v/>
      </c>
      <c r="E352" s="118" t="str">
        <f aca="false">IF($C352="","",IF(SUMIFS(Overrides!$E$9:$E$108,Overrides!$B$9:$B$108,$C352,Overrides!$C$9:$C$108,$L352)&gt;0,SUMIFS(Overrides!$E$9:$E$108,Overrides!$B$9:$B$108,$C352,Overrides!$C$9:$C$108,$L352),Recurring!$D$26))</f>
        <v/>
      </c>
      <c r="F352" s="119" t="str">
        <f aca="false">IF($C352="","",IF(Recurring!$E$26="Weekly",Recurring!$F$26+7*12,IF(Recurring!$E$26="Every 2 Weeks",Recurring!$F$26+14*12,IF(Recurring!$E$26="Monthly",EDATE(Recurring!$F$26,12),IF(Recurring!$E$26="Twice a Month",IF(MOD((IF(DAY(Recurring!$F$26)&lt;=20,0,1)+12),2)=1,EOMONTH(Recurring!$F$26,INT((IF(DAY(Recurring!$F$26)&lt;=20,0,1)+12)/2)),DATE(YEAR(EDATE(Recurring!$F$26,INT((IF(DAY(Recurring!$F$26)&lt;=20,0,1)+12)/2))),MONTH(EDATE(Recurring!$F$26,INT((IF(DAY(Recurring!$F$26)&lt;=20,0,1)+12)/2))),15)),IF(Recurring!$E$26="One Time",IF(13=1,Recurring!$F$26,""),""))))))</f>
        <v/>
      </c>
      <c r="G352" s="119" t="str">
        <f aca="false">IF($L352="","",IF(SUMIFS(Overrides!$D$9:$D$108,Overrides!$B$9:$B$108,$C352,Overrides!$C$9:$C$108,$L352)&gt;0,SUMIFS(Overrides!$D$9:$D$108,Overrides!$B$9:$B$108,$C352,Overrides!$C$9:$C$108,$L352),$L352))</f>
        <v/>
      </c>
      <c r="H352" s="120" t="n">
        <f aca="false">IF($G352="",0,IF(AND($G352&gt;='Cash Flow'!$E$6,$G352&lt;'Cash Flow'!$E$6+91),1,0))</f>
        <v>0</v>
      </c>
      <c r="I352" s="120" t="str">
        <f aca="false">IF($H352=1,MAX(1,INT(($G352-'Cash Flow'!$E$6)/7)+1),"")</f>
        <v/>
      </c>
      <c r="J352" s="7" t="str">
        <f aca="false">IF($H352=1,$G352*10000+ROW(),"")</f>
        <v/>
      </c>
      <c r="K352" s="7" t="str">
        <f aca="false">IF($H352=1,$I352*1000+COUNTIFS($I$4:$I$483,$I352,$J$4:$J$483,"&lt;"&amp;$J352)+1,"")</f>
        <v/>
      </c>
      <c r="L352" s="121" t="str">
        <f aca="false">IF($F352="","",IF(Recurring!$G$26="Move Before",IF(WEEKDAY($F352,2)=6,$F352-1,IF(WEEKDAY($F352,2)=7,$F352-2,$F352)),IF(Recurring!$G$26="Move After",IF(WEEKDAY($F352,2)=6,$F352+2,IF(WEEKDAY($F352,2)=7,$F352+1,$F352)),$F352)))</f>
        <v/>
      </c>
      <c r="M352" s="0" t="str">
        <f aca="true">IF(AND($H352=1,$D352="Expense",$G352&gt;TODAY(),$E352&gt;=100),$G352*100000+ROW(),"")</f>
        <v/>
      </c>
      <c r="N352" s="0" t="str">
        <f aca="true">IF(AND($H352=1,$D352="Income",$G352&gt;TODAY()),$G352*100000+ROW(),"")</f>
        <v/>
      </c>
    </row>
    <row r="353" customFormat="false" ht="15" hidden="false" customHeight="true" outlineLevel="0" collapsed="false">
      <c r="A353" s="117" t="n">
        <v>22</v>
      </c>
      <c r="B353" s="117" t="n">
        <v>14</v>
      </c>
      <c r="C353" s="7" t="str">
        <f aca="false">IF(OR(Recurring!$B$26="",Recurring!$H$26&lt;&gt;"Yes",Recurring!$D$26=""),"",Recurring!$B$26)</f>
        <v/>
      </c>
      <c r="D353" s="7" t="str">
        <f aca="false">IF($C353="","",Recurring!$C$26)</f>
        <v/>
      </c>
      <c r="E353" s="118" t="str">
        <f aca="false">IF($C353="","",IF(SUMIFS(Overrides!$E$9:$E$108,Overrides!$B$9:$B$108,$C353,Overrides!$C$9:$C$108,$L353)&gt;0,SUMIFS(Overrides!$E$9:$E$108,Overrides!$B$9:$B$108,$C353,Overrides!$C$9:$C$108,$L353),Recurring!$D$26))</f>
        <v/>
      </c>
      <c r="F353" s="119" t="str">
        <f aca="false">IF($C353="","",IF(Recurring!$E$26="Weekly",Recurring!$F$26+7*13,IF(Recurring!$E$26="Every 2 Weeks",Recurring!$F$26+14*13,IF(Recurring!$E$26="Monthly",EDATE(Recurring!$F$26,13),IF(Recurring!$E$26="Twice a Month",IF(MOD((IF(DAY(Recurring!$F$26)&lt;=20,0,1)+13),2)=1,EOMONTH(Recurring!$F$26,INT((IF(DAY(Recurring!$F$26)&lt;=20,0,1)+13)/2)),DATE(YEAR(EDATE(Recurring!$F$26,INT((IF(DAY(Recurring!$F$26)&lt;=20,0,1)+13)/2))),MONTH(EDATE(Recurring!$F$26,INT((IF(DAY(Recurring!$F$26)&lt;=20,0,1)+13)/2))),15)),IF(Recurring!$E$26="One Time",IF(14=1,Recurring!$F$26,""),""))))))</f>
        <v/>
      </c>
      <c r="G353" s="119" t="str">
        <f aca="false">IF($L353="","",IF(SUMIFS(Overrides!$D$9:$D$108,Overrides!$B$9:$B$108,$C353,Overrides!$C$9:$C$108,$L353)&gt;0,SUMIFS(Overrides!$D$9:$D$108,Overrides!$B$9:$B$108,$C353,Overrides!$C$9:$C$108,$L353),$L353))</f>
        <v/>
      </c>
      <c r="H353" s="120" t="n">
        <f aca="false">IF($G353="",0,IF(AND($G353&gt;='Cash Flow'!$E$6,$G353&lt;'Cash Flow'!$E$6+91),1,0))</f>
        <v>0</v>
      </c>
      <c r="I353" s="120" t="str">
        <f aca="false">IF($H353=1,MAX(1,INT(($G353-'Cash Flow'!$E$6)/7)+1),"")</f>
        <v/>
      </c>
      <c r="J353" s="7" t="str">
        <f aca="false">IF($H353=1,$G353*10000+ROW(),"")</f>
        <v/>
      </c>
      <c r="K353" s="7" t="str">
        <f aca="false">IF($H353=1,$I353*1000+COUNTIFS($I$4:$I$483,$I353,$J$4:$J$483,"&lt;"&amp;$J353)+1,"")</f>
        <v/>
      </c>
      <c r="L353" s="121" t="str">
        <f aca="false">IF($F353="","",IF(Recurring!$G$26="Move Before",IF(WEEKDAY($F353,2)=6,$F353-1,IF(WEEKDAY($F353,2)=7,$F353-2,$F353)),IF(Recurring!$G$26="Move After",IF(WEEKDAY($F353,2)=6,$F353+2,IF(WEEKDAY($F353,2)=7,$F353+1,$F353)),$F353)))</f>
        <v/>
      </c>
      <c r="M353" s="0" t="str">
        <f aca="true">IF(AND($H353=1,$D353="Expense",$G353&gt;TODAY(),$E353&gt;=100),$G353*100000+ROW(),"")</f>
        <v/>
      </c>
      <c r="N353" s="0" t="str">
        <f aca="true">IF(AND($H353=1,$D353="Income",$G353&gt;TODAY()),$G353*100000+ROW(),"")</f>
        <v/>
      </c>
    </row>
    <row r="354" customFormat="false" ht="15" hidden="false" customHeight="true" outlineLevel="0" collapsed="false">
      <c r="A354" s="117" t="n">
        <v>22</v>
      </c>
      <c r="B354" s="117" t="n">
        <v>15</v>
      </c>
      <c r="C354" s="7" t="str">
        <f aca="false">IF(OR(Recurring!$B$26="",Recurring!$H$26&lt;&gt;"Yes",Recurring!$D$26=""),"",Recurring!$B$26)</f>
        <v/>
      </c>
      <c r="D354" s="7" t="str">
        <f aca="false">IF($C354="","",Recurring!$C$26)</f>
        <v/>
      </c>
      <c r="E354" s="118" t="str">
        <f aca="false">IF($C354="","",IF(SUMIFS(Overrides!$E$9:$E$108,Overrides!$B$9:$B$108,$C354,Overrides!$C$9:$C$108,$L354)&gt;0,SUMIFS(Overrides!$E$9:$E$108,Overrides!$B$9:$B$108,$C354,Overrides!$C$9:$C$108,$L354),Recurring!$D$26))</f>
        <v/>
      </c>
      <c r="F354" s="119" t="str">
        <f aca="false">IF($C354="","",IF(Recurring!$E$26="Weekly",Recurring!$F$26+7*14,IF(Recurring!$E$26="Every 2 Weeks",Recurring!$F$26+14*14,IF(Recurring!$E$26="Monthly",EDATE(Recurring!$F$26,14),IF(Recurring!$E$26="Twice a Month",IF(MOD((IF(DAY(Recurring!$F$26)&lt;=20,0,1)+14),2)=1,EOMONTH(Recurring!$F$26,INT((IF(DAY(Recurring!$F$26)&lt;=20,0,1)+14)/2)),DATE(YEAR(EDATE(Recurring!$F$26,INT((IF(DAY(Recurring!$F$26)&lt;=20,0,1)+14)/2))),MONTH(EDATE(Recurring!$F$26,INT((IF(DAY(Recurring!$F$26)&lt;=20,0,1)+14)/2))),15)),IF(Recurring!$E$26="One Time",IF(15=1,Recurring!$F$26,""),""))))))</f>
        <v/>
      </c>
      <c r="G354" s="119" t="str">
        <f aca="false">IF($L354="","",IF(SUMIFS(Overrides!$D$9:$D$108,Overrides!$B$9:$B$108,$C354,Overrides!$C$9:$C$108,$L354)&gt;0,SUMIFS(Overrides!$D$9:$D$108,Overrides!$B$9:$B$108,$C354,Overrides!$C$9:$C$108,$L354),$L354))</f>
        <v/>
      </c>
      <c r="H354" s="120" t="n">
        <f aca="false">IF($G354="",0,IF(AND($G354&gt;='Cash Flow'!$E$6,$G354&lt;'Cash Flow'!$E$6+91),1,0))</f>
        <v>0</v>
      </c>
      <c r="I354" s="120" t="str">
        <f aca="false">IF($H354=1,MAX(1,INT(($G354-'Cash Flow'!$E$6)/7)+1),"")</f>
        <v/>
      </c>
      <c r="J354" s="7" t="str">
        <f aca="false">IF($H354=1,$G354*10000+ROW(),"")</f>
        <v/>
      </c>
      <c r="K354" s="7" t="str">
        <f aca="false">IF($H354=1,$I354*1000+COUNTIFS($I$4:$I$483,$I354,$J$4:$J$483,"&lt;"&amp;$J354)+1,"")</f>
        <v/>
      </c>
      <c r="L354" s="121" t="str">
        <f aca="false">IF($F354="","",IF(Recurring!$G$26="Move Before",IF(WEEKDAY($F354,2)=6,$F354-1,IF(WEEKDAY($F354,2)=7,$F354-2,$F354)),IF(Recurring!$G$26="Move After",IF(WEEKDAY($F354,2)=6,$F354+2,IF(WEEKDAY($F354,2)=7,$F354+1,$F354)),$F354)))</f>
        <v/>
      </c>
      <c r="M354" s="0" t="str">
        <f aca="true">IF(AND($H354=1,$D354="Expense",$G354&gt;TODAY(),$E354&gt;=100),$G354*100000+ROW(),"")</f>
        <v/>
      </c>
      <c r="N354" s="0" t="str">
        <f aca="true">IF(AND($H354=1,$D354="Income",$G354&gt;TODAY()),$G354*100000+ROW(),"")</f>
        <v/>
      </c>
    </row>
    <row r="355" customFormat="false" ht="15" hidden="false" customHeight="true" outlineLevel="0" collapsed="false">
      <c r="A355" s="117" t="n">
        <v>22</v>
      </c>
      <c r="B355" s="117" t="n">
        <v>16</v>
      </c>
      <c r="C355" s="7" t="str">
        <f aca="false">IF(OR(Recurring!$B$26="",Recurring!$H$26&lt;&gt;"Yes",Recurring!$D$26=""),"",Recurring!$B$26)</f>
        <v/>
      </c>
      <c r="D355" s="7" t="str">
        <f aca="false">IF($C355="","",Recurring!$C$26)</f>
        <v/>
      </c>
      <c r="E355" s="118" t="str">
        <f aca="false">IF($C355="","",IF(SUMIFS(Overrides!$E$9:$E$108,Overrides!$B$9:$B$108,$C355,Overrides!$C$9:$C$108,$L355)&gt;0,SUMIFS(Overrides!$E$9:$E$108,Overrides!$B$9:$B$108,$C355,Overrides!$C$9:$C$108,$L355),Recurring!$D$26))</f>
        <v/>
      </c>
      <c r="F355" s="119" t="str">
        <f aca="false">IF($C355="","",IF(Recurring!$E$26="Weekly",Recurring!$F$26+7*15,IF(Recurring!$E$26="Every 2 Weeks",Recurring!$F$26+14*15,IF(Recurring!$E$26="Monthly",EDATE(Recurring!$F$26,15),IF(Recurring!$E$26="Twice a Month",IF(MOD((IF(DAY(Recurring!$F$26)&lt;=20,0,1)+15),2)=1,EOMONTH(Recurring!$F$26,INT((IF(DAY(Recurring!$F$26)&lt;=20,0,1)+15)/2)),DATE(YEAR(EDATE(Recurring!$F$26,INT((IF(DAY(Recurring!$F$26)&lt;=20,0,1)+15)/2))),MONTH(EDATE(Recurring!$F$26,INT((IF(DAY(Recurring!$F$26)&lt;=20,0,1)+15)/2))),15)),IF(Recurring!$E$26="One Time",IF(16=1,Recurring!$F$26,""),""))))))</f>
        <v/>
      </c>
      <c r="G355" s="119" t="str">
        <f aca="false">IF($L355="","",IF(SUMIFS(Overrides!$D$9:$D$108,Overrides!$B$9:$B$108,$C355,Overrides!$C$9:$C$108,$L355)&gt;0,SUMIFS(Overrides!$D$9:$D$108,Overrides!$B$9:$B$108,$C355,Overrides!$C$9:$C$108,$L355),$L355))</f>
        <v/>
      </c>
      <c r="H355" s="120" t="n">
        <f aca="false">IF($G355="",0,IF(AND($G355&gt;='Cash Flow'!$E$6,$G355&lt;'Cash Flow'!$E$6+91),1,0))</f>
        <v>0</v>
      </c>
      <c r="I355" s="120" t="str">
        <f aca="false">IF($H355=1,MAX(1,INT(($G355-'Cash Flow'!$E$6)/7)+1),"")</f>
        <v/>
      </c>
      <c r="J355" s="7" t="str">
        <f aca="false">IF($H355=1,$G355*10000+ROW(),"")</f>
        <v/>
      </c>
      <c r="K355" s="7" t="str">
        <f aca="false">IF($H355=1,$I355*1000+COUNTIFS($I$4:$I$483,$I355,$J$4:$J$483,"&lt;"&amp;$J355)+1,"")</f>
        <v/>
      </c>
      <c r="L355" s="121" t="str">
        <f aca="false">IF($F355="","",IF(Recurring!$G$26="Move Before",IF(WEEKDAY($F355,2)=6,$F355-1,IF(WEEKDAY($F355,2)=7,$F355-2,$F355)),IF(Recurring!$G$26="Move After",IF(WEEKDAY($F355,2)=6,$F355+2,IF(WEEKDAY($F355,2)=7,$F355+1,$F355)),$F355)))</f>
        <v/>
      </c>
      <c r="M355" s="0" t="str">
        <f aca="true">IF(AND($H355=1,$D355="Expense",$G355&gt;TODAY(),$E355&gt;=100),$G355*100000+ROW(),"")</f>
        <v/>
      </c>
      <c r="N355" s="0" t="str">
        <f aca="true">IF(AND($H355=1,$D355="Income",$G355&gt;TODAY()),$G355*100000+ROW(),"")</f>
        <v/>
      </c>
    </row>
    <row r="356" customFormat="false" ht="15" hidden="false" customHeight="true" outlineLevel="0" collapsed="false">
      <c r="A356" s="117" t="n">
        <v>23</v>
      </c>
      <c r="B356" s="117" t="n">
        <v>1</v>
      </c>
      <c r="C356" s="7" t="str">
        <f aca="false">IF(OR(Recurring!$B$27="",Recurring!$H$27&lt;&gt;"Yes",Recurring!$D$27=""),"",Recurring!$B$27)</f>
        <v/>
      </c>
      <c r="D356" s="7" t="str">
        <f aca="false">IF($C356="","",Recurring!$C$27)</f>
        <v/>
      </c>
      <c r="E356" s="118" t="str">
        <f aca="false">IF($C356="","",IF(SUMIFS(Overrides!$E$9:$E$108,Overrides!$B$9:$B$108,$C356,Overrides!$C$9:$C$108,$L356)&gt;0,SUMIFS(Overrides!$E$9:$E$108,Overrides!$B$9:$B$108,$C356,Overrides!$C$9:$C$108,$L356),Recurring!$D$27))</f>
        <v/>
      </c>
      <c r="F356" s="119" t="str">
        <f aca="false">IF($C356="","",IF(Recurring!$E$27="Weekly",Recurring!$F$27+7*0,IF(Recurring!$E$27="Every 2 Weeks",Recurring!$F$27+14*0,IF(Recurring!$E$27="Monthly",EDATE(Recurring!$F$27,0),IF(Recurring!$E$27="Twice a Month",IF(MOD((IF(DAY(Recurring!$F$27)&lt;=20,0,1)+0),2)=1,EOMONTH(Recurring!$F$27,INT((IF(DAY(Recurring!$F$27)&lt;=20,0,1)+0)/2)),DATE(YEAR(EDATE(Recurring!$F$27,INT((IF(DAY(Recurring!$F$27)&lt;=20,0,1)+0)/2))),MONTH(EDATE(Recurring!$F$27,INT((IF(DAY(Recurring!$F$27)&lt;=20,0,1)+0)/2))),15)),IF(Recurring!$E$27="One Time",IF(1=1,Recurring!$F$27,""),""))))))</f>
        <v/>
      </c>
      <c r="G356" s="119" t="str">
        <f aca="false">IF($L356="","",IF(SUMIFS(Overrides!$D$9:$D$108,Overrides!$B$9:$B$108,$C356,Overrides!$C$9:$C$108,$L356)&gt;0,SUMIFS(Overrides!$D$9:$D$108,Overrides!$B$9:$B$108,$C356,Overrides!$C$9:$C$108,$L356),$L356))</f>
        <v/>
      </c>
      <c r="H356" s="120" t="n">
        <f aca="false">IF($G356="",0,IF(AND($G356&gt;='Cash Flow'!$E$6-90,$G356&lt;'Cash Flow'!$E$6+91),1,0))</f>
        <v>0</v>
      </c>
      <c r="I356" s="120" t="str">
        <f aca="false">IF($H356=1,MAX(1,INT(($G356-'Cash Flow'!$E$6)/7)+1),"")</f>
        <v/>
      </c>
      <c r="J356" s="7" t="str">
        <f aca="false">IF($H356=1,$G356*10000+ROW(),"")</f>
        <v/>
      </c>
      <c r="K356" s="7" t="str">
        <f aca="false">IF($H356=1,$I356*1000+COUNTIFS($I$4:$I$483,$I356,$J$4:$J$483,"&lt;"&amp;$J356)+1,"")</f>
        <v/>
      </c>
      <c r="L356" s="121" t="str">
        <f aca="false">IF($F356="","",IF(Recurring!$G$27="Move Before",IF(WEEKDAY($F356,2)=6,$F356-1,IF(WEEKDAY($F356,2)=7,$F356-2,$F356)),IF(Recurring!$G$27="Move After",IF(WEEKDAY($F356,2)=6,$F356+2,IF(WEEKDAY($F356,2)=7,$F356+1,$F356)),$F356)))</f>
        <v/>
      </c>
      <c r="M356" s="0" t="str">
        <f aca="true">IF(AND($H356=1,$D356="Expense",$G356&gt;TODAY(),$E356&gt;=100),$G356*100000+ROW(),"")</f>
        <v/>
      </c>
      <c r="N356" s="0" t="str">
        <f aca="true">IF(AND($H356=1,$D356="Income",$G356&gt;TODAY()),$G356*100000+ROW(),"")</f>
        <v/>
      </c>
    </row>
    <row r="357" customFormat="false" ht="15" hidden="false" customHeight="true" outlineLevel="0" collapsed="false">
      <c r="A357" s="117" t="n">
        <v>23</v>
      </c>
      <c r="B357" s="117" t="n">
        <v>2</v>
      </c>
      <c r="C357" s="7" t="str">
        <f aca="false">IF(OR(Recurring!$B$27="",Recurring!$H$27&lt;&gt;"Yes",Recurring!$D$27=""),"",Recurring!$B$27)</f>
        <v/>
      </c>
      <c r="D357" s="7" t="str">
        <f aca="false">IF($C357="","",Recurring!$C$27)</f>
        <v/>
      </c>
      <c r="E357" s="118" t="str">
        <f aca="false">IF($C357="","",IF(SUMIFS(Overrides!$E$9:$E$108,Overrides!$B$9:$B$108,$C357,Overrides!$C$9:$C$108,$L357)&gt;0,SUMIFS(Overrides!$E$9:$E$108,Overrides!$B$9:$B$108,$C357,Overrides!$C$9:$C$108,$L357),Recurring!$D$27))</f>
        <v/>
      </c>
      <c r="F357" s="119" t="str">
        <f aca="false">IF($C357="","",IF(Recurring!$E$27="Weekly",Recurring!$F$27+7*1,IF(Recurring!$E$27="Every 2 Weeks",Recurring!$F$27+14*1,IF(Recurring!$E$27="Monthly",EDATE(Recurring!$F$27,1),IF(Recurring!$E$27="Twice a Month",IF(MOD((IF(DAY(Recurring!$F$27)&lt;=20,0,1)+1),2)=1,EOMONTH(Recurring!$F$27,INT((IF(DAY(Recurring!$F$27)&lt;=20,0,1)+1)/2)),DATE(YEAR(EDATE(Recurring!$F$27,INT((IF(DAY(Recurring!$F$27)&lt;=20,0,1)+1)/2))),MONTH(EDATE(Recurring!$F$27,INT((IF(DAY(Recurring!$F$27)&lt;=20,0,1)+1)/2))),15)),IF(Recurring!$E$27="One Time",IF(2=1,Recurring!$F$27,""),""))))))</f>
        <v/>
      </c>
      <c r="G357" s="119" t="str">
        <f aca="false">IF($L357="","",IF(SUMIFS(Overrides!$D$9:$D$108,Overrides!$B$9:$B$108,$C357,Overrides!$C$9:$C$108,$L357)&gt;0,SUMIFS(Overrides!$D$9:$D$108,Overrides!$B$9:$B$108,$C357,Overrides!$C$9:$C$108,$L357),$L357))</f>
        <v/>
      </c>
      <c r="H357" s="120" t="n">
        <f aca="false">IF($G357="",0,IF(AND($G357&gt;='Cash Flow'!$E$6,$G357&lt;'Cash Flow'!$E$6+91),1,0))</f>
        <v>0</v>
      </c>
      <c r="I357" s="120" t="str">
        <f aca="false">IF($H357=1,MAX(1,INT(($G357-'Cash Flow'!$E$6)/7)+1),"")</f>
        <v/>
      </c>
      <c r="J357" s="7" t="str">
        <f aca="false">IF($H357=1,$G357*10000+ROW(),"")</f>
        <v/>
      </c>
      <c r="K357" s="7" t="str">
        <f aca="false">IF($H357=1,$I357*1000+COUNTIFS($I$4:$I$483,$I357,$J$4:$J$483,"&lt;"&amp;$J357)+1,"")</f>
        <v/>
      </c>
      <c r="L357" s="121" t="str">
        <f aca="false">IF($F357="","",IF(Recurring!$G$27="Move Before",IF(WEEKDAY($F357,2)=6,$F357-1,IF(WEEKDAY($F357,2)=7,$F357-2,$F357)),IF(Recurring!$G$27="Move After",IF(WEEKDAY($F357,2)=6,$F357+2,IF(WEEKDAY($F357,2)=7,$F357+1,$F357)),$F357)))</f>
        <v/>
      </c>
      <c r="M357" s="0" t="str">
        <f aca="true">IF(AND($H357=1,$D357="Expense",$G357&gt;TODAY(),$E357&gt;=100),$G357*100000+ROW(),"")</f>
        <v/>
      </c>
      <c r="N357" s="0" t="str">
        <f aca="true">IF(AND($H357=1,$D357="Income",$G357&gt;TODAY()),$G357*100000+ROW(),"")</f>
        <v/>
      </c>
    </row>
    <row r="358" customFormat="false" ht="15" hidden="false" customHeight="true" outlineLevel="0" collapsed="false">
      <c r="A358" s="117" t="n">
        <v>23</v>
      </c>
      <c r="B358" s="117" t="n">
        <v>3</v>
      </c>
      <c r="C358" s="7" t="str">
        <f aca="false">IF(OR(Recurring!$B$27="",Recurring!$H$27&lt;&gt;"Yes",Recurring!$D$27=""),"",Recurring!$B$27)</f>
        <v/>
      </c>
      <c r="D358" s="7" t="str">
        <f aca="false">IF($C358="","",Recurring!$C$27)</f>
        <v/>
      </c>
      <c r="E358" s="118" t="str">
        <f aca="false">IF($C358="","",IF(SUMIFS(Overrides!$E$9:$E$108,Overrides!$B$9:$B$108,$C358,Overrides!$C$9:$C$108,$L358)&gt;0,SUMIFS(Overrides!$E$9:$E$108,Overrides!$B$9:$B$108,$C358,Overrides!$C$9:$C$108,$L358),Recurring!$D$27))</f>
        <v/>
      </c>
      <c r="F358" s="119" t="str">
        <f aca="false">IF($C358="","",IF(Recurring!$E$27="Weekly",Recurring!$F$27+7*2,IF(Recurring!$E$27="Every 2 Weeks",Recurring!$F$27+14*2,IF(Recurring!$E$27="Monthly",EDATE(Recurring!$F$27,2),IF(Recurring!$E$27="Twice a Month",IF(MOD((IF(DAY(Recurring!$F$27)&lt;=20,0,1)+2),2)=1,EOMONTH(Recurring!$F$27,INT((IF(DAY(Recurring!$F$27)&lt;=20,0,1)+2)/2)),DATE(YEAR(EDATE(Recurring!$F$27,INT((IF(DAY(Recurring!$F$27)&lt;=20,0,1)+2)/2))),MONTH(EDATE(Recurring!$F$27,INT((IF(DAY(Recurring!$F$27)&lt;=20,0,1)+2)/2))),15)),IF(Recurring!$E$27="One Time",IF(3=1,Recurring!$F$27,""),""))))))</f>
        <v/>
      </c>
      <c r="G358" s="119" t="str">
        <f aca="false">IF($L358="","",IF(SUMIFS(Overrides!$D$9:$D$108,Overrides!$B$9:$B$108,$C358,Overrides!$C$9:$C$108,$L358)&gt;0,SUMIFS(Overrides!$D$9:$D$108,Overrides!$B$9:$B$108,$C358,Overrides!$C$9:$C$108,$L358),$L358))</f>
        <v/>
      </c>
      <c r="H358" s="120" t="n">
        <f aca="false">IF($G358="",0,IF(AND($G358&gt;='Cash Flow'!$E$6,$G358&lt;'Cash Flow'!$E$6+91),1,0))</f>
        <v>0</v>
      </c>
      <c r="I358" s="120" t="str">
        <f aca="false">IF($H358=1,MAX(1,INT(($G358-'Cash Flow'!$E$6)/7)+1),"")</f>
        <v/>
      </c>
      <c r="J358" s="7" t="str">
        <f aca="false">IF($H358=1,$G358*10000+ROW(),"")</f>
        <v/>
      </c>
      <c r="K358" s="7" t="str">
        <f aca="false">IF($H358=1,$I358*1000+COUNTIFS($I$4:$I$483,$I358,$J$4:$J$483,"&lt;"&amp;$J358)+1,"")</f>
        <v/>
      </c>
      <c r="L358" s="121" t="str">
        <f aca="false">IF($F358="","",IF(Recurring!$G$27="Move Before",IF(WEEKDAY($F358,2)=6,$F358-1,IF(WEEKDAY($F358,2)=7,$F358-2,$F358)),IF(Recurring!$G$27="Move After",IF(WEEKDAY($F358,2)=6,$F358+2,IF(WEEKDAY($F358,2)=7,$F358+1,$F358)),$F358)))</f>
        <v/>
      </c>
      <c r="M358" s="0" t="str">
        <f aca="true">IF(AND($H358=1,$D358="Expense",$G358&gt;TODAY(),$E358&gt;=100),$G358*100000+ROW(),"")</f>
        <v/>
      </c>
      <c r="N358" s="0" t="str">
        <f aca="true">IF(AND($H358=1,$D358="Income",$G358&gt;TODAY()),$G358*100000+ROW(),"")</f>
        <v/>
      </c>
    </row>
    <row r="359" customFormat="false" ht="15" hidden="false" customHeight="true" outlineLevel="0" collapsed="false">
      <c r="A359" s="117" t="n">
        <v>23</v>
      </c>
      <c r="B359" s="117" t="n">
        <v>4</v>
      </c>
      <c r="C359" s="7" t="str">
        <f aca="false">IF(OR(Recurring!$B$27="",Recurring!$H$27&lt;&gt;"Yes",Recurring!$D$27=""),"",Recurring!$B$27)</f>
        <v/>
      </c>
      <c r="D359" s="7" t="str">
        <f aca="false">IF($C359="","",Recurring!$C$27)</f>
        <v/>
      </c>
      <c r="E359" s="118" t="str">
        <f aca="false">IF($C359="","",IF(SUMIFS(Overrides!$E$9:$E$108,Overrides!$B$9:$B$108,$C359,Overrides!$C$9:$C$108,$L359)&gt;0,SUMIFS(Overrides!$E$9:$E$108,Overrides!$B$9:$B$108,$C359,Overrides!$C$9:$C$108,$L359),Recurring!$D$27))</f>
        <v/>
      </c>
      <c r="F359" s="119" t="str">
        <f aca="false">IF($C359="","",IF(Recurring!$E$27="Weekly",Recurring!$F$27+7*3,IF(Recurring!$E$27="Every 2 Weeks",Recurring!$F$27+14*3,IF(Recurring!$E$27="Monthly",EDATE(Recurring!$F$27,3),IF(Recurring!$E$27="Twice a Month",IF(MOD((IF(DAY(Recurring!$F$27)&lt;=20,0,1)+3),2)=1,EOMONTH(Recurring!$F$27,INT((IF(DAY(Recurring!$F$27)&lt;=20,0,1)+3)/2)),DATE(YEAR(EDATE(Recurring!$F$27,INT((IF(DAY(Recurring!$F$27)&lt;=20,0,1)+3)/2))),MONTH(EDATE(Recurring!$F$27,INT((IF(DAY(Recurring!$F$27)&lt;=20,0,1)+3)/2))),15)),IF(Recurring!$E$27="One Time",IF(4=1,Recurring!$F$27,""),""))))))</f>
        <v/>
      </c>
      <c r="G359" s="119" t="str">
        <f aca="false">IF($L359="","",IF(SUMIFS(Overrides!$D$9:$D$108,Overrides!$B$9:$B$108,$C359,Overrides!$C$9:$C$108,$L359)&gt;0,SUMIFS(Overrides!$D$9:$D$108,Overrides!$B$9:$B$108,$C359,Overrides!$C$9:$C$108,$L359),$L359))</f>
        <v/>
      </c>
      <c r="H359" s="120" t="n">
        <f aca="false">IF($G359="",0,IF(AND($G359&gt;='Cash Flow'!$E$6,$G359&lt;'Cash Flow'!$E$6+91),1,0))</f>
        <v>0</v>
      </c>
      <c r="I359" s="120" t="str">
        <f aca="false">IF($H359=1,MAX(1,INT(($G359-'Cash Flow'!$E$6)/7)+1),"")</f>
        <v/>
      </c>
      <c r="J359" s="7" t="str">
        <f aca="false">IF($H359=1,$G359*10000+ROW(),"")</f>
        <v/>
      </c>
      <c r="K359" s="7" t="str">
        <f aca="false">IF($H359=1,$I359*1000+COUNTIFS($I$4:$I$483,$I359,$J$4:$J$483,"&lt;"&amp;$J359)+1,"")</f>
        <v/>
      </c>
      <c r="L359" s="121" t="str">
        <f aca="false">IF($F359="","",IF(Recurring!$G$27="Move Before",IF(WEEKDAY($F359,2)=6,$F359-1,IF(WEEKDAY($F359,2)=7,$F359-2,$F359)),IF(Recurring!$G$27="Move After",IF(WEEKDAY($F359,2)=6,$F359+2,IF(WEEKDAY($F359,2)=7,$F359+1,$F359)),$F359)))</f>
        <v/>
      </c>
      <c r="M359" s="0" t="str">
        <f aca="true">IF(AND($H359=1,$D359="Expense",$G359&gt;TODAY(),$E359&gt;=100),$G359*100000+ROW(),"")</f>
        <v/>
      </c>
      <c r="N359" s="0" t="str">
        <f aca="true">IF(AND($H359=1,$D359="Income",$G359&gt;TODAY()),$G359*100000+ROW(),"")</f>
        <v/>
      </c>
    </row>
    <row r="360" customFormat="false" ht="15" hidden="false" customHeight="true" outlineLevel="0" collapsed="false">
      <c r="A360" s="117" t="n">
        <v>23</v>
      </c>
      <c r="B360" s="117" t="n">
        <v>5</v>
      </c>
      <c r="C360" s="7" t="str">
        <f aca="false">IF(OR(Recurring!$B$27="",Recurring!$H$27&lt;&gt;"Yes",Recurring!$D$27=""),"",Recurring!$B$27)</f>
        <v/>
      </c>
      <c r="D360" s="7" t="str">
        <f aca="false">IF($C360="","",Recurring!$C$27)</f>
        <v/>
      </c>
      <c r="E360" s="118" t="str">
        <f aca="false">IF($C360="","",IF(SUMIFS(Overrides!$E$9:$E$108,Overrides!$B$9:$B$108,$C360,Overrides!$C$9:$C$108,$L360)&gt;0,SUMIFS(Overrides!$E$9:$E$108,Overrides!$B$9:$B$108,$C360,Overrides!$C$9:$C$108,$L360),Recurring!$D$27))</f>
        <v/>
      </c>
      <c r="F360" s="119" t="str">
        <f aca="false">IF($C360="","",IF(Recurring!$E$27="Weekly",Recurring!$F$27+7*4,IF(Recurring!$E$27="Every 2 Weeks",Recurring!$F$27+14*4,IF(Recurring!$E$27="Monthly",EDATE(Recurring!$F$27,4),IF(Recurring!$E$27="Twice a Month",IF(MOD((IF(DAY(Recurring!$F$27)&lt;=20,0,1)+4),2)=1,EOMONTH(Recurring!$F$27,INT((IF(DAY(Recurring!$F$27)&lt;=20,0,1)+4)/2)),DATE(YEAR(EDATE(Recurring!$F$27,INT((IF(DAY(Recurring!$F$27)&lt;=20,0,1)+4)/2))),MONTH(EDATE(Recurring!$F$27,INT((IF(DAY(Recurring!$F$27)&lt;=20,0,1)+4)/2))),15)),IF(Recurring!$E$27="One Time",IF(5=1,Recurring!$F$27,""),""))))))</f>
        <v/>
      </c>
      <c r="G360" s="119" t="str">
        <f aca="false">IF($L360="","",IF(SUMIFS(Overrides!$D$9:$D$108,Overrides!$B$9:$B$108,$C360,Overrides!$C$9:$C$108,$L360)&gt;0,SUMIFS(Overrides!$D$9:$D$108,Overrides!$B$9:$B$108,$C360,Overrides!$C$9:$C$108,$L360),$L360))</f>
        <v/>
      </c>
      <c r="H360" s="120" t="n">
        <f aca="false">IF($G360="",0,IF(AND($G360&gt;='Cash Flow'!$E$6,$G360&lt;'Cash Flow'!$E$6+91),1,0))</f>
        <v>0</v>
      </c>
      <c r="I360" s="120" t="str">
        <f aca="false">IF($H360=1,MAX(1,INT(($G360-'Cash Flow'!$E$6)/7)+1),"")</f>
        <v/>
      </c>
      <c r="J360" s="7" t="str">
        <f aca="false">IF($H360=1,$G360*10000+ROW(),"")</f>
        <v/>
      </c>
      <c r="K360" s="7" t="str">
        <f aca="false">IF($H360=1,$I360*1000+COUNTIFS($I$4:$I$483,$I360,$J$4:$J$483,"&lt;"&amp;$J360)+1,"")</f>
        <v/>
      </c>
      <c r="L360" s="121" t="str">
        <f aca="false">IF($F360="","",IF(Recurring!$G$27="Move Before",IF(WEEKDAY($F360,2)=6,$F360-1,IF(WEEKDAY($F360,2)=7,$F360-2,$F360)),IF(Recurring!$G$27="Move After",IF(WEEKDAY($F360,2)=6,$F360+2,IF(WEEKDAY($F360,2)=7,$F360+1,$F360)),$F360)))</f>
        <v/>
      </c>
      <c r="M360" s="0" t="str">
        <f aca="true">IF(AND($H360=1,$D360="Expense",$G360&gt;TODAY(),$E360&gt;=100),$G360*100000+ROW(),"")</f>
        <v/>
      </c>
      <c r="N360" s="0" t="str">
        <f aca="true">IF(AND($H360=1,$D360="Income",$G360&gt;TODAY()),$G360*100000+ROW(),"")</f>
        <v/>
      </c>
    </row>
    <row r="361" customFormat="false" ht="15" hidden="false" customHeight="true" outlineLevel="0" collapsed="false">
      <c r="A361" s="117" t="n">
        <v>23</v>
      </c>
      <c r="B361" s="117" t="n">
        <v>6</v>
      </c>
      <c r="C361" s="7" t="str">
        <f aca="false">IF(OR(Recurring!$B$27="",Recurring!$H$27&lt;&gt;"Yes",Recurring!$D$27=""),"",Recurring!$B$27)</f>
        <v/>
      </c>
      <c r="D361" s="7" t="str">
        <f aca="false">IF($C361="","",Recurring!$C$27)</f>
        <v/>
      </c>
      <c r="E361" s="118" t="str">
        <f aca="false">IF($C361="","",IF(SUMIFS(Overrides!$E$9:$E$108,Overrides!$B$9:$B$108,$C361,Overrides!$C$9:$C$108,$L361)&gt;0,SUMIFS(Overrides!$E$9:$E$108,Overrides!$B$9:$B$108,$C361,Overrides!$C$9:$C$108,$L361),Recurring!$D$27))</f>
        <v/>
      </c>
      <c r="F361" s="119" t="str">
        <f aca="false">IF($C361="","",IF(Recurring!$E$27="Weekly",Recurring!$F$27+7*5,IF(Recurring!$E$27="Every 2 Weeks",Recurring!$F$27+14*5,IF(Recurring!$E$27="Monthly",EDATE(Recurring!$F$27,5),IF(Recurring!$E$27="Twice a Month",IF(MOD((IF(DAY(Recurring!$F$27)&lt;=20,0,1)+5),2)=1,EOMONTH(Recurring!$F$27,INT((IF(DAY(Recurring!$F$27)&lt;=20,0,1)+5)/2)),DATE(YEAR(EDATE(Recurring!$F$27,INT((IF(DAY(Recurring!$F$27)&lt;=20,0,1)+5)/2))),MONTH(EDATE(Recurring!$F$27,INT((IF(DAY(Recurring!$F$27)&lt;=20,0,1)+5)/2))),15)),IF(Recurring!$E$27="One Time",IF(6=1,Recurring!$F$27,""),""))))))</f>
        <v/>
      </c>
      <c r="G361" s="119" t="str">
        <f aca="false">IF($L361="","",IF(SUMIFS(Overrides!$D$9:$D$108,Overrides!$B$9:$B$108,$C361,Overrides!$C$9:$C$108,$L361)&gt;0,SUMIFS(Overrides!$D$9:$D$108,Overrides!$B$9:$B$108,$C361,Overrides!$C$9:$C$108,$L361),$L361))</f>
        <v/>
      </c>
      <c r="H361" s="120" t="n">
        <f aca="false">IF($G361="",0,IF(AND($G361&gt;='Cash Flow'!$E$6,$G361&lt;'Cash Flow'!$E$6+91),1,0))</f>
        <v>0</v>
      </c>
      <c r="I361" s="120" t="str">
        <f aca="false">IF($H361=1,MAX(1,INT(($G361-'Cash Flow'!$E$6)/7)+1),"")</f>
        <v/>
      </c>
      <c r="J361" s="7" t="str">
        <f aca="false">IF($H361=1,$G361*10000+ROW(),"")</f>
        <v/>
      </c>
      <c r="K361" s="7" t="str">
        <f aca="false">IF($H361=1,$I361*1000+COUNTIFS($I$4:$I$483,$I361,$J$4:$J$483,"&lt;"&amp;$J361)+1,"")</f>
        <v/>
      </c>
      <c r="L361" s="121" t="str">
        <f aca="false">IF($F361="","",IF(Recurring!$G$27="Move Before",IF(WEEKDAY($F361,2)=6,$F361-1,IF(WEEKDAY($F361,2)=7,$F361-2,$F361)),IF(Recurring!$G$27="Move After",IF(WEEKDAY($F361,2)=6,$F361+2,IF(WEEKDAY($F361,2)=7,$F361+1,$F361)),$F361)))</f>
        <v/>
      </c>
      <c r="M361" s="0" t="str">
        <f aca="true">IF(AND($H361=1,$D361="Expense",$G361&gt;TODAY(),$E361&gt;=100),$G361*100000+ROW(),"")</f>
        <v/>
      </c>
      <c r="N361" s="0" t="str">
        <f aca="true">IF(AND($H361=1,$D361="Income",$G361&gt;TODAY()),$G361*100000+ROW(),"")</f>
        <v/>
      </c>
    </row>
    <row r="362" customFormat="false" ht="15" hidden="false" customHeight="true" outlineLevel="0" collapsed="false">
      <c r="A362" s="117" t="n">
        <v>23</v>
      </c>
      <c r="B362" s="117" t="n">
        <v>7</v>
      </c>
      <c r="C362" s="7" t="str">
        <f aca="false">IF(OR(Recurring!$B$27="",Recurring!$H$27&lt;&gt;"Yes",Recurring!$D$27=""),"",Recurring!$B$27)</f>
        <v/>
      </c>
      <c r="D362" s="7" t="str">
        <f aca="false">IF($C362="","",Recurring!$C$27)</f>
        <v/>
      </c>
      <c r="E362" s="118" t="str">
        <f aca="false">IF($C362="","",IF(SUMIFS(Overrides!$E$9:$E$108,Overrides!$B$9:$B$108,$C362,Overrides!$C$9:$C$108,$L362)&gt;0,SUMIFS(Overrides!$E$9:$E$108,Overrides!$B$9:$B$108,$C362,Overrides!$C$9:$C$108,$L362),Recurring!$D$27))</f>
        <v/>
      </c>
      <c r="F362" s="119" t="str">
        <f aca="false">IF($C362="","",IF(Recurring!$E$27="Weekly",Recurring!$F$27+7*6,IF(Recurring!$E$27="Every 2 Weeks",Recurring!$F$27+14*6,IF(Recurring!$E$27="Monthly",EDATE(Recurring!$F$27,6),IF(Recurring!$E$27="Twice a Month",IF(MOD((IF(DAY(Recurring!$F$27)&lt;=20,0,1)+6),2)=1,EOMONTH(Recurring!$F$27,INT((IF(DAY(Recurring!$F$27)&lt;=20,0,1)+6)/2)),DATE(YEAR(EDATE(Recurring!$F$27,INT((IF(DAY(Recurring!$F$27)&lt;=20,0,1)+6)/2))),MONTH(EDATE(Recurring!$F$27,INT((IF(DAY(Recurring!$F$27)&lt;=20,0,1)+6)/2))),15)),IF(Recurring!$E$27="One Time",IF(7=1,Recurring!$F$27,""),""))))))</f>
        <v/>
      </c>
      <c r="G362" s="119" t="str">
        <f aca="false">IF($L362="","",IF(SUMIFS(Overrides!$D$9:$D$108,Overrides!$B$9:$B$108,$C362,Overrides!$C$9:$C$108,$L362)&gt;0,SUMIFS(Overrides!$D$9:$D$108,Overrides!$B$9:$B$108,$C362,Overrides!$C$9:$C$108,$L362),$L362))</f>
        <v/>
      </c>
      <c r="H362" s="120" t="n">
        <f aca="false">IF($G362="",0,IF(AND($G362&gt;='Cash Flow'!$E$6,$G362&lt;'Cash Flow'!$E$6+91),1,0))</f>
        <v>0</v>
      </c>
      <c r="I362" s="120" t="str">
        <f aca="false">IF($H362=1,MAX(1,INT(($G362-'Cash Flow'!$E$6)/7)+1),"")</f>
        <v/>
      </c>
      <c r="J362" s="7" t="str">
        <f aca="false">IF($H362=1,$G362*10000+ROW(),"")</f>
        <v/>
      </c>
      <c r="K362" s="7" t="str">
        <f aca="false">IF($H362=1,$I362*1000+COUNTIFS($I$4:$I$483,$I362,$J$4:$J$483,"&lt;"&amp;$J362)+1,"")</f>
        <v/>
      </c>
      <c r="L362" s="121" t="str">
        <f aca="false">IF($F362="","",IF(Recurring!$G$27="Move Before",IF(WEEKDAY($F362,2)=6,$F362-1,IF(WEEKDAY($F362,2)=7,$F362-2,$F362)),IF(Recurring!$G$27="Move After",IF(WEEKDAY($F362,2)=6,$F362+2,IF(WEEKDAY($F362,2)=7,$F362+1,$F362)),$F362)))</f>
        <v/>
      </c>
      <c r="M362" s="0" t="str">
        <f aca="true">IF(AND($H362=1,$D362="Expense",$G362&gt;TODAY(),$E362&gt;=100),$G362*100000+ROW(),"")</f>
        <v/>
      </c>
      <c r="N362" s="0" t="str">
        <f aca="true">IF(AND($H362=1,$D362="Income",$G362&gt;TODAY()),$G362*100000+ROW(),"")</f>
        <v/>
      </c>
    </row>
    <row r="363" customFormat="false" ht="15" hidden="false" customHeight="true" outlineLevel="0" collapsed="false">
      <c r="A363" s="117" t="n">
        <v>23</v>
      </c>
      <c r="B363" s="117" t="n">
        <v>8</v>
      </c>
      <c r="C363" s="7" t="str">
        <f aca="false">IF(OR(Recurring!$B$27="",Recurring!$H$27&lt;&gt;"Yes",Recurring!$D$27=""),"",Recurring!$B$27)</f>
        <v/>
      </c>
      <c r="D363" s="7" t="str">
        <f aca="false">IF($C363="","",Recurring!$C$27)</f>
        <v/>
      </c>
      <c r="E363" s="118" t="str">
        <f aca="false">IF($C363="","",IF(SUMIFS(Overrides!$E$9:$E$108,Overrides!$B$9:$B$108,$C363,Overrides!$C$9:$C$108,$L363)&gt;0,SUMIFS(Overrides!$E$9:$E$108,Overrides!$B$9:$B$108,$C363,Overrides!$C$9:$C$108,$L363),Recurring!$D$27))</f>
        <v/>
      </c>
      <c r="F363" s="119" t="str">
        <f aca="false">IF($C363="","",IF(Recurring!$E$27="Weekly",Recurring!$F$27+7*7,IF(Recurring!$E$27="Every 2 Weeks",Recurring!$F$27+14*7,IF(Recurring!$E$27="Monthly",EDATE(Recurring!$F$27,7),IF(Recurring!$E$27="Twice a Month",IF(MOD((IF(DAY(Recurring!$F$27)&lt;=20,0,1)+7),2)=1,EOMONTH(Recurring!$F$27,INT((IF(DAY(Recurring!$F$27)&lt;=20,0,1)+7)/2)),DATE(YEAR(EDATE(Recurring!$F$27,INT((IF(DAY(Recurring!$F$27)&lt;=20,0,1)+7)/2))),MONTH(EDATE(Recurring!$F$27,INT((IF(DAY(Recurring!$F$27)&lt;=20,0,1)+7)/2))),15)),IF(Recurring!$E$27="One Time",IF(8=1,Recurring!$F$27,""),""))))))</f>
        <v/>
      </c>
      <c r="G363" s="119" t="str">
        <f aca="false">IF($L363="","",IF(SUMIFS(Overrides!$D$9:$D$108,Overrides!$B$9:$B$108,$C363,Overrides!$C$9:$C$108,$L363)&gt;0,SUMIFS(Overrides!$D$9:$D$108,Overrides!$B$9:$B$108,$C363,Overrides!$C$9:$C$108,$L363),$L363))</f>
        <v/>
      </c>
      <c r="H363" s="120" t="n">
        <f aca="false">IF($G363="",0,IF(AND($G363&gt;='Cash Flow'!$E$6,$G363&lt;'Cash Flow'!$E$6+91),1,0))</f>
        <v>0</v>
      </c>
      <c r="I363" s="120" t="str">
        <f aca="false">IF($H363=1,MAX(1,INT(($G363-'Cash Flow'!$E$6)/7)+1),"")</f>
        <v/>
      </c>
      <c r="J363" s="7" t="str">
        <f aca="false">IF($H363=1,$G363*10000+ROW(),"")</f>
        <v/>
      </c>
      <c r="K363" s="7" t="str">
        <f aca="false">IF($H363=1,$I363*1000+COUNTIFS($I$4:$I$483,$I363,$J$4:$J$483,"&lt;"&amp;$J363)+1,"")</f>
        <v/>
      </c>
      <c r="L363" s="121" t="str">
        <f aca="false">IF($F363="","",IF(Recurring!$G$27="Move Before",IF(WEEKDAY($F363,2)=6,$F363-1,IF(WEEKDAY($F363,2)=7,$F363-2,$F363)),IF(Recurring!$G$27="Move After",IF(WEEKDAY($F363,2)=6,$F363+2,IF(WEEKDAY($F363,2)=7,$F363+1,$F363)),$F363)))</f>
        <v/>
      </c>
      <c r="M363" s="0" t="str">
        <f aca="true">IF(AND($H363=1,$D363="Expense",$G363&gt;TODAY(),$E363&gt;=100),$G363*100000+ROW(),"")</f>
        <v/>
      </c>
      <c r="N363" s="0" t="str">
        <f aca="true">IF(AND($H363=1,$D363="Income",$G363&gt;TODAY()),$G363*100000+ROW(),"")</f>
        <v/>
      </c>
    </row>
    <row r="364" customFormat="false" ht="15" hidden="false" customHeight="true" outlineLevel="0" collapsed="false">
      <c r="A364" s="117" t="n">
        <v>23</v>
      </c>
      <c r="B364" s="117" t="n">
        <v>9</v>
      </c>
      <c r="C364" s="7" t="str">
        <f aca="false">IF(OR(Recurring!$B$27="",Recurring!$H$27&lt;&gt;"Yes",Recurring!$D$27=""),"",Recurring!$B$27)</f>
        <v/>
      </c>
      <c r="D364" s="7" t="str">
        <f aca="false">IF($C364="","",Recurring!$C$27)</f>
        <v/>
      </c>
      <c r="E364" s="118" t="str">
        <f aca="false">IF($C364="","",IF(SUMIFS(Overrides!$E$9:$E$108,Overrides!$B$9:$B$108,$C364,Overrides!$C$9:$C$108,$L364)&gt;0,SUMIFS(Overrides!$E$9:$E$108,Overrides!$B$9:$B$108,$C364,Overrides!$C$9:$C$108,$L364),Recurring!$D$27))</f>
        <v/>
      </c>
      <c r="F364" s="119" t="str">
        <f aca="false">IF($C364="","",IF(Recurring!$E$27="Weekly",Recurring!$F$27+7*8,IF(Recurring!$E$27="Every 2 Weeks",Recurring!$F$27+14*8,IF(Recurring!$E$27="Monthly",EDATE(Recurring!$F$27,8),IF(Recurring!$E$27="Twice a Month",IF(MOD((IF(DAY(Recurring!$F$27)&lt;=20,0,1)+8),2)=1,EOMONTH(Recurring!$F$27,INT((IF(DAY(Recurring!$F$27)&lt;=20,0,1)+8)/2)),DATE(YEAR(EDATE(Recurring!$F$27,INT((IF(DAY(Recurring!$F$27)&lt;=20,0,1)+8)/2))),MONTH(EDATE(Recurring!$F$27,INT((IF(DAY(Recurring!$F$27)&lt;=20,0,1)+8)/2))),15)),IF(Recurring!$E$27="One Time",IF(9=1,Recurring!$F$27,""),""))))))</f>
        <v/>
      </c>
      <c r="G364" s="119" t="str">
        <f aca="false">IF($L364="","",IF(SUMIFS(Overrides!$D$9:$D$108,Overrides!$B$9:$B$108,$C364,Overrides!$C$9:$C$108,$L364)&gt;0,SUMIFS(Overrides!$D$9:$D$108,Overrides!$B$9:$B$108,$C364,Overrides!$C$9:$C$108,$L364),$L364))</f>
        <v/>
      </c>
      <c r="H364" s="120" t="n">
        <f aca="false">IF($G364="",0,IF(AND($G364&gt;='Cash Flow'!$E$6,$G364&lt;'Cash Flow'!$E$6+91),1,0))</f>
        <v>0</v>
      </c>
      <c r="I364" s="120" t="str">
        <f aca="false">IF($H364=1,MAX(1,INT(($G364-'Cash Flow'!$E$6)/7)+1),"")</f>
        <v/>
      </c>
      <c r="J364" s="7" t="str">
        <f aca="false">IF($H364=1,$G364*10000+ROW(),"")</f>
        <v/>
      </c>
      <c r="K364" s="7" t="str">
        <f aca="false">IF($H364=1,$I364*1000+COUNTIFS($I$4:$I$483,$I364,$J$4:$J$483,"&lt;"&amp;$J364)+1,"")</f>
        <v/>
      </c>
      <c r="L364" s="121" t="str">
        <f aca="false">IF($F364="","",IF(Recurring!$G$27="Move Before",IF(WEEKDAY($F364,2)=6,$F364-1,IF(WEEKDAY($F364,2)=7,$F364-2,$F364)),IF(Recurring!$G$27="Move After",IF(WEEKDAY($F364,2)=6,$F364+2,IF(WEEKDAY($F364,2)=7,$F364+1,$F364)),$F364)))</f>
        <v/>
      </c>
      <c r="M364" s="0" t="str">
        <f aca="true">IF(AND($H364=1,$D364="Expense",$G364&gt;TODAY(),$E364&gt;=100),$G364*100000+ROW(),"")</f>
        <v/>
      </c>
      <c r="N364" s="0" t="str">
        <f aca="true">IF(AND($H364=1,$D364="Income",$G364&gt;TODAY()),$G364*100000+ROW(),"")</f>
        <v/>
      </c>
    </row>
    <row r="365" customFormat="false" ht="15" hidden="false" customHeight="true" outlineLevel="0" collapsed="false">
      <c r="A365" s="117" t="n">
        <v>23</v>
      </c>
      <c r="B365" s="117" t="n">
        <v>10</v>
      </c>
      <c r="C365" s="7" t="str">
        <f aca="false">IF(OR(Recurring!$B$27="",Recurring!$H$27&lt;&gt;"Yes",Recurring!$D$27=""),"",Recurring!$B$27)</f>
        <v/>
      </c>
      <c r="D365" s="7" t="str">
        <f aca="false">IF($C365="","",Recurring!$C$27)</f>
        <v/>
      </c>
      <c r="E365" s="118" t="str">
        <f aca="false">IF($C365="","",IF(SUMIFS(Overrides!$E$9:$E$108,Overrides!$B$9:$B$108,$C365,Overrides!$C$9:$C$108,$L365)&gt;0,SUMIFS(Overrides!$E$9:$E$108,Overrides!$B$9:$B$108,$C365,Overrides!$C$9:$C$108,$L365),Recurring!$D$27))</f>
        <v/>
      </c>
      <c r="F365" s="119" t="str">
        <f aca="false">IF($C365="","",IF(Recurring!$E$27="Weekly",Recurring!$F$27+7*9,IF(Recurring!$E$27="Every 2 Weeks",Recurring!$F$27+14*9,IF(Recurring!$E$27="Monthly",EDATE(Recurring!$F$27,9),IF(Recurring!$E$27="Twice a Month",IF(MOD((IF(DAY(Recurring!$F$27)&lt;=20,0,1)+9),2)=1,EOMONTH(Recurring!$F$27,INT((IF(DAY(Recurring!$F$27)&lt;=20,0,1)+9)/2)),DATE(YEAR(EDATE(Recurring!$F$27,INT((IF(DAY(Recurring!$F$27)&lt;=20,0,1)+9)/2))),MONTH(EDATE(Recurring!$F$27,INT((IF(DAY(Recurring!$F$27)&lt;=20,0,1)+9)/2))),15)),IF(Recurring!$E$27="One Time",IF(10=1,Recurring!$F$27,""),""))))))</f>
        <v/>
      </c>
      <c r="G365" s="119" t="str">
        <f aca="false">IF($L365="","",IF(SUMIFS(Overrides!$D$9:$D$108,Overrides!$B$9:$B$108,$C365,Overrides!$C$9:$C$108,$L365)&gt;0,SUMIFS(Overrides!$D$9:$D$108,Overrides!$B$9:$B$108,$C365,Overrides!$C$9:$C$108,$L365),$L365))</f>
        <v/>
      </c>
      <c r="H365" s="120" t="n">
        <f aca="false">IF($G365="",0,IF(AND($G365&gt;='Cash Flow'!$E$6,$G365&lt;'Cash Flow'!$E$6+91),1,0))</f>
        <v>0</v>
      </c>
      <c r="I365" s="120" t="str">
        <f aca="false">IF($H365=1,MAX(1,INT(($G365-'Cash Flow'!$E$6)/7)+1),"")</f>
        <v/>
      </c>
      <c r="J365" s="7" t="str">
        <f aca="false">IF($H365=1,$G365*10000+ROW(),"")</f>
        <v/>
      </c>
      <c r="K365" s="7" t="str">
        <f aca="false">IF($H365=1,$I365*1000+COUNTIFS($I$4:$I$483,$I365,$J$4:$J$483,"&lt;"&amp;$J365)+1,"")</f>
        <v/>
      </c>
      <c r="L365" s="121" t="str">
        <f aca="false">IF($F365="","",IF(Recurring!$G$27="Move Before",IF(WEEKDAY($F365,2)=6,$F365-1,IF(WEEKDAY($F365,2)=7,$F365-2,$F365)),IF(Recurring!$G$27="Move After",IF(WEEKDAY($F365,2)=6,$F365+2,IF(WEEKDAY($F365,2)=7,$F365+1,$F365)),$F365)))</f>
        <v/>
      </c>
      <c r="M365" s="0" t="str">
        <f aca="true">IF(AND($H365=1,$D365="Expense",$G365&gt;TODAY(),$E365&gt;=100),$G365*100000+ROW(),"")</f>
        <v/>
      </c>
      <c r="N365" s="0" t="str">
        <f aca="true">IF(AND($H365=1,$D365="Income",$G365&gt;TODAY()),$G365*100000+ROW(),"")</f>
        <v/>
      </c>
    </row>
    <row r="366" customFormat="false" ht="15" hidden="false" customHeight="true" outlineLevel="0" collapsed="false">
      <c r="A366" s="117" t="n">
        <v>23</v>
      </c>
      <c r="B366" s="117" t="n">
        <v>11</v>
      </c>
      <c r="C366" s="7" t="str">
        <f aca="false">IF(OR(Recurring!$B$27="",Recurring!$H$27&lt;&gt;"Yes",Recurring!$D$27=""),"",Recurring!$B$27)</f>
        <v/>
      </c>
      <c r="D366" s="7" t="str">
        <f aca="false">IF($C366="","",Recurring!$C$27)</f>
        <v/>
      </c>
      <c r="E366" s="118" t="str">
        <f aca="false">IF($C366="","",IF(SUMIFS(Overrides!$E$9:$E$108,Overrides!$B$9:$B$108,$C366,Overrides!$C$9:$C$108,$L366)&gt;0,SUMIFS(Overrides!$E$9:$E$108,Overrides!$B$9:$B$108,$C366,Overrides!$C$9:$C$108,$L366),Recurring!$D$27))</f>
        <v/>
      </c>
      <c r="F366" s="119" t="str">
        <f aca="false">IF($C366="","",IF(Recurring!$E$27="Weekly",Recurring!$F$27+7*10,IF(Recurring!$E$27="Every 2 Weeks",Recurring!$F$27+14*10,IF(Recurring!$E$27="Monthly",EDATE(Recurring!$F$27,10),IF(Recurring!$E$27="Twice a Month",IF(MOD((IF(DAY(Recurring!$F$27)&lt;=20,0,1)+10),2)=1,EOMONTH(Recurring!$F$27,INT((IF(DAY(Recurring!$F$27)&lt;=20,0,1)+10)/2)),DATE(YEAR(EDATE(Recurring!$F$27,INT((IF(DAY(Recurring!$F$27)&lt;=20,0,1)+10)/2))),MONTH(EDATE(Recurring!$F$27,INT((IF(DAY(Recurring!$F$27)&lt;=20,0,1)+10)/2))),15)),IF(Recurring!$E$27="One Time",IF(11=1,Recurring!$F$27,""),""))))))</f>
        <v/>
      </c>
      <c r="G366" s="119" t="str">
        <f aca="false">IF($L366="","",IF(SUMIFS(Overrides!$D$9:$D$108,Overrides!$B$9:$B$108,$C366,Overrides!$C$9:$C$108,$L366)&gt;0,SUMIFS(Overrides!$D$9:$D$108,Overrides!$B$9:$B$108,$C366,Overrides!$C$9:$C$108,$L366),$L366))</f>
        <v/>
      </c>
      <c r="H366" s="120" t="n">
        <f aca="false">IF($G366="",0,IF(AND($G366&gt;='Cash Flow'!$E$6,$G366&lt;'Cash Flow'!$E$6+91),1,0))</f>
        <v>0</v>
      </c>
      <c r="I366" s="120" t="str">
        <f aca="false">IF($H366=1,MAX(1,INT(($G366-'Cash Flow'!$E$6)/7)+1),"")</f>
        <v/>
      </c>
      <c r="J366" s="7" t="str">
        <f aca="false">IF($H366=1,$G366*10000+ROW(),"")</f>
        <v/>
      </c>
      <c r="K366" s="7" t="str">
        <f aca="false">IF($H366=1,$I366*1000+COUNTIFS($I$4:$I$483,$I366,$J$4:$J$483,"&lt;"&amp;$J366)+1,"")</f>
        <v/>
      </c>
      <c r="L366" s="121" t="str">
        <f aca="false">IF($F366="","",IF(Recurring!$G$27="Move Before",IF(WEEKDAY($F366,2)=6,$F366-1,IF(WEEKDAY($F366,2)=7,$F366-2,$F366)),IF(Recurring!$G$27="Move After",IF(WEEKDAY($F366,2)=6,$F366+2,IF(WEEKDAY($F366,2)=7,$F366+1,$F366)),$F366)))</f>
        <v/>
      </c>
      <c r="M366" s="0" t="str">
        <f aca="true">IF(AND($H366=1,$D366="Expense",$G366&gt;TODAY(),$E366&gt;=100),$G366*100000+ROW(),"")</f>
        <v/>
      </c>
      <c r="N366" s="0" t="str">
        <f aca="true">IF(AND($H366=1,$D366="Income",$G366&gt;TODAY()),$G366*100000+ROW(),"")</f>
        <v/>
      </c>
    </row>
    <row r="367" customFormat="false" ht="15" hidden="false" customHeight="true" outlineLevel="0" collapsed="false">
      <c r="A367" s="117" t="n">
        <v>23</v>
      </c>
      <c r="B367" s="117" t="n">
        <v>12</v>
      </c>
      <c r="C367" s="7" t="str">
        <f aca="false">IF(OR(Recurring!$B$27="",Recurring!$H$27&lt;&gt;"Yes",Recurring!$D$27=""),"",Recurring!$B$27)</f>
        <v/>
      </c>
      <c r="D367" s="7" t="str">
        <f aca="false">IF($C367="","",Recurring!$C$27)</f>
        <v/>
      </c>
      <c r="E367" s="118" t="str">
        <f aca="false">IF($C367="","",IF(SUMIFS(Overrides!$E$9:$E$108,Overrides!$B$9:$B$108,$C367,Overrides!$C$9:$C$108,$L367)&gt;0,SUMIFS(Overrides!$E$9:$E$108,Overrides!$B$9:$B$108,$C367,Overrides!$C$9:$C$108,$L367),Recurring!$D$27))</f>
        <v/>
      </c>
      <c r="F367" s="119" t="str">
        <f aca="false">IF($C367="","",IF(Recurring!$E$27="Weekly",Recurring!$F$27+7*11,IF(Recurring!$E$27="Every 2 Weeks",Recurring!$F$27+14*11,IF(Recurring!$E$27="Monthly",EDATE(Recurring!$F$27,11),IF(Recurring!$E$27="Twice a Month",IF(MOD((IF(DAY(Recurring!$F$27)&lt;=20,0,1)+11),2)=1,EOMONTH(Recurring!$F$27,INT((IF(DAY(Recurring!$F$27)&lt;=20,0,1)+11)/2)),DATE(YEAR(EDATE(Recurring!$F$27,INT((IF(DAY(Recurring!$F$27)&lt;=20,0,1)+11)/2))),MONTH(EDATE(Recurring!$F$27,INT((IF(DAY(Recurring!$F$27)&lt;=20,0,1)+11)/2))),15)),IF(Recurring!$E$27="One Time",IF(12=1,Recurring!$F$27,""),""))))))</f>
        <v/>
      </c>
      <c r="G367" s="119" t="str">
        <f aca="false">IF($L367="","",IF(SUMIFS(Overrides!$D$9:$D$108,Overrides!$B$9:$B$108,$C367,Overrides!$C$9:$C$108,$L367)&gt;0,SUMIFS(Overrides!$D$9:$D$108,Overrides!$B$9:$B$108,$C367,Overrides!$C$9:$C$108,$L367),$L367))</f>
        <v/>
      </c>
      <c r="H367" s="120" t="n">
        <f aca="false">IF($G367="",0,IF(AND($G367&gt;='Cash Flow'!$E$6,$G367&lt;'Cash Flow'!$E$6+91),1,0))</f>
        <v>0</v>
      </c>
      <c r="I367" s="120" t="str">
        <f aca="false">IF($H367=1,MAX(1,INT(($G367-'Cash Flow'!$E$6)/7)+1),"")</f>
        <v/>
      </c>
      <c r="J367" s="7" t="str">
        <f aca="false">IF($H367=1,$G367*10000+ROW(),"")</f>
        <v/>
      </c>
      <c r="K367" s="7" t="str">
        <f aca="false">IF($H367=1,$I367*1000+COUNTIFS($I$4:$I$483,$I367,$J$4:$J$483,"&lt;"&amp;$J367)+1,"")</f>
        <v/>
      </c>
      <c r="L367" s="121" t="str">
        <f aca="false">IF($F367="","",IF(Recurring!$G$27="Move Before",IF(WEEKDAY($F367,2)=6,$F367-1,IF(WEEKDAY($F367,2)=7,$F367-2,$F367)),IF(Recurring!$G$27="Move After",IF(WEEKDAY($F367,2)=6,$F367+2,IF(WEEKDAY($F367,2)=7,$F367+1,$F367)),$F367)))</f>
        <v/>
      </c>
      <c r="M367" s="0" t="str">
        <f aca="true">IF(AND($H367=1,$D367="Expense",$G367&gt;TODAY(),$E367&gt;=100),$G367*100000+ROW(),"")</f>
        <v/>
      </c>
      <c r="N367" s="0" t="str">
        <f aca="true">IF(AND($H367=1,$D367="Income",$G367&gt;TODAY()),$G367*100000+ROW(),"")</f>
        <v/>
      </c>
    </row>
    <row r="368" customFormat="false" ht="15" hidden="false" customHeight="true" outlineLevel="0" collapsed="false">
      <c r="A368" s="117" t="n">
        <v>23</v>
      </c>
      <c r="B368" s="117" t="n">
        <v>13</v>
      </c>
      <c r="C368" s="7" t="str">
        <f aca="false">IF(OR(Recurring!$B$27="",Recurring!$H$27&lt;&gt;"Yes",Recurring!$D$27=""),"",Recurring!$B$27)</f>
        <v/>
      </c>
      <c r="D368" s="7" t="str">
        <f aca="false">IF($C368="","",Recurring!$C$27)</f>
        <v/>
      </c>
      <c r="E368" s="118" t="str">
        <f aca="false">IF($C368="","",IF(SUMIFS(Overrides!$E$9:$E$108,Overrides!$B$9:$B$108,$C368,Overrides!$C$9:$C$108,$L368)&gt;0,SUMIFS(Overrides!$E$9:$E$108,Overrides!$B$9:$B$108,$C368,Overrides!$C$9:$C$108,$L368),Recurring!$D$27))</f>
        <v/>
      </c>
      <c r="F368" s="119" t="str">
        <f aca="false">IF($C368="","",IF(Recurring!$E$27="Weekly",Recurring!$F$27+7*12,IF(Recurring!$E$27="Every 2 Weeks",Recurring!$F$27+14*12,IF(Recurring!$E$27="Monthly",EDATE(Recurring!$F$27,12),IF(Recurring!$E$27="Twice a Month",IF(MOD((IF(DAY(Recurring!$F$27)&lt;=20,0,1)+12),2)=1,EOMONTH(Recurring!$F$27,INT((IF(DAY(Recurring!$F$27)&lt;=20,0,1)+12)/2)),DATE(YEAR(EDATE(Recurring!$F$27,INT((IF(DAY(Recurring!$F$27)&lt;=20,0,1)+12)/2))),MONTH(EDATE(Recurring!$F$27,INT((IF(DAY(Recurring!$F$27)&lt;=20,0,1)+12)/2))),15)),IF(Recurring!$E$27="One Time",IF(13=1,Recurring!$F$27,""),""))))))</f>
        <v/>
      </c>
      <c r="G368" s="119" t="str">
        <f aca="false">IF($L368="","",IF(SUMIFS(Overrides!$D$9:$D$108,Overrides!$B$9:$B$108,$C368,Overrides!$C$9:$C$108,$L368)&gt;0,SUMIFS(Overrides!$D$9:$D$108,Overrides!$B$9:$B$108,$C368,Overrides!$C$9:$C$108,$L368),$L368))</f>
        <v/>
      </c>
      <c r="H368" s="120" t="n">
        <f aca="false">IF($G368="",0,IF(AND($G368&gt;='Cash Flow'!$E$6,$G368&lt;'Cash Flow'!$E$6+91),1,0))</f>
        <v>0</v>
      </c>
      <c r="I368" s="120" t="str">
        <f aca="false">IF($H368=1,MAX(1,INT(($G368-'Cash Flow'!$E$6)/7)+1),"")</f>
        <v/>
      </c>
      <c r="J368" s="7" t="str">
        <f aca="false">IF($H368=1,$G368*10000+ROW(),"")</f>
        <v/>
      </c>
      <c r="K368" s="7" t="str">
        <f aca="false">IF($H368=1,$I368*1000+COUNTIFS($I$4:$I$483,$I368,$J$4:$J$483,"&lt;"&amp;$J368)+1,"")</f>
        <v/>
      </c>
      <c r="L368" s="121" t="str">
        <f aca="false">IF($F368="","",IF(Recurring!$G$27="Move Before",IF(WEEKDAY($F368,2)=6,$F368-1,IF(WEEKDAY($F368,2)=7,$F368-2,$F368)),IF(Recurring!$G$27="Move After",IF(WEEKDAY($F368,2)=6,$F368+2,IF(WEEKDAY($F368,2)=7,$F368+1,$F368)),$F368)))</f>
        <v/>
      </c>
      <c r="M368" s="0" t="str">
        <f aca="true">IF(AND($H368=1,$D368="Expense",$G368&gt;TODAY(),$E368&gt;=100),$G368*100000+ROW(),"")</f>
        <v/>
      </c>
      <c r="N368" s="0" t="str">
        <f aca="true">IF(AND($H368=1,$D368="Income",$G368&gt;TODAY()),$G368*100000+ROW(),"")</f>
        <v/>
      </c>
    </row>
    <row r="369" customFormat="false" ht="15" hidden="false" customHeight="true" outlineLevel="0" collapsed="false">
      <c r="A369" s="117" t="n">
        <v>23</v>
      </c>
      <c r="B369" s="117" t="n">
        <v>14</v>
      </c>
      <c r="C369" s="7" t="str">
        <f aca="false">IF(OR(Recurring!$B$27="",Recurring!$H$27&lt;&gt;"Yes",Recurring!$D$27=""),"",Recurring!$B$27)</f>
        <v/>
      </c>
      <c r="D369" s="7" t="str">
        <f aca="false">IF($C369="","",Recurring!$C$27)</f>
        <v/>
      </c>
      <c r="E369" s="118" t="str">
        <f aca="false">IF($C369="","",IF(SUMIFS(Overrides!$E$9:$E$108,Overrides!$B$9:$B$108,$C369,Overrides!$C$9:$C$108,$L369)&gt;0,SUMIFS(Overrides!$E$9:$E$108,Overrides!$B$9:$B$108,$C369,Overrides!$C$9:$C$108,$L369),Recurring!$D$27))</f>
        <v/>
      </c>
      <c r="F369" s="119" t="str">
        <f aca="false">IF($C369="","",IF(Recurring!$E$27="Weekly",Recurring!$F$27+7*13,IF(Recurring!$E$27="Every 2 Weeks",Recurring!$F$27+14*13,IF(Recurring!$E$27="Monthly",EDATE(Recurring!$F$27,13),IF(Recurring!$E$27="Twice a Month",IF(MOD((IF(DAY(Recurring!$F$27)&lt;=20,0,1)+13),2)=1,EOMONTH(Recurring!$F$27,INT((IF(DAY(Recurring!$F$27)&lt;=20,0,1)+13)/2)),DATE(YEAR(EDATE(Recurring!$F$27,INT((IF(DAY(Recurring!$F$27)&lt;=20,0,1)+13)/2))),MONTH(EDATE(Recurring!$F$27,INT((IF(DAY(Recurring!$F$27)&lt;=20,0,1)+13)/2))),15)),IF(Recurring!$E$27="One Time",IF(14=1,Recurring!$F$27,""),""))))))</f>
        <v/>
      </c>
      <c r="G369" s="119" t="str">
        <f aca="false">IF($L369="","",IF(SUMIFS(Overrides!$D$9:$D$108,Overrides!$B$9:$B$108,$C369,Overrides!$C$9:$C$108,$L369)&gt;0,SUMIFS(Overrides!$D$9:$D$108,Overrides!$B$9:$B$108,$C369,Overrides!$C$9:$C$108,$L369),$L369))</f>
        <v/>
      </c>
      <c r="H369" s="120" t="n">
        <f aca="false">IF($G369="",0,IF(AND($G369&gt;='Cash Flow'!$E$6,$G369&lt;'Cash Flow'!$E$6+91),1,0))</f>
        <v>0</v>
      </c>
      <c r="I369" s="120" t="str">
        <f aca="false">IF($H369=1,MAX(1,INT(($G369-'Cash Flow'!$E$6)/7)+1),"")</f>
        <v/>
      </c>
      <c r="J369" s="7" t="str">
        <f aca="false">IF($H369=1,$G369*10000+ROW(),"")</f>
        <v/>
      </c>
      <c r="K369" s="7" t="str">
        <f aca="false">IF($H369=1,$I369*1000+COUNTIFS($I$4:$I$483,$I369,$J$4:$J$483,"&lt;"&amp;$J369)+1,"")</f>
        <v/>
      </c>
      <c r="L369" s="121" t="str">
        <f aca="false">IF($F369="","",IF(Recurring!$G$27="Move Before",IF(WEEKDAY($F369,2)=6,$F369-1,IF(WEEKDAY($F369,2)=7,$F369-2,$F369)),IF(Recurring!$G$27="Move After",IF(WEEKDAY($F369,2)=6,$F369+2,IF(WEEKDAY($F369,2)=7,$F369+1,$F369)),$F369)))</f>
        <v/>
      </c>
      <c r="M369" s="0" t="str">
        <f aca="true">IF(AND($H369=1,$D369="Expense",$G369&gt;TODAY(),$E369&gt;=100),$G369*100000+ROW(),"")</f>
        <v/>
      </c>
      <c r="N369" s="0" t="str">
        <f aca="true">IF(AND($H369=1,$D369="Income",$G369&gt;TODAY()),$G369*100000+ROW(),"")</f>
        <v/>
      </c>
    </row>
    <row r="370" customFormat="false" ht="15" hidden="false" customHeight="true" outlineLevel="0" collapsed="false">
      <c r="A370" s="117" t="n">
        <v>23</v>
      </c>
      <c r="B370" s="117" t="n">
        <v>15</v>
      </c>
      <c r="C370" s="7" t="str">
        <f aca="false">IF(OR(Recurring!$B$27="",Recurring!$H$27&lt;&gt;"Yes",Recurring!$D$27=""),"",Recurring!$B$27)</f>
        <v/>
      </c>
      <c r="D370" s="7" t="str">
        <f aca="false">IF($C370="","",Recurring!$C$27)</f>
        <v/>
      </c>
      <c r="E370" s="118" t="str">
        <f aca="false">IF($C370="","",IF(SUMIFS(Overrides!$E$9:$E$108,Overrides!$B$9:$B$108,$C370,Overrides!$C$9:$C$108,$L370)&gt;0,SUMIFS(Overrides!$E$9:$E$108,Overrides!$B$9:$B$108,$C370,Overrides!$C$9:$C$108,$L370),Recurring!$D$27))</f>
        <v/>
      </c>
      <c r="F370" s="119" t="str">
        <f aca="false">IF($C370="","",IF(Recurring!$E$27="Weekly",Recurring!$F$27+7*14,IF(Recurring!$E$27="Every 2 Weeks",Recurring!$F$27+14*14,IF(Recurring!$E$27="Monthly",EDATE(Recurring!$F$27,14),IF(Recurring!$E$27="Twice a Month",IF(MOD((IF(DAY(Recurring!$F$27)&lt;=20,0,1)+14),2)=1,EOMONTH(Recurring!$F$27,INT((IF(DAY(Recurring!$F$27)&lt;=20,0,1)+14)/2)),DATE(YEAR(EDATE(Recurring!$F$27,INT((IF(DAY(Recurring!$F$27)&lt;=20,0,1)+14)/2))),MONTH(EDATE(Recurring!$F$27,INT((IF(DAY(Recurring!$F$27)&lt;=20,0,1)+14)/2))),15)),IF(Recurring!$E$27="One Time",IF(15=1,Recurring!$F$27,""),""))))))</f>
        <v/>
      </c>
      <c r="G370" s="119" t="str">
        <f aca="false">IF($L370="","",IF(SUMIFS(Overrides!$D$9:$D$108,Overrides!$B$9:$B$108,$C370,Overrides!$C$9:$C$108,$L370)&gt;0,SUMIFS(Overrides!$D$9:$D$108,Overrides!$B$9:$B$108,$C370,Overrides!$C$9:$C$108,$L370),$L370))</f>
        <v/>
      </c>
      <c r="H370" s="120" t="n">
        <f aca="false">IF($G370="",0,IF(AND($G370&gt;='Cash Flow'!$E$6,$G370&lt;'Cash Flow'!$E$6+91),1,0))</f>
        <v>0</v>
      </c>
      <c r="I370" s="120" t="str">
        <f aca="false">IF($H370=1,MAX(1,INT(($G370-'Cash Flow'!$E$6)/7)+1),"")</f>
        <v/>
      </c>
      <c r="J370" s="7" t="str">
        <f aca="false">IF($H370=1,$G370*10000+ROW(),"")</f>
        <v/>
      </c>
      <c r="K370" s="7" t="str">
        <f aca="false">IF($H370=1,$I370*1000+COUNTIFS($I$4:$I$483,$I370,$J$4:$J$483,"&lt;"&amp;$J370)+1,"")</f>
        <v/>
      </c>
      <c r="L370" s="121" t="str">
        <f aca="false">IF($F370="","",IF(Recurring!$G$27="Move Before",IF(WEEKDAY($F370,2)=6,$F370-1,IF(WEEKDAY($F370,2)=7,$F370-2,$F370)),IF(Recurring!$G$27="Move After",IF(WEEKDAY($F370,2)=6,$F370+2,IF(WEEKDAY($F370,2)=7,$F370+1,$F370)),$F370)))</f>
        <v/>
      </c>
      <c r="M370" s="0" t="str">
        <f aca="true">IF(AND($H370=1,$D370="Expense",$G370&gt;TODAY(),$E370&gt;=100),$G370*100000+ROW(),"")</f>
        <v/>
      </c>
      <c r="N370" s="0" t="str">
        <f aca="true">IF(AND($H370=1,$D370="Income",$G370&gt;TODAY()),$G370*100000+ROW(),"")</f>
        <v/>
      </c>
    </row>
    <row r="371" customFormat="false" ht="15" hidden="false" customHeight="true" outlineLevel="0" collapsed="false">
      <c r="A371" s="117" t="n">
        <v>23</v>
      </c>
      <c r="B371" s="117" t="n">
        <v>16</v>
      </c>
      <c r="C371" s="7" t="str">
        <f aca="false">IF(OR(Recurring!$B$27="",Recurring!$H$27&lt;&gt;"Yes",Recurring!$D$27=""),"",Recurring!$B$27)</f>
        <v/>
      </c>
      <c r="D371" s="7" t="str">
        <f aca="false">IF($C371="","",Recurring!$C$27)</f>
        <v/>
      </c>
      <c r="E371" s="118" t="str">
        <f aca="false">IF($C371="","",IF(SUMIFS(Overrides!$E$9:$E$108,Overrides!$B$9:$B$108,$C371,Overrides!$C$9:$C$108,$L371)&gt;0,SUMIFS(Overrides!$E$9:$E$108,Overrides!$B$9:$B$108,$C371,Overrides!$C$9:$C$108,$L371),Recurring!$D$27))</f>
        <v/>
      </c>
      <c r="F371" s="119" t="str">
        <f aca="false">IF($C371="","",IF(Recurring!$E$27="Weekly",Recurring!$F$27+7*15,IF(Recurring!$E$27="Every 2 Weeks",Recurring!$F$27+14*15,IF(Recurring!$E$27="Monthly",EDATE(Recurring!$F$27,15),IF(Recurring!$E$27="Twice a Month",IF(MOD((IF(DAY(Recurring!$F$27)&lt;=20,0,1)+15),2)=1,EOMONTH(Recurring!$F$27,INT((IF(DAY(Recurring!$F$27)&lt;=20,0,1)+15)/2)),DATE(YEAR(EDATE(Recurring!$F$27,INT((IF(DAY(Recurring!$F$27)&lt;=20,0,1)+15)/2))),MONTH(EDATE(Recurring!$F$27,INT((IF(DAY(Recurring!$F$27)&lt;=20,0,1)+15)/2))),15)),IF(Recurring!$E$27="One Time",IF(16=1,Recurring!$F$27,""),""))))))</f>
        <v/>
      </c>
      <c r="G371" s="119" t="str">
        <f aca="false">IF($L371="","",IF(SUMIFS(Overrides!$D$9:$D$108,Overrides!$B$9:$B$108,$C371,Overrides!$C$9:$C$108,$L371)&gt;0,SUMIFS(Overrides!$D$9:$D$108,Overrides!$B$9:$B$108,$C371,Overrides!$C$9:$C$108,$L371),$L371))</f>
        <v/>
      </c>
      <c r="H371" s="120" t="n">
        <f aca="false">IF($G371="",0,IF(AND($G371&gt;='Cash Flow'!$E$6,$G371&lt;'Cash Flow'!$E$6+91),1,0))</f>
        <v>0</v>
      </c>
      <c r="I371" s="120" t="str">
        <f aca="false">IF($H371=1,MAX(1,INT(($G371-'Cash Flow'!$E$6)/7)+1),"")</f>
        <v/>
      </c>
      <c r="J371" s="7" t="str">
        <f aca="false">IF($H371=1,$G371*10000+ROW(),"")</f>
        <v/>
      </c>
      <c r="K371" s="7" t="str">
        <f aca="false">IF($H371=1,$I371*1000+COUNTIFS($I$4:$I$483,$I371,$J$4:$J$483,"&lt;"&amp;$J371)+1,"")</f>
        <v/>
      </c>
      <c r="L371" s="121" t="str">
        <f aca="false">IF($F371="","",IF(Recurring!$G$27="Move Before",IF(WEEKDAY($F371,2)=6,$F371-1,IF(WEEKDAY($F371,2)=7,$F371-2,$F371)),IF(Recurring!$G$27="Move After",IF(WEEKDAY($F371,2)=6,$F371+2,IF(WEEKDAY($F371,2)=7,$F371+1,$F371)),$F371)))</f>
        <v/>
      </c>
      <c r="M371" s="0" t="str">
        <f aca="true">IF(AND($H371=1,$D371="Expense",$G371&gt;TODAY(),$E371&gt;=100),$G371*100000+ROW(),"")</f>
        <v/>
      </c>
      <c r="N371" s="0" t="str">
        <f aca="true">IF(AND($H371=1,$D371="Income",$G371&gt;TODAY()),$G371*100000+ROW(),"")</f>
        <v/>
      </c>
    </row>
    <row r="372" customFormat="false" ht="15" hidden="false" customHeight="true" outlineLevel="0" collapsed="false">
      <c r="A372" s="117" t="n">
        <v>24</v>
      </c>
      <c r="B372" s="117" t="n">
        <v>1</v>
      </c>
      <c r="C372" s="7" t="str">
        <f aca="false">IF(OR(Recurring!$B$28="",Recurring!$H$28&lt;&gt;"Yes",Recurring!$D$28=""),"",Recurring!$B$28)</f>
        <v/>
      </c>
      <c r="D372" s="7" t="str">
        <f aca="false">IF($C372="","",Recurring!$C$28)</f>
        <v/>
      </c>
      <c r="E372" s="118" t="str">
        <f aca="false">IF($C372="","",IF(SUMIFS(Overrides!$E$9:$E$108,Overrides!$B$9:$B$108,$C372,Overrides!$C$9:$C$108,$L372)&gt;0,SUMIFS(Overrides!$E$9:$E$108,Overrides!$B$9:$B$108,$C372,Overrides!$C$9:$C$108,$L372),Recurring!$D$28))</f>
        <v/>
      </c>
      <c r="F372" s="119" t="str">
        <f aca="false">IF($C372="","",IF(Recurring!$E$28="Weekly",Recurring!$F$28+7*0,IF(Recurring!$E$28="Every 2 Weeks",Recurring!$F$28+14*0,IF(Recurring!$E$28="Monthly",EDATE(Recurring!$F$28,0),IF(Recurring!$E$28="Twice a Month",IF(MOD((IF(DAY(Recurring!$F$28)&lt;=20,0,1)+0),2)=1,EOMONTH(Recurring!$F$28,INT((IF(DAY(Recurring!$F$28)&lt;=20,0,1)+0)/2)),DATE(YEAR(EDATE(Recurring!$F$28,INT((IF(DAY(Recurring!$F$28)&lt;=20,0,1)+0)/2))),MONTH(EDATE(Recurring!$F$28,INT((IF(DAY(Recurring!$F$28)&lt;=20,0,1)+0)/2))),15)),IF(Recurring!$E$28="One Time",IF(1=1,Recurring!$F$28,""),""))))))</f>
        <v/>
      </c>
      <c r="G372" s="119" t="str">
        <f aca="false">IF($L372="","",IF(SUMIFS(Overrides!$D$9:$D$108,Overrides!$B$9:$B$108,$C372,Overrides!$C$9:$C$108,$L372)&gt;0,SUMIFS(Overrides!$D$9:$D$108,Overrides!$B$9:$B$108,$C372,Overrides!$C$9:$C$108,$L372),$L372))</f>
        <v/>
      </c>
      <c r="H372" s="120" t="n">
        <f aca="false">IF($G372="",0,IF(AND($G372&gt;='Cash Flow'!$E$6-90,$G372&lt;'Cash Flow'!$E$6+91),1,0))</f>
        <v>0</v>
      </c>
      <c r="I372" s="120" t="str">
        <f aca="false">IF($H372=1,MAX(1,INT(($G372-'Cash Flow'!$E$6)/7)+1),"")</f>
        <v/>
      </c>
      <c r="J372" s="7" t="str">
        <f aca="false">IF($H372=1,$G372*10000+ROW(),"")</f>
        <v/>
      </c>
      <c r="K372" s="7" t="str">
        <f aca="false">IF($H372=1,$I372*1000+COUNTIFS($I$4:$I$483,$I372,$J$4:$J$483,"&lt;"&amp;$J372)+1,"")</f>
        <v/>
      </c>
      <c r="L372" s="121" t="str">
        <f aca="false">IF($F372="","",IF(Recurring!$G$28="Move Before",IF(WEEKDAY($F372,2)=6,$F372-1,IF(WEEKDAY($F372,2)=7,$F372-2,$F372)),IF(Recurring!$G$28="Move After",IF(WEEKDAY($F372,2)=6,$F372+2,IF(WEEKDAY($F372,2)=7,$F372+1,$F372)),$F372)))</f>
        <v/>
      </c>
      <c r="M372" s="0" t="str">
        <f aca="true">IF(AND($H372=1,$D372="Expense",$G372&gt;TODAY(),$E372&gt;=100),$G372*100000+ROW(),"")</f>
        <v/>
      </c>
      <c r="N372" s="0" t="str">
        <f aca="true">IF(AND($H372=1,$D372="Income",$G372&gt;TODAY()),$G372*100000+ROW(),"")</f>
        <v/>
      </c>
    </row>
    <row r="373" customFormat="false" ht="15" hidden="false" customHeight="true" outlineLevel="0" collapsed="false">
      <c r="A373" s="117" t="n">
        <v>24</v>
      </c>
      <c r="B373" s="117" t="n">
        <v>2</v>
      </c>
      <c r="C373" s="7" t="str">
        <f aca="false">IF(OR(Recurring!$B$28="",Recurring!$H$28&lt;&gt;"Yes",Recurring!$D$28=""),"",Recurring!$B$28)</f>
        <v/>
      </c>
      <c r="D373" s="7" t="str">
        <f aca="false">IF($C373="","",Recurring!$C$28)</f>
        <v/>
      </c>
      <c r="E373" s="118" t="str">
        <f aca="false">IF($C373="","",IF(SUMIFS(Overrides!$E$9:$E$108,Overrides!$B$9:$B$108,$C373,Overrides!$C$9:$C$108,$L373)&gt;0,SUMIFS(Overrides!$E$9:$E$108,Overrides!$B$9:$B$108,$C373,Overrides!$C$9:$C$108,$L373),Recurring!$D$28))</f>
        <v/>
      </c>
      <c r="F373" s="119" t="str">
        <f aca="false">IF($C373="","",IF(Recurring!$E$28="Weekly",Recurring!$F$28+7*1,IF(Recurring!$E$28="Every 2 Weeks",Recurring!$F$28+14*1,IF(Recurring!$E$28="Monthly",EDATE(Recurring!$F$28,1),IF(Recurring!$E$28="Twice a Month",IF(MOD((IF(DAY(Recurring!$F$28)&lt;=20,0,1)+1),2)=1,EOMONTH(Recurring!$F$28,INT((IF(DAY(Recurring!$F$28)&lt;=20,0,1)+1)/2)),DATE(YEAR(EDATE(Recurring!$F$28,INT((IF(DAY(Recurring!$F$28)&lt;=20,0,1)+1)/2))),MONTH(EDATE(Recurring!$F$28,INT((IF(DAY(Recurring!$F$28)&lt;=20,0,1)+1)/2))),15)),IF(Recurring!$E$28="One Time",IF(2=1,Recurring!$F$28,""),""))))))</f>
        <v/>
      </c>
      <c r="G373" s="119" t="str">
        <f aca="false">IF($L373="","",IF(SUMIFS(Overrides!$D$9:$D$108,Overrides!$B$9:$B$108,$C373,Overrides!$C$9:$C$108,$L373)&gt;0,SUMIFS(Overrides!$D$9:$D$108,Overrides!$B$9:$B$108,$C373,Overrides!$C$9:$C$108,$L373),$L373))</f>
        <v/>
      </c>
      <c r="H373" s="120" t="n">
        <f aca="false">IF($G373="",0,IF(AND($G373&gt;='Cash Flow'!$E$6,$G373&lt;'Cash Flow'!$E$6+91),1,0))</f>
        <v>0</v>
      </c>
      <c r="I373" s="120" t="str">
        <f aca="false">IF($H373=1,MAX(1,INT(($G373-'Cash Flow'!$E$6)/7)+1),"")</f>
        <v/>
      </c>
      <c r="J373" s="7" t="str">
        <f aca="false">IF($H373=1,$G373*10000+ROW(),"")</f>
        <v/>
      </c>
      <c r="K373" s="7" t="str">
        <f aca="false">IF($H373=1,$I373*1000+COUNTIFS($I$4:$I$483,$I373,$J$4:$J$483,"&lt;"&amp;$J373)+1,"")</f>
        <v/>
      </c>
      <c r="L373" s="121" t="str">
        <f aca="false">IF($F373="","",IF(Recurring!$G$28="Move Before",IF(WEEKDAY($F373,2)=6,$F373-1,IF(WEEKDAY($F373,2)=7,$F373-2,$F373)),IF(Recurring!$G$28="Move After",IF(WEEKDAY($F373,2)=6,$F373+2,IF(WEEKDAY($F373,2)=7,$F373+1,$F373)),$F373)))</f>
        <v/>
      </c>
      <c r="M373" s="0" t="str">
        <f aca="true">IF(AND($H373=1,$D373="Expense",$G373&gt;TODAY(),$E373&gt;=100),$G373*100000+ROW(),"")</f>
        <v/>
      </c>
      <c r="N373" s="0" t="str">
        <f aca="true">IF(AND($H373=1,$D373="Income",$G373&gt;TODAY()),$G373*100000+ROW(),"")</f>
        <v/>
      </c>
    </row>
    <row r="374" customFormat="false" ht="15" hidden="false" customHeight="true" outlineLevel="0" collapsed="false">
      <c r="A374" s="117" t="n">
        <v>24</v>
      </c>
      <c r="B374" s="117" t="n">
        <v>3</v>
      </c>
      <c r="C374" s="7" t="str">
        <f aca="false">IF(OR(Recurring!$B$28="",Recurring!$H$28&lt;&gt;"Yes",Recurring!$D$28=""),"",Recurring!$B$28)</f>
        <v/>
      </c>
      <c r="D374" s="7" t="str">
        <f aca="false">IF($C374="","",Recurring!$C$28)</f>
        <v/>
      </c>
      <c r="E374" s="118" t="str">
        <f aca="false">IF($C374="","",IF(SUMIFS(Overrides!$E$9:$E$108,Overrides!$B$9:$B$108,$C374,Overrides!$C$9:$C$108,$L374)&gt;0,SUMIFS(Overrides!$E$9:$E$108,Overrides!$B$9:$B$108,$C374,Overrides!$C$9:$C$108,$L374),Recurring!$D$28))</f>
        <v/>
      </c>
      <c r="F374" s="119" t="str">
        <f aca="false">IF($C374="","",IF(Recurring!$E$28="Weekly",Recurring!$F$28+7*2,IF(Recurring!$E$28="Every 2 Weeks",Recurring!$F$28+14*2,IF(Recurring!$E$28="Monthly",EDATE(Recurring!$F$28,2),IF(Recurring!$E$28="Twice a Month",IF(MOD((IF(DAY(Recurring!$F$28)&lt;=20,0,1)+2),2)=1,EOMONTH(Recurring!$F$28,INT((IF(DAY(Recurring!$F$28)&lt;=20,0,1)+2)/2)),DATE(YEAR(EDATE(Recurring!$F$28,INT((IF(DAY(Recurring!$F$28)&lt;=20,0,1)+2)/2))),MONTH(EDATE(Recurring!$F$28,INT((IF(DAY(Recurring!$F$28)&lt;=20,0,1)+2)/2))),15)),IF(Recurring!$E$28="One Time",IF(3=1,Recurring!$F$28,""),""))))))</f>
        <v/>
      </c>
      <c r="G374" s="119" t="str">
        <f aca="false">IF($L374="","",IF(SUMIFS(Overrides!$D$9:$D$108,Overrides!$B$9:$B$108,$C374,Overrides!$C$9:$C$108,$L374)&gt;0,SUMIFS(Overrides!$D$9:$D$108,Overrides!$B$9:$B$108,$C374,Overrides!$C$9:$C$108,$L374),$L374))</f>
        <v/>
      </c>
      <c r="H374" s="120" t="n">
        <f aca="false">IF($G374="",0,IF(AND($G374&gt;='Cash Flow'!$E$6,$G374&lt;'Cash Flow'!$E$6+91),1,0))</f>
        <v>0</v>
      </c>
      <c r="I374" s="120" t="str">
        <f aca="false">IF($H374=1,MAX(1,INT(($G374-'Cash Flow'!$E$6)/7)+1),"")</f>
        <v/>
      </c>
      <c r="J374" s="7" t="str">
        <f aca="false">IF($H374=1,$G374*10000+ROW(),"")</f>
        <v/>
      </c>
      <c r="K374" s="7" t="str">
        <f aca="false">IF($H374=1,$I374*1000+COUNTIFS($I$4:$I$483,$I374,$J$4:$J$483,"&lt;"&amp;$J374)+1,"")</f>
        <v/>
      </c>
      <c r="L374" s="121" t="str">
        <f aca="false">IF($F374="","",IF(Recurring!$G$28="Move Before",IF(WEEKDAY($F374,2)=6,$F374-1,IF(WEEKDAY($F374,2)=7,$F374-2,$F374)),IF(Recurring!$G$28="Move After",IF(WEEKDAY($F374,2)=6,$F374+2,IF(WEEKDAY($F374,2)=7,$F374+1,$F374)),$F374)))</f>
        <v/>
      </c>
      <c r="M374" s="0" t="str">
        <f aca="true">IF(AND($H374=1,$D374="Expense",$G374&gt;TODAY(),$E374&gt;=100),$G374*100000+ROW(),"")</f>
        <v/>
      </c>
      <c r="N374" s="0" t="str">
        <f aca="true">IF(AND($H374=1,$D374="Income",$G374&gt;TODAY()),$G374*100000+ROW(),"")</f>
        <v/>
      </c>
    </row>
    <row r="375" customFormat="false" ht="15" hidden="false" customHeight="true" outlineLevel="0" collapsed="false">
      <c r="A375" s="117" t="n">
        <v>24</v>
      </c>
      <c r="B375" s="117" t="n">
        <v>4</v>
      </c>
      <c r="C375" s="7" t="str">
        <f aca="false">IF(OR(Recurring!$B$28="",Recurring!$H$28&lt;&gt;"Yes",Recurring!$D$28=""),"",Recurring!$B$28)</f>
        <v/>
      </c>
      <c r="D375" s="7" t="str">
        <f aca="false">IF($C375="","",Recurring!$C$28)</f>
        <v/>
      </c>
      <c r="E375" s="118" t="str">
        <f aca="false">IF($C375="","",IF(SUMIFS(Overrides!$E$9:$E$108,Overrides!$B$9:$B$108,$C375,Overrides!$C$9:$C$108,$L375)&gt;0,SUMIFS(Overrides!$E$9:$E$108,Overrides!$B$9:$B$108,$C375,Overrides!$C$9:$C$108,$L375),Recurring!$D$28))</f>
        <v/>
      </c>
      <c r="F375" s="119" t="str">
        <f aca="false">IF($C375="","",IF(Recurring!$E$28="Weekly",Recurring!$F$28+7*3,IF(Recurring!$E$28="Every 2 Weeks",Recurring!$F$28+14*3,IF(Recurring!$E$28="Monthly",EDATE(Recurring!$F$28,3),IF(Recurring!$E$28="Twice a Month",IF(MOD((IF(DAY(Recurring!$F$28)&lt;=20,0,1)+3),2)=1,EOMONTH(Recurring!$F$28,INT((IF(DAY(Recurring!$F$28)&lt;=20,0,1)+3)/2)),DATE(YEAR(EDATE(Recurring!$F$28,INT((IF(DAY(Recurring!$F$28)&lt;=20,0,1)+3)/2))),MONTH(EDATE(Recurring!$F$28,INT((IF(DAY(Recurring!$F$28)&lt;=20,0,1)+3)/2))),15)),IF(Recurring!$E$28="One Time",IF(4=1,Recurring!$F$28,""),""))))))</f>
        <v/>
      </c>
      <c r="G375" s="119" t="str">
        <f aca="false">IF($L375="","",IF(SUMIFS(Overrides!$D$9:$D$108,Overrides!$B$9:$B$108,$C375,Overrides!$C$9:$C$108,$L375)&gt;0,SUMIFS(Overrides!$D$9:$D$108,Overrides!$B$9:$B$108,$C375,Overrides!$C$9:$C$108,$L375),$L375))</f>
        <v/>
      </c>
      <c r="H375" s="120" t="n">
        <f aca="false">IF($G375="",0,IF(AND($G375&gt;='Cash Flow'!$E$6,$G375&lt;'Cash Flow'!$E$6+91),1,0))</f>
        <v>0</v>
      </c>
      <c r="I375" s="120" t="str">
        <f aca="false">IF($H375=1,MAX(1,INT(($G375-'Cash Flow'!$E$6)/7)+1),"")</f>
        <v/>
      </c>
      <c r="J375" s="7" t="str">
        <f aca="false">IF($H375=1,$G375*10000+ROW(),"")</f>
        <v/>
      </c>
      <c r="K375" s="7" t="str">
        <f aca="false">IF($H375=1,$I375*1000+COUNTIFS($I$4:$I$483,$I375,$J$4:$J$483,"&lt;"&amp;$J375)+1,"")</f>
        <v/>
      </c>
      <c r="L375" s="121" t="str">
        <f aca="false">IF($F375="","",IF(Recurring!$G$28="Move Before",IF(WEEKDAY($F375,2)=6,$F375-1,IF(WEEKDAY($F375,2)=7,$F375-2,$F375)),IF(Recurring!$G$28="Move After",IF(WEEKDAY($F375,2)=6,$F375+2,IF(WEEKDAY($F375,2)=7,$F375+1,$F375)),$F375)))</f>
        <v/>
      </c>
      <c r="M375" s="0" t="str">
        <f aca="true">IF(AND($H375=1,$D375="Expense",$G375&gt;TODAY(),$E375&gt;=100),$G375*100000+ROW(),"")</f>
        <v/>
      </c>
      <c r="N375" s="0" t="str">
        <f aca="true">IF(AND($H375=1,$D375="Income",$G375&gt;TODAY()),$G375*100000+ROW(),"")</f>
        <v/>
      </c>
    </row>
    <row r="376" customFormat="false" ht="15" hidden="false" customHeight="true" outlineLevel="0" collapsed="false">
      <c r="A376" s="117" t="n">
        <v>24</v>
      </c>
      <c r="B376" s="117" t="n">
        <v>5</v>
      </c>
      <c r="C376" s="7" t="str">
        <f aca="false">IF(OR(Recurring!$B$28="",Recurring!$H$28&lt;&gt;"Yes",Recurring!$D$28=""),"",Recurring!$B$28)</f>
        <v/>
      </c>
      <c r="D376" s="7" t="str">
        <f aca="false">IF($C376="","",Recurring!$C$28)</f>
        <v/>
      </c>
      <c r="E376" s="118" t="str">
        <f aca="false">IF($C376="","",IF(SUMIFS(Overrides!$E$9:$E$108,Overrides!$B$9:$B$108,$C376,Overrides!$C$9:$C$108,$L376)&gt;0,SUMIFS(Overrides!$E$9:$E$108,Overrides!$B$9:$B$108,$C376,Overrides!$C$9:$C$108,$L376),Recurring!$D$28))</f>
        <v/>
      </c>
      <c r="F376" s="119" t="str">
        <f aca="false">IF($C376="","",IF(Recurring!$E$28="Weekly",Recurring!$F$28+7*4,IF(Recurring!$E$28="Every 2 Weeks",Recurring!$F$28+14*4,IF(Recurring!$E$28="Monthly",EDATE(Recurring!$F$28,4),IF(Recurring!$E$28="Twice a Month",IF(MOD((IF(DAY(Recurring!$F$28)&lt;=20,0,1)+4),2)=1,EOMONTH(Recurring!$F$28,INT((IF(DAY(Recurring!$F$28)&lt;=20,0,1)+4)/2)),DATE(YEAR(EDATE(Recurring!$F$28,INT((IF(DAY(Recurring!$F$28)&lt;=20,0,1)+4)/2))),MONTH(EDATE(Recurring!$F$28,INT((IF(DAY(Recurring!$F$28)&lt;=20,0,1)+4)/2))),15)),IF(Recurring!$E$28="One Time",IF(5=1,Recurring!$F$28,""),""))))))</f>
        <v/>
      </c>
      <c r="G376" s="119" t="str">
        <f aca="false">IF($L376="","",IF(SUMIFS(Overrides!$D$9:$D$108,Overrides!$B$9:$B$108,$C376,Overrides!$C$9:$C$108,$L376)&gt;0,SUMIFS(Overrides!$D$9:$D$108,Overrides!$B$9:$B$108,$C376,Overrides!$C$9:$C$108,$L376),$L376))</f>
        <v/>
      </c>
      <c r="H376" s="120" t="n">
        <f aca="false">IF($G376="",0,IF(AND($G376&gt;='Cash Flow'!$E$6,$G376&lt;'Cash Flow'!$E$6+91),1,0))</f>
        <v>0</v>
      </c>
      <c r="I376" s="120" t="str">
        <f aca="false">IF($H376=1,MAX(1,INT(($G376-'Cash Flow'!$E$6)/7)+1),"")</f>
        <v/>
      </c>
      <c r="J376" s="7" t="str">
        <f aca="false">IF($H376=1,$G376*10000+ROW(),"")</f>
        <v/>
      </c>
      <c r="K376" s="7" t="str">
        <f aca="false">IF($H376=1,$I376*1000+COUNTIFS($I$4:$I$483,$I376,$J$4:$J$483,"&lt;"&amp;$J376)+1,"")</f>
        <v/>
      </c>
      <c r="L376" s="121" t="str">
        <f aca="false">IF($F376="","",IF(Recurring!$G$28="Move Before",IF(WEEKDAY($F376,2)=6,$F376-1,IF(WEEKDAY($F376,2)=7,$F376-2,$F376)),IF(Recurring!$G$28="Move After",IF(WEEKDAY($F376,2)=6,$F376+2,IF(WEEKDAY($F376,2)=7,$F376+1,$F376)),$F376)))</f>
        <v/>
      </c>
      <c r="M376" s="0" t="str">
        <f aca="true">IF(AND($H376=1,$D376="Expense",$G376&gt;TODAY(),$E376&gt;=100),$G376*100000+ROW(),"")</f>
        <v/>
      </c>
      <c r="N376" s="0" t="str">
        <f aca="true">IF(AND($H376=1,$D376="Income",$G376&gt;TODAY()),$G376*100000+ROW(),"")</f>
        <v/>
      </c>
    </row>
    <row r="377" customFormat="false" ht="15" hidden="false" customHeight="true" outlineLevel="0" collapsed="false">
      <c r="A377" s="117" t="n">
        <v>24</v>
      </c>
      <c r="B377" s="117" t="n">
        <v>6</v>
      </c>
      <c r="C377" s="7" t="str">
        <f aca="false">IF(OR(Recurring!$B$28="",Recurring!$H$28&lt;&gt;"Yes",Recurring!$D$28=""),"",Recurring!$B$28)</f>
        <v/>
      </c>
      <c r="D377" s="7" t="str">
        <f aca="false">IF($C377="","",Recurring!$C$28)</f>
        <v/>
      </c>
      <c r="E377" s="118" t="str">
        <f aca="false">IF($C377="","",IF(SUMIFS(Overrides!$E$9:$E$108,Overrides!$B$9:$B$108,$C377,Overrides!$C$9:$C$108,$L377)&gt;0,SUMIFS(Overrides!$E$9:$E$108,Overrides!$B$9:$B$108,$C377,Overrides!$C$9:$C$108,$L377),Recurring!$D$28))</f>
        <v/>
      </c>
      <c r="F377" s="119" t="str">
        <f aca="false">IF($C377="","",IF(Recurring!$E$28="Weekly",Recurring!$F$28+7*5,IF(Recurring!$E$28="Every 2 Weeks",Recurring!$F$28+14*5,IF(Recurring!$E$28="Monthly",EDATE(Recurring!$F$28,5),IF(Recurring!$E$28="Twice a Month",IF(MOD((IF(DAY(Recurring!$F$28)&lt;=20,0,1)+5),2)=1,EOMONTH(Recurring!$F$28,INT((IF(DAY(Recurring!$F$28)&lt;=20,0,1)+5)/2)),DATE(YEAR(EDATE(Recurring!$F$28,INT((IF(DAY(Recurring!$F$28)&lt;=20,0,1)+5)/2))),MONTH(EDATE(Recurring!$F$28,INT((IF(DAY(Recurring!$F$28)&lt;=20,0,1)+5)/2))),15)),IF(Recurring!$E$28="One Time",IF(6=1,Recurring!$F$28,""),""))))))</f>
        <v/>
      </c>
      <c r="G377" s="119" t="str">
        <f aca="false">IF($L377="","",IF(SUMIFS(Overrides!$D$9:$D$108,Overrides!$B$9:$B$108,$C377,Overrides!$C$9:$C$108,$L377)&gt;0,SUMIFS(Overrides!$D$9:$D$108,Overrides!$B$9:$B$108,$C377,Overrides!$C$9:$C$108,$L377),$L377))</f>
        <v/>
      </c>
      <c r="H377" s="120" t="n">
        <f aca="false">IF($G377="",0,IF(AND($G377&gt;='Cash Flow'!$E$6,$G377&lt;'Cash Flow'!$E$6+91),1,0))</f>
        <v>0</v>
      </c>
      <c r="I377" s="120" t="str">
        <f aca="false">IF($H377=1,MAX(1,INT(($G377-'Cash Flow'!$E$6)/7)+1),"")</f>
        <v/>
      </c>
      <c r="J377" s="7" t="str">
        <f aca="false">IF($H377=1,$G377*10000+ROW(),"")</f>
        <v/>
      </c>
      <c r="K377" s="7" t="str">
        <f aca="false">IF($H377=1,$I377*1000+COUNTIFS($I$4:$I$483,$I377,$J$4:$J$483,"&lt;"&amp;$J377)+1,"")</f>
        <v/>
      </c>
      <c r="L377" s="121" t="str">
        <f aca="false">IF($F377="","",IF(Recurring!$G$28="Move Before",IF(WEEKDAY($F377,2)=6,$F377-1,IF(WEEKDAY($F377,2)=7,$F377-2,$F377)),IF(Recurring!$G$28="Move After",IF(WEEKDAY($F377,2)=6,$F377+2,IF(WEEKDAY($F377,2)=7,$F377+1,$F377)),$F377)))</f>
        <v/>
      </c>
      <c r="M377" s="0" t="str">
        <f aca="true">IF(AND($H377=1,$D377="Expense",$G377&gt;TODAY(),$E377&gt;=100),$G377*100000+ROW(),"")</f>
        <v/>
      </c>
      <c r="N377" s="0" t="str">
        <f aca="true">IF(AND($H377=1,$D377="Income",$G377&gt;TODAY()),$G377*100000+ROW(),"")</f>
        <v/>
      </c>
    </row>
    <row r="378" customFormat="false" ht="15" hidden="false" customHeight="true" outlineLevel="0" collapsed="false">
      <c r="A378" s="117" t="n">
        <v>24</v>
      </c>
      <c r="B378" s="117" t="n">
        <v>7</v>
      </c>
      <c r="C378" s="7" t="str">
        <f aca="false">IF(OR(Recurring!$B$28="",Recurring!$H$28&lt;&gt;"Yes",Recurring!$D$28=""),"",Recurring!$B$28)</f>
        <v/>
      </c>
      <c r="D378" s="7" t="str">
        <f aca="false">IF($C378="","",Recurring!$C$28)</f>
        <v/>
      </c>
      <c r="E378" s="118" t="str">
        <f aca="false">IF($C378="","",IF(SUMIFS(Overrides!$E$9:$E$108,Overrides!$B$9:$B$108,$C378,Overrides!$C$9:$C$108,$L378)&gt;0,SUMIFS(Overrides!$E$9:$E$108,Overrides!$B$9:$B$108,$C378,Overrides!$C$9:$C$108,$L378),Recurring!$D$28))</f>
        <v/>
      </c>
      <c r="F378" s="119" t="str">
        <f aca="false">IF($C378="","",IF(Recurring!$E$28="Weekly",Recurring!$F$28+7*6,IF(Recurring!$E$28="Every 2 Weeks",Recurring!$F$28+14*6,IF(Recurring!$E$28="Monthly",EDATE(Recurring!$F$28,6),IF(Recurring!$E$28="Twice a Month",IF(MOD((IF(DAY(Recurring!$F$28)&lt;=20,0,1)+6),2)=1,EOMONTH(Recurring!$F$28,INT((IF(DAY(Recurring!$F$28)&lt;=20,0,1)+6)/2)),DATE(YEAR(EDATE(Recurring!$F$28,INT((IF(DAY(Recurring!$F$28)&lt;=20,0,1)+6)/2))),MONTH(EDATE(Recurring!$F$28,INT((IF(DAY(Recurring!$F$28)&lt;=20,0,1)+6)/2))),15)),IF(Recurring!$E$28="One Time",IF(7=1,Recurring!$F$28,""),""))))))</f>
        <v/>
      </c>
      <c r="G378" s="119" t="str">
        <f aca="false">IF($L378="","",IF(SUMIFS(Overrides!$D$9:$D$108,Overrides!$B$9:$B$108,$C378,Overrides!$C$9:$C$108,$L378)&gt;0,SUMIFS(Overrides!$D$9:$D$108,Overrides!$B$9:$B$108,$C378,Overrides!$C$9:$C$108,$L378),$L378))</f>
        <v/>
      </c>
      <c r="H378" s="120" t="n">
        <f aca="false">IF($G378="",0,IF(AND($G378&gt;='Cash Flow'!$E$6,$G378&lt;'Cash Flow'!$E$6+91),1,0))</f>
        <v>0</v>
      </c>
      <c r="I378" s="120" t="str">
        <f aca="false">IF($H378=1,MAX(1,INT(($G378-'Cash Flow'!$E$6)/7)+1),"")</f>
        <v/>
      </c>
      <c r="J378" s="7" t="str">
        <f aca="false">IF($H378=1,$G378*10000+ROW(),"")</f>
        <v/>
      </c>
      <c r="K378" s="7" t="str">
        <f aca="false">IF($H378=1,$I378*1000+COUNTIFS($I$4:$I$483,$I378,$J$4:$J$483,"&lt;"&amp;$J378)+1,"")</f>
        <v/>
      </c>
      <c r="L378" s="121" t="str">
        <f aca="false">IF($F378="","",IF(Recurring!$G$28="Move Before",IF(WEEKDAY($F378,2)=6,$F378-1,IF(WEEKDAY($F378,2)=7,$F378-2,$F378)),IF(Recurring!$G$28="Move After",IF(WEEKDAY($F378,2)=6,$F378+2,IF(WEEKDAY($F378,2)=7,$F378+1,$F378)),$F378)))</f>
        <v/>
      </c>
      <c r="M378" s="0" t="str">
        <f aca="true">IF(AND($H378=1,$D378="Expense",$G378&gt;TODAY(),$E378&gt;=100),$G378*100000+ROW(),"")</f>
        <v/>
      </c>
      <c r="N378" s="0" t="str">
        <f aca="true">IF(AND($H378=1,$D378="Income",$G378&gt;TODAY()),$G378*100000+ROW(),"")</f>
        <v/>
      </c>
    </row>
    <row r="379" customFormat="false" ht="15" hidden="false" customHeight="true" outlineLevel="0" collapsed="false">
      <c r="A379" s="117" t="n">
        <v>24</v>
      </c>
      <c r="B379" s="117" t="n">
        <v>8</v>
      </c>
      <c r="C379" s="7" t="str">
        <f aca="false">IF(OR(Recurring!$B$28="",Recurring!$H$28&lt;&gt;"Yes",Recurring!$D$28=""),"",Recurring!$B$28)</f>
        <v/>
      </c>
      <c r="D379" s="7" t="str">
        <f aca="false">IF($C379="","",Recurring!$C$28)</f>
        <v/>
      </c>
      <c r="E379" s="118" t="str">
        <f aca="false">IF($C379="","",IF(SUMIFS(Overrides!$E$9:$E$108,Overrides!$B$9:$B$108,$C379,Overrides!$C$9:$C$108,$L379)&gt;0,SUMIFS(Overrides!$E$9:$E$108,Overrides!$B$9:$B$108,$C379,Overrides!$C$9:$C$108,$L379),Recurring!$D$28))</f>
        <v/>
      </c>
      <c r="F379" s="119" t="str">
        <f aca="false">IF($C379="","",IF(Recurring!$E$28="Weekly",Recurring!$F$28+7*7,IF(Recurring!$E$28="Every 2 Weeks",Recurring!$F$28+14*7,IF(Recurring!$E$28="Monthly",EDATE(Recurring!$F$28,7),IF(Recurring!$E$28="Twice a Month",IF(MOD((IF(DAY(Recurring!$F$28)&lt;=20,0,1)+7),2)=1,EOMONTH(Recurring!$F$28,INT((IF(DAY(Recurring!$F$28)&lt;=20,0,1)+7)/2)),DATE(YEAR(EDATE(Recurring!$F$28,INT((IF(DAY(Recurring!$F$28)&lt;=20,0,1)+7)/2))),MONTH(EDATE(Recurring!$F$28,INT((IF(DAY(Recurring!$F$28)&lt;=20,0,1)+7)/2))),15)),IF(Recurring!$E$28="One Time",IF(8=1,Recurring!$F$28,""),""))))))</f>
        <v/>
      </c>
      <c r="G379" s="119" t="str">
        <f aca="false">IF($L379="","",IF(SUMIFS(Overrides!$D$9:$D$108,Overrides!$B$9:$B$108,$C379,Overrides!$C$9:$C$108,$L379)&gt;0,SUMIFS(Overrides!$D$9:$D$108,Overrides!$B$9:$B$108,$C379,Overrides!$C$9:$C$108,$L379),$L379))</f>
        <v/>
      </c>
      <c r="H379" s="120" t="n">
        <f aca="false">IF($G379="",0,IF(AND($G379&gt;='Cash Flow'!$E$6,$G379&lt;'Cash Flow'!$E$6+91),1,0))</f>
        <v>0</v>
      </c>
      <c r="I379" s="120" t="str">
        <f aca="false">IF($H379=1,MAX(1,INT(($G379-'Cash Flow'!$E$6)/7)+1),"")</f>
        <v/>
      </c>
      <c r="J379" s="7" t="str">
        <f aca="false">IF($H379=1,$G379*10000+ROW(),"")</f>
        <v/>
      </c>
      <c r="K379" s="7" t="str">
        <f aca="false">IF($H379=1,$I379*1000+COUNTIFS($I$4:$I$483,$I379,$J$4:$J$483,"&lt;"&amp;$J379)+1,"")</f>
        <v/>
      </c>
      <c r="L379" s="121" t="str">
        <f aca="false">IF($F379="","",IF(Recurring!$G$28="Move Before",IF(WEEKDAY($F379,2)=6,$F379-1,IF(WEEKDAY($F379,2)=7,$F379-2,$F379)),IF(Recurring!$G$28="Move After",IF(WEEKDAY($F379,2)=6,$F379+2,IF(WEEKDAY($F379,2)=7,$F379+1,$F379)),$F379)))</f>
        <v/>
      </c>
      <c r="M379" s="0" t="str">
        <f aca="true">IF(AND($H379=1,$D379="Expense",$G379&gt;TODAY(),$E379&gt;=100),$G379*100000+ROW(),"")</f>
        <v/>
      </c>
      <c r="N379" s="0" t="str">
        <f aca="true">IF(AND($H379=1,$D379="Income",$G379&gt;TODAY()),$G379*100000+ROW(),"")</f>
        <v/>
      </c>
    </row>
    <row r="380" customFormat="false" ht="15" hidden="false" customHeight="true" outlineLevel="0" collapsed="false">
      <c r="A380" s="117" t="n">
        <v>24</v>
      </c>
      <c r="B380" s="117" t="n">
        <v>9</v>
      </c>
      <c r="C380" s="7" t="str">
        <f aca="false">IF(OR(Recurring!$B$28="",Recurring!$H$28&lt;&gt;"Yes",Recurring!$D$28=""),"",Recurring!$B$28)</f>
        <v/>
      </c>
      <c r="D380" s="7" t="str">
        <f aca="false">IF($C380="","",Recurring!$C$28)</f>
        <v/>
      </c>
      <c r="E380" s="118" t="str">
        <f aca="false">IF($C380="","",IF(SUMIFS(Overrides!$E$9:$E$108,Overrides!$B$9:$B$108,$C380,Overrides!$C$9:$C$108,$L380)&gt;0,SUMIFS(Overrides!$E$9:$E$108,Overrides!$B$9:$B$108,$C380,Overrides!$C$9:$C$108,$L380),Recurring!$D$28))</f>
        <v/>
      </c>
      <c r="F380" s="119" t="str">
        <f aca="false">IF($C380="","",IF(Recurring!$E$28="Weekly",Recurring!$F$28+7*8,IF(Recurring!$E$28="Every 2 Weeks",Recurring!$F$28+14*8,IF(Recurring!$E$28="Monthly",EDATE(Recurring!$F$28,8),IF(Recurring!$E$28="Twice a Month",IF(MOD((IF(DAY(Recurring!$F$28)&lt;=20,0,1)+8),2)=1,EOMONTH(Recurring!$F$28,INT((IF(DAY(Recurring!$F$28)&lt;=20,0,1)+8)/2)),DATE(YEAR(EDATE(Recurring!$F$28,INT((IF(DAY(Recurring!$F$28)&lt;=20,0,1)+8)/2))),MONTH(EDATE(Recurring!$F$28,INT((IF(DAY(Recurring!$F$28)&lt;=20,0,1)+8)/2))),15)),IF(Recurring!$E$28="One Time",IF(9=1,Recurring!$F$28,""),""))))))</f>
        <v/>
      </c>
      <c r="G380" s="119" t="str">
        <f aca="false">IF($L380="","",IF(SUMIFS(Overrides!$D$9:$D$108,Overrides!$B$9:$B$108,$C380,Overrides!$C$9:$C$108,$L380)&gt;0,SUMIFS(Overrides!$D$9:$D$108,Overrides!$B$9:$B$108,$C380,Overrides!$C$9:$C$108,$L380),$L380))</f>
        <v/>
      </c>
      <c r="H380" s="120" t="n">
        <f aca="false">IF($G380="",0,IF(AND($G380&gt;='Cash Flow'!$E$6,$G380&lt;'Cash Flow'!$E$6+91),1,0))</f>
        <v>0</v>
      </c>
      <c r="I380" s="120" t="str">
        <f aca="false">IF($H380=1,MAX(1,INT(($G380-'Cash Flow'!$E$6)/7)+1),"")</f>
        <v/>
      </c>
      <c r="J380" s="7" t="str">
        <f aca="false">IF($H380=1,$G380*10000+ROW(),"")</f>
        <v/>
      </c>
      <c r="K380" s="7" t="str">
        <f aca="false">IF($H380=1,$I380*1000+COUNTIFS($I$4:$I$483,$I380,$J$4:$J$483,"&lt;"&amp;$J380)+1,"")</f>
        <v/>
      </c>
      <c r="L380" s="121" t="str">
        <f aca="false">IF($F380="","",IF(Recurring!$G$28="Move Before",IF(WEEKDAY($F380,2)=6,$F380-1,IF(WEEKDAY($F380,2)=7,$F380-2,$F380)),IF(Recurring!$G$28="Move After",IF(WEEKDAY($F380,2)=6,$F380+2,IF(WEEKDAY($F380,2)=7,$F380+1,$F380)),$F380)))</f>
        <v/>
      </c>
      <c r="M380" s="0" t="str">
        <f aca="true">IF(AND($H380=1,$D380="Expense",$G380&gt;TODAY(),$E380&gt;=100),$G380*100000+ROW(),"")</f>
        <v/>
      </c>
      <c r="N380" s="0" t="str">
        <f aca="true">IF(AND($H380=1,$D380="Income",$G380&gt;TODAY()),$G380*100000+ROW(),"")</f>
        <v/>
      </c>
    </row>
    <row r="381" customFormat="false" ht="15" hidden="false" customHeight="true" outlineLevel="0" collapsed="false">
      <c r="A381" s="117" t="n">
        <v>24</v>
      </c>
      <c r="B381" s="117" t="n">
        <v>10</v>
      </c>
      <c r="C381" s="7" t="str">
        <f aca="false">IF(OR(Recurring!$B$28="",Recurring!$H$28&lt;&gt;"Yes",Recurring!$D$28=""),"",Recurring!$B$28)</f>
        <v/>
      </c>
      <c r="D381" s="7" t="str">
        <f aca="false">IF($C381="","",Recurring!$C$28)</f>
        <v/>
      </c>
      <c r="E381" s="118" t="str">
        <f aca="false">IF($C381="","",IF(SUMIFS(Overrides!$E$9:$E$108,Overrides!$B$9:$B$108,$C381,Overrides!$C$9:$C$108,$L381)&gt;0,SUMIFS(Overrides!$E$9:$E$108,Overrides!$B$9:$B$108,$C381,Overrides!$C$9:$C$108,$L381),Recurring!$D$28))</f>
        <v/>
      </c>
      <c r="F381" s="119" t="str">
        <f aca="false">IF($C381="","",IF(Recurring!$E$28="Weekly",Recurring!$F$28+7*9,IF(Recurring!$E$28="Every 2 Weeks",Recurring!$F$28+14*9,IF(Recurring!$E$28="Monthly",EDATE(Recurring!$F$28,9),IF(Recurring!$E$28="Twice a Month",IF(MOD((IF(DAY(Recurring!$F$28)&lt;=20,0,1)+9),2)=1,EOMONTH(Recurring!$F$28,INT((IF(DAY(Recurring!$F$28)&lt;=20,0,1)+9)/2)),DATE(YEAR(EDATE(Recurring!$F$28,INT((IF(DAY(Recurring!$F$28)&lt;=20,0,1)+9)/2))),MONTH(EDATE(Recurring!$F$28,INT((IF(DAY(Recurring!$F$28)&lt;=20,0,1)+9)/2))),15)),IF(Recurring!$E$28="One Time",IF(10=1,Recurring!$F$28,""),""))))))</f>
        <v/>
      </c>
      <c r="G381" s="119" t="str">
        <f aca="false">IF($L381="","",IF(SUMIFS(Overrides!$D$9:$D$108,Overrides!$B$9:$B$108,$C381,Overrides!$C$9:$C$108,$L381)&gt;0,SUMIFS(Overrides!$D$9:$D$108,Overrides!$B$9:$B$108,$C381,Overrides!$C$9:$C$108,$L381),$L381))</f>
        <v/>
      </c>
      <c r="H381" s="120" t="n">
        <f aca="false">IF($G381="",0,IF(AND($G381&gt;='Cash Flow'!$E$6,$G381&lt;'Cash Flow'!$E$6+91),1,0))</f>
        <v>0</v>
      </c>
      <c r="I381" s="120" t="str">
        <f aca="false">IF($H381=1,MAX(1,INT(($G381-'Cash Flow'!$E$6)/7)+1),"")</f>
        <v/>
      </c>
      <c r="J381" s="7" t="str">
        <f aca="false">IF($H381=1,$G381*10000+ROW(),"")</f>
        <v/>
      </c>
      <c r="K381" s="7" t="str">
        <f aca="false">IF($H381=1,$I381*1000+COUNTIFS($I$4:$I$483,$I381,$J$4:$J$483,"&lt;"&amp;$J381)+1,"")</f>
        <v/>
      </c>
      <c r="L381" s="121" t="str">
        <f aca="false">IF($F381="","",IF(Recurring!$G$28="Move Before",IF(WEEKDAY($F381,2)=6,$F381-1,IF(WEEKDAY($F381,2)=7,$F381-2,$F381)),IF(Recurring!$G$28="Move After",IF(WEEKDAY($F381,2)=6,$F381+2,IF(WEEKDAY($F381,2)=7,$F381+1,$F381)),$F381)))</f>
        <v/>
      </c>
      <c r="M381" s="0" t="str">
        <f aca="true">IF(AND($H381=1,$D381="Expense",$G381&gt;TODAY(),$E381&gt;=100),$G381*100000+ROW(),"")</f>
        <v/>
      </c>
      <c r="N381" s="0" t="str">
        <f aca="true">IF(AND($H381=1,$D381="Income",$G381&gt;TODAY()),$G381*100000+ROW(),"")</f>
        <v/>
      </c>
    </row>
    <row r="382" customFormat="false" ht="15" hidden="false" customHeight="true" outlineLevel="0" collapsed="false">
      <c r="A382" s="117" t="n">
        <v>24</v>
      </c>
      <c r="B382" s="117" t="n">
        <v>11</v>
      </c>
      <c r="C382" s="7" t="str">
        <f aca="false">IF(OR(Recurring!$B$28="",Recurring!$H$28&lt;&gt;"Yes",Recurring!$D$28=""),"",Recurring!$B$28)</f>
        <v/>
      </c>
      <c r="D382" s="7" t="str">
        <f aca="false">IF($C382="","",Recurring!$C$28)</f>
        <v/>
      </c>
      <c r="E382" s="118" t="str">
        <f aca="false">IF($C382="","",IF(SUMIFS(Overrides!$E$9:$E$108,Overrides!$B$9:$B$108,$C382,Overrides!$C$9:$C$108,$L382)&gt;0,SUMIFS(Overrides!$E$9:$E$108,Overrides!$B$9:$B$108,$C382,Overrides!$C$9:$C$108,$L382),Recurring!$D$28))</f>
        <v/>
      </c>
      <c r="F382" s="119" t="str">
        <f aca="false">IF($C382="","",IF(Recurring!$E$28="Weekly",Recurring!$F$28+7*10,IF(Recurring!$E$28="Every 2 Weeks",Recurring!$F$28+14*10,IF(Recurring!$E$28="Monthly",EDATE(Recurring!$F$28,10),IF(Recurring!$E$28="Twice a Month",IF(MOD((IF(DAY(Recurring!$F$28)&lt;=20,0,1)+10),2)=1,EOMONTH(Recurring!$F$28,INT((IF(DAY(Recurring!$F$28)&lt;=20,0,1)+10)/2)),DATE(YEAR(EDATE(Recurring!$F$28,INT((IF(DAY(Recurring!$F$28)&lt;=20,0,1)+10)/2))),MONTH(EDATE(Recurring!$F$28,INT((IF(DAY(Recurring!$F$28)&lt;=20,0,1)+10)/2))),15)),IF(Recurring!$E$28="One Time",IF(11=1,Recurring!$F$28,""),""))))))</f>
        <v/>
      </c>
      <c r="G382" s="119" t="str">
        <f aca="false">IF($L382="","",IF(SUMIFS(Overrides!$D$9:$D$108,Overrides!$B$9:$B$108,$C382,Overrides!$C$9:$C$108,$L382)&gt;0,SUMIFS(Overrides!$D$9:$D$108,Overrides!$B$9:$B$108,$C382,Overrides!$C$9:$C$108,$L382),$L382))</f>
        <v/>
      </c>
      <c r="H382" s="120" t="n">
        <f aca="false">IF($G382="",0,IF(AND($G382&gt;='Cash Flow'!$E$6,$G382&lt;'Cash Flow'!$E$6+91),1,0))</f>
        <v>0</v>
      </c>
      <c r="I382" s="120" t="str">
        <f aca="false">IF($H382=1,MAX(1,INT(($G382-'Cash Flow'!$E$6)/7)+1),"")</f>
        <v/>
      </c>
      <c r="J382" s="7" t="str">
        <f aca="false">IF($H382=1,$G382*10000+ROW(),"")</f>
        <v/>
      </c>
      <c r="K382" s="7" t="str">
        <f aca="false">IF($H382=1,$I382*1000+COUNTIFS($I$4:$I$483,$I382,$J$4:$J$483,"&lt;"&amp;$J382)+1,"")</f>
        <v/>
      </c>
      <c r="L382" s="121" t="str">
        <f aca="false">IF($F382="","",IF(Recurring!$G$28="Move Before",IF(WEEKDAY($F382,2)=6,$F382-1,IF(WEEKDAY($F382,2)=7,$F382-2,$F382)),IF(Recurring!$G$28="Move After",IF(WEEKDAY($F382,2)=6,$F382+2,IF(WEEKDAY($F382,2)=7,$F382+1,$F382)),$F382)))</f>
        <v/>
      </c>
      <c r="M382" s="0" t="str">
        <f aca="true">IF(AND($H382=1,$D382="Expense",$G382&gt;TODAY(),$E382&gt;=100),$G382*100000+ROW(),"")</f>
        <v/>
      </c>
      <c r="N382" s="0" t="str">
        <f aca="true">IF(AND($H382=1,$D382="Income",$G382&gt;TODAY()),$G382*100000+ROW(),"")</f>
        <v/>
      </c>
    </row>
    <row r="383" customFormat="false" ht="15" hidden="false" customHeight="true" outlineLevel="0" collapsed="false">
      <c r="A383" s="117" t="n">
        <v>24</v>
      </c>
      <c r="B383" s="117" t="n">
        <v>12</v>
      </c>
      <c r="C383" s="7" t="str">
        <f aca="false">IF(OR(Recurring!$B$28="",Recurring!$H$28&lt;&gt;"Yes",Recurring!$D$28=""),"",Recurring!$B$28)</f>
        <v/>
      </c>
      <c r="D383" s="7" t="str">
        <f aca="false">IF($C383="","",Recurring!$C$28)</f>
        <v/>
      </c>
      <c r="E383" s="118" t="str">
        <f aca="false">IF($C383="","",IF(SUMIFS(Overrides!$E$9:$E$108,Overrides!$B$9:$B$108,$C383,Overrides!$C$9:$C$108,$L383)&gt;0,SUMIFS(Overrides!$E$9:$E$108,Overrides!$B$9:$B$108,$C383,Overrides!$C$9:$C$108,$L383),Recurring!$D$28))</f>
        <v/>
      </c>
      <c r="F383" s="119" t="str">
        <f aca="false">IF($C383="","",IF(Recurring!$E$28="Weekly",Recurring!$F$28+7*11,IF(Recurring!$E$28="Every 2 Weeks",Recurring!$F$28+14*11,IF(Recurring!$E$28="Monthly",EDATE(Recurring!$F$28,11),IF(Recurring!$E$28="Twice a Month",IF(MOD((IF(DAY(Recurring!$F$28)&lt;=20,0,1)+11),2)=1,EOMONTH(Recurring!$F$28,INT((IF(DAY(Recurring!$F$28)&lt;=20,0,1)+11)/2)),DATE(YEAR(EDATE(Recurring!$F$28,INT((IF(DAY(Recurring!$F$28)&lt;=20,0,1)+11)/2))),MONTH(EDATE(Recurring!$F$28,INT((IF(DAY(Recurring!$F$28)&lt;=20,0,1)+11)/2))),15)),IF(Recurring!$E$28="One Time",IF(12=1,Recurring!$F$28,""),""))))))</f>
        <v/>
      </c>
      <c r="G383" s="119" t="str">
        <f aca="false">IF($L383="","",IF(SUMIFS(Overrides!$D$9:$D$108,Overrides!$B$9:$B$108,$C383,Overrides!$C$9:$C$108,$L383)&gt;0,SUMIFS(Overrides!$D$9:$D$108,Overrides!$B$9:$B$108,$C383,Overrides!$C$9:$C$108,$L383),$L383))</f>
        <v/>
      </c>
      <c r="H383" s="120" t="n">
        <f aca="false">IF($G383="",0,IF(AND($G383&gt;='Cash Flow'!$E$6,$G383&lt;'Cash Flow'!$E$6+91),1,0))</f>
        <v>0</v>
      </c>
      <c r="I383" s="120" t="str">
        <f aca="false">IF($H383=1,MAX(1,INT(($G383-'Cash Flow'!$E$6)/7)+1),"")</f>
        <v/>
      </c>
      <c r="J383" s="7" t="str">
        <f aca="false">IF($H383=1,$G383*10000+ROW(),"")</f>
        <v/>
      </c>
      <c r="K383" s="7" t="str">
        <f aca="false">IF($H383=1,$I383*1000+COUNTIFS($I$4:$I$483,$I383,$J$4:$J$483,"&lt;"&amp;$J383)+1,"")</f>
        <v/>
      </c>
      <c r="L383" s="121" t="str">
        <f aca="false">IF($F383="","",IF(Recurring!$G$28="Move Before",IF(WEEKDAY($F383,2)=6,$F383-1,IF(WEEKDAY($F383,2)=7,$F383-2,$F383)),IF(Recurring!$G$28="Move After",IF(WEEKDAY($F383,2)=6,$F383+2,IF(WEEKDAY($F383,2)=7,$F383+1,$F383)),$F383)))</f>
        <v/>
      </c>
      <c r="M383" s="0" t="str">
        <f aca="true">IF(AND($H383=1,$D383="Expense",$G383&gt;TODAY(),$E383&gt;=100),$G383*100000+ROW(),"")</f>
        <v/>
      </c>
      <c r="N383" s="0" t="str">
        <f aca="true">IF(AND($H383=1,$D383="Income",$G383&gt;TODAY()),$G383*100000+ROW(),"")</f>
        <v/>
      </c>
    </row>
    <row r="384" customFormat="false" ht="15" hidden="false" customHeight="true" outlineLevel="0" collapsed="false">
      <c r="A384" s="117" t="n">
        <v>24</v>
      </c>
      <c r="B384" s="117" t="n">
        <v>13</v>
      </c>
      <c r="C384" s="7" t="str">
        <f aca="false">IF(OR(Recurring!$B$28="",Recurring!$H$28&lt;&gt;"Yes",Recurring!$D$28=""),"",Recurring!$B$28)</f>
        <v/>
      </c>
      <c r="D384" s="7" t="str">
        <f aca="false">IF($C384="","",Recurring!$C$28)</f>
        <v/>
      </c>
      <c r="E384" s="118" t="str">
        <f aca="false">IF($C384="","",IF(SUMIFS(Overrides!$E$9:$E$108,Overrides!$B$9:$B$108,$C384,Overrides!$C$9:$C$108,$L384)&gt;0,SUMIFS(Overrides!$E$9:$E$108,Overrides!$B$9:$B$108,$C384,Overrides!$C$9:$C$108,$L384),Recurring!$D$28))</f>
        <v/>
      </c>
      <c r="F384" s="119" t="str">
        <f aca="false">IF($C384="","",IF(Recurring!$E$28="Weekly",Recurring!$F$28+7*12,IF(Recurring!$E$28="Every 2 Weeks",Recurring!$F$28+14*12,IF(Recurring!$E$28="Monthly",EDATE(Recurring!$F$28,12),IF(Recurring!$E$28="Twice a Month",IF(MOD((IF(DAY(Recurring!$F$28)&lt;=20,0,1)+12),2)=1,EOMONTH(Recurring!$F$28,INT((IF(DAY(Recurring!$F$28)&lt;=20,0,1)+12)/2)),DATE(YEAR(EDATE(Recurring!$F$28,INT((IF(DAY(Recurring!$F$28)&lt;=20,0,1)+12)/2))),MONTH(EDATE(Recurring!$F$28,INT((IF(DAY(Recurring!$F$28)&lt;=20,0,1)+12)/2))),15)),IF(Recurring!$E$28="One Time",IF(13=1,Recurring!$F$28,""),""))))))</f>
        <v/>
      </c>
      <c r="G384" s="119" t="str">
        <f aca="false">IF($L384="","",IF(SUMIFS(Overrides!$D$9:$D$108,Overrides!$B$9:$B$108,$C384,Overrides!$C$9:$C$108,$L384)&gt;0,SUMIFS(Overrides!$D$9:$D$108,Overrides!$B$9:$B$108,$C384,Overrides!$C$9:$C$108,$L384),$L384))</f>
        <v/>
      </c>
      <c r="H384" s="120" t="n">
        <f aca="false">IF($G384="",0,IF(AND($G384&gt;='Cash Flow'!$E$6,$G384&lt;'Cash Flow'!$E$6+91),1,0))</f>
        <v>0</v>
      </c>
      <c r="I384" s="120" t="str">
        <f aca="false">IF($H384=1,MAX(1,INT(($G384-'Cash Flow'!$E$6)/7)+1),"")</f>
        <v/>
      </c>
      <c r="J384" s="7" t="str">
        <f aca="false">IF($H384=1,$G384*10000+ROW(),"")</f>
        <v/>
      </c>
      <c r="K384" s="7" t="str">
        <f aca="false">IF($H384=1,$I384*1000+COUNTIFS($I$4:$I$483,$I384,$J$4:$J$483,"&lt;"&amp;$J384)+1,"")</f>
        <v/>
      </c>
      <c r="L384" s="121" t="str">
        <f aca="false">IF($F384="","",IF(Recurring!$G$28="Move Before",IF(WEEKDAY($F384,2)=6,$F384-1,IF(WEEKDAY($F384,2)=7,$F384-2,$F384)),IF(Recurring!$G$28="Move After",IF(WEEKDAY($F384,2)=6,$F384+2,IF(WEEKDAY($F384,2)=7,$F384+1,$F384)),$F384)))</f>
        <v/>
      </c>
      <c r="M384" s="0" t="str">
        <f aca="true">IF(AND($H384=1,$D384="Expense",$G384&gt;TODAY(),$E384&gt;=100),$G384*100000+ROW(),"")</f>
        <v/>
      </c>
      <c r="N384" s="0" t="str">
        <f aca="true">IF(AND($H384=1,$D384="Income",$G384&gt;TODAY()),$G384*100000+ROW(),"")</f>
        <v/>
      </c>
    </row>
    <row r="385" customFormat="false" ht="15" hidden="false" customHeight="true" outlineLevel="0" collapsed="false">
      <c r="A385" s="117" t="n">
        <v>24</v>
      </c>
      <c r="B385" s="117" t="n">
        <v>14</v>
      </c>
      <c r="C385" s="7" t="str">
        <f aca="false">IF(OR(Recurring!$B$28="",Recurring!$H$28&lt;&gt;"Yes",Recurring!$D$28=""),"",Recurring!$B$28)</f>
        <v/>
      </c>
      <c r="D385" s="7" t="str">
        <f aca="false">IF($C385="","",Recurring!$C$28)</f>
        <v/>
      </c>
      <c r="E385" s="118" t="str">
        <f aca="false">IF($C385="","",IF(SUMIFS(Overrides!$E$9:$E$108,Overrides!$B$9:$B$108,$C385,Overrides!$C$9:$C$108,$L385)&gt;0,SUMIFS(Overrides!$E$9:$E$108,Overrides!$B$9:$B$108,$C385,Overrides!$C$9:$C$108,$L385),Recurring!$D$28))</f>
        <v/>
      </c>
      <c r="F385" s="119" t="str">
        <f aca="false">IF($C385="","",IF(Recurring!$E$28="Weekly",Recurring!$F$28+7*13,IF(Recurring!$E$28="Every 2 Weeks",Recurring!$F$28+14*13,IF(Recurring!$E$28="Monthly",EDATE(Recurring!$F$28,13),IF(Recurring!$E$28="Twice a Month",IF(MOD((IF(DAY(Recurring!$F$28)&lt;=20,0,1)+13),2)=1,EOMONTH(Recurring!$F$28,INT((IF(DAY(Recurring!$F$28)&lt;=20,0,1)+13)/2)),DATE(YEAR(EDATE(Recurring!$F$28,INT((IF(DAY(Recurring!$F$28)&lt;=20,0,1)+13)/2))),MONTH(EDATE(Recurring!$F$28,INT((IF(DAY(Recurring!$F$28)&lt;=20,0,1)+13)/2))),15)),IF(Recurring!$E$28="One Time",IF(14=1,Recurring!$F$28,""),""))))))</f>
        <v/>
      </c>
      <c r="G385" s="119" t="str">
        <f aca="false">IF($L385="","",IF(SUMIFS(Overrides!$D$9:$D$108,Overrides!$B$9:$B$108,$C385,Overrides!$C$9:$C$108,$L385)&gt;0,SUMIFS(Overrides!$D$9:$D$108,Overrides!$B$9:$B$108,$C385,Overrides!$C$9:$C$108,$L385),$L385))</f>
        <v/>
      </c>
      <c r="H385" s="120" t="n">
        <f aca="false">IF($G385="",0,IF(AND($G385&gt;='Cash Flow'!$E$6,$G385&lt;'Cash Flow'!$E$6+91),1,0))</f>
        <v>0</v>
      </c>
      <c r="I385" s="120" t="str">
        <f aca="false">IF($H385=1,MAX(1,INT(($G385-'Cash Flow'!$E$6)/7)+1),"")</f>
        <v/>
      </c>
      <c r="J385" s="7" t="str">
        <f aca="false">IF($H385=1,$G385*10000+ROW(),"")</f>
        <v/>
      </c>
      <c r="K385" s="7" t="str">
        <f aca="false">IF($H385=1,$I385*1000+COUNTIFS($I$4:$I$483,$I385,$J$4:$J$483,"&lt;"&amp;$J385)+1,"")</f>
        <v/>
      </c>
      <c r="L385" s="121" t="str">
        <f aca="false">IF($F385="","",IF(Recurring!$G$28="Move Before",IF(WEEKDAY($F385,2)=6,$F385-1,IF(WEEKDAY($F385,2)=7,$F385-2,$F385)),IF(Recurring!$G$28="Move After",IF(WEEKDAY($F385,2)=6,$F385+2,IF(WEEKDAY($F385,2)=7,$F385+1,$F385)),$F385)))</f>
        <v/>
      </c>
      <c r="M385" s="0" t="str">
        <f aca="true">IF(AND($H385=1,$D385="Expense",$G385&gt;TODAY(),$E385&gt;=100),$G385*100000+ROW(),"")</f>
        <v/>
      </c>
      <c r="N385" s="0" t="str">
        <f aca="true">IF(AND($H385=1,$D385="Income",$G385&gt;TODAY()),$G385*100000+ROW(),"")</f>
        <v/>
      </c>
    </row>
    <row r="386" customFormat="false" ht="15" hidden="false" customHeight="true" outlineLevel="0" collapsed="false">
      <c r="A386" s="117" t="n">
        <v>24</v>
      </c>
      <c r="B386" s="117" t="n">
        <v>15</v>
      </c>
      <c r="C386" s="7" t="str">
        <f aca="false">IF(OR(Recurring!$B$28="",Recurring!$H$28&lt;&gt;"Yes",Recurring!$D$28=""),"",Recurring!$B$28)</f>
        <v/>
      </c>
      <c r="D386" s="7" t="str">
        <f aca="false">IF($C386="","",Recurring!$C$28)</f>
        <v/>
      </c>
      <c r="E386" s="118" t="str">
        <f aca="false">IF($C386="","",IF(SUMIFS(Overrides!$E$9:$E$108,Overrides!$B$9:$B$108,$C386,Overrides!$C$9:$C$108,$L386)&gt;0,SUMIFS(Overrides!$E$9:$E$108,Overrides!$B$9:$B$108,$C386,Overrides!$C$9:$C$108,$L386),Recurring!$D$28))</f>
        <v/>
      </c>
      <c r="F386" s="119" t="str">
        <f aca="false">IF($C386="","",IF(Recurring!$E$28="Weekly",Recurring!$F$28+7*14,IF(Recurring!$E$28="Every 2 Weeks",Recurring!$F$28+14*14,IF(Recurring!$E$28="Monthly",EDATE(Recurring!$F$28,14),IF(Recurring!$E$28="Twice a Month",IF(MOD((IF(DAY(Recurring!$F$28)&lt;=20,0,1)+14),2)=1,EOMONTH(Recurring!$F$28,INT((IF(DAY(Recurring!$F$28)&lt;=20,0,1)+14)/2)),DATE(YEAR(EDATE(Recurring!$F$28,INT((IF(DAY(Recurring!$F$28)&lt;=20,0,1)+14)/2))),MONTH(EDATE(Recurring!$F$28,INT((IF(DAY(Recurring!$F$28)&lt;=20,0,1)+14)/2))),15)),IF(Recurring!$E$28="One Time",IF(15=1,Recurring!$F$28,""),""))))))</f>
        <v/>
      </c>
      <c r="G386" s="119" t="str">
        <f aca="false">IF($L386="","",IF(SUMIFS(Overrides!$D$9:$D$108,Overrides!$B$9:$B$108,$C386,Overrides!$C$9:$C$108,$L386)&gt;0,SUMIFS(Overrides!$D$9:$D$108,Overrides!$B$9:$B$108,$C386,Overrides!$C$9:$C$108,$L386),$L386))</f>
        <v/>
      </c>
      <c r="H386" s="120" t="n">
        <f aca="false">IF($G386="",0,IF(AND($G386&gt;='Cash Flow'!$E$6,$G386&lt;'Cash Flow'!$E$6+91),1,0))</f>
        <v>0</v>
      </c>
      <c r="I386" s="120" t="str">
        <f aca="false">IF($H386=1,MAX(1,INT(($G386-'Cash Flow'!$E$6)/7)+1),"")</f>
        <v/>
      </c>
      <c r="J386" s="7" t="str">
        <f aca="false">IF($H386=1,$G386*10000+ROW(),"")</f>
        <v/>
      </c>
      <c r="K386" s="7" t="str">
        <f aca="false">IF($H386=1,$I386*1000+COUNTIFS($I$4:$I$483,$I386,$J$4:$J$483,"&lt;"&amp;$J386)+1,"")</f>
        <v/>
      </c>
      <c r="L386" s="121" t="str">
        <f aca="false">IF($F386="","",IF(Recurring!$G$28="Move Before",IF(WEEKDAY($F386,2)=6,$F386-1,IF(WEEKDAY($F386,2)=7,$F386-2,$F386)),IF(Recurring!$G$28="Move After",IF(WEEKDAY($F386,2)=6,$F386+2,IF(WEEKDAY($F386,2)=7,$F386+1,$F386)),$F386)))</f>
        <v/>
      </c>
      <c r="M386" s="0" t="str">
        <f aca="true">IF(AND($H386=1,$D386="Expense",$G386&gt;TODAY(),$E386&gt;=100),$G386*100000+ROW(),"")</f>
        <v/>
      </c>
      <c r="N386" s="0" t="str">
        <f aca="true">IF(AND($H386=1,$D386="Income",$G386&gt;TODAY()),$G386*100000+ROW(),"")</f>
        <v/>
      </c>
    </row>
    <row r="387" customFormat="false" ht="15" hidden="false" customHeight="true" outlineLevel="0" collapsed="false">
      <c r="A387" s="117" t="n">
        <v>24</v>
      </c>
      <c r="B387" s="117" t="n">
        <v>16</v>
      </c>
      <c r="C387" s="7" t="str">
        <f aca="false">IF(OR(Recurring!$B$28="",Recurring!$H$28&lt;&gt;"Yes",Recurring!$D$28=""),"",Recurring!$B$28)</f>
        <v/>
      </c>
      <c r="D387" s="7" t="str">
        <f aca="false">IF($C387="","",Recurring!$C$28)</f>
        <v/>
      </c>
      <c r="E387" s="118" t="str">
        <f aca="false">IF($C387="","",IF(SUMIFS(Overrides!$E$9:$E$108,Overrides!$B$9:$B$108,$C387,Overrides!$C$9:$C$108,$L387)&gt;0,SUMIFS(Overrides!$E$9:$E$108,Overrides!$B$9:$B$108,$C387,Overrides!$C$9:$C$108,$L387),Recurring!$D$28))</f>
        <v/>
      </c>
      <c r="F387" s="119" t="str">
        <f aca="false">IF($C387="","",IF(Recurring!$E$28="Weekly",Recurring!$F$28+7*15,IF(Recurring!$E$28="Every 2 Weeks",Recurring!$F$28+14*15,IF(Recurring!$E$28="Monthly",EDATE(Recurring!$F$28,15),IF(Recurring!$E$28="Twice a Month",IF(MOD((IF(DAY(Recurring!$F$28)&lt;=20,0,1)+15),2)=1,EOMONTH(Recurring!$F$28,INT((IF(DAY(Recurring!$F$28)&lt;=20,0,1)+15)/2)),DATE(YEAR(EDATE(Recurring!$F$28,INT((IF(DAY(Recurring!$F$28)&lt;=20,0,1)+15)/2))),MONTH(EDATE(Recurring!$F$28,INT((IF(DAY(Recurring!$F$28)&lt;=20,0,1)+15)/2))),15)),IF(Recurring!$E$28="One Time",IF(16=1,Recurring!$F$28,""),""))))))</f>
        <v/>
      </c>
      <c r="G387" s="119" t="str">
        <f aca="false">IF($L387="","",IF(SUMIFS(Overrides!$D$9:$D$108,Overrides!$B$9:$B$108,$C387,Overrides!$C$9:$C$108,$L387)&gt;0,SUMIFS(Overrides!$D$9:$D$108,Overrides!$B$9:$B$108,$C387,Overrides!$C$9:$C$108,$L387),$L387))</f>
        <v/>
      </c>
      <c r="H387" s="120" t="n">
        <f aca="false">IF($G387="",0,IF(AND($G387&gt;='Cash Flow'!$E$6,$G387&lt;'Cash Flow'!$E$6+91),1,0))</f>
        <v>0</v>
      </c>
      <c r="I387" s="120" t="str">
        <f aca="false">IF($H387=1,MAX(1,INT(($G387-'Cash Flow'!$E$6)/7)+1),"")</f>
        <v/>
      </c>
      <c r="J387" s="7" t="str">
        <f aca="false">IF($H387=1,$G387*10000+ROW(),"")</f>
        <v/>
      </c>
      <c r="K387" s="7" t="str">
        <f aca="false">IF($H387=1,$I387*1000+COUNTIFS($I$4:$I$483,$I387,$J$4:$J$483,"&lt;"&amp;$J387)+1,"")</f>
        <v/>
      </c>
      <c r="L387" s="121" t="str">
        <f aca="false">IF($F387="","",IF(Recurring!$G$28="Move Before",IF(WEEKDAY($F387,2)=6,$F387-1,IF(WEEKDAY($F387,2)=7,$F387-2,$F387)),IF(Recurring!$G$28="Move After",IF(WEEKDAY($F387,2)=6,$F387+2,IF(WEEKDAY($F387,2)=7,$F387+1,$F387)),$F387)))</f>
        <v/>
      </c>
      <c r="M387" s="0" t="str">
        <f aca="true">IF(AND($H387=1,$D387="Expense",$G387&gt;TODAY(),$E387&gt;=100),$G387*100000+ROW(),"")</f>
        <v/>
      </c>
      <c r="N387" s="0" t="str">
        <f aca="true">IF(AND($H387=1,$D387="Income",$G387&gt;TODAY()),$G387*100000+ROW(),"")</f>
        <v/>
      </c>
    </row>
    <row r="388" customFormat="false" ht="15" hidden="false" customHeight="true" outlineLevel="0" collapsed="false">
      <c r="A388" s="117" t="n">
        <v>25</v>
      </c>
      <c r="B388" s="117" t="n">
        <v>1</v>
      </c>
      <c r="C388" s="7" t="str">
        <f aca="false">IF(OR(Recurring!$B$29="",Recurring!$H$29&lt;&gt;"Yes",Recurring!$D$29=""),"",Recurring!$B$29)</f>
        <v/>
      </c>
      <c r="D388" s="7" t="str">
        <f aca="false">IF($C388="","",Recurring!$C$29)</f>
        <v/>
      </c>
      <c r="E388" s="118" t="str">
        <f aca="false">IF($C388="","",IF(SUMIFS(Overrides!$E$9:$E$108,Overrides!$B$9:$B$108,$C388,Overrides!$C$9:$C$108,$L388)&gt;0,SUMIFS(Overrides!$E$9:$E$108,Overrides!$B$9:$B$108,$C388,Overrides!$C$9:$C$108,$L388),Recurring!$D$29))</f>
        <v/>
      </c>
      <c r="F388" s="119" t="str">
        <f aca="false">IF($C388="","",IF(Recurring!$E$29="Weekly",Recurring!$F$29+7*0,IF(Recurring!$E$29="Every 2 Weeks",Recurring!$F$29+14*0,IF(Recurring!$E$29="Monthly",EDATE(Recurring!$F$29,0),IF(Recurring!$E$29="Twice a Month",IF(MOD((IF(DAY(Recurring!$F$29)&lt;=20,0,1)+0),2)=1,EOMONTH(Recurring!$F$29,INT((IF(DAY(Recurring!$F$29)&lt;=20,0,1)+0)/2)),DATE(YEAR(EDATE(Recurring!$F$29,INT((IF(DAY(Recurring!$F$29)&lt;=20,0,1)+0)/2))),MONTH(EDATE(Recurring!$F$29,INT((IF(DAY(Recurring!$F$29)&lt;=20,0,1)+0)/2))),15)),IF(Recurring!$E$29="One Time",IF(1=1,Recurring!$F$29,""),""))))))</f>
        <v/>
      </c>
      <c r="G388" s="119" t="str">
        <f aca="false">IF($L388="","",IF(SUMIFS(Overrides!$D$9:$D$108,Overrides!$B$9:$B$108,$C388,Overrides!$C$9:$C$108,$L388)&gt;0,SUMIFS(Overrides!$D$9:$D$108,Overrides!$B$9:$B$108,$C388,Overrides!$C$9:$C$108,$L388),$L388))</f>
        <v/>
      </c>
      <c r="H388" s="120" t="n">
        <f aca="false">IF($G388="",0,IF(AND($G388&gt;='Cash Flow'!$E$6-90,$G388&lt;'Cash Flow'!$E$6+91),1,0))</f>
        <v>0</v>
      </c>
      <c r="I388" s="120" t="str">
        <f aca="false">IF($H388=1,MAX(1,INT(($G388-'Cash Flow'!$E$6)/7)+1),"")</f>
        <v/>
      </c>
      <c r="J388" s="7" t="str">
        <f aca="false">IF($H388=1,$G388*10000+ROW(),"")</f>
        <v/>
      </c>
      <c r="K388" s="7" t="str">
        <f aca="false">IF($H388=1,$I388*1000+COUNTIFS($I$4:$I$483,$I388,$J$4:$J$483,"&lt;"&amp;$J388)+1,"")</f>
        <v/>
      </c>
      <c r="L388" s="121" t="str">
        <f aca="false">IF($F388="","",IF(Recurring!$G$29="Move Before",IF(WEEKDAY($F388,2)=6,$F388-1,IF(WEEKDAY($F388,2)=7,$F388-2,$F388)),IF(Recurring!$G$29="Move After",IF(WEEKDAY($F388,2)=6,$F388+2,IF(WEEKDAY($F388,2)=7,$F388+1,$F388)),$F388)))</f>
        <v/>
      </c>
      <c r="M388" s="0" t="str">
        <f aca="true">IF(AND($H388=1,$D388="Expense",$G388&gt;TODAY(),$E388&gt;=100),$G388*100000+ROW(),"")</f>
        <v/>
      </c>
      <c r="N388" s="0" t="str">
        <f aca="true">IF(AND($H388=1,$D388="Income",$G388&gt;TODAY()),$G388*100000+ROW(),"")</f>
        <v/>
      </c>
    </row>
    <row r="389" customFormat="false" ht="15" hidden="false" customHeight="true" outlineLevel="0" collapsed="false">
      <c r="A389" s="117" t="n">
        <v>25</v>
      </c>
      <c r="B389" s="117" t="n">
        <v>2</v>
      </c>
      <c r="C389" s="7" t="str">
        <f aca="false">IF(OR(Recurring!$B$29="",Recurring!$H$29&lt;&gt;"Yes",Recurring!$D$29=""),"",Recurring!$B$29)</f>
        <v/>
      </c>
      <c r="D389" s="7" t="str">
        <f aca="false">IF($C389="","",Recurring!$C$29)</f>
        <v/>
      </c>
      <c r="E389" s="118" t="str">
        <f aca="false">IF($C389="","",IF(SUMIFS(Overrides!$E$9:$E$108,Overrides!$B$9:$B$108,$C389,Overrides!$C$9:$C$108,$L389)&gt;0,SUMIFS(Overrides!$E$9:$E$108,Overrides!$B$9:$B$108,$C389,Overrides!$C$9:$C$108,$L389),Recurring!$D$29))</f>
        <v/>
      </c>
      <c r="F389" s="119" t="str">
        <f aca="false">IF($C389="","",IF(Recurring!$E$29="Weekly",Recurring!$F$29+7*1,IF(Recurring!$E$29="Every 2 Weeks",Recurring!$F$29+14*1,IF(Recurring!$E$29="Monthly",EDATE(Recurring!$F$29,1),IF(Recurring!$E$29="Twice a Month",IF(MOD((IF(DAY(Recurring!$F$29)&lt;=20,0,1)+1),2)=1,EOMONTH(Recurring!$F$29,INT((IF(DAY(Recurring!$F$29)&lt;=20,0,1)+1)/2)),DATE(YEAR(EDATE(Recurring!$F$29,INT((IF(DAY(Recurring!$F$29)&lt;=20,0,1)+1)/2))),MONTH(EDATE(Recurring!$F$29,INT((IF(DAY(Recurring!$F$29)&lt;=20,0,1)+1)/2))),15)),IF(Recurring!$E$29="One Time",IF(2=1,Recurring!$F$29,""),""))))))</f>
        <v/>
      </c>
      <c r="G389" s="119" t="str">
        <f aca="false">IF($L389="","",IF(SUMIFS(Overrides!$D$9:$D$108,Overrides!$B$9:$B$108,$C389,Overrides!$C$9:$C$108,$L389)&gt;0,SUMIFS(Overrides!$D$9:$D$108,Overrides!$B$9:$B$108,$C389,Overrides!$C$9:$C$108,$L389),$L389))</f>
        <v/>
      </c>
      <c r="H389" s="120" t="n">
        <f aca="false">IF($G389="",0,IF(AND($G389&gt;='Cash Flow'!$E$6,$G389&lt;'Cash Flow'!$E$6+91),1,0))</f>
        <v>0</v>
      </c>
      <c r="I389" s="120" t="str">
        <f aca="false">IF($H389=1,MAX(1,INT(($G389-'Cash Flow'!$E$6)/7)+1),"")</f>
        <v/>
      </c>
      <c r="J389" s="7" t="str">
        <f aca="false">IF($H389=1,$G389*10000+ROW(),"")</f>
        <v/>
      </c>
      <c r="K389" s="7" t="str">
        <f aca="false">IF($H389=1,$I389*1000+COUNTIFS($I$4:$I$483,$I389,$J$4:$J$483,"&lt;"&amp;$J389)+1,"")</f>
        <v/>
      </c>
      <c r="L389" s="121" t="str">
        <f aca="false">IF($F389="","",IF(Recurring!$G$29="Move Before",IF(WEEKDAY($F389,2)=6,$F389-1,IF(WEEKDAY($F389,2)=7,$F389-2,$F389)),IF(Recurring!$G$29="Move After",IF(WEEKDAY($F389,2)=6,$F389+2,IF(WEEKDAY($F389,2)=7,$F389+1,$F389)),$F389)))</f>
        <v/>
      </c>
      <c r="M389" s="0" t="str">
        <f aca="true">IF(AND($H389=1,$D389="Expense",$G389&gt;TODAY(),$E389&gt;=100),$G389*100000+ROW(),"")</f>
        <v/>
      </c>
      <c r="N389" s="0" t="str">
        <f aca="true">IF(AND($H389=1,$D389="Income",$G389&gt;TODAY()),$G389*100000+ROW(),"")</f>
        <v/>
      </c>
    </row>
    <row r="390" customFormat="false" ht="15" hidden="false" customHeight="true" outlineLevel="0" collapsed="false">
      <c r="A390" s="117" t="n">
        <v>25</v>
      </c>
      <c r="B390" s="117" t="n">
        <v>3</v>
      </c>
      <c r="C390" s="7" t="str">
        <f aca="false">IF(OR(Recurring!$B$29="",Recurring!$H$29&lt;&gt;"Yes",Recurring!$D$29=""),"",Recurring!$B$29)</f>
        <v/>
      </c>
      <c r="D390" s="7" t="str">
        <f aca="false">IF($C390="","",Recurring!$C$29)</f>
        <v/>
      </c>
      <c r="E390" s="118" t="str">
        <f aca="false">IF($C390="","",IF(SUMIFS(Overrides!$E$9:$E$108,Overrides!$B$9:$B$108,$C390,Overrides!$C$9:$C$108,$L390)&gt;0,SUMIFS(Overrides!$E$9:$E$108,Overrides!$B$9:$B$108,$C390,Overrides!$C$9:$C$108,$L390),Recurring!$D$29))</f>
        <v/>
      </c>
      <c r="F390" s="119" t="str">
        <f aca="false">IF($C390="","",IF(Recurring!$E$29="Weekly",Recurring!$F$29+7*2,IF(Recurring!$E$29="Every 2 Weeks",Recurring!$F$29+14*2,IF(Recurring!$E$29="Monthly",EDATE(Recurring!$F$29,2),IF(Recurring!$E$29="Twice a Month",IF(MOD((IF(DAY(Recurring!$F$29)&lt;=20,0,1)+2),2)=1,EOMONTH(Recurring!$F$29,INT((IF(DAY(Recurring!$F$29)&lt;=20,0,1)+2)/2)),DATE(YEAR(EDATE(Recurring!$F$29,INT((IF(DAY(Recurring!$F$29)&lt;=20,0,1)+2)/2))),MONTH(EDATE(Recurring!$F$29,INT((IF(DAY(Recurring!$F$29)&lt;=20,0,1)+2)/2))),15)),IF(Recurring!$E$29="One Time",IF(3=1,Recurring!$F$29,""),""))))))</f>
        <v/>
      </c>
      <c r="G390" s="119" t="str">
        <f aca="false">IF($L390="","",IF(SUMIFS(Overrides!$D$9:$D$108,Overrides!$B$9:$B$108,$C390,Overrides!$C$9:$C$108,$L390)&gt;0,SUMIFS(Overrides!$D$9:$D$108,Overrides!$B$9:$B$108,$C390,Overrides!$C$9:$C$108,$L390),$L390))</f>
        <v/>
      </c>
      <c r="H390" s="120" t="n">
        <f aca="false">IF($G390="",0,IF(AND($G390&gt;='Cash Flow'!$E$6,$G390&lt;'Cash Flow'!$E$6+91),1,0))</f>
        <v>0</v>
      </c>
      <c r="I390" s="120" t="str">
        <f aca="false">IF($H390=1,MAX(1,INT(($G390-'Cash Flow'!$E$6)/7)+1),"")</f>
        <v/>
      </c>
      <c r="J390" s="7" t="str">
        <f aca="false">IF($H390=1,$G390*10000+ROW(),"")</f>
        <v/>
      </c>
      <c r="K390" s="7" t="str">
        <f aca="false">IF($H390=1,$I390*1000+COUNTIFS($I$4:$I$483,$I390,$J$4:$J$483,"&lt;"&amp;$J390)+1,"")</f>
        <v/>
      </c>
      <c r="L390" s="121" t="str">
        <f aca="false">IF($F390="","",IF(Recurring!$G$29="Move Before",IF(WEEKDAY($F390,2)=6,$F390-1,IF(WEEKDAY($F390,2)=7,$F390-2,$F390)),IF(Recurring!$G$29="Move After",IF(WEEKDAY($F390,2)=6,$F390+2,IF(WEEKDAY($F390,2)=7,$F390+1,$F390)),$F390)))</f>
        <v/>
      </c>
      <c r="M390" s="0" t="str">
        <f aca="true">IF(AND($H390=1,$D390="Expense",$G390&gt;TODAY(),$E390&gt;=100),$G390*100000+ROW(),"")</f>
        <v/>
      </c>
      <c r="N390" s="0" t="str">
        <f aca="true">IF(AND($H390=1,$D390="Income",$G390&gt;TODAY()),$G390*100000+ROW(),"")</f>
        <v/>
      </c>
    </row>
    <row r="391" customFormat="false" ht="15" hidden="false" customHeight="true" outlineLevel="0" collapsed="false">
      <c r="A391" s="117" t="n">
        <v>25</v>
      </c>
      <c r="B391" s="117" t="n">
        <v>4</v>
      </c>
      <c r="C391" s="7" t="str">
        <f aca="false">IF(OR(Recurring!$B$29="",Recurring!$H$29&lt;&gt;"Yes",Recurring!$D$29=""),"",Recurring!$B$29)</f>
        <v/>
      </c>
      <c r="D391" s="7" t="str">
        <f aca="false">IF($C391="","",Recurring!$C$29)</f>
        <v/>
      </c>
      <c r="E391" s="118" t="str">
        <f aca="false">IF($C391="","",IF(SUMIFS(Overrides!$E$9:$E$108,Overrides!$B$9:$B$108,$C391,Overrides!$C$9:$C$108,$L391)&gt;0,SUMIFS(Overrides!$E$9:$E$108,Overrides!$B$9:$B$108,$C391,Overrides!$C$9:$C$108,$L391),Recurring!$D$29))</f>
        <v/>
      </c>
      <c r="F391" s="119" t="str">
        <f aca="false">IF($C391="","",IF(Recurring!$E$29="Weekly",Recurring!$F$29+7*3,IF(Recurring!$E$29="Every 2 Weeks",Recurring!$F$29+14*3,IF(Recurring!$E$29="Monthly",EDATE(Recurring!$F$29,3),IF(Recurring!$E$29="Twice a Month",IF(MOD((IF(DAY(Recurring!$F$29)&lt;=20,0,1)+3),2)=1,EOMONTH(Recurring!$F$29,INT((IF(DAY(Recurring!$F$29)&lt;=20,0,1)+3)/2)),DATE(YEAR(EDATE(Recurring!$F$29,INT((IF(DAY(Recurring!$F$29)&lt;=20,0,1)+3)/2))),MONTH(EDATE(Recurring!$F$29,INT((IF(DAY(Recurring!$F$29)&lt;=20,0,1)+3)/2))),15)),IF(Recurring!$E$29="One Time",IF(4=1,Recurring!$F$29,""),""))))))</f>
        <v/>
      </c>
      <c r="G391" s="119" t="str">
        <f aca="false">IF($L391="","",IF(SUMIFS(Overrides!$D$9:$D$108,Overrides!$B$9:$B$108,$C391,Overrides!$C$9:$C$108,$L391)&gt;0,SUMIFS(Overrides!$D$9:$D$108,Overrides!$B$9:$B$108,$C391,Overrides!$C$9:$C$108,$L391),$L391))</f>
        <v/>
      </c>
      <c r="H391" s="120" t="n">
        <f aca="false">IF($G391="",0,IF(AND($G391&gt;='Cash Flow'!$E$6,$G391&lt;'Cash Flow'!$E$6+91),1,0))</f>
        <v>0</v>
      </c>
      <c r="I391" s="120" t="str">
        <f aca="false">IF($H391=1,MAX(1,INT(($G391-'Cash Flow'!$E$6)/7)+1),"")</f>
        <v/>
      </c>
      <c r="J391" s="7" t="str">
        <f aca="false">IF($H391=1,$G391*10000+ROW(),"")</f>
        <v/>
      </c>
      <c r="K391" s="7" t="str">
        <f aca="false">IF($H391=1,$I391*1000+COUNTIFS($I$4:$I$483,$I391,$J$4:$J$483,"&lt;"&amp;$J391)+1,"")</f>
        <v/>
      </c>
      <c r="L391" s="121" t="str">
        <f aca="false">IF($F391="","",IF(Recurring!$G$29="Move Before",IF(WEEKDAY($F391,2)=6,$F391-1,IF(WEEKDAY($F391,2)=7,$F391-2,$F391)),IF(Recurring!$G$29="Move After",IF(WEEKDAY($F391,2)=6,$F391+2,IF(WEEKDAY($F391,2)=7,$F391+1,$F391)),$F391)))</f>
        <v/>
      </c>
      <c r="M391" s="0" t="str">
        <f aca="true">IF(AND($H391=1,$D391="Expense",$G391&gt;TODAY(),$E391&gt;=100),$G391*100000+ROW(),"")</f>
        <v/>
      </c>
      <c r="N391" s="0" t="str">
        <f aca="true">IF(AND($H391=1,$D391="Income",$G391&gt;TODAY()),$G391*100000+ROW(),"")</f>
        <v/>
      </c>
    </row>
    <row r="392" customFormat="false" ht="15" hidden="false" customHeight="true" outlineLevel="0" collapsed="false">
      <c r="A392" s="117" t="n">
        <v>25</v>
      </c>
      <c r="B392" s="117" t="n">
        <v>5</v>
      </c>
      <c r="C392" s="7" t="str">
        <f aca="false">IF(OR(Recurring!$B$29="",Recurring!$H$29&lt;&gt;"Yes",Recurring!$D$29=""),"",Recurring!$B$29)</f>
        <v/>
      </c>
      <c r="D392" s="7" t="str">
        <f aca="false">IF($C392="","",Recurring!$C$29)</f>
        <v/>
      </c>
      <c r="E392" s="118" t="str">
        <f aca="false">IF($C392="","",IF(SUMIFS(Overrides!$E$9:$E$108,Overrides!$B$9:$B$108,$C392,Overrides!$C$9:$C$108,$L392)&gt;0,SUMIFS(Overrides!$E$9:$E$108,Overrides!$B$9:$B$108,$C392,Overrides!$C$9:$C$108,$L392),Recurring!$D$29))</f>
        <v/>
      </c>
      <c r="F392" s="119" t="str">
        <f aca="false">IF($C392="","",IF(Recurring!$E$29="Weekly",Recurring!$F$29+7*4,IF(Recurring!$E$29="Every 2 Weeks",Recurring!$F$29+14*4,IF(Recurring!$E$29="Monthly",EDATE(Recurring!$F$29,4),IF(Recurring!$E$29="Twice a Month",IF(MOD((IF(DAY(Recurring!$F$29)&lt;=20,0,1)+4),2)=1,EOMONTH(Recurring!$F$29,INT((IF(DAY(Recurring!$F$29)&lt;=20,0,1)+4)/2)),DATE(YEAR(EDATE(Recurring!$F$29,INT((IF(DAY(Recurring!$F$29)&lt;=20,0,1)+4)/2))),MONTH(EDATE(Recurring!$F$29,INT((IF(DAY(Recurring!$F$29)&lt;=20,0,1)+4)/2))),15)),IF(Recurring!$E$29="One Time",IF(5=1,Recurring!$F$29,""),""))))))</f>
        <v/>
      </c>
      <c r="G392" s="119" t="str">
        <f aca="false">IF($L392="","",IF(SUMIFS(Overrides!$D$9:$D$108,Overrides!$B$9:$B$108,$C392,Overrides!$C$9:$C$108,$L392)&gt;0,SUMIFS(Overrides!$D$9:$D$108,Overrides!$B$9:$B$108,$C392,Overrides!$C$9:$C$108,$L392),$L392))</f>
        <v/>
      </c>
      <c r="H392" s="120" t="n">
        <f aca="false">IF($G392="",0,IF(AND($G392&gt;='Cash Flow'!$E$6,$G392&lt;'Cash Flow'!$E$6+91),1,0))</f>
        <v>0</v>
      </c>
      <c r="I392" s="120" t="str">
        <f aca="false">IF($H392=1,MAX(1,INT(($G392-'Cash Flow'!$E$6)/7)+1),"")</f>
        <v/>
      </c>
      <c r="J392" s="7" t="str">
        <f aca="false">IF($H392=1,$G392*10000+ROW(),"")</f>
        <v/>
      </c>
      <c r="K392" s="7" t="str">
        <f aca="false">IF($H392=1,$I392*1000+COUNTIFS($I$4:$I$483,$I392,$J$4:$J$483,"&lt;"&amp;$J392)+1,"")</f>
        <v/>
      </c>
      <c r="L392" s="121" t="str">
        <f aca="false">IF($F392="","",IF(Recurring!$G$29="Move Before",IF(WEEKDAY($F392,2)=6,$F392-1,IF(WEEKDAY($F392,2)=7,$F392-2,$F392)),IF(Recurring!$G$29="Move After",IF(WEEKDAY($F392,2)=6,$F392+2,IF(WEEKDAY($F392,2)=7,$F392+1,$F392)),$F392)))</f>
        <v/>
      </c>
      <c r="M392" s="0" t="str">
        <f aca="true">IF(AND($H392=1,$D392="Expense",$G392&gt;TODAY(),$E392&gt;=100),$G392*100000+ROW(),"")</f>
        <v/>
      </c>
      <c r="N392" s="0" t="str">
        <f aca="true">IF(AND($H392=1,$D392="Income",$G392&gt;TODAY()),$G392*100000+ROW(),"")</f>
        <v/>
      </c>
    </row>
    <row r="393" customFormat="false" ht="15" hidden="false" customHeight="true" outlineLevel="0" collapsed="false">
      <c r="A393" s="117" t="n">
        <v>25</v>
      </c>
      <c r="B393" s="117" t="n">
        <v>6</v>
      </c>
      <c r="C393" s="7" t="str">
        <f aca="false">IF(OR(Recurring!$B$29="",Recurring!$H$29&lt;&gt;"Yes",Recurring!$D$29=""),"",Recurring!$B$29)</f>
        <v/>
      </c>
      <c r="D393" s="7" t="str">
        <f aca="false">IF($C393="","",Recurring!$C$29)</f>
        <v/>
      </c>
      <c r="E393" s="118" t="str">
        <f aca="false">IF($C393="","",IF(SUMIFS(Overrides!$E$9:$E$108,Overrides!$B$9:$B$108,$C393,Overrides!$C$9:$C$108,$L393)&gt;0,SUMIFS(Overrides!$E$9:$E$108,Overrides!$B$9:$B$108,$C393,Overrides!$C$9:$C$108,$L393),Recurring!$D$29))</f>
        <v/>
      </c>
      <c r="F393" s="119" t="str">
        <f aca="false">IF($C393="","",IF(Recurring!$E$29="Weekly",Recurring!$F$29+7*5,IF(Recurring!$E$29="Every 2 Weeks",Recurring!$F$29+14*5,IF(Recurring!$E$29="Monthly",EDATE(Recurring!$F$29,5),IF(Recurring!$E$29="Twice a Month",IF(MOD((IF(DAY(Recurring!$F$29)&lt;=20,0,1)+5),2)=1,EOMONTH(Recurring!$F$29,INT((IF(DAY(Recurring!$F$29)&lt;=20,0,1)+5)/2)),DATE(YEAR(EDATE(Recurring!$F$29,INT((IF(DAY(Recurring!$F$29)&lt;=20,0,1)+5)/2))),MONTH(EDATE(Recurring!$F$29,INT((IF(DAY(Recurring!$F$29)&lt;=20,0,1)+5)/2))),15)),IF(Recurring!$E$29="One Time",IF(6=1,Recurring!$F$29,""),""))))))</f>
        <v/>
      </c>
      <c r="G393" s="119" t="str">
        <f aca="false">IF($L393="","",IF(SUMIFS(Overrides!$D$9:$D$108,Overrides!$B$9:$B$108,$C393,Overrides!$C$9:$C$108,$L393)&gt;0,SUMIFS(Overrides!$D$9:$D$108,Overrides!$B$9:$B$108,$C393,Overrides!$C$9:$C$108,$L393),$L393))</f>
        <v/>
      </c>
      <c r="H393" s="120" t="n">
        <f aca="false">IF($G393="",0,IF(AND($G393&gt;='Cash Flow'!$E$6,$G393&lt;'Cash Flow'!$E$6+91),1,0))</f>
        <v>0</v>
      </c>
      <c r="I393" s="120" t="str">
        <f aca="false">IF($H393=1,MAX(1,INT(($G393-'Cash Flow'!$E$6)/7)+1),"")</f>
        <v/>
      </c>
      <c r="J393" s="7" t="str">
        <f aca="false">IF($H393=1,$G393*10000+ROW(),"")</f>
        <v/>
      </c>
      <c r="K393" s="7" t="str">
        <f aca="false">IF($H393=1,$I393*1000+COUNTIFS($I$4:$I$483,$I393,$J$4:$J$483,"&lt;"&amp;$J393)+1,"")</f>
        <v/>
      </c>
      <c r="L393" s="121" t="str">
        <f aca="false">IF($F393="","",IF(Recurring!$G$29="Move Before",IF(WEEKDAY($F393,2)=6,$F393-1,IF(WEEKDAY($F393,2)=7,$F393-2,$F393)),IF(Recurring!$G$29="Move After",IF(WEEKDAY($F393,2)=6,$F393+2,IF(WEEKDAY($F393,2)=7,$F393+1,$F393)),$F393)))</f>
        <v/>
      </c>
      <c r="M393" s="0" t="str">
        <f aca="true">IF(AND($H393=1,$D393="Expense",$G393&gt;TODAY(),$E393&gt;=100),$G393*100000+ROW(),"")</f>
        <v/>
      </c>
      <c r="N393" s="0" t="str">
        <f aca="true">IF(AND($H393=1,$D393="Income",$G393&gt;TODAY()),$G393*100000+ROW(),"")</f>
        <v/>
      </c>
    </row>
    <row r="394" customFormat="false" ht="15" hidden="false" customHeight="true" outlineLevel="0" collapsed="false">
      <c r="A394" s="117" t="n">
        <v>25</v>
      </c>
      <c r="B394" s="117" t="n">
        <v>7</v>
      </c>
      <c r="C394" s="7" t="str">
        <f aca="false">IF(OR(Recurring!$B$29="",Recurring!$H$29&lt;&gt;"Yes",Recurring!$D$29=""),"",Recurring!$B$29)</f>
        <v/>
      </c>
      <c r="D394" s="7" t="str">
        <f aca="false">IF($C394="","",Recurring!$C$29)</f>
        <v/>
      </c>
      <c r="E394" s="118" t="str">
        <f aca="false">IF($C394="","",IF(SUMIFS(Overrides!$E$9:$E$108,Overrides!$B$9:$B$108,$C394,Overrides!$C$9:$C$108,$L394)&gt;0,SUMIFS(Overrides!$E$9:$E$108,Overrides!$B$9:$B$108,$C394,Overrides!$C$9:$C$108,$L394),Recurring!$D$29))</f>
        <v/>
      </c>
      <c r="F394" s="119" t="str">
        <f aca="false">IF($C394="","",IF(Recurring!$E$29="Weekly",Recurring!$F$29+7*6,IF(Recurring!$E$29="Every 2 Weeks",Recurring!$F$29+14*6,IF(Recurring!$E$29="Monthly",EDATE(Recurring!$F$29,6),IF(Recurring!$E$29="Twice a Month",IF(MOD((IF(DAY(Recurring!$F$29)&lt;=20,0,1)+6),2)=1,EOMONTH(Recurring!$F$29,INT((IF(DAY(Recurring!$F$29)&lt;=20,0,1)+6)/2)),DATE(YEAR(EDATE(Recurring!$F$29,INT((IF(DAY(Recurring!$F$29)&lt;=20,0,1)+6)/2))),MONTH(EDATE(Recurring!$F$29,INT((IF(DAY(Recurring!$F$29)&lt;=20,0,1)+6)/2))),15)),IF(Recurring!$E$29="One Time",IF(7=1,Recurring!$F$29,""),""))))))</f>
        <v/>
      </c>
      <c r="G394" s="119" t="str">
        <f aca="false">IF($L394="","",IF(SUMIFS(Overrides!$D$9:$D$108,Overrides!$B$9:$B$108,$C394,Overrides!$C$9:$C$108,$L394)&gt;0,SUMIFS(Overrides!$D$9:$D$108,Overrides!$B$9:$B$108,$C394,Overrides!$C$9:$C$108,$L394),$L394))</f>
        <v/>
      </c>
      <c r="H394" s="120" t="n">
        <f aca="false">IF($G394="",0,IF(AND($G394&gt;='Cash Flow'!$E$6,$G394&lt;'Cash Flow'!$E$6+91),1,0))</f>
        <v>0</v>
      </c>
      <c r="I394" s="120" t="str">
        <f aca="false">IF($H394=1,MAX(1,INT(($G394-'Cash Flow'!$E$6)/7)+1),"")</f>
        <v/>
      </c>
      <c r="J394" s="7" t="str">
        <f aca="false">IF($H394=1,$G394*10000+ROW(),"")</f>
        <v/>
      </c>
      <c r="K394" s="7" t="str">
        <f aca="false">IF($H394=1,$I394*1000+COUNTIFS($I$4:$I$483,$I394,$J$4:$J$483,"&lt;"&amp;$J394)+1,"")</f>
        <v/>
      </c>
      <c r="L394" s="121" t="str">
        <f aca="false">IF($F394="","",IF(Recurring!$G$29="Move Before",IF(WEEKDAY($F394,2)=6,$F394-1,IF(WEEKDAY($F394,2)=7,$F394-2,$F394)),IF(Recurring!$G$29="Move After",IF(WEEKDAY($F394,2)=6,$F394+2,IF(WEEKDAY($F394,2)=7,$F394+1,$F394)),$F394)))</f>
        <v/>
      </c>
      <c r="M394" s="0" t="str">
        <f aca="true">IF(AND($H394=1,$D394="Expense",$G394&gt;TODAY(),$E394&gt;=100),$G394*100000+ROW(),"")</f>
        <v/>
      </c>
      <c r="N394" s="0" t="str">
        <f aca="true">IF(AND($H394=1,$D394="Income",$G394&gt;TODAY()),$G394*100000+ROW(),"")</f>
        <v/>
      </c>
    </row>
    <row r="395" customFormat="false" ht="15" hidden="false" customHeight="true" outlineLevel="0" collapsed="false">
      <c r="A395" s="117" t="n">
        <v>25</v>
      </c>
      <c r="B395" s="117" t="n">
        <v>8</v>
      </c>
      <c r="C395" s="7" t="str">
        <f aca="false">IF(OR(Recurring!$B$29="",Recurring!$H$29&lt;&gt;"Yes",Recurring!$D$29=""),"",Recurring!$B$29)</f>
        <v/>
      </c>
      <c r="D395" s="7" t="str">
        <f aca="false">IF($C395="","",Recurring!$C$29)</f>
        <v/>
      </c>
      <c r="E395" s="118" t="str">
        <f aca="false">IF($C395="","",IF(SUMIFS(Overrides!$E$9:$E$108,Overrides!$B$9:$B$108,$C395,Overrides!$C$9:$C$108,$L395)&gt;0,SUMIFS(Overrides!$E$9:$E$108,Overrides!$B$9:$B$108,$C395,Overrides!$C$9:$C$108,$L395),Recurring!$D$29))</f>
        <v/>
      </c>
      <c r="F395" s="119" t="str">
        <f aca="false">IF($C395="","",IF(Recurring!$E$29="Weekly",Recurring!$F$29+7*7,IF(Recurring!$E$29="Every 2 Weeks",Recurring!$F$29+14*7,IF(Recurring!$E$29="Monthly",EDATE(Recurring!$F$29,7),IF(Recurring!$E$29="Twice a Month",IF(MOD((IF(DAY(Recurring!$F$29)&lt;=20,0,1)+7),2)=1,EOMONTH(Recurring!$F$29,INT((IF(DAY(Recurring!$F$29)&lt;=20,0,1)+7)/2)),DATE(YEAR(EDATE(Recurring!$F$29,INT((IF(DAY(Recurring!$F$29)&lt;=20,0,1)+7)/2))),MONTH(EDATE(Recurring!$F$29,INT((IF(DAY(Recurring!$F$29)&lt;=20,0,1)+7)/2))),15)),IF(Recurring!$E$29="One Time",IF(8=1,Recurring!$F$29,""),""))))))</f>
        <v/>
      </c>
      <c r="G395" s="119" t="str">
        <f aca="false">IF($L395="","",IF(SUMIFS(Overrides!$D$9:$D$108,Overrides!$B$9:$B$108,$C395,Overrides!$C$9:$C$108,$L395)&gt;0,SUMIFS(Overrides!$D$9:$D$108,Overrides!$B$9:$B$108,$C395,Overrides!$C$9:$C$108,$L395),$L395))</f>
        <v/>
      </c>
      <c r="H395" s="120" t="n">
        <f aca="false">IF($G395="",0,IF(AND($G395&gt;='Cash Flow'!$E$6,$G395&lt;'Cash Flow'!$E$6+91),1,0))</f>
        <v>0</v>
      </c>
      <c r="I395" s="120" t="str">
        <f aca="false">IF($H395=1,MAX(1,INT(($G395-'Cash Flow'!$E$6)/7)+1),"")</f>
        <v/>
      </c>
      <c r="J395" s="7" t="str">
        <f aca="false">IF($H395=1,$G395*10000+ROW(),"")</f>
        <v/>
      </c>
      <c r="K395" s="7" t="str">
        <f aca="false">IF($H395=1,$I395*1000+COUNTIFS($I$4:$I$483,$I395,$J$4:$J$483,"&lt;"&amp;$J395)+1,"")</f>
        <v/>
      </c>
      <c r="L395" s="121" t="str">
        <f aca="false">IF($F395="","",IF(Recurring!$G$29="Move Before",IF(WEEKDAY($F395,2)=6,$F395-1,IF(WEEKDAY($F395,2)=7,$F395-2,$F395)),IF(Recurring!$G$29="Move After",IF(WEEKDAY($F395,2)=6,$F395+2,IF(WEEKDAY($F395,2)=7,$F395+1,$F395)),$F395)))</f>
        <v/>
      </c>
      <c r="M395" s="0" t="str">
        <f aca="true">IF(AND($H395=1,$D395="Expense",$G395&gt;TODAY(),$E395&gt;=100),$G395*100000+ROW(),"")</f>
        <v/>
      </c>
      <c r="N395" s="0" t="str">
        <f aca="true">IF(AND($H395=1,$D395="Income",$G395&gt;TODAY()),$G395*100000+ROW(),"")</f>
        <v/>
      </c>
    </row>
    <row r="396" customFormat="false" ht="15" hidden="false" customHeight="true" outlineLevel="0" collapsed="false">
      <c r="A396" s="117" t="n">
        <v>25</v>
      </c>
      <c r="B396" s="117" t="n">
        <v>9</v>
      </c>
      <c r="C396" s="7" t="str">
        <f aca="false">IF(OR(Recurring!$B$29="",Recurring!$H$29&lt;&gt;"Yes",Recurring!$D$29=""),"",Recurring!$B$29)</f>
        <v/>
      </c>
      <c r="D396" s="7" t="str">
        <f aca="false">IF($C396="","",Recurring!$C$29)</f>
        <v/>
      </c>
      <c r="E396" s="118" t="str">
        <f aca="false">IF($C396="","",IF(SUMIFS(Overrides!$E$9:$E$108,Overrides!$B$9:$B$108,$C396,Overrides!$C$9:$C$108,$L396)&gt;0,SUMIFS(Overrides!$E$9:$E$108,Overrides!$B$9:$B$108,$C396,Overrides!$C$9:$C$108,$L396),Recurring!$D$29))</f>
        <v/>
      </c>
      <c r="F396" s="119" t="str">
        <f aca="false">IF($C396="","",IF(Recurring!$E$29="Weekly",Recurring!$F$29+7*8,IF(Recurring!$E$29="Every 2 Weeks",Recurring!$F$29+14*8,IF(Recurring!$E$29="Monthly",EDATE(Recurring!$F$29,8),IF(Recurring!$E$29="Twice a Month",IF(MOD((IF(DAY(Recurring!$F$29)&lt;=20,0,1)+8),2)=1,EOMONTH(Recurring!$F$29,INT((IF(DAY(Recurring!$F$29)&lt;=20,0,1)+8)/2)),DATE(YEAR(EDATE(Recurring!$F$29,INT((IF(DAY(Recurring!$F$29)&lt;=20,0,1)+8)/2))),MONTH(EDATE(Recurring!$F$29,INT((IF(DAY(Recurring!$F$29)&lt;=20,0,1)+8)/2))),15)),IF(Recurring!$E$29="One Time",IF(9=1,Recurring!$F$29,""),""))))))</f>
        <v/>
      </c>
      <c r="G396" s="119" t="str">
        <f aca="false">IF($L396="","",IF(SUMIFS(Overrides!$D$9:$D$108,Overrides!$B$9:$B$108,$C396,Overrides!$C$9:$C$108,$L396)&gt;0,SUMIFS(Overrides!$D$9:$D$108,Overrides!$B$9:$B$108,$C396,Overrides!$C$9:$C$108,$L396),$L396))</f>
        <v/>
      </c>
      <c r="H396" s="120" t="n">
        <f aca="false">IF($G396="",0,IF(AND($G396&gt;='Cash Flow'!$E$6,$G396&lt;'Cash Flow'!$E$6+91),1,0))</f>
        <v>0</v>
      </c>
      <c r="I396" s="120" t="str">
        <f aca="false">IF($H396=1,MAX(1,INT(($G396-'Cash Flow'!$E$6)/7)+1),"")</f>
        <v/>
      </c>
      <c r="J396" s="7" t="str">
        <f aca="false">IF($H396=1,$G396*10000+ROW(),"")</f>
        <v/>
      </c>
      <c r="K396" s="7" t="str">
        <f aca="false">IF($H396=1,$I396*1000+COUNTIFS($I$4:$I$483,$I396,$J$4:$J$483,"&lt;"&amp;$J396)+1,"")</f>
        <v/>
      </c>
      <c r="L396" s="121" t="str">
        <f aca="false">IF($F396="","",IF(Recurring!$G$29="Move Before",IF(WEEKDAY($F396,2)=6,$F396-1,IF(WEEKDAY($F396,2)=7,$F396-2,$F396)),IF(Recurring!$G$29="Move After",IF(WEEKDAY($F396,2)=6,$F396+2,IF(WEEKDAY($F396,2)=7,$F396+1,$F396)),$F396)))</f>
        <v/>
      </c>
      <c r="M396" s="0" t="str">
        <f aca="true">IF(AND($H396=1,$D396="Expense",$G396&gt;TODAY(),$E396&gt;=100),$G396*100000+ROW(),"")</f>
        <v/>
      </c>
      <c r="N396" s="0" t="str">
        <f aca="true">IF(AND($H396=1,$D396="Income",$G396&gt;TODAY()),$G396*100000+ROW(),"")</f>
        <v/>
      </c>
    </row>
    <row r="397" customFormat="false" ht="15" hidden="false" customHeight="true" outlineLevel="0" collapsed="false">
      <c r="A397" s="117" t="n">
        <v>25</v>
      </c>
      <c r="B397" s="117" t="n">
        <v>10</v>
      </c>
      <c r="C397" s="7" t="str">
        <f aca="false">IF(OR(Recurring!$B$29="",Recurring!$H$29&lt;&gt;"Yes",Recurring!$D$29=""),"",Recurring!$B$29)</f>
        <v/>
      </c>
      <c r="D397" s="7" t="str">
        <f aca="false">IF($C397="","",Recurring!$C$29)</f>
        <v/>
      </c>
      <c r="E397" s="118" t="str">
        <f aca="false">IF($C397="","",IF(SUMIFS(Overrides!$E$9:$E$108,Overrides!$B$9:$B$108,$C397,Overrides!$C$9:$C$108,$L397)&gt;0,SUMIFS(Overrides!$E$9:$E$108,Overrides!$B$9:$B$108,$C397,Overrides!$C$9:$C$108,$L397),Recurring!$D$29))</f>
        <v/>
      </c>
      <c r="F397" s="119" t="str">
        <f aca="false">IF($C397="","",IF(Recurring!$E$29="Weekly",Recurring!$F$29+7*9,IF(Recurring!$E$29="Every 2 Weeks",Recurring!$F$29+14*9,IF(Recurring!$E$29="Monthly",EDATE(Recurring!$F$29,9),IF(Recurring!$E$29="Twice a Month",IF(MOD((IF(DAY(Recurring!$F$29)&lt;=20,0,1)+9),2)=1,EOMONTH(Recurring!$F$29,INT((IF(DAY(Recurring!$F$29)&lt;=20,0,1)+9)/2)),DATE(YEAR(EDATE(Recurring!$F$29,INT((IF(DAY(Recurring!$F$29)&lt;=20,0,1)+9)/2))),MONTH(EDATE(Recurring!$F$29,INT((IF(DAY(Recurring!$F$29)&lt;=20,0,1)+9)/2))),15)),IF(Recurring!$E$29="One Time",IF(10=1,Recurring!$F$29,""),""))))))</f>
        <v/>
      </c>
      <c r="G397" s="119" t="str">
        <f aca="false">IF($L397="","",IF(SUMIFS(Overrides!$D$9:$D$108,Overrides!$B$9:$B$108,$C397,Overrides!$C$9:$C$108,$L397)&gt;0,SUMIFS(Overrides!$D$9:$D$108,Overrides!$B$9:$B$108,$C397,Overrides!$C$9:$C$108,$L397),$L397))</f>
        <v/>
      </c>
      <c r="H397" s="120" t="n">
        <f aca="false">IF($G397="",0,IF(AND($G397&gt;='Cash Flow'!$E$6,$G397&lt;'Cash Flow'!$E$6+91),1,0))</f>
        <v>0</v>
      </c>
      <c r="I397" s="120" t="str">
        <f aca="false">IF($H397=1,MAX(1,INT(($G397-'Cash Flow'!$E$6)/7)+1),"")</f>
        <v/>
      </c>
      <c r="J397" s="7" t="str">
        <f aca="false">IF($H397=1,$G397*10000+ROW(),"")</f>
        <v/>
      </c>
      <c r="K397" s="7" t="str">
        <f aca="false">IF($H397=1,$I397*1000+COUNTIFS($I$4:$I$483,$I397,$J$4:$J$483,"&lt;"&amp;$J397)+1,"")</f>
        <v/>
      </c>
      <c r="L397" s="121" t="str">
        <f aca="false">IF($F397="","",IF(Recurring!$G$29="Move Before",IF(WEEKDAY($F397,2)=6,$F397-1,IF(WEEKDAY($F397,2)=7,$F397-2,$F397)),IF(Recurring!$G$29="Move After",IF(WEEKDAY($F397,2)=6,$F397+2,IF(WEEKDAY($F397,2)=7,$F397+1,$F397)),$F397)))</f>
        <v/>
      </c>
      <c r="M397" s="0" t="str">
        <f aca="true">IF(AND($H397=1,$D397="Expense",$G397&gt;TODAY(),$E397&gt;=100),$G397*100000+ROW(),"")</f>
        <v/>
      </c>
      <c r="N397" s="0" t="str">
        <f aca="true">IF(AND($H397=1,$D397="Income",$G397&gt;TODAY()),$G397*100000+ROW(),"")</f>
        <v/>
      </c>
    </row>
    <row r="398" customFormat="false" ht="15" hidden="false" customHeight="true" outlineLevel="0" collapsed="false">
      <c r="A398" s="117" t="n">
        <v>25</v>
      </c>
      <c r="B398" s="117" t="n">
        <v>11</v>
      </c>
      <c r="C398" s="7" t="str">
        <f aca="false">IF(OR(Recurring!$B$29="",Recurring!$H$29&lt;&gt;"Yes",Recurring!$D$29=""),"",Recurring!$B$29)</f>
        <v/>
      </c>
      <c r="D398" s="7" t="str">
        <f aca="false">IF($C398="","",Recurring!$C$29)</f>
        <v/>
      </c>
      <c r="E398" s="118" t="str">
        <f aca="false">IF($C398="","",IF(SUMIFS(Overrides!$E$9:$E$108,Overrides!$B$9:$B$108,$C398,Overrides!$C$9:$C$108,$L398)&gt;0,SUMIFS(Overrides!$E$9:$E$108,Overrides!$B$9:$B$108,$C398,Overrides!$C$9:$C$108,$L398),Recurring!$D$29))</f>
        <v/>
      </c>
      <c r="F398" s="119" t="str">
        <f aca="false">IF($C398="","",IF(Recurring!$E$29="Weekly",Recurring!$F$29+7*10,IF(Recurring!$E$29="Every 2 Weeks",Recurring!$F$29+14*10,IF(Recurring!$E$29="Monthly",EDATE(Recurring!$F$29,10),IF(Recurring!$E$29="Twice a Month",IF(MOD((IF(DAY(Recurring!$F$29)&lt;=20,0,1)+10),2)=1,EOMONTH(Recurring!$F$29,INT((IF(DAY(Recurring!$F$29)&lt;=20,0,1)+10)/2)),DATE(YEAR(EDATE(Recurring!$F$29,INT((IF(DAY(Recurring!$F$29)&lt;=20,0,1)+10)/2))),MONTH(EDATE(Recurring!$F$29,INT((IF(DAY(Recurring!$F$29)&lt;=20,0,1)+10)/2))),15)),IF(Recurring!$E$29="One Time",IF(11=1,Recurring!$F$29,""),""))))))</f>
        <v/>
      </c>
      <c r="G398" s="119" t="str">
        <f aca="false">IF($L398="","",IF(SUMIFS(Overrides!$D$9:$D$108,Overrides!$B$9:$B$108,$C398,Overrides!$C$9:$C$108,$L398)&gt;0,SUMIFS(Overrides!$D$9:$D$108,Overrides!$B$9:$B$108,$C398,Overrides!$C$9:$C$108,$L398),$L398))</f>
        <v/>
      </c>
      <c r="H398" s="120" t="n">
        <f aca="false">IF($G398="",0,IF(AND($G398&gt;='Cash Flow'!$E$6,$G398&lt;'Cash Flow'!$E$6+91),1,0))</f>
        <v>0</v>
      </c>
      <c r="I398" s="120" t="str">
        <f aca="false">IF($H398=1,MAX(1,INT(($G398-'Cash Flow'!$E$6)/7)+1),"")</f>
        <v/>
      </c>
      <c r="J398" s="7" t="str">
        <f aca="false">IF($H398=1,$G398*10000+ROW(),"")</f>
        <v/>
      </c>
      <c r="K398" s="7" t="str">
        <f aca="false">IF($H398=1,$I398*1000+COUNTIFS($I$4:$I$483,$I398,$J$4:$J$483,"&lt;"&amp;$J398)+1,"")</f>
        <v/>
      </c>
      <c r="L398" s="121" t="str">
        <f aca="false">IF($F398="","",IF(Recurring!$G$29="Move Before",IF(WEEKDAY($F398,2)=6,$F398-1,IF(WEEKDAY($F398,2)=7,$F398-2,$F398)),IF(Recurring!$G$29="Move After",IF(WEEKDAY($F398,2)=6,$F398+2,IF(WEEKDAY($F398,2)=7,$F398+1,$F398)),$F398)))</f>
        <v/>
      </c>
      <c r="M398" s="0" t="str">
        <f aca="true">IF(AND($H398=1,$D398="Expense",$G398&gt;TODAY(),$E398&gt;=100),$G398*100000+ROW(),"")</f>
        <v/>
      </c>
      <c r="N398" s="0" t="str">
        <f aca="true">IF(AND($H398=1,$D398="Income",$G398&gt;TODAY()),$G398*100000+ROW(),"")</f>
        <v/>
      </c>
    </row>
    <row r="399" customFormat="false" ht="15" hidden="false" customHeight="true" outlineLevel="0" collapsed="false">
      <c r="A399" s="117" t="n">
        <v>25</v>
      </c>
      <c r="B399" s="117" t="n">
        <v>12</v>
      </c>
      <c r="C399" s="7" t="str">
        <f aca="false">IF(OR(Recurring!$B$29="",Recurring!$H$29&lt;&gt;"Yes",Recurring!$D$29=""),"",Recurring!$B$29)</f>
        <v/>
      </c>
      <c r="D399" s="7" t="str">
        <f aca="false">IF($C399="","",Recurring!$C$29)</f>
        <v/>
      </c>
      <c r="E399" s="118" t="str">
        <f aca="false">IF($C399="","",IF(SUMIFS(Overrides!$E$9:$E$108,Overrides!$B$9:$B$108,$C399,Overrides!$C$9:$C$108,$L399)&gt;0,SUMIFS(Overrides!$E$9:$E$108,Overrides!$B$9:$B$108,$C399,Overrides!$C$9:$C$108,$L399),Recurring!$D$29))</f>
        <v/>
      </c>
      <c r="F399" s="119" t="str">
        <f aca="false">IF($C399="","",IF(Recurring!$E$29="Weekly",Recurring!$F$29+7*11,IF(Recurring!$E$29="Every 2 Weeks",Recurring!$F$29+14*11,IF(Recurring!$E$29="Monthly",EDATE(Recurring!$F$29,11),IF(Recurring!$E$29="Twice a Month",IF(MOD((IF(DAY(Recurring!$F$29)&lt;=20,0,1)+11),2)=1,EOMONTH(Recurring!$F$29,INT((IF(DAY(Recurring!$F$29)&lt;=20,0,1)+11)/2)),DATE(YEAR(EDATE(Recurring!$F$29,INT((IF(DAY(Recurring!$F$29)&lt;=20,0,1)+11)/2))),MONTH(EDATE(Recurring!$F$29,INT((IF(DAY(Recurring!$F$29)&lt;=20,0,1)+11)/2))),15)),IF(Recurring!$E$29="One Time",IF(12=1,Recurring!$F$29,""),""))))))</f>
        <v/>
      </c>
      <c r="G399" s="119" t="str">
        <f aca="false">IF($L399="","",IF(SUMIFS(Overrides!$D$9:$D$108,Overrides!$B$9:$B$108,$C399,Overrides!$C$9:$C$108,$L399)&gt;0,SUMIFS(Overrides!$D$9:$D$108,Overrides!$B$9:$B$108,$C399,Overrides!$C$9:$C$108,$L399),$L399))</f>
        <v/>
      </c>
      <c r="H399" s="120" t="n">
        <f aca="false">IF($G399="",0,IF(AND($G399&gt;='Cash Flow'!$E$6,$G399&lt;'Cash Flow'!$E$6+91),1,0))</f>
        <v>0</v>
      </c>
      <c r="I399" s="120" t="str">
        <f aca="false">IF($H399=1,MAX(1,INT(($G399-'Cash Flow'!$E$6)/7)+1),"")</f>
        <v/>
      </c>
      <c r="J399" s="7" t="str">
        <f aca="false">IF($H399=1,$G399*10000+ROW(),"")</f>
        <v/>
      </c>
      <c r="K399" s="7" t="str">
        <f aca="false">IF($H399=1,$I399*1000+COUNTIFS($I$4:$I$483,$I399,$J$4:$J$483,"&lt;"&amp;$J399)+1,"")</f>
        <v/>
      </c>
      <c r="L399" s="121" t="str">
        <f aca="false">IF($F399="","",IF(Recurring!$G$29="Move Before",IF(WEEKDAY($F399,2)=6,$F399-1,IF(WEEKDAY($F399,2)=7,$F399-2,$F399)),IF(Recurring!$G$29="Move After",IF(WEEKDAY($F399,2)=6,$F399+2,IF(WEEKDAY($F399,2)=7,$F399+1,$F399)),$F399)))</f>
        <v/>
      </c>
      <c r="M399" s="0" t="str">
        <f aca="true">IF(AND($H399=1,$D399="Expense",$G399&gt;TODAY(),$E399&gt;=100),$G399*100000+ROW(),"")</f>
        <v/>
      </c>
      <c r="N399" s="0" t="str">
        <f aca="true">IF(AND($H399=1,$D399="Income",$G399&gt;TODAY()),$G399*100000+ROW(),"")</f>
        <v/>
      </c>
    </row>
    <row r="400" customFormat="false" ht="15" hidden="false" customHeight="true" outlineLevel="0" collapsed="false">
      <c r="A400" s="117" t="n">
        <v>25</v>
      </c>
      <c r="B400" s="117" t="n">
        <v>13</v>
      </c>
      <c r="C400" s="7" t="str">
        <f aca="false">IF(OR(Recurring!$B$29="",Recurring!$H$29&lt;&gt;"Yes",Recurring!$D$29=""),"",Recurring!$B$29)</f>
        <v/>
      </c>
      <c r="D400" s="7" t="str">
        <f aca="false">IF($C400="","",Recurring!$C$29)</f>
        <v/>
      </c>
      <c r="E400" s="118" t="str">
        <f aca="false">IF($C400="","",IF(SUMIFS(Overrides!$E$9:$E$108,Overrides!$B$9:$B$108,$C400,Overrides!$C$9:$C$108,$L400)&gt;0,SUMIFS(Overrides!$E$9:$E$108,Overrides!$B$9:$B$108,$C400,Overrides!$C$9:$C$108,$L400),Recurring!$D$29))</f>
        <v/>
      </c>
      <c r="F400" s="119" t="str">
        <f aca="false">IF($C400="","",IF(Recurring!$E$29="Weekly",Recurring!$F$29+7*12,IF(Recurring!$E$29="Every 2 Weeks",Recurring!$F$29+14*12,IF(Recurring!$E$29="Monthly",EDATE(Recurring!$F$29,12),IF(Recurring!$E$29="Twice a Month",IF(MOD((IF(DAY(Recurring!$F$29)&lt;=20,0,1)+12),2)=1,EOMONTH(Recurring!$F$29,INT((IF(DAY(Recurring!$F$29)&lt;=20,0,1)+12)/2)),DATE(YEAR(EDATE(Recurring!$F$29,INT((IF(DAY(Recurring!$F$29)&lt;=20,0,1)+12)/2))),MONTH(EDATE(Recurring!$F$29,INT((IF(DAY(Recurring!$F$29)&lt;=20,0,1)+12)/2))),15)),IF(Recurring!$E$29="One Time",IF(13=1,Recurring!$F$29,""),""))))))</f>
        <v/>
      </c>
      <c r="G400" s="119" t="str">
        <f aca="false">IF($L400="","",IF(SUMIFS(Overrides!$D$9:$D$108,Overrides!$B$9:$B$108,$C400,Overrides!$C$9:$C$108,$L400)&gt;0,SUMIFS(Overrides!$D$9:$D$108,Overrides!$B$9:$B$108,$C400,Overrides!$C$9:$C$108,$L400),$L400))</f>
        <v/>
      </c>
      <c r="H400" s="120" t="n">
        <f aca="false">IF($G400="",0,IF(AND($G400&gt;='Cash Flow'!$E$6,$G400&lt;'Cash Flow'!$E$6+91),1,0))</f>
        <v>0</v>
      </c>
      <c r="I400" s="120" t="str">
        <f aca="false">IF($H400=1,MAX(1,INT(($G400-'Cash Flow'!$E$6)/7)+1),"")</f>
        <v/>
      </c>
      <c r="J400" s="7" t="str">
        <f aca="false">IF($H400=1,$G400*10000+ROW(),"")</f>
        <v/>
      </c>
      <c r="K400" s="7" t="str">
        <f aca="false">IF($H400=1,$I400*1000+COUNTIFS($I$4:$I$483,$I400,$J$4:$J$483,"&lt;"&amp;$J400)+1,"")</f>
        <v/>
      </c>
      <c r="L400" s="121" t="str">
        <f aca="false">IF($F400="","",IF(Recurring!$G$29="Move Before",IF(WEEKDAY($F400,2)=6,$F400-1,IF(WEEKDAY($F400,2)=7,$F400-2,$F400)),IF(Recurring!$G$29="Move After",IF(WEEKDAY($F400,2)=6,$F400+2,IF(WEEKDAY($F400,2)=7,$F400+1,$F400)),$F400)))</f>
        <v/>
      </c>
      <c r="M400" s="0" t="str">
        <f aca="true">IF(AND($H400=1,$D400="Expense",$G400&gt;TODAY(),$E400&gt;=100),$G400*100000+ROW(),"")</f>
        <v/>
      </c>
      <c r="N400" s="0" t="str">
        <f aca="true">IF(AND($H400=1,$D400="Income",$G400&gt;TODAY()),$G400*100000+ROW(),"")</f>
        <v/>
      </c>
    </row>
    <row r="401" customFormat="false" ht="15" hidden="false" customHeight="true" outlineLevel="0" collapsed="false">
      <c r="A401" s="117" t="n">
        <v>25</v>
      </c>
      <c r="B401" s="117" t="n">
        <v>14</v>
      </c>
      <c r="C401" s="7" t="str">
        <f aca="false">IF(OR(Recurring!$B$29="",Recurring!$H$29&lt;&gt;"Yes",Recurring!$D$29=""),"",Recurring!$B$29)</f>
        <v/>
      </c>
      <c r="D401" s="7" t="str">
        <f aca="false">IF($C401="","",Recurring!$C$29)</f>
        <v/>
      </c>
      <c r="E401" s="118" t="str">
        <f aca="false">IF($C401="","",IF(SUMIFS(Overrides!$E$9:$E$108,Overrides!$B$9:$B$108,$C401,Overrides!$C$9:$C$108,$L401)&gt;0,SUMIFS(Overrides!$E$9:$E$108,Overrides!$B$9:$B$108,$C401,Overrides!$C$9:$C$108,$L401),Recurring!$D$29))</f>
        <v/>
      </c>
      <c r="F401" s="119" t="str">
        <f aca="false">IF($C401="","",IF(Recurring!$E$29="Weekly",Recurring!$F$29+7*13,IF(Recurring!$E$29="Every 2 Weeks",Recurring!$F$29+14*13,IF(Recurring!$E$29="Monthly",EDATE(Recurring!$F$29,13),IF(Recurring!$E$29="Twice a Month",IF(MOD((IF(DAY(Recurring!$F$29)&lt;=20,0,1)+13),2)=1,EOMONTH(Recurring!$F$29,INT((IF(DAY(Recurring!$F$29)&lt;=20,0,1)+13)/2)),DATE(YEAR(EDATE(Recurring!$F$29,INT((IF(DAY(Recurring!$F$29)&lt;=20,0,1)+13)/2))),MONTH(EDATE(Recurring!$F$29,INT((IF(DAY(Recurring!$F$29)&lt;=20,0,1)+13)/2))),15)),IF(Recurring!$E$29="One Time",IF(14=1,Recurring!$F$29,""),""))))))</f>
        <v/>
      </c>
      <c r="G401" s="119" t="str">
        <f aca="false">IF($L401="","",IF(SUMIFS(Overrides!$D$9:$D$108,Overrides!$B$9:$B$108,$C401,Overrides!$C$9:$C$108,$L401)&gt;0,SUMIFS(Overrides!$D$9:$D$108,Overrides!$B$9:$B$108,$C401,Overrides!$C$9:$C$108,$L401),$L401))</f>
        <v/>
      </c>
      <c r="H401" s="120" t="n">
        <f aca="false">IF($G401="",0,IF(AND($G401&gt;='Cash Flow'!$E$6,$G401&lt;'Cash Flow'!$E$6+91),1,0))</f>
        <v>0</v>
      </c>
      <c r="I401" s="120" t="str">
        <f aca="false">IF($H401=1,MAX(1,INT(($G401-'Cash Flow'!$E$6)/7)+1),"")</f>
        <v/>
      </c>
      <c r="J401" s="7" t="str">
        <f aca="false">IF($H401=1,$G401*10000+ROW(),"")</f>
        <v/>
      </c>
      <c r="K401" s="7" t="str">
        <f aca="false">IF($H401=1,$I401*1000+COUNTIFS($I$4:$I$483,$I401,$J$4:$J$483,"&lt;"&amp;$J401)+1,"")</f>
        <v/>
      </c>
      <c r="L401" s="121" t="str">
        <f aca="false">IF($F401="","",IF(Recurring!$G$29="Move Before",IF(WEEKDAY($F401,2)=6,$F401-1,IF(WEEKDAY($F401,2)=7,$F401-2,$F401)),IF(Recurring!$G$29="Move After",IF(WEEKDAY($F401,2)=6,$F401+2,IF(WEEKDAY($F401,2)=7,$F401+1,$F401)),$F401)))</f>
        <v/>
      </c>
      <c r="M401" s="0" t="str">
        <f aca="true">IF(AND($H401=1,$D401="Expense",$G401&gt;TODAY(),$E401&gt;=100),$G401*100000+ROW(),"")</f>
        <v/>
      </c>
      <c r="N401" s="0" t="str">
        <f aca="true">IF(AND($H401=1,$D401="Income",$G401&gt;TODAY()),$G401*100000+ROW(),"")</f>
        <v/>
      </c>
    </row>
    <row r="402" customFormat="false" ht="15" hidden="false" customHeight="true" outlineLevel="0" collapsed="false">
      <c r="A402" s="117" t="n">
        <v>25</v>
      </c>
      <c r="B402" s="117" t="n">
        <v>15</v>
      </c>
      <c r="C402" s="7" t="str">
        <f aca="false">IF(OR(Recurring!$B$29="",Recurring!$H$29&lt;&gt;"Yes",Recurring!$D$29=""),"",Recurring!$B$29)</f>
        <v/>
      </c>
      <c r="D402" s="7" t="str">
        <f aca="false">IF($C402="","",Recurring!$C$29)</f>
        <v/>
      </c>
      <c r="E402" s="118" t="str">
        <f aca="false">IF($C402="","",IF(SUMIFS(Overrides!$E$9:$E$108,Overrides!$B$9:$B$108,$C402,Overrides!$C$9:$C$108,$L402)&gt;0,SUMIFS(Overrides!$E$9:$E$108,Overrides!$B$9:$B$108,$C402,Overrides!$C$9:$C$108,$L402),Recurring!$D$29))</f>
        <v/>
      </c>
      <c r="F402" s="119" t="str">
        <f aca="false">IF($C402="","",IF(Recurring!$E$29="Weekly",Recurring!$F$29+7*14,IF(Recurring!$E$29="Every 2 Weeks",Recurring!$F$29+14*14,IF(Recurring!$E$29="Monthly",EDATE(Recurring!$F$29,14),IF(Recurring!$E$29="Twice a Month",IF(MOD((IF(DAY(Recurring!$F$29)&lt;=20,0,1)+14),2)=1,EOMONTH(Recurring!$F$29,INT((IF(DAY(Recurring!$F$29)&lt;=20,0,1)+14)/2)),DATE(YEAR(EDATE(Recurring!$F$29,INT((IF(DAY(Recurring!$F$29)&lt;=20,0,1)+14)/2))),MONTH(EDATE(Recurring!$F$29,INT((IF(DAY(Recurring!$F$29)&lt;=20,0,1)+14)/2))),15)),IF(Recurring!$E$29="One Time",IF(15=1,Recurring!$F$29,""),""))))))</f>
        <v/>
      </c>
      <c r="G402" s="119" t="str">
        <f aca="false">IF($L402="","",IF(SUMIFS(Overrides!$D$9:$D$108,Overrides!$B$9:$B$108,$C402,Overrides!$C$9:$C$108,$L402)&gt;0,SUMIFS(Overrides!$D$9:$D$108,Overrides!$B$9:$B$108,$C402,Overrides!$C$9:$C$108,$L402),$L402))</f>
        <v/>
      </c>
      <c r="H402" s="120" t="n">
        <f aca="false">IF($G402="",0,IF(AND($G402&gt;='Cash Flow'!$E$6,$G402&lt;'Cash Flow'!$E$6+91),1,0))</f>
        <v>0</v>
      </c>
      <c r="I402" s="120" t="str">
        <f aca="false">IF($H402=1,MAX(1,INT(($G402-'Cash Flow'!$E$6)/7)+1),"")</f>
        <v/>
      </c>
      <c r="J402" s="7" t="str">
        <f aca="false">IF($H402=1,$G402*10000+ROW(),"")</f>
        <v/>
      </c>
      <c r="K402" s="7" t="str">
        <f aca="false">IF($H402=1,$I402*1000+COUNTIFS($I$4:$I$483,$I402,$J$4:$J$483,"&lt;"&amp;$J402)+1,"")</f>
        <v/>
      </c>
      <c r="L402" s="121" t="str">
        <f aca="false">IF($F402="","",IF(Recurring!$G$29="Move Before",IF(WEEKDAY($F402,2)=6,$F402-1,IF(WEEKDAY($F402,2)=7,$F402-2,$F402)),IF(Recurring!$G$29="Move After",IF(WEEKDAY($F402,2)=6,$F402+2,IF(WEEKDAY($F402,2)=7,$F402+1,$F402)),$F402)))</f>
        <v/>
      </c>
      <c r="M402" s="0" t="str">
        <f aca="true">IF(AND($H402=1,$D402="Expense",$G402&gt;TODAY(),$E402&gt;=100),$G402*100000+ROW(),"")</f>
        <v/>
      </c>
      <c r="N402" s="0" t="str">
        <f aca="true">IF(AND($H402=1,$D402="Income",$G402&gt;TODAY()),$G402*100000+ROW(),"")</f>
        <v/>
      </c>
    </row>
    <row r="403" customFormat="false" ht="15" hidden="false" customHeight="true" outlineLevel="0" collapsed="false">
      <c r="A403" s="117" t="n">
        <v>25</v>
      </c>
      <c r="B403" s="117" t="n">
        <v>16</v>
      </c>
      <c r="C403" s="7" t="str">
        <f aca="false">IF(OR(Recurring!$B$29="",Recurring!$H$29&lt;&gt;"Yes",Recurring!$D$29=""),"",Recurring!$B$29)</f>
        <v/>
      </c>
      <c r="D403" s="7" t="str">
        <f aca="false">IF($C403="","",Recurring!$C$29)</f>
        <v/>
      </c>
      <c r="E403" s="118" t="str">
        <f aca="false">IF($C403="","",IF(SUMIFS(Overrides!$E$9:$E$108,Overrides!$B$9:$B$108,$C403,Overrides!$C$9:$C$108,$L403)&gt;0,SUMIFS(Overrides!$E$9:$E$108,Overrides!$B$9:$B$108,$C403,Overrides!$C$9:$C$108,$L403),Recurring!$D$29))</f>
        <v/>
      </c>
      <c r="F403" s="119" t="str">
        <f aca="false">IF($C403="","",IF(Recurring!$E$29="Weekly",Recurring!$F$29+7*15,IF(Recurring!$E$29="Every 2 Weeks",Recurring!$F$29+14*15,IF(Recurring!$E$29="Monthly",EDATE(Recurring!$F$29,15),IF(Recurring!$E$29="Twice a Month",IF(MOD((IF(DAY(Recurring!$F$29)&lt;=20,0,1)+15),2)=1,EOMONTH(Recurring!$F$29,INT((IF(DAY(Recurring!$F$29)&lt;=20,0,1)+15)/2)),DATE(YEAR(EDATE(Recurring!$F$29,INT((IF(DAY(Recurring!$F$29)&lt;=20,0,1)+15)/2))),MONTH(EDATE(Recurring!$F$29,INT((IF(DAY(Recurring!$F$29)&lt;=20,0,1)+15)/2))),15)),IF(Recurring!$E$29="One Time",IF(16=1,Recurring!$F$29,""),""))))))</f>
        <v/>
      </c>
      <c r="G403" s="119" t="str">
        <f aca="false">IF($L403="","",IF(SUMIFS(Overrides!$D$9:$D$108,Overrides!$B$9:$B$108,$C403,Overrides!$C$9:$C$108,$L403)&gt;0,SUMIFS(Overrides!$D$9:$D$108,Overrides!$B$9:$B$108,$C403,Overrides!$C$9:$C$108,$L403),$L403))</f>
        <v/>
      </c>
      <c r="H403" s="120" t="n">
        <f aca="false">IF($G403="",0,IF(AND($G403&gt;='Cash Flow'!$E$6,$G403&lt;'Cash Flow'!$E$6+91),1,0))</f>
        <v>0</v>
      </c>
      <c r="I403" s="120" t="str">
        <f aca="false">IF($H403=1,MAX(1,INT(($G403-'Cash Flow'!$E$6)/7)+1),"")</f>
        <v/>
      </c>
      <c r="J403" s="7" t="str">
        <f aca="false">IF($H403=1,$G403*10000+ROW(),"")</f>
        <v/>
      </c>
      <c r="K403" s="7" t="str">
        <f aca="false">IF($H403=1,$I403*1000+COUNTIFS($I$4:$I$483,$I403,$J$4:$J$483,"&lt;"&amp;$J403)+1,"")</f>
        <v/>
      </c>
      <c r="L403" s="121" t="str">
        <f aca="false">IF($F403="","",IF(Recurring!$G$29="Move Before",IF(WEEKDAY($F403,2)=6,$F403-1,IF(WEEKDAY($F403,2)=7,$F403-2,$F403)),IF(Recurring!$G$29="Move After",IF(WEEKDAY($F403,2)=6,$F403+2,IF(WEEKDAY($F403,2)=7,$F403+1,$F403)),$F403)))</f>
        <v/>
      </c>
      <c r="M403" s="0" t="str">
        <f aca="true">IF(AND($H403=1,$D403="Expense",$G403&gt;TODAY(),$E403&gt;=100),$G403*100000+ROW(),"")</f>
        <v/>
      </c>
      <c r="N403" s="0" t="str">
        <f aca="true">IF(AND($H403=1,$D403="Income",$G403&gt;TODAY()),$G403*100000+ROW(),"")</f>
        <v/>
      </c>
    </row>
    <row r="404" customFormat="false" ht="15" hidden="false" customHeight="true" outlineLevel="0" collapsed="false">
      <c r="A404" s="117" t="n">
        <v>26</v>
      </c>
      <c r="B404" s="117" t="n">
        <v>1</v>
      </c>
      <c r="C404" s="7" t="str">
        <f aca="false">IF(OR(Recurring!$B$30="",Recurring!$H$30&lt;&gt;"Yes",Recurring!$D$30=""),"",Recurring!$B$30)</f>
        <v/>
      </c>
      <c r="D404" s="7" t="str">
        <f aca="false">IF($C404="","",Recurring!$C$30)</f>
        <v/>
      </c>
      <c r="E404" s="118" t="str">
        <f aca="false">IF($C404="","",IF(SUMIFS(Overrides!$E$9:$E$108,Overrides!$B$9:$B$108,$C404,Overrides!$C$9:$C$108,$L404)&gt;0,SUMIFS(Overrides!$E$9:$E$108,Overrides!$B$9:$B$108,$C404,Overrides!$C$9:$C$108,$L404),Recurring!$D$30))</f>
        <v/>
      </c>
      <c r="F404" s="119" t="str">
        <f aca="false">IF($C404="","",IF(Recurring!$E$30="Weekly",Recurring!$F$30+7*0,IF(Recurring!$E$30="Every 2 Weeks",Recurring!$F$30+14*0,IF(Recurring!$E$30="Monthly",EDATE(Recurring!$F$30,0),IF(Recurring!$E$30="Twice a Month",IF(MOD((IF(DAY(Recurring!$F$30)&lt;=20,0,1)+0),2)=1,EOMONTH(Recurring!$F$30,INT((IF(DAY(Recurring!$F$30)&lt;=20,0,1)+0)/2)),DATE(YEAR(EDATE(Recurring!$F$30,INT((IF(DAY(Recurring!$F$30)&lt;=20,0,1)+0)/2))),MONTH(EDATE(Recurring!$F$30,INT((IF(DAY(Recurring!$F$30)&lt;=20,0,1)+0)/2))),15)),IF(Recurring!$E$30="One Time",IF(1=1,Recurring!$F$30,""),""))))))</f>
        <v/>
      </c>
      <c r="G404" s="119" t="str">
        <f aca="false">IF($L404="","",IF(SUMIFS(Overrides!$D$9:$D$108,Overrides!$B$9:$B$108,$C404,Overrides!$C$9:$C$108,$L404)&gt;0,SUMIFS(Overrides!$D$9:$D$108,Overrides!$B$9:$B$108,$C404,Overrides!$C$9:$C$108,$L404),$L404))</f>
        <v/>
      </c>
      <c r="H404" s="120" t="n">
        <f aca="false">IF($G404="",0,IF(AND($G404&gt;='Cash Flow'!$E$6-90,$G404&lt;'Cash Flow'!$E$6+91),1,0))</f>
        <v>0</v>
      </c>
      <c r="I404" s="120" t="str">
        <f aca="false">IF($H404=1,MAX(1,INT(($G404-'Cash Flow'!$E$6)/7)+1),"")</f>
        <v/>
      </c>
      <c r="J404" s="7" t="str">
        <f aca="false">IF($H404=1,$G404*10000+ROW(),"")</f>
        <v/>
      </c>
      <c r="K404" s="7" t="str">
        <f aca="false">IF($H404=1,$I404*1000+COUNTIFS($I$4:$I$483,$I404,$J$4:$J$483,"&lt;"&amp;$J404)+1,"")</f>
        <v/>
      </c>
      <c r="L404" s="121" t="str">
        <f aca="false">IF($F404="","",IF(Recurring!$G$30="Move Before",IF(WEEKDAY($F404,2)=6,$F404-1,IF(WEEKDAY($F404,2)=7,$F404-2,$F404)),IF(Recurring!$G$30="Move After",IF(WEEKDAY($F404,2)=6,$F404+2,IF(WEEKDAY($F404,2)=7,$F404+1,$F404)),$F404)))</f>
        <v/>
      </c>
      <c r="M404" s="0" t="str">
        <f aca="true">IF(AND($H404=1,$D404="Expense",$G404&gt;TODAY(),$E404&gt;=100),$G404*100000+ROW(),"")</f>
        <v/>
      </c>
      <c r="N404" s="0" t="str">
        <f aca="true">IF(AND($H404=1,$D404="Income",$G404&gt;TODAY()),$G404*100000+ROW(),"")</f>
        <v/>
      </c>
    </row>
    <row r="405" customFormat="false" ht="15" hidden="false" customHeight="true" outlineLevel="0" collapsed="false">
      <c r="A405" s="117" t="n">
        <v>26</v>
      </c>
      <c r="B405" s="117" t="n">
        <v>2</v>
      </c>
      <c r="C405" s="7" t="str">
        <f aca="false">IF(OR(Recurring!$B$30="",Recurring!$H$30&lt;&gt;"Yes",Recurring!$D$30=""),"",Recurring!$B$30)</f>
        <v/>
      </c>
      <c r="D405" s="7" t="str">
        <f aca="false">IF($C405="","",Recurring!$C$30)</f>
        <v/>
      </c>
      <c r="E405" s="118" t="str">
        <f aca="false">IF($C405="","",IF(SUMIFS(Overrides!$E$9:$E$108,Overrides!$B$9:$B$108,$C405,Overrides!$C$9:$C$108,$L405)&gt;0,SUMIFS(Overrides!$E$9:$E$108,Overrides!$B$9:$B$108,$C405,Overrides!$C$9:$C$108,$L405),Recurring!$D$30))</f>
        <v/>
      </c>
      <c r="F405" s="119" t="str">
        <f aca="false">IF($C405="","",IF(Recurring!$E$30="Weekly",Recurring!$F$30+7*1,IF(Recurring!$E$30="Every 2 Weeks",Recurring!$F$30+14*1,IF(Recurring!$E$30="Monthly",EDATE(Recurring!$F$30,1),IF(Recurring!$E$30="Twice a Month",IF(MOD((IF(DAY(Recurring!$F$30)&lt;=20,0,1)+1),2)=1,EOMONTH(Recurring!$F$30,INT((IF(DAY(Recurring!$F$30)&lt;=20,0,1)+1)/2)),DATE(YEAR(EDATE(Recurring!$F$30,INT((IF(DAY(Recurring!$F$30)&lt;=20,0,1)+1)/2))),MONTH(EDATE(Recurring!$F$30,INT((IF(DAY(Recurring!$F$30)&lt;=20,0,1)+1)/2))),15)),IF(Recurring!$E$30="One Time",IF(2=1,Recurring!$F$30,""),""))))))</f>
        <v/>
      </c>
      <c r="G405" s="119" t="str">
        <f aca="false">IF($L405="","",IF(SUMIFS(Overrides!$D$9:$D$108,Overrides!$B$9:$B$108,$C405,Overrides!$C$9:$C$108,$L405)&gt;0,SUMIFS(Overrides!$D$9:$D$108,Overrides!$B$9:$B$108,$C405,Overrides!$C$9:$C$108,$L405),$L405))</f>
        <v/>
      </c>
      <c r="H405" s="120" t="n">
        <f aca="false">IF($G405="",0,IF(AND($G405&gt;='Cash Flow'!$E$6,$G405&lt;'Cash Flow'!$E$6+91),1,0))</f>
        <v>0</v>
      </c>
      <c r="I405" s="120" t="str">
        <f aca="false">IF($H405=1,MAX(1,INT(($G405-'Cash Flow'!$E$6)/7)+1),"")</f>
        <v/>
      </c>
      <c r="J405" s="7" t="str">
        <f aca="false">IF($H405=1,$G405*10000+ROW(),"")</f>
        <v/>
      </c>
      <c r="K405" s="7" t="str">
        <f aca="false">IF($H405=1,$I405*1000+COUNTIFS($I$4:$I$483,$I405,$J$4:$J$483,"&lt;"&amp;$J405)+1,"")</f>
        <v/>
      </c>
      <c r="L405" s="121" t="str">
        <f aca="false">IF($F405="","",IF(Recurring!$G$30="Move Before",IF(WEEKDAY($F405,2)=6,$F405-1,IF(WEEKDAY($F405,2)=7,$F405-2,$F405)),IF(Recurring!$G$30="Move After",IF(WEEKDAY($F405,2)=6,$F405+2,IF(WEEKDAY($F405,2)=7,$F405+1,$F405)),$F405)))</f>
        <v/>
      </c>
      <c r="M405" s="0" t="str">
        <f aca="true">IF(AND($H405=1,$D405="Expense",$G405&gt;TODAY(),$E405&gt;=100),$G405*100000+ROW(),"")</f>
        <v/>
      </c>
      <c r="N405" s="0" t="str">
        <f aca="true">IF(AND($H405=1,$D405="Income",$G405&gt;TODAY()),$G405*100000+ROW(),"")</f>
        <v/>
      </c>
    </row>
    <row r="406" customFormat="false" ht="15" hidden="false" customHeight="true" outlineLevel="0" collapsed="false">
      <c r="A406" s="117" t="n">
        <v>26</v>
      </c>
      <c r="B406" s="117" t="n">
        <v>3</v>
      </c>
      <c r="C406" s="7" t="str">
        <f aca="false">IF(OR(Recurring!$B$30="",Recurring!$H$30&lt;&gt;"Yes",Recurring!$D$30=""),"",Recurring!$B$30)</f>
        <v/>
      </c>
      <c r="D406" s="7" t="str">
        <f aca="false">IF($C406="","",Recurring!$C$30)</f>
        <v/>
      </c>
      <c r="E406" s="118" t="str">
        <f aca="false">IF($C406="","",IF(SUMIFS(Overrides!$E$9:$E$108,Overrides!$B$9:$B$108,$C406,Overrides!$C$9:$C$108,$L406)&gt;0,SUMIFS(Overrides!$E$9:$E$108,Overrides!$B$9:$B$108,$C406,Overrides!$C$9:$C$108,$L406),Recurring!$D$30))</f>
        <v/>
      </c>
      <c r="F406" s="119" t="str">
        <f aca="false">IF($C406="","",IF(Recurring!$E$30="Weekly",Recurring!$F$30+7*2,IF(Recurring!$E$30="Every 2 Weeks",Recurring!$F$30+14*2,IF(Recurring!$E$30="Monthly",EDATE(Recurring!$F$30,2),IF(Recurring!$E$30="Twice a Month",IF(MOD((IF(DAY(Recurring!$F$30)&lt;=20,0,1)+2),2)=1,EOMONTH(Recurring!$F$30,INT((IF(DAY(Recurring!$F$30)&lt;=20,0,1)+2)/2)),DATE(YEAR(EDATE(Recurring!$F$30,INT((IF(DAY(Recurring!$F$30)&lt;=20,0,1)+2)/2))),MONTH(EDATE(Recurring!$F$30,INT((IF(DAY(Recurring!$F$30)&lt;=20,0,1)+2)/2))),15)),IF(Recurring!$E$30="One Time",IF(3=1,Recurring!$F$30,""),""))))))</f>
        <v/>
      </c>
      <c r="G406" s="119" t="str">
        <f aca="false">IF($L406="","",IF(SUMIFS(Overrides!$D$9:$D$108,Overrides!$B$9:$B$108,$C406,Overrides!$C$9:$C$108,$L406)&gt;0,SUMIFS(Overrides!$D$9:$D$108,Overrides!$B$9:$B$108,$C406,Overrides!$C$9:$C$108,$L406),$L406))</f>
        <v/>
      </c>
      <c r="H406" s="120" t="n">
        <f aca="false">IF($G406="",0,IF(AND($G406&gt;='Cash Flow'!$E$6,$G406&lt;'Cash Flow'!$E$6+91),1,0))</f>
        <v>0</v>
      </c>
      <c r="I406" s="120" t="str">
        <f aca="false">IF($H406=1,MAX(1,INT(($G406-'Cash Flow'!$E$6)/7)+1),"")</f>
        <v/>
      </c>
      <c r="J406" s="7" t="str">
        <f aca="false">IF($H406=1,$G406*10000+ROW(),"")</f>
        <v/>
      </c>
      <c r="K406" s="7" t="str">
        <f aca="false">IF($H406=1,$I406*1000+COUNTIFS($I$4:$I$483,$I406,$J$4:$J$483,"&lt;"&amp;$J406)+1,"")</f>
        <v/>
      </c>
      <c r="L406" s="121" t="str">
        <f aca="false">IF($F406="","",IF(Recurring!$G$30="Move Before",IF(WEEKDAY($F406,2)=6,$F406-1,IF(WEEKDAY($F406,2)=7,$F406-2,$F406)),IF(Recurring!$G$30="Move After",IF(WEEKDAY($F406,2)=6,$F406+2,IF(WEEKDAY($F406,2)=7,$F406+1,$F406)),$F406)))</f>
        <v/>
      </c>
      <c r="M406" s="0" t="str">
        <f aca="true">IF(AND($H406=1,$D406="Expense",$G406&gt;TODAY(),$E406&gt;=100),$G406*100000+ROW(),"")</f>
        <v/>
      </c>
      <c r="N406" s="0" t="str">
        <f aca="true">IF(AND($H406=1,$D406="Income",$G406&gt;TODAY()),$G406*100000+ROW(),"")</f>
        <v/>
      </c>
    </row>
    <row r="407" customFormat="false" ht="15" hidden="false" customHeight="true" outlineLevel="0" collapsed="false">
      <c r="A407" s="117" t="n">
        <v>26</v>
      </c>
      <c r="B407" s="117" t="n">
        <v>4</v>
      </c>
      <c r="C407" s="7" t="str">
        <f aca="false">IF(OR(Recurring!$B$30="",Recurring!$H$30&lt;&gt;"Yes",Recurring!$D$30=""),"",Recurring!$B$30)</f>
        <v/>
      </c>
      <c r="D407" s="7" t="str">
        <f aca="false">IF($C407="","",Recurring!$C$30)</f>
        <v/>
      </c>
      <c r="E407" s="118" t="str">
        <f aca="false">IF($C407="","",IF(SUMIFS(Overrides!$E$9:$E$108,Overrides!$B$9:$B$108,$C407,Overrides!$C$9:$C$108,$L407)&gt;0,SUMIFS(Overrides!$E$9:$E$108,Overrides!$B$9:$B$108,$C407,Overrides!$C$9:$C$108,$L407),Recurring!$D$30))</f>
        <v/>
      </c>
      <c r="F407" s="119" t="str">
        <f aca="false">IF($C407="","",IF(Recurring!$E$30="Weekly",Recurring!$F$30+7*3,IF(Recurring!$E$30="Every 2 Weeks",Recurring!$F$30+14*3,IF(Recurring!$E$30="Monthly",EDATE(Recurring!$F$30,3),IF(Recurring!$E$30="Twice a Month",IF(MOD((IF(DAY(Recurring!$F$30)&lt;=20,0,1)+3),2)=1,EOMONTH(Recurring!$F$30,INT((IF(DAY(Recurring!$F$30)&lt;=20,0,1)+3)/2)),DATE(YEAR(EDATE(Recurring!$F$30,INT((IF(DAY(Recurring!$F$30)&lt;=20,0,1)+3)/2))),MONTH(EDATE(Recurring!$F$30,INT((IF(DAY(Recurring!$F$30)&lt;=20,0,1)+3)/2))),15)),IF(Recurring!$E$30="One Time",IF(4=1,Recurring!$F$30,""),""))))))</f>
        <v/>
      </c>
      <c r="G407" s="119" t="str">
        <f aca="false">IF($L407="","",IF(SUMIFS(Overrides!$D$9:$D$108,Overrides!$B$9:$B$108,$C407,Overrides!$C$9:$C$108,$L407)&gt;0,SUMIFS(Overrides!$D$9:$D$108,Overrides!$B$9:$B$108,$C407,Overrides!$C$9:$C$108,$L407),$L407))</f>
        <v/>
      </c>
      <c r="H407" s="120" t="n">
        <f aca="false">IF($G407="",0,IF(AND($G407&gt;='Cash Flow'!$E$6,$G407&lt;'Cash Flow'!$E$6+91),1,0))</f>
        <v>0</v>
      </c>
      <c r="I407" s="120" t="str">
        <f aca="false">IF($H407=1,MAX(1,INT(($G407-'Cash Flow'!$E$6)/7)+1),"")</f>
        <v/>
      </c>
      <c r="J407" s="7" t="str">
        <f aca="false">IF($H407=1,$G407*10000+ROW(),"")</f>
        <v/>
      </c>
      <c r="K407" s="7" t="str">
        <f aca="false">IF($H407=1,$I407*1000+COUNTIFS($I$4:$I$483,$I407,$J$4:$J$483,"&lt;"&amp;$J407)+1,"")</f>
        <v/>
      </c>
      <c r="L407" s="121" t="str">
        <f aca="false">IF($F407="","",IF(Recurring!$G$30="Move Before",IF(WEEKDAY($F407,2)=6,$F407-1,IF(WEEKDAY($F407,2)=7,$F407-2,$F407)),IF(Recurring!$G$30="Move After",IF(WEEKDAY($F407,2)=6,$F407+2,IF(WEEKDAY($F407,2)=7,$F407+1,$F407)),$F407)))</f>
        <v/>
      </c>
      <c r="M407" s="0" t="str">
        <f aca="true">IF(AND($H407=1,$D407="Expense",$G407&gt;TODAY(),$E407&gt;=100),$G407*100000+ROW(),"")</f>
        <v/>
      </c>
      <c r="N407" s="0" t="str">
        <f aca="true">IF(AND($H407=1,$D407="Income",$G407&gt;TODAY()),$G407*100000+ROW(),"")</f>
        <v/>
      </c>
    </row>
    <row r="408" customFormat="false" ht="15" hidden="false" customHeight="true" outlineLevel="0" collapsed="false">
      <c r="A408" s="117" t="n">
        <v>26</v>
      </c>
      <c r="B408" s="117" t="n">
        <v>5</v>
      </c>
      <c r="C408" s="7" t="str">
        <f aca="false">IF(OR(Recurring!$B$30="",Recurring!$H$30&lt;&gt;"Yes",Recurring!$D$30=""),"",Recurring!$B$30)</f>
        <v/>
      </c>
      <c r="D408" s="7" t="str">
        <f aca="false">IF($C408="","",Recurring!$C$30)</f>
        <v/>
      </c>
      <c r="E408" s="118" t="str">
        <f aca="false">IF($C408="","",IF(SUMIFS(Overrides!$E$9:$E$108,Overrides!$B$9:$B$108,$C408,Overrides!$C$9:$C$108,$L408)&gt;0,SUMIFS(Overrides!$E$9:$E$108,Overrides!$B$9:$B$108,$C408,Overrides!$C$9:$C$108,$L408),Recurring!$D$30))</f>
        <v/>
      </c>
      <c r="F408" s="119" t="str">
        <f aca="false">IF($C408="","",IF(Recurring!$E$30="Weekly",Recurring!$F$30+7*4,IF(Recurring!$E$30="Every 2 Weeks",Recurring!$F$30+14*4,IF(Recurring!$E$30="Monthly",EDATE(Recurring!$F$30,4),IF(Recurring!$E$30="Twice a Month",IF(MOD((IF(DAY(Recurring!$F$30)&lt;=20,0,1)+4),2)=1,EOMONTH(Recurring!$F$30,INT((IF(DAY(Recurring!$F$30)&lt;=20,0,1)+4)/2)),DATE(YEAR(EDATE(Recurring!$F$30,INT((IF(DAY(Recurring!$F$30)&lt;=20,0,1)+4)/2))),MONTH(EDATE(Recurring!$F$30,INT((IF(DAY(Recurring!$F$30)&lt;=20,0,1)+4)/2))),15)),IF(Recurring!$E$30="One Time",IF(5=1,Recurring!$F$30,""),""))))))</f>
        <v/>
      </c>
      <c r="G408" s="119" t="str">
        <f aca="false">IF($L408="","",IF(SUMIFS(Overrides!$D$9:$D$108,Overrides!$B$9:$B$108,$C408,Overrides!$C$9:$C$108,$L408)&gt;0,SUMIFS(Overrides!$D$9:$D$108,Overrides!$B$9:$B$108,$C408,Overrides!$C$9:$C$108,$L408),$L408))</f>
        <v/>
      </c>
      <c r="H408" s="120" t="n">
        <f aca="false">IF($G408="",0,IF(AND($G408&gt;='Cash Flow'!$E$6,$G408&lt;'Cash Flow'!$E$6+91),1,0))</f>
        <v>0</v>
      </c>
      <c r="I408" s="120" t="str">
        <f aca="false">IF($H408=1,MAX(1,INT(($G408-'Cash Flow'!$E$6)/7)+1),"")</f>
        <v/>
      </c>
      <c r="J408" s="7" t="str">
        <f aca="false">IF($H408=1,$G408*10000+ROW(),"")</f>
        <v/>
      </c>
      <c r="K408" s="7" t="str">
        <f aca="false">IF($H408=1,$I408*1000+COUNTIFS($I$4:$I$483,$I408,$J$4:$J$483,"&lt;"&amp;$J408)+1,"")</f>
        <v/>
      </c>
      <c r="L408" s="121" t="str">
        <f aca="false">IF($F408="","",IF(Recurring!$G$30="Move Before",IF(WEEKDAY($F408,2)=6,$F408-1,IF(WEEKDAY($F408,2)=7,$F408-2,$F408)),IF(Recurring!$G$30="Move After",IF(WEEKDAY($F408,2)=6,$F408+2,IF(WEEKDAY($F408,2)=7,$F408+1,$F408)),$F408)))</f>
        <v/>
      </c>
      <c r="M408" s="0" t="str">
        <f aca="true">IF(AND($H408=1,$D408="Expense",$G408&gt;TODAY(),$E408&gt;=100),$G408*100000+ROW(),"")</f>
        <v/>
      </c>
      <c r="N408" s="0" t="str">
        <f aca="true">IF(AND($H408=1,$D408="Income",$G408&gt;TODAY()),$G408*100000+ROW(),"")</f>
        <v/>
      </c>
    </row>
    <row r="409" customFormat="false" ht="15" hidden="false" customHeight="true" outlineLevel="0" collapsed="false">
      <c r="A409" s="117" t="n">
        <v>26</v>
      </c>
      <c r="B409" s="117" t="n">
        <v>6</v>
      </c>
      <c r="C409" s="7" t="str">
        <f aca="false">IF(OR(Recurring!$B$30="",Recurring!$H$30&lt;&gt;"Yes",Recurring!$D$30=""),"",Recurring!$B$30)</f>
        <v/>
      </c>
      <c r="D409" s="7" t="str">
        <f aca="false">IF($C409="","",Recurring!$C$30)</f>
        <v/>
      </c>
      <c r="E409" s="118" t="str">
        <f aca="false">IF($C409="","",IF(SUMIFS(Overrides!$E$9:$E$108,Overrides!$B$9:$B$108,$C409,Overrides!$C$9:$C$108,$L409)&gt;0,SUMIFS(Overrides!$E$9:$E$108,Overrides!$B$9:$B$108,$C409,Overrides!$C$9:$C$108,$L409),Recurring!$D$30))</f>
        <v/>
      </c>
      <c r="F409" s="119" t="str">
        <f aca="false">IF($C409="","",IF(Recurring!$E$30="Weekly",Recurring!$F$30+7*5,IF(Recurring!$E$30="Every 2 Weeks",Recurring!$F$30+14*5,IF(Recurring!$E$30="Monthly",EDATE(Recurring!$F$30,5),IF(Recurring!$E$30="Twice a Month",IF(MOD((IF(DAY(Recurring!$F$30)&lt;=20,0,1)+5),2)=1,EOMONTH(Recurring!$F$30,INT((IF(DAY(Recurring!$F$30)&lt;=20,0,1)+5)/2)),DATE(YEAR(EDATE(Recurring!$F$30,INT((IF(DAY(Recurring!$F$30)&lt;=20,0,1)+5)/2))),MONTH(EDATE(Recurring!$F$30,INT((IF(DAY(Recurring!$F$30)&lt;=20,0,1)+5)/2))),15)),IF(Recurring!$E$30="One Time",IF(6=1,Recurring!$F$30,""),""))))))</f>
        <v/>
      </c>
      <c r="G409" s="119" t="str">
        <f aca="false">IF($L409="","",IF(SUMIFS(Overrides!$D$9:$D$108,Overrides!$B$9:$B$108,$C409,Overrides!$C$9:$C$108,$L409)&gt;0,SUMIFS(Overrides!$D$9:$D$108,Overrides!$B$9:$B$108,$C409,Overrides!$C$9:$C$108,$L409),$L409))</f>
        <v/>
      </c>
      <c r="H409" s="120" t="n">
        <f aca="false">IF($G409="",0,IF(AND($G409&gt;='Cash Flow'!$E$6,$G409&lt;'Cash Flow'!$E$6+91),1,0))</f>
        <v>0</v>
      </c>
      <c r="I409" s="120" t="str">
        <f aca="false">IF($H409=1,MAX(1,INT(($G409-'Cash Flow'!$E$6)/7)+1),"")</f>
        <v/>
      </c>
      <c r="J409" s="7" t="str">
        <f aca="false">IF($H409=1,$G409*10000+ROW(),"")</f>
        <v/>
      </c>
      <c r="K409" s="7" t="str">
        <f aca="false">IF($H409=1,$I409*1000+COUNTIFS($I$4:$I$483,$I409,$J$4:$J$483,"&lt;"&amp;$J409)+1,"")</f>
        <v/>
      </c>
      <c r="L409" s="121" t="str">
        <f aca="false">IF($F409="","",IF(Recurring!$G$30="Move Before",IF(WEEKDAY($F409,2)=6,$F409-1,IF(WEEKDAY($F409,2)=7,$F409-2,$F409)),IF(Recurring!$G$30="Move After",IF(WEEKDAY($F409,2)=6,$F409+2,IF(WEEKDAY($F409,2)=7,$F409+1,$F409)),$F409)))</f>
        <v/>
      </c>
      <c r="M409" s="0" t="str">
        <f aca="true">IF(AND($H409=1,$D409="Expense",$G409&gt;TODAY(),$E409&gt;=100),$G409*100000+ROW(),"")</f>
        <v/>
      </c>
      <c r="N409" s="0" t="str">
        <f aca="true">IF(AND($H409=1,$D409="Income",$G409&gt;TODAY()),$G409*100000+ROW(),"")</f>
        <v/>
      </c>
    </row>
    <row r="410" customFormat="false" ht="15" hidden="false" customHeight="true" outlineLevel="0" collapsed="false">
      <c r="A410" s="117" t="n">
        <v>26</v>
      </c>
      <c r="B410" s="117" t="n">
        <v>7</v>
      </c>
      <c r="C410" s="7" t="str">
        <f aca="false">IF(OR(Recurring!$B$30="",Recurring!$H$30&lt;&gt;"Yes",Recurring!$D$30=""),"",Recurring!$B$30)</f>
        <v/>
      </c>
      <c r="D410" s="7" t="str">
        <f aca="false">IF($C410="","",Recurring!$C$30)</f>
        <v/>
      </c>
      <c r="E410" s="118" t="str">
        <f aca="false">IF($C410="","",IF(SUMIFS(Overrides!$E$9:$E$108,Overrides!$B$9:$B$108,$C410,Overrides!$C$9:$C$108,$L410)&gt;0,SUMIFS(Overrides!$E$9:$E$108,Overrides!$B$9:$B$108,$C410,Overrides!$C$9:$C$108,$L410),Recurring!$D$30))</f>
        <v/>
      </c>
      <c r="F410" s="119" t="str">
        <f aca="false">IF($C410="","",IF(Recurring!$E$30="Weekly",Recurring!$F$30+7*6,IF(Recurring!$E$30="Every 2 Weeks",Recurring!$F$30+14*6,IF(Recurring!$E$30="Monthly",EDATE(Recurring!$F$30,6),IF(Recurring!$E$30="Twice a Month",IF(MOD((IF(DAY(Recurring!$F$30)&lt;=20,0,1)+6),2)=1,EOMONTH(Recurring!$F$30,INT((IF(DAY(Recurring!$F$30)&lt;=20,0,1)+6)/2)),DATE(YEAR(EDATE(Recurring!$F$30,INT((IF(DAY(Recurring!$F$30)&lt;=20,0,1)+6)/2))),MONTH(EDATE(Recurring!$F$30,INT((IF(DAY(Recurring!$F$30)&lt;=20,0,1)+6)/2))),15)),IF(Recurring!$E$30="One Time",IF(7=1,Recurring!$F$30,""),""))))))</f>
        <v/>
      </c>
      <c r="G410" s="119" t="str">
        <f aca="false">IF($L410="","",IF(SUMIFS(Overrides!$D$9:$D$108,Overrides!$B$9:$B$108,$C410,Overrides!$C$9:$C$108,$L410)&gt;0,SUMIFS(Overrides!$D$9:$D$108,Overrides!$B$9:$B$108,$C410,Overrides!$C$9:$C$108,$L410),$L410))</f>
        <v/>
      </c>
      <c r="H410" s="120" t="n">
        <f aca="false">IF($G410="",0,IF(AND($G410&gt;='Cash Flow'!$E$6,$G410&lt;'Cash Flow'!$E$6+91),1,0))</f>
        <v>0</v>
      </c>
      <c r="I410" s="120" t="str">
        <f aca="false">IF($H410=1,MAX(1,INT(($G410-'Cash Flow'!$E$6)/7)+1),"")</f>
        <v/>
      </c>
      <c r="J410" s="7" t="str">
        <f aca="false">IF($H410=1,$G410*10000+ROW(),"")</f>
        <v/>
      </c>
      <c r="K410" s="7" t="str">
        <f aca="false">IF($H410=1,$I410*1000+COUNTIFS($I$4:$I$483,$I410,$J$4:$J$483,"&lt;"&amp;$J410)+1,"")</f>
        <v/>
      </c>
      <c r="L410" s="121" t="str">
        <f aca="false">IF($F410="","",IF(Recurring!$G$30="Move Before",IF(WEEKDAY($F410,2)=6,$F410-1,IF(WEEKDAY($F410,2)=7,$F410-2,$F410)),IF(Recurring!$G$30="Move After",IF(WEEKDAY($F410,2)=6,$F410+2,IF(WEEKDAY($F410,2)=7,$F410+1,$F410)),$F410)))</f>
        <v/>
      </c>
      <c r="M410" s="0" t="str">
        <f aca="true">IF(AND($H410=1,$D410="Expense",$G410&gt;TODAY(),$E410&gt;=100),$G410*100000+ROW(),"")</f>
        <v/>
      </c>
      <c r="N410" s="0" t="str">
        <f aca="true">IF(AND($H410=1,$D410="Income",$G410&gt;TODAY()),$G410*100000+ROW(),"")</f>
        <v/>
      </c>
    </row>
    <row r="411" customFormat="false" ht="15" hidden="false" customHeight="true" outlineLevel="0" collapsed="false">
      <c r="A411" s="117" t="n">
        <v>26</v>
      </c>
      <c r="B411" s="117" t="n">
        <v>8</v>
      </c>
      <c r="C411" s="7" t="str">
        <f aca="false">IF(OR(Recurring!$B$30="",Recurring!$H$30&lt;&gt;"Yes",Recurring!$D$30=""),"",Recurring!$B$30)</f>
        <v/>
      </c>
      <c r="D411" s="7" t="str">
        <f aca="false">IF($C411="","",Recurring!$C$30)</f>
        <v/>
      </c>
      <c r="E411" s="118" t="str">
        <f aca="false">IF($C411="","",IF(SUMIFS(Overrides!$E$9:$E$108,Overrides!$B$9:$B$108,$C411,Overrides!$C$9:$C$108,$L411)&gt;0,SUMIFS(Overrides!$E$9:$E$108,Overrides!$B$9:$B$108,$C411,Overrides!$C$9:$C$108,$L411),Recurring!$D$30))</f>
        <v/>
      </c>
      <c r="F411" s="119" t="str">
        <f aca="false">IF($C411="","",IF(Recurring!$E$30="Weekly",Recurring!$F$30+7*7,IF(Recurring!$E$30="Every 2 Weeks",Recurring!$F$30+14*7,IF(Recurring!$E$30="Monthly",EDATE(Recurring!$F$30,7),IF(Recurring!$E$30="Twice a Month",IF(MOD((IF(DAY(Recurring!$F$30)&lt;=20,0,1)+7),2)=1,EOMONTH(Recurring!$F$30,INT((IF(DAY(Recurring!$F$30)&lt;=20,0,1)+7)/2)),DATE(YEAR(EDATE(Recurring!$F$30,INT((IF(DAY(Recurring!$F$30)&lt;=20,0,1)+7)/2))),MONTH(EDATE(Recurring!$F$30,INT((IF(DAY(Recurring!$F$30)&lt;=20,0,1)+7)/2))),15)),IF(Recurring!$E$30="One Time",IF(8=1,Recurring!$F$30,""),""))))))</f>
        <v/>
      </c>
      <c r="G411" s="119" t="str">
        <f aca="false">IF($L411="","",IF(SUMIFS(Overrides!$D$9:$D$108,Overrides!$B$9:$B$108,$C411,Overrides!$C$9:$C$108,$L411)&gt;0,SUMIFS(Overrides!$D$9:$D$108,Overrides!$B$9:$B$108,$C411,Overrides!$C$9:$C$108,$L411),$L411))</f>
        <v/>
      </c>
      <c r="H411" s="120" t="n">
        <f aca="false">IF($G411="",0,IF(AND($G411&gt;='Cash Flow'!$E$6,$G411&lt;'Cash Flow'!$E$6+91),1,0))</f>
        <v>0</v>
      </c>
      <c r="I411" s="120" t="str">
        <f aca="false">IF($H411=1,MAX(1,INT(($G411-'Cash Flow'!$E$6)/7)+1),"")</f>
        <v/>
      </c>
      <c r="J411" s="7" t="str">
        <f aca="false">IF($H411=1,$G411*10000+ROW(),"")</f>
        <v/>
      </c>
      <c r="K411" s="7" t="str">
        <f aca="false">IF($H411=1,$I411*1000+COUNTIFS($I$4:$I$483,$I411,$J$4:$J$483,"&lt;"&amp;$J411)+1,"")</f>
        <v/>
      </c>
      <c r="L411" s="121" t="str">
        <f aca="false">IF($F411="","",IF(Recurring!$G$30="Move Before",IF(WEEKDAY($F411,2)=6,$F411-1,IF(WEEKDAY($F411,2)=7,$F411-2,$F411)),IF(Recurring!$G$30="Move After",IF(WEEKDAY($F411,2)=6,$F411+2,IF(WEEKDAY($F411,2)=7,$F411+1,$F411)),$F411)))</f>
        <v/>
      </c>
      <c r="M411" s="0" t="str">
        <f aca="true">IF(AND($H411=1,$D411="Expense",$G411&gt;TODAY(),$E411&gt;=100),$G411*100000+ROW(),"")</f>
        <v/>
      </c>
      <c r="N411" s="0" t="str">
        <f aca="true">IF(AND($H411=1,$D411="Income",$G411&gt;TODAY()),$G411*100000+ROW(),"")</f>
        <v/>
      </c>
    </row>
    <row r="412" customFormat="false" ht="15" hidden="false" customHeight="true" outlineLevel="0" collapsed="false">
      <c r="A412" s="117" t="n">
        <v>26</v>
      </c>
      <c r="B412" s="117" t="n">
        <v>9</v>
      </c>
      <c r="C412" s="7" t="str">
        <f aca="false">IF(OR(Recurring!$B$30="",Recurring!$H$30&lt;&gt;"Yes",Recurring!$D$30=""),"",Recurring!$B$30)</f>
        <v/>
      </c>
      <c r="D412" s="7" t="str">
        <f aca="false">IF($C412="","",Recurring!$C$30)</f>
        <v/>
      </c>
      <c r="E412" s="118" t="str">
        <f aca="false">IF($C412="","",IF(SUMIFS(Overrides!$E$9:$E$108,Overrides!$B$9:$B$108,$C412,Overrides!$C$9:$C$108,$L412)&gt;0,SUMIFS(Overrides!$E$9:$E$108,Overrides!$B$9:$B$108,$C412,Overrides!$C$9:$C$108,$L412),Recurring!$D$30))</f>
        <v/>
      </c>
      <c r="F412" s="119" t="str">
        <f aca="false">IF($C412="","",IF(Recurring!$E$30="Weekly",Recurring!$F$30+7*8,IF(Recurring!$E$30="Every 2 Weeks",Recurring!$F$30+14*8,IF(Recurring!$E$30="Monthly",EDATE(Recurring!$F$30,8),IF(Recurring!$E$30="Twice a Month",IF(MOD((IF(DAY(Recurring!$F$30)&lt;=20,0,1)+8),2)=1,EOMONTH(Recurring!$F$30,INT((IF(DAY(Recurring!$F$30)&lt;=20,0,1)+8)/2)),DATE(YEAR(EDATE(Recurring!$F$30,INT((IF(DAY(Recurring!$F$30)&lt;=20,0,1)+8)/2))),MONTH(EDATE(Recurring!$F$30,INT((IF(DAY(Recurring!$F$30)&lt;=20,0,1)+8)/2))),15)),IF(Recurring!$E$30="One Time",IF(9=1,Recurring!$F$30,""),""))))))</f>
        <v/>
      </c>
      <c r="G412" s="119" t="str">
        <f aca="false">IF($L412="","",IF(SUMIFS(Overrides!$D$9:$D$108,Overrides!$B$9:$B$108,$C412,Overrides!$C$9:$C$108,$L412)&gt;0,SUMIFS(Overrides!$D$9:$D$108,Overrides!$B$9:$B$108,$C412,Overrides!$C$9:$C$108,$L412),$L412))</f>
        <v/>
      </c>
      <c r="H412" s="120" t="n">
        <f aca="false">IF($G412="",0,IF(AND($G412&gt;='Cash Flow'!$E$6,$G412&lt;'Cash Flow'!$E$6+91),1,0))</f>
        <v>0</v>
      </c>
      <c r="I412" s="120" t="str">
        <f aca="false">IF($H412=1,MAX(1,INT(($G412-'Cash Flow'!$E$6)/7)+1),"")</f>
        <v/>
      </c>
      <c r="J412" s="7" t="str">
        <f aca="false">IF($H412=1,$G412*10000+ROW(),"")</f>
        <v/>
      </c>
      <c r="K412" s="7" t="str">
        <f aca="false">IF($H412=1,$I412*1000+COUNTIFS($I$4:$I$483,$I412,$J$4:$J$483,"&lt;"&amp;$J412)+1,"")</f>
        <v/>
      </c>
      <c r="L412" s="121" t="str">
        <f aca="false">IF($F412="","",IF(Recurring!$G$30="Move Before",IF(WEEKDAY($F412,2)=6,$F412-1,IF(WEEKDAY($F412,2)=7,$F412-2,$F412)),IF(Recurring!$G$30="Move After",IF(WEEKDAY($F412,2)=6,$F412+2,IF(WEEKDAY($F412,2)=7,$F412+1,$F412)),$F412)))</f>
        <v/>
      </c>
      <c r="M412" s="0" t="str">
        <f aca="true">IF(AND($H412=1,$D412="Expense",$G412&gt;TODAY(),$E412&gt;=100),$G412*100000+ROW(),"")</f>
        <v/>
      </c>
      <c r="N412" s="0" t="str">
        <f aca="true">IF(AND($H412=1,$D412="Income",$G412&gt;TODAY()),$G412*100000+ROW(),"")</f>
        <v/>
      </c>
    </row>
    <row r="413" customFormat="false" ht="15" hidden="false" customHeight="true" outlineLevel="0" collapsed="false">
      <c r="A413" s="117" t="n">
        <v>26</v>
      </c>
      <c r="B413" s="117" t="n">
        <v>10</v>
      </c>
      <c r="C413" s="7" t="str">
        <f aca="false">IF(OR(Recurring!$B$30="",Recurring!$H$30&lt;&gt;"Yes",Recurring!$D$30=""),"",Recurring!$B$30)</f>
        <v/>
      </c>
      <c r="D413" s="7" t="str">
        <f aca="false">IF($C413="","",Recurring!$C$30)</f>
        <v/>
      </c>
      <c r="E413" s="118" t="str">
        <f aca="false">IF($C413="","",IF(SUMIFS(Overrides!$E$9:$E$108,Overrides!$B$9:$B$108,$C413,Overrides!$C$9:$C$108,$L413)&gt;0,SUMIFS(Overrides!$E$9:$E$108,Overrides!$B$9:$B$108,$C413,Overrides!$C$9:$C$108,$L413),Recurring!$D$30))</f>
        <v/>
      </c>
      <c r="F413" s="119" t="str">
        <f aca="false">IF($C413="","",IF(Recurring!$E$30="Weekly",Recurring!$F$30+7*9,IF(Recurring!$E$30="Every 2 Weeks",Recurring!$F$30+14*9,IF(Recurring!$E$30="Monthly",EDATE(Recurring!$F$30,9),IF(Recurring!$E$30="Twice a Month",IF(MOD((IF(DAY(Recurring!$F$30)&lt;=20,0,1)+9),2)=1,EOMONTH(Recurring!$F$30,INT((IF(DAY(Recurring!$F$30)&lt;=20,0,1)+9)/2)),DATE(YEAR(EDATE(Recurring!$F$30,INT((IF(DAY(Recurring!$F$30)&lt;=20,0,1)+9)/2))),MONTH(EDATE(Recurring!$F$30,INT((IF(DAY(Recurring!$F$30)&lt;=20,0,1)+9)/2))),15)),IF(Recurring!$E$30="One Time",IF(10=1,Recurring!$F$30,""),""))))))</f>
        <v/>
      </c>
      <c r="G413" s="119" t="str">
        <f aca="false">IF($L413="","",IF(SUMIFS(Overrides!$D$9:$D$108,Overrides!$B$9:$B$108,$C413,Overrides!$C$9:$C$108,$L413)&gt;0,SUMIFS(Overrides!$D$9:$D$108,Overrides!$B$9:$B$108,$C413,Overrides!$C$9:$C$108,$L413),$L413))</f>
        <v/>
      </c>
      <c r="H413" s="120" t="n">
        <f aca="false">IF($G413="",0,IF(AND($G413&gt;='Cash Flow'!$E$6,$G413&lt;'Cash Flow'!$E$6+91),1,0))</f>
        <v>0</v>
      </c>
      <c r="I413" s="120" t="str">
        <f aca="false">IF($H413=1,MAX(1,INT(($G413-'Cash Flow'!$E$6)/7)+1),"")</f>
        <v/>
      </c>
      <c r="J413" s="7" t="str">
        <f aca="false">IF($H413=1,$G413*10000+ROW(),"")</f>
        <v/>
      </c>
      <c r="K413" s="7" t="str">
        <f aca="false">IF($H413=1,$I413*1000+COUNTIFS($I$4:$I$483,$I413,$J$4:$J$483,"&lt;"&amp;$J413)+1,"")</f>
        <v/>
      </c>
      <c r="L413" s="121" t="str">
        <f aca="false">IF($F413="","",IF(Recurring!$G$30="Move Before",IF(WEEKDAY($F413,2)=6,$F413-1,IF(WEEKDAY($F413,2)=7,$F413-2,$F413)),IF(Recurring!$G$30="Move After",IF(WEEKDAY($F413,2)=6,$F413+2,IF(WEEKDAY($F413,2)=7,$F413+1,$F413)),$F413)))</f>
        <v/>
      </c>
      <c r="M413" s="0" t="str">
        <f aca="true">IF(AND($H413=1,$D413="Expense",$G413&gt;TODAY(),$E413&gt;=100),$G413*100000+ROW(),"")</f>
        <v/>
      </c>
      <c r="N413" s="0" t="str">
        <f aca="true">IF(AND($H413=1,$D413="Income",$G413&gt;TODAY()),$G413*100000+ROW(),"")</f>
        <v/>
      </c>
    </row>
    <row r="414" customFormat="false" ht="15" hidden="false" customHeight="true" outlineLevel="0" collapsed="false">
      <c r="A414" s="117" t="n">
        <v>26</v>
      </c>
      <c r="B414" s="117" t="n">
        <v>11</v>
      </c>
      <c r="C414" s="7" t="str">
        <f aca="false">IF(OR(Recurring!$B$30="",Recurring!$H$30&lt;&gt;"Yes",Recurring!$D$30=""),"",Recurring!$B$30)</f>
        <v/>
      </c>
      <c r="D414" s="7" t="str">
        <f aca="false">IF($C414="","",Recurring!$C$30)</f>
        <v/>
      </c>
      <c r="E414" s="118" t="str">
        <f aca="false">IF($C414="","",IF(SUMIFS(Overrides!$E$9:$E$108,Overrides!$B$9:$B$108,$C414,Overrides!$C$9:$C$108,$L414)&gt;0,SUMIFS(Overrides!$E$9:$E$108,Overrides!$B$9:$B$108,$C414,Overrides!$C$9:$C$108,$L414),Recurring!$D$30))</f>
        <v/>
      </c>
      <c r="F414" s="119" t="str">
        <f aca="false">IF($C414="","",IF(Recurring!$E$30="Weekly",Recurring!$F$30+7*10,IF(Recurring!$E$30="Every 2 Weeks",Recurring!$F$30+14*10,IF(Recurring!$E$30="Monthly",EDATE(Recurring!$F$30,10),IF(Recurring!$E$30="Twice a Month",IF(MOD((IF(DAY(Recurring!$F$30)&lt;=20,0,1)+10),2)=1,EOMONTH(Recurring!$F$30,INT((IF(DAY(Recurring!$F$30)&lt;=20,0,1)+10)/2)),DATE(YEAR(EDATE(Recurring!$F$30,INT((IF(DAY(Recurring!$F$30)&lt;=20,0,1)+10)/2))),MONTH(EDATE(Recurring!$F$30,INT((IF(DAY(Recurring!$F$30)&lt;=20,0,1)+10)/2))),15)),IF(Recurring!$E$30="One Time",IF(11=1,Recurring!$F$30,""),""))))))</f>
        <v/>
      </c>
      <c r="G414" s="119" t="str">
        <f aca="false">IF($L414="","",IF(SUMIFS(Overrides!$D$9:$D$108,Overrides!$B$9:$B$108,$C414,Overrides!$C$9:$C$108,$L414)&gt;0,SUMIFS(Overrides!$D$9:$D$108,Overrides!$B$9:$B$108,$C414,Overrides!$C$9:$C$108,$L414),$L414))</f>
        <v/>
      </c>
      <c r="H414" s="120" t="n">
        <f aca="false">IF($G414="",0,IF(AND($G414&gt;='Cash Flow'!$E$6,$G414&lt;'Cash Flow'!$E$6+91),1,0))</f>
        <v>0</v>
      </c>
      <c r="I414" s="120" t="str">
        <f aca="false">IF($H414=1,MAX(1,INT(($G414-'Cash Flow'!$E$6)/7)+1),"")</f>
        <v/>
      </c>
      <c r="J414" s="7" t="str">
        <f aca="false">IF($H414=1,$G414*10000+ROW(),"")</f>
        <v/>
      </c>
      <c r="K414" s="7" t="str">
        <f aca="false">IF($H414=1,$I414*1000+COUNTIFS($I$4:$I$483,$I414,$J$4:$J$483,"&lt;"&amp;$J414)+1,"")</f>
        <v/>
      </c>
      <c r="L414" s="121" t="str">
        <f aca="false">IF($F414="","",IF(Recurring!$G$30="Move Before",IF(WEEKDAY($F414,2)=6,$F414-1,IF(WEEKDAY($F414,2)=7,$F414-2,$F414)),IF(Recurring!$G$30="Move After",IF(WEEKDAY($F414,2)=6,$F414+2,IF(WEEKDAY($F414,2)=7,$F414+1,$F414)),$F414)))</f>
        <v/>
      </c>
      <c r="M414" s="0" t="str">
        <f aca="true">IF(AND($H414=1,$D414="Expense",$G414&gt;TODAY(),$E414&gt;=100),$G414*100000+ROW(),"")</f>
        <v/>
      </c>
      <c r="N414" s="0" t="str">
        <f aca="true">IF(AND($H414=1,$D414="Income",$G414&gt;TODAY()),$G414*100000+ROW(),"")</f>
        <v/>
      </c>
    </row>
    <row r="415" customFormat="false" ht="15" hidden="false" customHeight="true" outlineLevel="0" collapsed="false">
      <c r="A415" s="117" t="n">
        <v>26</v>
      </c>
      <c r="B415" s="117" t="n">
        <v>12</v>
      </c>
      <c r="C415" s="7" t="str">
        <f aca="false">IF(OR(Recurring!$B$30="",Recurring!$H$30&lt;&gt;"Yes",Recurring!$D$30=""),"",Recurring!$B$30)</f>
        <v/>
      </c>
      <c r="D415" s="7" t="str">
        <f aca="false">IF($C415="","",Recurring!$C$30)</f>
        <v/>
      </c>
      <c r="E415" s="118" t="str">
        <f aca="false">IF($C415="","",IF(SUMIFS(Overrides!$E$9:$E$108,Overrides!$B$9:$B$108,$C415,Overrides!$C$9:$C$108,$L415)&gt;0,SUMIFS(Overrides!$E$9:$E$108,Overrides!$B$9:$B$108,$C415,Overrides!$C$9:$C$108,$L415),Recurring!$D$30))</f>
        <v/>
      </c>
      <c r="F415" s="119" t="str">
        <f aca="false">IF($C415="","",IF(Recurring!$E$30="Weekly",Recurring!$F$30+7*11,IF(Recurring!$E$30="Every 2 Weeks",Recurring!$F$30+14*11,IF(Recurring!$E$30="Monthly",EDATE(Recurring!$F$30,11),IF(Recurring!$E$30="Twice a Month",IF(MOD((IF(DAY(Recurring!$F$30)&lt;=20,0,1)+11),2)=1,EOMONTH(Recurring!$F$30,INT((IF(DAY(Recurring!$F$30)&lt;=20,0,1)+11)/2)),DATE(YEAR(EDATE(Recurring!$F$30,INT((IF(DAY(Recurring!$F$30)&lt;=20,0,1)+11)/2))),MONTH(EDATE(Recurring!$F$30,INT((IF(DAY(Recurring!$F$30)&lt;=20,0,1)+11)/2))),15)),IF(Recurring!$E$30="One Time",IF(12=1,Recurring!$F$30,""),""))))))</f>
        <v/>
      </c>
      <c r="G415" s="119" t="str">
        <f aca="false">IF($L415="","",IF(SUMIFS(Overrides!$D$9:$D$108,Overrides!$B$9:$B$108,$C415,Overrides!$C$9:$C$108,$L415)&gt;0,SUMIFS(Overrides!$D$9:$D$108,Overrides!$B$9:$B$108,$C415,Overrides!$C$9:$C$108,$L415),$L415))</f>
        <v/>
      </c>
      <c r="H415" s="120" t="n">
        <f aca="false">IF($G415="",0,IF(AND($G415&gt;='Cash Flow'!$E$6,$G415&lt;'Cash Flow'!$E$6+91),1,0))</f>
        <v>0</v>
      </c>
      <c r="I415" s="120" t="str">
        <f aca="false">IF($H415=1,MAX(1,INT(($G415-'Cash Flow'!$E$6)/7)+1),"")</f>
        <v/>
      </c>
      <c r="J415" s="7" t="str">
        <f aca="false">IF($H415=1,$G415*10000+ROW(),"")</f>
        <v/>
      </c>
      <c r="K415" s="7" t="str">
        <f aca="false">IF($H415=1,$I415*1000+COUNTIFS($I$4:$I$483,$I415,$J$4:$J$483,"&lt;"&amp;$J415)+1,"")</f>
        <v/>
      </c>
      <c r="L415" s="121" t="str">
        <f aca="false">IF($F415="","",IF(Recurring!$G$30="Move Before",IF(WEEKDAY($F415,2)=6,$F415-1,IF(WEEKDAY($F415,2)=7,$F415-2,$F415)),IF(Recurring!$G$30="Move After",IF(WEEKDAY($F415,2)=6,$F415+2,IF(WEEKDAY($F415,2)=7,$F415+1,$F415)),$F415)))</f>
        <v/>
      </c>
      <c r="M415" s="0" t="str">
        <f aca="true">IF(AND($H415=1,$D415="Expense",$G415&gt;TODAY(),$E415&gt;=100),$G415*100000+ROW(),"")</f>
        <v/>
      </c>
      <c r="N415" s="0" t="str">
        <f aca="true">IF(AND($H415=1,$D415="Income",$G415&gt;TODAY()),$G415*100000+ROW(),"")</f>
        <v/>
      </c>
    </row>
    <row r="416" customFormat="false" ht="15" hidden="false" customHeight="true" outlineLevel="0" collapsed="false">
      <c r="A416" s="117" t="n">
        <v>26</v>
      </c>
      <c r="B416" s="117" t="n">
        <v>13</v>
      </c>
      <c r="C416" s="7" t="str">
        <f aca="false">IF(OR(Recurring!$B$30="",Recurring!$H$30&lt;&gt;"Yes",Recurring!$D$30=""),"",Recurring!$B$30)</f>
        <v/>
      </c>
      <c r="D416" s="7" t="str">
        <f aca="false">IF($C416="","",Recurring!$C$30)</f>
        <v/>
      </c>
      <c r="E416" s="118" t="str">
        <f aca="false">IF($C416="","",IF(SUMIFS(Overrides!$E$9:$E$108,Overrides!$B$9:$B$108,$C416,Overrides!$C$9:$C$108,$L416)&gt;0,SUMIFS(Overrides!$E$9:$E$108,Overrides!$B$9:$B$108,$C416,Overrides!$C$9:$C$108,$L416),Recurring!$D$30))</f>
        <v/>
      </c>
      <c r="F416" s="119" t="str">
        <f aca="false">IF($C416="","",IF(Recurring!$E$30="Weekly",Recurring!$F$30+7*12,IF(Recurring!$E$30="Every 2 Weeks",Recurring!$F$30+14*12,IF(Recurring!$E$30="Monthly",EDATE(Recurring!$F$30,12),IF(Recurring!$E$30="Twice a Month",IF(MOD((IF(DAY(Recurring!$F$30)&lt;=20,0,1)+12),2)=1,EOMONTH(Recurring!$F$30,INT((IF(DAY(Recurring!$F$30)&lt;=20,0,1)+12)/2)),DATE(YEAR(EDATE(Recurring!$F$30,INT((IF(DAY(Recurring!$F$30)&lt;=20,0,1)+12)/2))),MONTH(EDATE(Recurring!$F$30,INT((IF(DAY(Recurring!$F$30)&lt;=20,0,1)+12)/2))),15)),IF(Recurring!$E$30="One Time",IF(13=1,Recurring!$F$30,""),""))))))</f>
        <v/>
      </c>
      <c r="G416" s="119" t="str">
        <f aca="false">IF($L416="","",IF(SUMIFS(Overrides!$D$9:$D$108,Overrides!$B$9:$B$108,$C416,Overrides!$C$9:$C$108,$L416)&gt;0,SUMIFS(Overrides!$D$9:$D$108,Overrides!$B$9:$B$108,$C416,Overrides!$C$9:$C$108,$L416),$L416))</f>
        <v/>
      </c>
      <c r="H416" s="120" t="n">
        <f aca="false">IF($G416="",0,IF(AND($G416&gt;='Cash Flow'!$E$6,$G416&lt;'Cash Flow'!$E$6+91),1,0))</f>
        <v>0</v>
      </c>
      <c r="I416" s="120" t="str">
        <f aca="false">IF($H416=1,MAX(1,INT(($G416-'Cash Flow'!$E$6)/7)+1),"")</f>
        <v/>
      </c>
      <c r="J416" s="7" t="str">
        <f aca="false">IF($H416=1,$G416*10000+ROW(),"")</f>
        <v/>
      </c>
      <c r="K416" s="7" t="str">
        <f aca="false">IF($H416=1,$I416*1000+COUNTIFS($I$4:$I$483,$I416,$J$4:$J$483,"&lt;"&amp;$J416)+1,"")</f>
        <v/>
      </c>
      <c r="L416" s="121" t="str">
        <f aca="false">IF($F416="","",IF(Recurring!$G$30="Move Before",IF(WEEKDAY($F416,2)=6,$F416-1,IF(WEEKDAY($F416,2)=7,$F416-2,$F416)),IF(Recurring!$G$30="Move After",IF(WEEKDAY($F416,2)=6,$F416+2,IF(WEEKDAY($F416,2)=7,$F416+1,$F416)),$F416)))</f>
        <v/>
      </c>
      <c r="M416" s="0" t="str">
        <f aca="true">IF(AND($H416=1,$D416="Expense",$G416&gt;TODAY(),$E416&gt;=100),$G416*100000+ROW(),"")</f>
        <v/>
      </c>
      <c r="N416" s="0" t="str">
        <f aca="true">IF(AND($H416=1,$D416="Income",$G416&gt;TODAY()),$G416*100000+ROW(),"")</f>
        <v/>
      </c>
    </row>
    <row r="417" customFormat="false" ht="15" hidden="false" customHeight="true" outlineLevel="0" collapsed="false">
      <c r="A417" s="117" t="n">
        <v>26</v>
      </c>
      <c r="B417" s="117" t="n">
        <v>14</v>
      </c>
      <c r="C417" s="7" t="str">
        <f aca="false">IF(OR(Recurring!$B$30="",Recurring!$H$30&lt;&gt;"Yes",Recurring!$D$30=""),"",Recurring!$B$30)</f>
        <v/>
      </c>
      <c r="D417" s="7" t="str">
        <f aca="false">IF($C417="","",Recurring!$C$30)</f>
        <v/>
      </c>
      <c r="E417" s="118" t="str">
        <f aca="false">IF($C417="","",IF(SUMIFS(Overrides!$E$9:$E$108,Overrides!$B$9:$B$108,$C417,Overrides!$C$9:$C$108,$L417)&gt;0,SUMIFS(Overrides!$E$9:$E$108,Overrides!$B$9:$B$108,$C417,Overrides!$C$9:$C$108,$L417),Recurring!$D$30))</f>
        <v/>
      </c>
      <c r="F417" s="119" t="str">
        <f aca="false">IF($C417="","",IF(Recurring!$E$30="Weekly",Recurring!$F$30+7*13,IF(Recurring!$E$30="Every 2 Weeks",Recurring!$F$30+14*13,IF(Recurring!$E$30="Monthly",EDATE(Recurring!$F$30,13),IF(Recurring!$E$30="Twice a Month",IF(MOD((IF(DAY(Recurring!$F$30)&lt;=20,0,1)+13),2)=1,EOMONTH(Recurring!$F$30,INT((IF(DAY(Recurring!$F$30)&lt;=20,0,1)+13)/2)),DATE(YEAR(EDATE(Recurring!$F$30,INT((IF(DAY(Recurring!$F$30)&lt;=20,0,1)+13)/2))),MONTH(EDATE(Recurring!$F$30,INT((IF(DAY(Recurring!$F$30)&lt;=20,0,1)+13)/2))),15)),IF(Recurring!$E$30="One Time",IF(14=1,Recurring!$F$30,""),""))))))</f>
        <v/>
      </c>
      <c r="G417" s="119" t="str">
        <f aca="false">IF($L417="","",IF(SUMIFS(Overrides!$D$9:$D$108,Overrides!$B$9:$B$108,$C417,Overrides!$C$9:$C$108,$L417)&gt;0,SUMIFS(Overrides!$D$9:$D$108,Overrides!$B$9:$B$108,$C417,Overrides!$C$9:$C$108,$L417),$L417))</f>
        <v/>
      </c>
      <c r="H417" s="120" t="n">
        <f aca="false">IF($G417="",0,IF(AND($G417&gt;='Cash Flow'!$E$6,$G417&lt;'Cash Flow'!$E$6+91),1,0))</f>
        <v>0</v>
      </c>
      <c r="I417" s="120" t="str">
        <f aca="false">IF($H417=1,MAX(1,INT(($G417-'Cash Flow'!$E$6)/7)+1),"")</f>
        <v/>
      </c>
      <c r="J417" s="7" t="str">
        <f aca="false">IF($H417=1,$G417*10000+ROW(),"")</f>
        <v/>
      </c>
      <c r="K417" s="7" t="str">
        <f aca="false">IF($H417=1,$I417*1000+COUNTIFS($I$4:$I$483,$I417,$J$4:$J$483,"&lt;"&amp;$J417)+1,"")</f>
        <v/>
      </c>
      <c r="L417" s="121" t="str">
        <f aca="false">IF($F417="","",IF(Recurring!$G$30="Move Before",IF(WEEKDAY($F417,2)=6,$F417-1,IF(WEEKDAY($F417,2)=7,$F417-2,$F417)),IF(Recurring!$G$30="Move After",IF(WEEKDAY($F417,2)=6,$F417+2,IF(WEEKDAY($F417,2)=7,$F417+1,$F417)),$F417)))</f>
        <v/>
      </c>
      <c r="M417" s="0" t="str">
        <f aca="true">IF(AND($H417=1,$D417="Expense",$G417&gt;TODAY(),$E417&gt;=100),$G417*100000+ROW(),"")</f>
        <v/>
      </c>
      <c r="N417" s="0" t="str">
        <f aca="true">IF(AND($H417=1,$D417="Income",$G417&gt;TODAY()),$G417*100000+ROW(),"")</f>
        <v/>
      </c>
    </row>
    <row r="418" customFormat="false" ht="15" hidden="false" customHeight="true" outlineLevel="0" collapsed="false">
      <c r="A418" s="117" t="n">
        <v>26</v>
      </c>
      <c r="B418" s="117" t="n">
        <v>15</v>
      </c>
      <c r="C418" s="7" t="str">
        <f aca="false">IF(OR(Recurring!$B$30="",Recurring!$H$30&lt;&gt;"Yes",Recurring!$D$30=""),"",Recurring!$B$30)</f>
        <v/>
      </c>
      <c r="D418" s="7" t="str">
        <f aca="false">IF($C418="","",Recurring!$C$30)</f>
        <v/>
      </c>
      <c r="E418" s="118" t="str">
        <f aca="false">IF($C418="","",IF(SUMIFS(Overrides!$E$9:$E$108,Overrides!$B$9:$B$108,$C418,Overrides!$C$9:$C$108,$L418)&gt;0,SUMIFS(Overrides!$E$9:$E$108,Overrides!$B$9:$B$108,$C418,Overrides!$C$9:$C$108,$L418),Recurring!$D$30))</f>
        <v/>
      </c>
      <c r="F418" s="119" t="str">
        <f aca="false">IF($C418="","",IF(Recurring!$E$30="Weekly",Recurring!$F$30+7*14,IF(Recurring!$E$30="Every 2 Weeks",Recurring!$F$30+14*14,IF(Recurring!$E$30="Monthly",EDATE(Recurring!$F$30,14),IF(Recurring!$E$30="Twice a Month",IF(MOD((IF(DAY(Recurring!$F$30)&lt;=20,0,1)+14),2)=1,EOMONTH(Recurring!$F$30,INT((IF(DAY(Recurring!$F$30)&lt;=20,0,1)+14)/2)),DATE(YEAR(EDATE(Recurring!$F$30,INT((IF(DAY(Recurring!$F$30)&lt;=20,0,1)+14)/2))),MONTH(EDATE(Recurring!$F$30,INT((IF(DAY(Recurring!$F$30)&lt;=20,0,1)+14)/2))),15)),IF(Recurring!$E$30="One Time",IF(15=1,Recurring!$F$30,""),""))))))</f>
        <v/>
      </c>
      <c r="G418" s="119" t="str">
        <f aca="false">IF($L418="","",IF(SUMIFS(Overrides!$D$9:$D$108,Overrides!$B$9:$B$108,$C418,Overrides!$C$9:$C$108,$L418)&gt;0,SUMIFS(Overrides!$D$9:$D$108,Overrides!$B$9:$B$108,$C418,Overrides!$C$9:$C$108,$L418),$L418))</f>
        <v/>
      </c>
      <c r="H418" s="120" t="n">
        <f aca="false">IF($G418="",0,IF(AND($G418&gt;='Cash Flow'!$E$6,$G418&lt;'Cash Flow'!$E$6+91),1,0))</f>
        <v>0</v>
      </c>
      <c r="I418" s="120" t="str">
        <f aca="false">IF($H418=1,MAX(1,INT(($G418-'Cash Flow'!$E$6)/7)+1),"")</f>
        <v/>
      </c>
      <c r="J418" s="7" t="str">
        <f aca="false">IF($H418=1,$G418*10000+ROW(),"")</f>
        <v/>
      </c>
      <c r="K418" s="7" t="str">
        <f aca="false">IF($H418=1,$I418*1000+COUNTIFS($I$4:$I$483,$I418,$J$4:$J$483,"&lt;"&amp;$J418)+1,"")</f>
        <v/>
      </c>
      <c r="L418" s="121" t="str">
        <f aca="false">IF($F418="","",IF(Recurring!$G$30="Move Before",IF(WEEKDAY($F418,2)=6,$F418-1,IF(WEEKDAY($F418,2)=7,$F418-2,$F418)),IF(Recurring!$G$30="Move After",IF(WEEKDAY($F418,2)=6,$F418+2,IF(WEEKDAY($F418,2)=7,$F418+1,$F418)),$F418)))</f>
        <v/>
      </c>
      <c r="M418" s="0" t="str">
        <f aca="true">IF(AND($H418=1,$D418="Expense",$G418&gt;TODAY(),$E418&gt;=100),$G418*100000+ROW(),"")</f>
        <v/>
      </c>
      <c r="N418" s="0" t="str">
        <f aca="true">IF(AND($H418=1,$D418="Income",$G418&gt;TODAY()),$G418*100000+ROW(),"")</f>
        <v/>
      </c>
    </row>
    <row r="419" customFormat="false" ht="15" hidden="false" customHeight="true" outlineLevel="0" collapsed="false">
      <c r="A419" s="117" t="n">
        <v>26</v>
      </c>
      <c r="B419" s="117" t="n">
        <v>16</v>
      </c>
      <c r="C419" s="7" t="str">
        <f aca="false">IF(OR(Recurring!$B$30="",Recurring!$H$30&lt;&gt;"Yes",Recurring!$D$30=""),"",Recurring!$B$30)</f>
        <v/>
      </c>
      <c r="D419" s="7" t="str">
        <f aca="false">IF($C419="","",Recurring!$C$30)</f>
        <v/>
      </c>
      <c r="E419" s="118" t="str">
        <f aca="false">IF($C419="","",IF(SUMIFS(Overrides!$E$9:$E$108,Overrides!$B$9:$B$108,$C419,Overrides!$C$9:$C$108,$L419)&gt;0,SUMIFS(Overrides!$E$9:$E$108,Overrides!$B$9:$B$108,$C419,Overrides!$C$9:$C$108,$L419),Recurring!$D$30))</f>
        <v/>
      </c>
      <c r="F419" s="119" t="str">
        <f aca="false">IF($C419="","",IF(Recurring!$E$30="Weekly",Recurring!$F$30+7*15,IF(Recurring!$E$30="Every 2 Weeks",Recurring!$F$30+14*15,IF(Recurring!$E$30="Monthly",EDATE(Recurring!$F$30,15),IF(Recurring!$E$30="Twice a Month",IF(MOD((IF(DAY(Recurring!$F$30)&lt;=20,0,1)+15),2)=1,EOMONTH(Recurring!$F$30,INT((IF(DAY(Recurring!$F$30)&lt;=20,0,1)+15)/2)),DATE(YEAR(EDATE(Recurring!$F$30,INT((IF(DAY(Recurring!$F$30)&lt;=20,0,1)+15)/2))),MONTH(EDATE(Recurring!$F$30,INT((IF(DAY(Recurring!$F$30)&lt;=20,0,1)+15)/2))),15)),IF(Recurring!$E$30="One Time",IF(16=1,Recurring!$F$30,""),""))))))</f>
        <v/>
      </c>
      <c r="G419" s="119" t="str">
        <f aca="false">IF($L419="","",IF(SUMIFS(Overrides!$D$9:$D$108,Overrides!$B$9:$B$108,$C419,Overrides!$C$9:$C$108,$L419)&gt;0,SUMIFS(Overrides!$D$9:$D$108,Overrides!$B$9:$B$108,$C419,Overrides!$C$9:$C$108,$L419),$L419))</f>
        <v/>
      </c>
      <c r="H419" s="120" t="n">
        <f aca="false">IF($G419="",0,IF(AND($G419&gt;='Cash Flow'!$E$6,$G419&lt;'Cash Flow'!$E$6+91),1,0))</f>
        <v>0</v>
      </c>
      <c r="I419" s="120" t="str">
        <f aca="false">IF($H419=1,MAX(1,INT(($G419-'Cash Flow'!$E$6)/7)+1),"")</f>
        <v/>
      </c>
      <c r="J419" s="7" t="str">
        <f aca="false">IF($H419=1,$G419*10000+ROW(),"")</f>
        <v/>
      </c>
      <c r="K419" s="7" t="str">
        <f aca="false">IF($H419=1,$I419*1000+COUNTIFS($I$4:$I$483,$I419,$J$4:$J$483,"&lt;"&amp;$J419)+1,"")</f>
        <v/>
      </c>
      <c r="L419" s="121" t="str">
        <f aca="false">IF($F419="","",IF(Recurring!$G$30="Move Before",IF(WEEKDAY($F419,2)=6,$F419-1,IF(WEEKDAY($F419,2)=7,$F419-2,$F419)),IF(Recurring!$G$30="Move After",IF(WEEKDAY($F419,2)=6,$F419+2,IF(WEEKDAY($F419,2)=7,$F419+1,$F419)),$F419)))</f>
        <v/>
      </c>
      <c r="M419" s="0" t="str">
        <f aca="true">IF(AND($H419=1,$D419="Expense",$G419&gt;TODAY(),$E419&gt;=100),$G419*100000+ROW(),"")</f>
        <v/>
      </c>
      <c r="N419" s="0" t="str">
        <f aca="true">IF(AND($H419=1,$D419="Income",$G419&gt;TODAY()),$G419*100000+ROW(),"")</f>
        <v/>
      </c>
    </row>
    <row r="420" customFormat="false" ht="15" hidden="false" customHeight="true" outlineLevel="0" collapsed="false">
      <c r="A420" s="117" t="n">
        <v>27</v>
      </c>
      <c r="B420" s="117" t="n">
        <v>1</v>
      </c>
      <c r="C420" s="7" t="str">
        <f aca="false">IF(OR(Recurring!$B$31="",Recurring!$H$31&lt;&gt;"Yes",Recurring!$D$31=""),"",Recurring!$B$31)</f>
        <v/>
      </c>
      <c r="D420" s="7" t="str">
        <f aca="false">IF($C420="","",Recurring!$C$31)</f>
        <v/>
      </c>
      <c r="E420" s="118" t="str">
        <f aca="false">IF($C420="","",IF(SUMIFS(Overrides!$E$9:$E$108,Overrides!$B$9:$B$108,$C420,Overrides!$C$9:$C$108,$L420)&gt;0,SUMIFS(Overrides!$E$9:$E$108,Overrides!$B$9:$B$108,$C420,Overrides!$C$9:$C$108,$L420),Recurring!$D$31))</f>
        <v/>
      </c>
      <c r="F420" s="119" t="str">
        <f aca="false">IF($C420="","",IF(Recurring!$E$31="Weekly",Recurring!$F$31+7*0,IF(Recurring!$E$31="Every 2 Weeks",Recurring!$F$31+14*0,IF(Recurring!$E$31="Monthly",EDATE(Recurring!$F$31,0),IF(Recurring!$E$31="Twice a Month",IF(MOD((IF(DAY(Recurring!$F$31)&lt;=20,0,1)+0),2)=1,EOMONTH(Recurring!$F$31,INT((IF(DAY(Recurring!$F$31)&lt;=20,0,1)+0)/2)),DATE(YEAR(EDATE(Recurring!$F$31,INT((IF(DAY(Recurring!$F$31)&lt;=20,0,1)+0)/2))),MONTH(EDATE(Recurring!$F$31,INT((IF(DAY(Recurring!$F$31)&lt;=20,0,1)+0)/2))),15)),IF(Recurring!$E$31="One Time",IF(1=1,Recurring!$F$31,""),""))))))</f>
        <v/>
      </c>
      <c r="G420" s="119" t="str">
        <f aca="false">IF($L420="","",IF(SUMIFS(Overrides!$D$9:$D$108,Overrides!$B$9:$B$108,$C420,Overrides!$C$9:$C$108,$L420)&gt;0,SUMIFS(Overrides!$D$9:$D$108,Overrides!$B$9:$B$108,$C420,Overrides!$C$9:$C$108,$L420),$L420))</f>
        <v/>
      </c>
      <c r="H420" s="120" t="n">
        <f aca="false">IF($G420="",0,IF(AND($G420&gt;='Cash Flow'!$E$6-90,$G420&lt;'Cash Flow'!$E$6+91),1,0))</f>
        <v>0</v>
      </c>
      <c r="I420" s="120" t="str">
        <f aca="false">IF($H420=1,MAX(1,INT(($G420-'Cash Flow'!$E$6)/7)+1),"")</f>
        <v/>
      </c>
      <c r="J420" s="7" t="str">
        <f aca="false">IF($H420=1,$G420*10000+ROW(),"")</f>
        <v/>
      </c>
      <c r="K420" s="7" t="str">
        <f aca="false">IF($H420=1,$I420*1000+COUNTIFS($I$4:$I$483,$I420,$J$4:$J$483,"&lt;"&amp;$J420)+1,"")</f>
        <v/>
      </c>
      <c r="L420" s="121" t="str">
        <f aca="false">IF($F420="","",IF(Recurring!$G$31="Move Before",IF(WEEKDAY($F420,2)=6,$F420-1,IF(WEEKDAY($F420,2)=7,$F420-2,$F420)),IF(Recurring!$G$31="Move After",IF(WEEKDAY($F420,2)=6,$F420+2,IF(WEEKDAY($F420,2)=7,$F420+1,$F420)),$F420)))</f>
        <v/>
      </c>
      <c r="M420" s="0" t="str">
        <f aca="true">IF(AND($H420=1,$D420="Expense",$G420&gt;TODAY(),$E420&gt;=100),$G420*100000+ROW(),"")</f>
        <v/>
      </c>
      <c r="N420" s="0" t="str">
        <f aca="true">IF(AND($H420=1,$D420="Income",$G420&gt;TODAY()),$G420*100000+ROW(),"")</f>
        <v/>
      </c>
    </row>
    <row r="421" customFormat="false" ht="15" hidden="false" customHeight="true" outlineLevel="0" collapsed="false">
      <c r="A421" s="117" t="n">
        <v>27</v>
      </c>
      <c r="B421" s="117" t="n">
        <v>2</v>
      </c>
      <c r="C421" s="7" t="str">
        <f aca="false">IF(OR(Recurring!$B$31="",Recurring!$H$31&lt;&gt;"Yes",Recurring!$D$31=""),"",Recurring!$B$31)</f>
        <v/>
      </c>
      <c r="D421" s="7" t="str">
        <f aca="false">IF($C421="","",Recurring!$C$31)</f>
        <v/>
      </c>
      <c r="E421" s="118" t="str">
        <f aca="false">IF($C421="","",IF(SUMIFS(Overrides!$E$9:$E$108,Overrides!$B$9:$B$108,$C421,Overrides!$C$9:$C$108,$L421)&gt;0,SUMIFS(Overrides!$E$9:$E$108,Overrides!$B$9:$B$108,$C421,Overrides!$C$9:$C$108,$L421),Recurring!$D$31))</f>
        <v/>
      </c>
      <c r="F421" s="119" t="str">
        <f aca="false">IF($C421="","",IF(Recurring!$E$31="Weekly",Recurring!$F$31+7*1,IF(Recurring!$E$31="Every 2 Weeks",Recurring!$F$31+14*1,IF(Recurring!$E$31="Monthly",EDATE(Recurring!$F$31,1),IF(Recurring!$E$31="Twice a Month",IF(MOD((IF(DAY(Recurring!$F$31)&lt;=20,0,1)+1),2)=1,EOMONTH(Recurring!$F$31,INT((IF(DAY(Recurring!$F$31)&lt;=20,0,1)+1)/2)),DATE(YEAR(EDATE(Recurring!$F$31,INT((IF(DAY(Recurring!$F$31)&lt;=20,0,1)+1)/2))),MONTH(EDATE(Recurring!$F$31,INT((IF(DAY(Recurring!$F$31)&lt;=20,0,1)+1)/2))),15)),IF(Recurring!$E$31="One Time",IF(2=1,Recurring!$F$31,""),""))))))</f>
        <v/>
      </c>
      <c r="G421" s="119" t="str">
        <f aca="false">IF($L421="","",IF(SUMIFS(Overrides!$D$9:$D$108,Overrides!$B$9:$B$108,$C421,Overrides!$C$9:$C$108,$L421)&gt;0,SUMIFS(Overrides!$D$9:$D$108,Overrides!$B$9:$B$108,$C421,Overrides!$C$9:$C$108,$L421),$L421))</f>
        <v/>
      </c>
      <c r="H421" s="120" t="n">
        <f aca="false">IF($G421="",0,IF(AND($G421&gt;='Cash Flow'!$E$6,$G421&lt;'Cash Flow'!$E$6+91),1,0))</f>
        <v>0</v>
      </c>
      <c r="I421" s="120" t="str">
        <f aca="false">IF($H421=1,MAX(1,INT(($G421-'Cash Flow'!$E$6)/7)+1),"")</f>
        <v/>
      </c>
      <c r="J421" s="7" t="str">
        <f aca="false">IF($H421=1,$G421*10000+ROW(),"")</f>
        <v/>
      </c>
      <c r="K421" s="7" t="str">
        <f aca="false">IF($H421=1,$I421*1000+COUNTIFS($I$4:$I$483,$I421,$J$4:$J$483,"&lt;"&amp;$J421)+1,"")</f>
        <v/>
      </c>
      <c r="L421" s="121" t="str">
        <f aca="false">IF($F421="","",IF(Recurring!$G$31="Move Before",IF(WEEKDAY($F421,2)=6,$F421-1,IF(WEEKDAY($F421,2)=7,$F421-2,$F421)),IF(Recurring!$G$31="Move After",IF(WEEKDAY($F421,2)=6,$F421+2,IF(WEEKDAY($F421,2)=7,$F421+1,$F421)),$F421)))</f>
        <v/>
      </c>
      <c r="M421" s="0" t="str">
        <f aca="true">IF(AND($H421=1,$D421="Expense",$G421&gt;TODAY(),$E421&gt;=100),$G421*100000+ROW(),"")</f>
        <v/>
      </c>
      <c r="N421" s="0" t="str">
        <f aca="true">IF(AND($H421=1,$D421="Income",$G421&gt;TODAY()),$G421*100000+ROW(),"")</f>
        <v/>
      </c>
    </row>
    <row r="422" customFormat="false" ht="15" hidden="false" customHeight="true" outlineLevel="0" collapsed="false">
      <c r="A422" s="117" t="n">
        <v>27</v>
      </c>
      <c r="B422" s="117" t="n">
        <v>3</v>
      </c>
      <c r="C422" s="7" t="str">
        <f aca="false">IF(OR(Recurring!$B$31="",Recurring!$H$31&lt;&gt;"Yes",Recurring!$D$31=""),"",Recurring!$B$31)</f>
        <v/>
      </c>
      <c r="D422" s="7" t="str">
        <f aca="false">IF($C422="","",Recurring!$C$31)</f>
        <v/>
      </c>
      <c r="E422" s="118" t="str">
        <f aca="false">IF($C422="","",IF(SUMIFS(Overrides!$E$9:$E$108,Overrides!$B$9:$B$108,$C422,Overrides!$C$9:$C$108,$L422)&gt;0,SUMIFS(Overrides!$E$9:$E$108,Overrides!$B$9:$B$108,$C422,Overrides!$C$9:$C$108,$L422),Recurring!$D$31))</f>
        <v/>
      </c>
      <c r="F422" s="119" t="str">
        <f aca="false">IF($C422="","",IF(Recurring!$E$31="Weekly",Recurring!$F$31+7*2,IF(Recurring!$E$31="Every 2 Weeks",Recurring!$F$31+14*2,IF(Recurring!$E$31="Monthly",EDATE(Recurring!$F$31,2),IF(Recurring!$E$31="Twice a Month",IF(MOD((IF(DAY(Recurring!$F$31)&lt;=20,0,1)+2),2)=1,EOMONTH(Recurring!$F$31,INT((IF(DAY(Recurring!$F$31)&lt;=20,0,1)+2)/2)),DATE(YEAR(EDATE(Recurring!$F$31,INT((IF(DAY(Recurring!$F$31)&lt;=20,0,1)+2)/2))),MONTH(EDATE(Recurring!$F$31,INT((IF(DAY(Recurring!$F$31)&lt;=20,0,1)+2)/2))),15)),IF(Recurring!$E$31="One Time",IF(3=1,Recurring!$F$31,""),""))))))</f>
        <v/>
      </c>
      <c r="G422" s="119" t="str">
        <f aca="false">IF($L422="","",IF(SUMIFS(Overrides!$D$9:$D$108,Overrides!$B$9:$B$108,$C422,Overrides!$C$9:$C$108,$L422)&gt;0,SUMIFS(Overrides!$D$9:$D$108,Overrides!$B$9:$B$108,$C422,Overrides!$C$9:$C$108,$L422),$L422))</f>
        <v/>
      </c>
      <c r="H422" s="120" t="n">
        <f aca="false">IF($G422="",0,IF(AND($G422&gt;='Cash Flow'!$E$6,$G422&lt;'Cash Flow'!$E$6+91),1,0))</f>
        <v>0</v>
      </c>
      <c r="I422" s="120" t="str">
        <f aca="false">IF($H422=1,MAX(1,INT(($G422-'Cash Flow'!$E$6)/7)+1),"")</f>
        <v/>
      </c>
      <c r="J422" s="7" t="str">
        <f aca="false">IF($H422=1,$G422*10000+ROW(),"")</f>
        <v/>
      </c>
      <c r="K422" s="7" t="str">
        <f aca="false">IF($H422=1,$I422*1000+COUNTIFS($I$4:$I$483,$I422,$J$4:$J$483,"&lt;"&amp;$J422)+1,"")</f>
        <v/>
      </c>
      <c r="L422" s="121" t="str">
        <f aca="false">IF($F422="","",IF(Recurring!$G$31="Move Before",IF(WEEKDAY($F422,2)=6,$F422-1,IF(WEEKDAY($F422,2)=7,$F422-2,$F422)),IF(Recurring!$G$31="Move After",IF(WEEKDAY($F422,2)=6,$F422+2,IF(WEEKDAY($F422,2)=7,$F422+1,$F422)),$F422)))</f>
        <v/>
      </c>
      <c r="M422" s="0" t="str">
        <f aca="true">IF(AND($H422=1,$D422="Expense",$G422&gt;TODAY(),$E422&gt;=100),$G422*100000+ROW(),"")</f>
        <v/>
      </c>
      <c r="N422" s="0" t="str">
        <f aca="true">IF(AND($H422=1,$D422="Income",$G422&gt;TODAY()),$G422*100000+ROW(),"")</f>
        <v/>
      </c>
    </row>
    <row r="423" customFormat="false" ht="15" hidden="false" customHeight="true" outlineLevel="0" collapsed="false">
      <c r="A423" s="117" t="n">
        <v>27</v>
      </c>
      <c r="B423" s="117" t="n">
        <v>4</v>
      </c>
      <c r="C423" s="7" t="str">
        <f aca="false">IF(OR(Recurring!$B$31="",Recurring!$H$31&lt;&gt;"Yes",Recurring!$D$31=""),"",Recurring!$B$31)</f>
        <v/>
      </c>
      <c r="D423" s="7" t="str">
        <f aca="false">IF($C423="","",Recurring!$C$31)</f>
        <v/>
      </c>
      <c r="E423" s="118" t="str">
        <f aca="false">IF($C423="","",IF(SUMIFS(Overrides!$E$9:$E$108,Overrides!$B$9:$B$108,$C423,Overrides!$C$9:$C$108,$L423)&gt;0,SUMIFS(Overrides!$E$9:$E$108,Overrides!$B$9:$B$108,$C423,Overrides!$C$9:$C$108,$L423),Recurring!$D$31))</f>
        <v/>
      </c>
      <c r="F423" s="119" t="str">
        <f aca="false">IF($C423="","",IF(Recurring!$E$31="Weekly",Recurring!$F$31+7*3,IF(Recurring!$E$31="Every 2 Weeks",Recurring!$F$31+14*3,IF(Recurring!$E$31="Monthly",EDATE(Recurring!$F$31,3),IF(Recurring!$E$31="Twice a Month",IF(MOD((IF(DAY(Recurring!$F$31)&lt;=20,0,1)+3),2)=1,EOMONTH(Recurring!$F$31,INT((IF(DAY(Recurring!$F$31)&lt;=20,0,1)+3)/2)),DATE(YEAR(EDATE(Recurring!$F$31,INT((IF(DAY(Recurring!$F$31)&lt;=20,0,1)+3)/2))),MONTH(EDATE(Recurring!$F$31,INT((IF(DAY(Recurring!$F$31)&lt;=20,0,1)+3)/2))),15)),IF(Recurring!$E$31="One Time",IF(4=1,Recurring!$F$31,""),""))))))</f>
        <v/>
      </c>
      <c r="G423" s="119" t="str">
        <f aca="false">IF($L423="","",IF(SUMIFS(Overrides!$D$9:$D$108,Overrides!$B$9:$B$108,$C423,Overrides!$C$9:$C$108,$L423)&gt;0,SUMIFS(Overrides!$D$9:$D$108,Overrides!$B$9:$B$108,$C423,Overrides!$C$9:$C$108,$L423),$L423))</f>
        <v/>
      </c>
      <c r="H423" s="120" t="n">
        <f aca="false">IF($G423="",0,IF(AND($G423&gt;='Cash Flow'!$E$6,$G423&lt;'Cash Flow'!$E$6+91),1,0))</f>
        <v>0</v>
      </c>
      <c r="I423" s="120" t="str">
        <f aca="false">IF($H423=1,MAX(1,INT(($G423-'Cash Flow'!$E$6)/7)+1),"")</f>
        <v/>
      </c>
      <c r="J423" s="7" t="str">
        <f aca="false">IF($H423=1,$G423*10000+ROW(),"")</f>
        <v/>
      </c>
      <c r="K423" s="7" t="str">
        <f aca="false">IF($H423=1,$I423*1000+COUNTIFS($I$4:$I$483,$I423,$J$4:$J$483,"&lt;"&amp;$J423)+1,"")</f>
        <v/>
      </c>
      <c r="L423" s="121" t="str">
        <f aca="false">IF($F423="","",IF(Recurring!$G$31="Move Before",IF(WEEKDAY($F423,2)=6,$F423-1,IF(WEEKDAY($F423,2)=7,$F423-2,$F423)),IF(Recurring!$G$31="Move After",IF(WEEKDAY($F423,2)=6,$F423+2,IF(WEEKDAY($F423,2)=7,$F423+1,$F423)),$F423)))</f>
        <v/>
      </c>
      <c r="M423" s="0" t="str">
        <f aca="true">IF(AND($H423=1,$D423="Expense",$G423&gt;TODAY(),$E423&gt;=100),$G423*100000+ROW(),"")</f>
        <v/>
      </c>
      <c r="N423" s="0" t="str">
        <f aca="true">IF(AND($H423=1,$D423="Income",$G423&gt;TODAY()),$G423*100000+ROW(),"")</f>
        <v/>
      </c>
    </row>
    <row r="424" customFormat="false" ht="15" hidden="false" customHeight="true" outlineLevel="0" collapsed="false">
      <c r="A424" s="117" t="n">
        <v>27</v>
      </c>
      <c r="B424" s="117" t="n">
        <v>5</v>
      </c>
      <c r="C424" s="7" t="str">
        <f aca="false">IF(OR(Recurring!$B$31="",Recurring!$H$31&lt;&gt;"Yes",Recurring!$D$31=""),"",Recurring!$B$31)</f>
        <v/>
      </c>
      <c r="D424" s="7" t="str">
        <f aca="false">IF($C424="","",Recurring!$C$31)</f>
        <v/>
      </c>
      <c r="E424" s="118" t="str">
        <f aca="false">IF($C424="","",IF(SUMIFS(Overrides!$E$9:$E$108,Overrides!$B$9:$B$108,$C424,Overrides!$C$9:$C$108,$L424)&gt;0,SUMIFS(Overrides!$E$9:$E$108,Overrides!$B$9:$B$108,$C424,Overrides!$C$9:$C$108,$L424),Recurring!$D$31))</f>
        <v/>
      </c>
      <c r="F424" s="119" t="str">
        <f aca="false">IF($C424="","",IF(Recurring!$E$31="Weekly",Recurring!$F$31+7*4,IF(Recurring!$E$31="Every 2 Weeks",Recurring!$F$31+14*4,IF(Recurring!$E$31="Monthly",EDATE(Recurring!$F$31,4),IF(Recurring!$E$31="Twice a Month",IF(MOD((IF(DAY(Recurring!$F$31)&lt;=20,0,1)+4),2)=1,EOMONTH(Recurring!$F$31,INT((IF(DAY(Recurring!$F$31)&lt;=20,0,1)+4)/2)),DATE(YEAR(EDATE(Recurring!$F$31,INT((IF(DAY(Recurring!$F$31)&lt;=20,0,1)+4)/2))),MONTH(EDATE(Recurring!$F$31,INT((IF(DAY(Recurring!$F$31)&lt;=20,0,1)+4)/2))),15)),IF(Recurring!$E$31="One Time",IF(5=1,Recurring!$F$31,""),""))))))</f>
        <v/>
      </c>
      <c r="G424" s="119" t="str">
        <f aca="false">IF($L424="","",IF(SUMIFS(Overrides!$D$9:$D$108,Overrides!$B$9:$B$108,$C424,Overrides!$C$9:$C$108,$L424)&gt;0,SUMIFS(Overrides!$D$9:$D$108,Overrides!$B$9:$B$108,$C424,Overrides!$C$9:$C$108,$L424),$L424))</f>
        <v/>
      </c>
      <c r="H424" s="120" t="n">
        <f aca="false">IF($G424="",0,IF(AND($G424&gt;='Cash Flow'!$E$6,$G424&lt;'Cash Flow'!$E$6+91),1,0))</f>
        <v>0</v>
      </c>
      <c r="I424" s="120" t="str">
        <f aca="false">IF($H424=1,MAX(1,INT(($G424-'Cash Flow'!$E$6)/7)+1),"")</f>
        <v/>
      </c>
      <c r="J424" s="7" t="str">
        <f aca="false">IF($H424=1,$G424*10000+ROW(),"")</f>
        <v/>
      </c>
      <c r="K424" s="7" t="str">
        <f aca="false">IF($H424=1,$I424*1000+COUNTIFS($I$4:$I$483,$I424,$J$4:$J$483,"&lt;"&amp;$J424)+1,"")</f>
        <v/>
      </c>
      <c r="L424" s="121" t="str">
        <f aca="false">IF($F424="","",IF(Recurring!$G$31="Move Before",IF(WEEKDAY($F424,2)=6,$F424-1,IF(WEEKDAY($F424,2)=7,$F424-2,$F424)),IF(Recurring!$G$31="Move After",IF(WEEKDAY($F424,2)=6,$F424+2,IF(WEEKDAY($F424,2)=7,$F424+1,$F424)),$F424)))</f>
        <v/>
      </c>
      <c r="M424" s="0" t="str">
        <f aca="true">IF(AND($H424=1,$D424="Expense",$G424&gt;TODAY(),$E424&gt;=100),$G424*100000+ROW(),"")</f>
        <v/>
      </c>
      <c r="N424" s="0" t="str">
        <f aca="true">IF(AND($H424=1,$D424="Income",$G424&gt;TODAY()),$G424*100000+ROW(),"")</f>
        <v/>
      </c>
    </row>
    <row r="425" customFormat="false" ht="15" hidden="false" customHeight="true" outlineLevel="0" collapsed="false">
      <c r="A425" s="117" t="n">
        <v>27</v>
      </c>
      <c r="B425" s="117" t="n">
        <v>6</v>
      </c>
      <c r="C425" s="7" t="str">
        <f aca="false">IF(OR(Recurring!$B$31="",Recurring!$H$31&lt;&gt;"Yes",Recurring!$D$31=""),"",Recurring!$B$31)</f>
        <v/>
      </c>
      <c r="D425" s="7" t="str">
        <f aca="false">IF($C425="","",Recurring!$C$31)</f>
        <v/>
      </c>
      <c r="E425" s="118" t="str">
        <f aca="false">IF($C425="","",IF(SUMIFS(Overrides!$E$9:$E$108,Overrides!$B$9:$B$108,$C425,Overrides!$C$9:$C$108,$L425)&gt;0,SUMIFS(Overrides!$E$9:$E$108,Overrides!$B$9:$B$108,$C425,Overrides!$C$9:$C$108,$L425),Recurring!$D$31))</f>
        <v/>
      </c>
      <c r="F425" s="119" t="str">
        <f aca="false">IF($C425="","",IF(Recurring!$E$31="Weekly",Recurring!$F$31+7*5,IF(Recurring!$E$31="Every 2 Weeks",Recurring!$F$31+14*5,IF(Recurring!$E$31="Monthly",EDATE(Recurring!$F$31,5),IF(Recurring!$E$31="Twice a Month",IF(MOD((IF(DAY(Recurring!$F$31)&lt;=20,0,1)+5),2)=1,EOMONTH(Recurring!$F$31,INT((IF(DAY(Recurring!$F$31)&lt;=20,0,1)+5)/2)),DATE(YEAR(EDATE(Recurring!$F$31,INT((IF(DAY(Recurring!$F$31)&lt;=20,0,1)+5)/2))),MONTH(EDATE(Recurring!$F$31,INT((IF(DAY(Recurring!$F$31)&lt;=20,0,1)+5)/2))),15)),IF(Recurring!$E$31="One Time",IF(6=1,Recurring!$F$31,""),""))))))</f>
        <v/>
      </c>
      <c r="G425" s="119" t="str">
        <f aca="false">IF($L425="","",IF(SUMIFS(Overrides!$D$9:$D$108,Overrides!$B$9:$B$108,$C425,Overrides!$C$9:$C$108,$L425)&gt;0,SUMIFS(Overrides!$D$9:$D$108,Overrides!$B$9:$B$108,$C425,Overrides!$C$9:$C$108,$L425),$L425))</f>
        <v/>
      </c>
      <c r="H425" s="120" t="n">
        <f aca="false">IF($G425="",0,IF(AND($G425&gt;='Cash Flow'!$E$6,$G425&lt;'Cash Flow'!$E$6+91),1,0))</f>
        <v>0</v>
      </c>
      <c r="I425" s="120" t="str">
        <f aca="false">IF($H425=1,MAX(1,INT(($G425-'Cash Flow'!$E$6)/7)+1),"")</f>
        <v/>
      </c>
      <c r="J425" s="7" t="str">
        <f aca="false">IF($H425=1,$G425*10000+ROW(),"")</f>
        <v/>
      </c>
      <c r="K425" s="7" t="str">
        <f aca="false">IF($H425=1,$I425*1000+COUNTIFS($I$4:$I$483,$I425,$J$4:$J$483,"&lt;"&amp;$J425)+1,"")</f>
        <v/>
      </c>
      <c r="L425" s="121" t="str">
        <f aca="false">IF($F425="","",IF(Recurring!$G$31="Move Before",IF(WEEKDAY($F425,2)=6,$F425-1,IF(WEEKDAY($F425,2)=7,$F425-2,$F425)),IF(Recurring!$G$31="Move After",IF(WEEKDAY($F425,2)=6,$F425+2,IF(WEEKDAY($F425,2)=7,$F425+1,$F425)),$F425)))</f>
        <v/>
      </c>
      <c r="M425" s="0" t="str">
        <f aca="true">IF(AND($H425=1,$D425="Expense",$G425&gt;TODAY(),$E425&gt;=100),$G425*100000+ROW(),"")</f>
        <v/>
      </c>
      <c r="N425" s="0" t="str">
        <f aca="true">IF(AND($H425=1,$D425="Income",$G425&gt;TODAY()),$G425*100000+ROW(),"")</f>
        <v/>
      </c>
    </row>
    <row r="426" customFormat="false" ht="15" hidden="false" customHeight="true" outlineLevel="0" collapsed="false">
      <c r="A426" s="117" t="n">
        <v>27</v>
      </c>
      <c r="B426" s="117" t="n">
        <v>7</v>
      </c>
      <c r="C426" s="7" t="str">
        <f aca="false">IF(OR(Recurring!$B$31="",Recurring!$H$31&lt;&gt;"Yes",Recurring!$D$31=""),"",Recurring!$B$31)</f>
        <v/>
      </c>
      <c r="D426" s="7" t="str">
        <f aca="false">IF($C426="","",Recurring!$C$31)</f>
        <v/>
      </c>
      <c r="E426" s="118" t="str">
        <f aca="false">IF($C426="","",IF(SUMIFS(Overrides!$E$9:$E$108,Overrides!$B$9:$B$108,$C426,Overrides!$C$9:$C$108,$L426)&gt;0,SUMIFS(Overrides!$E$9:$E$108,Overrides!$B$9:$B$108,$C426,Overrides!$C$9:$C$108,$L426),Recurring!$D$31))</f>
        <v/>
      </c>
      <c r="F426" s="119" t="str">
        <f aca="false">IF($C426="","",IF(Recurring!$E$31="Weekly",Recurring!$F$31+7*6,IF(Recurring!$E$31="Every 2 Weeks",Recurring!$F$31+14*6,IF(Recurring!$E$31="Monthly",EDATE(Recurring!$F$31,6),IF(Recurring!$E$31="Twice a Month",IF(MOD((IF(DAY(Recurring!$F$31)&lt;=20,0,1)+6),2)=1,EOMONTH(Recurring!$F$31,INT((IF(DAY(Recurring!$F$31)&lt;=20,0,1)+6)/2)),DATE(YEAR(EDATE(Recurring!$F$31,INT((IF(DAY(Recurring!$F$31)&lt;=20,0,1)+6)/2))),MONTH(EDATE(Recurring!$F$31,INT((IF(DAY(Recurring!$F$31)&lt;=20,0,1)+6)/2))),15)),IF(Recurring!$E$31="One Time",IF(7=1,Recurring!$F$31,""),""))))))</f>
        <v/>
      </c>
      <c r="G426" s="119" t="str">
        <f aca="false">IF($L426="","",IF(SUMIFS(Overrides!$D$9:$D$108,Overrides!$B$9:$B$108,$C426,Overrides!$C$9:$C$108,$L426)&gt;0,SUMIFS(Overrides!$D$9:$D$108,Overrides!$B$9:$B$108,$C426,Overrides!$C$9:$C$108,$L426),$L426))</f>
        <v/>
      </c>
      <c r="H426" s="120" t="n">
        <f aca="false">IF($G426="",0,IF(AND($G426&gt;='Cash Flow'!$E$6,$G426&lt;'Cash Flow'!$E$6+91),1,0))</f>
        <v>0</v>
      </c>
      <c r="I426" s="120" t="str">
        <f aca="false">IF($H426=1,MAX(1,INT(($G426-'Cash Flow'!$E$6)/7)+1),"")</f>
        <v/>
      </c>
      <c r="J426" s="7" t="str">
        <f aca="false">IF($H426=1,$G426*10000+ROW(),"")</f>
        <v/>
      </c>
      <c r="K426" s="7" t="str">
        <f aca="false">IF($H426=1,$I426*1000+COUNTIFS($I$4:$I$483,$I426,$J$4:$J$483,"&lt;"&amp;$J426)+1,"")</f>
        <v/>
      </c>
      <c r="L426" s="121" t="str">
        <f aca="false">IF($F426="","",IF(Recurring!$G$31="Move Before",IF(WEEKDAY($F426,2)=6,$F426-1,IF(WEEKDAY($F426,2)=7,$F426-2,$F426)),IF(Recurring!$G$31="Move After",IF(WEEKDAY($F426,2)=6,$F426+2,IF(WEEKDAY($F426,2)=7,$F426+1,$F426)),$F426)))</f>
        <v/>
      </c>
      <c r="M426" s="0" t="str">
        <f aca="true">IF(AND($H426=1,$D426="Expense",$G426&gt;TODAY(),$E426&gt;=100),$G426*100000+ROW(),"")</f>
        <v/>
      </c>
      <c r="N426" s="0" t="str">
        <f aca="true">IF(AND($H426=1,$D426="Income",$G426&gt;TODAY()),$G426*100000+ROW(),"")</f>
        <v/>
      </c>
    </row>
    <row r="427" customFormat="false" ht="15" hidden="false" customHeight="true" outlineLevel="0" collapsed="false">
      <c r="A427" s="117" t="n">
        <v>27</v>
      </c>
      <c r="B427" s="117" t="n">
        <v>8</v>
      </c>
      <c r="C427" s="7" t="str">
        <f aca="false">IF(OR(Recurring!$B$31="",Recurring!$H$31&lt;&gt;"Yes",Recurring!$D$31=""),"",Recurring!$B$31)</f>
        <v/>
      </c>
      <c r="D427" s="7" t="str">
        <f aca="false">IF($C427="","",Recurring!$C$31)</f>
        <v/>
      </c>
      <c r="E427" s="118" t="str">
        <f aca="false">IF($C427="","",IF(SUMIFS(Overrides!$E$9:$E$108,Overrides!$B$9:$B$108,$C427,Overrides!$C$9:$C$108,$L427)&gt;0,SUMIFS(Overrides!$E$9:$E$108,Overrides!$B$9:$B$108,$C427,Overrides!$C$9:$C$108,$L427),Recurring!$D$31))</f>
        <v/>
      </c>
      <c r="F427" s="119" t="str">
        <f aca="false">IF($C427="","",IF(Recurring!$E$31="Weekly",Recurring!$F$31+7*7,IF(Recurring!$E$31="Every 2 Weeks",Recurring!$F$31+14*7,IF(Recurring!$E$31="Monthly",EDATE(Recurring!$F$31,7),IF(Recurring!$E$31="Twice a Month",IF(MOD((IF(DAY(Recurring!$F$31)&lt;=20,0,1)+7),2)=1,EOMONTH(Recurring!$F$31,INT((IF(DAY(Recurring!$F$31)&lt;=20,0,1)+7)/2)),DATE(YEAR(EDATE(Recurring!$F$31,INT((IF(DAY(Recurring!$F$31)&lt;=20,0,1)+7)/2))),MONTH(EDATE(Recurring!$F$31,INT((IF(DAY(Recurring!$F$31)&lt;=20,0,1)+7)/2))),15)),IF(Recurring!$E$31="One Time",IF(8=1,Recurring!$F$31,""),""))))))</f>
        <v/>
      </c>
      <c r="G427" s="119" t="str">
        <f aca="false">IF($L427="","",IF(SUMIFS(Overrides!$D$9:$D$108,Overrides!$B$9:$B$108,$C427,Overrides!$C$9:$C$108,$L427)&gt;0,SUMIFS(Overrides!$D$9:$D$108,Overrides!$B$9:$B$108,$C427,Overrides!$C$9:$C$108,$L427),$L427))</f>
        <v/>
      </c>
      <c r="H427" s="120" t="n">
        <f aca="false">IF($G427="",0,IF(AND($G427&gt;='Cash Flow'!$E$6,$G427&lt;'Cash Flow'!$E$6+91),1,0))</f>
        <v>0</v>
      </c>
      <c r="I427" s="120" t="str">
        <f aca="false">IF($H427=1,MAX(1,INT(($G427-'Cash Flow'!$E$6)/7)+1),"")</f>
        <v/>
      </c>
      <c r="J427" s="7" t="str">
        <f aca="false">IF($H427=1,$G427*10000+ROW(),"")</f>
        <v/>
      </c>
      <c r="K427" s="7" t="str">
        <f aca="false">IF($H427=1,$I427*1000+COUNTIFS($I$4:$I$483,$I427,$J$4:$J$483,"&lt;"&amp;$J427)+1,"")</f>
        <v/>
      </c>
      <c r="L427" s="121" t="str">
        <f aca="false">IF($F427="","",IF(Recurring!$G$31="Move Before",IF(WEEKDAY($F427,2)=6,$F427-1,IF(WEEKDAY($F427,2)=7,$F427-2,$F427)),IF(Recurring!$G$31="Move After",IF(WEEKDAY($F427,2)=6,$F427+2,IF(WEEKDAY($F427,2)=7,$F427+1,$F427)),$F427)))</f>
        <v/>
      </c>
      <c r="M427" s="0" t="str">
        <f aca="true">IF(AND($H427=1,$D427="Expense",$G427&gt;TODAY(),$E427&gt;=100),$G427*100000+ROW(),"")</f>
        <v/>
      </c>
      <c r="N427" s="0" t="str">
        <f aca="true">IF(AND($H427=1,$D427="Income",$G427&gt;TODAY()),$G427*100000+ROW(),"")</f>
        <v/>
      </c>
    </row>
    <row r="428" customFormat="false" ht="15" hidden="false" customHeight="true" outlineLevel="0" collapsed="false">
      <c r="A428" s="117" t="n">
        <v>27</v>
      </c>
      <c r="B428" s="117" t="n">
        <v>9</v>
      </c>
      <c r="C428" s="7" t="str">
        <f aca="false">IF(OR(Recurring!$B$31="",Recurring!$H$31&lt;&gt;"Yes",Recurring!$D$31=""),"",Recurring!$B$31)</f>
        <v/>
      </c>
      <c r="D428" s="7" t="str">
        <f aca="false">IF($C428="","",Recurring!$C$31)</f>
        <v/>
      </c>
      <c r="E428" s="118" t="str">
        <f aca="false">IF($C428="","",IF(SUMIFS(Overrides!$E$9:$E$108,Overrides!$B$9:$B$108,$C428,Overrides!$C$9:$C$108,$L428)&gt;0,SUMIFS(Overrides!$E$9:$E$108,Overrides!$B$9:$B$108,$C428,Overrides!$C$9:$C$108,$L428),Recurring!$D$31))</f>
        <v/>
      </c>
      <c r="F428" s="119" t="str">
        <f aca="false">IF($C428="","",IF(Recurring!$E$31="Weekly",Recurring!$F$31+7*8,IF(Recurring!$E$31="Every 2 Weeks",Recurring!$F$31+14*8,IF(Recurring!$E$31="Monthly",EDATE(Recurring!$F$31,8),IF(Recurring!$E$31="Twice a Month",IF(MOD((IF(DAY(Recurring!$F$31)&lt;=20,0,1)+8),2)=1,EOMONTH(Recurring!$F$31,INT((IF(DAY(Recurring!$F$31)&lt;=20,0,1)+8)/2)),DATE(YEAR(EDATE(Recurring!$F$31,INT((IF(DAY(Recurring!$F$31)&lt;=20,0,1)+8)/2))),MONTH(EDATE(Recurring!$F$31,INT((IF(DAY(Recurring!$F$31)&lt;=20,0,1)+8)/2))),15)),IF(Recurring!$E$31="One Time",IF(9=1,Recurring!$F$31,""),""))))))</f>
        <v/>
      </c>
      <c r="G428" s="119" t="str">
        <f aca="false">IF($L428="","",IF(SUMIFS(Overrides!$D$9:$D$108,Overrides!$B$9:$B$108,$C428,Overrides!$C$9:$C$108,$L428)&gt;0,SUMIFS(Overrides!$D$9:$D$108,Overrides!$B$9:$B$108,$C428,Overrides!$C$9:$C$108,$L428),$L428))</f>
        <v/>
      </c>
      <c r="H428" s="120" t="n">
        <f aca="false">IF($G428="",0,IF(AND($G428&gt;='Cash Flow'!$E$6,$G428&lt;'Cash Flow'!$E$6+91),1,0))</f>
        <v>0</v>
      </c>
      <c r="I428" s="120" t="str">
        <f aca="false">IF($H428=1,MAX(1,INT(($G428-'Cash Flow'!$E$6)/7)+1),"")</f>
        <v/>
      </c>
      <c r="J428" s="7" t="str">
        <f aca="false">IF($H428=1,$G428*10000+ROW(),"")</f>
        <v/>
      </c>
      <c r="K428" s="7" t="str">
        <f aca="false">IF($H428=1,$I428*1000+COUNTIFS($I$4:$I$483,$I428,$J$4:$J$483,"&lt;"&amp;$J428)+1,"")</f>
        <v/>
      </c>
      <c r="L428" s="121" t="str">
        <f aca="false">IF($F428="","",IF(Recurring!$G$31="Move Before",IF(WEEKDAY($F428,2)=6,$F428-1,IF(WEEKDAY($F428,2)=7,$F428-2,$F428)),IF(Recurring!$G$31="Move After",IF(WEEKDAY($F428,2)=6,$F428+2,IF(WEEKDAY($F428,2)=7,$F428+1,$F428)),$F428)))</f>
        <v/>
      </c>
      <c r="M428" s="0" t="str">
        <f aca="true">IF(AND($H428=1,$D428="Expense",$G428&gt;TODAY(),$E428&gt;=100),$G428*100000+ROW(),"")</f>
        <v/>
      </c>
      <c r="N428" s="0" t="str">
        <f aca="true">IF(AND($H428=1,$D428="Income",$G428&gt;TODAY()),$G428*100000+ROW(),"")</f>
        <v/>
      </c>
    </row>
    <row r="429" customFormat="false" ht="15" hidden="false" customHeight="true" outlineLevel="0" collapsed="false">
      <c r="A429" s="117" t="n">
        <v>27</v>
      </c>
      <c r="B429" s="117" t="n">
        <v>10</v>
      </c>
      <c r="C429" s="7" t="str">
        <f aca="false">IF(OR(Recurring!$B$31="",Recurring!$H$31&lt;&gt;"Yes",Recurring!$D$31=""),"",Recurring!$B$31)</f>
        <v/>
      </c>
      <c r="D429" s="7" t="str">
        <f aca="false">IF($C429="","",Recurring!$C$31)</f>
        <v/>
      </c>
      <c r="E429" s="118" t="str">
        <f aca="false">IF($C429="","",IF(SUMIFS(Overrides!$E$9:$E$108,Overrides!$B$9:$B$108,$C429,Overrides!$C$9:$C$108,$L429)&gt;0,SUMIFS(Overrides!$E$9:$E$108,Overrides!$B$9:$B$108,$C429,Overrides!$C$9:$C$108,$L429),Recurring!$D$31))</f>
        <v/>
      </c>
      <c r="F429" s="119" t="str">
        <f aca="false">IF($C429="","",IF(Recurring!$E$31="Weekly",Recurring!$F$31+7*9,IF(Recurring!$E$31="Every 2 Weeks",Recurring!$F$31+14*9,IF(Recurring!$E$31="Monthly",EDATE(Recurring!$F$31,9),IF(Recurring!$E$31="Twice a Month",IF(MOD((IF(DAY(Recurring!$F$31)&lt;=20,0,1)+9),2)=1,EOMONTH(Recurring!$F$31,INT((IF(DAY(Recurring!$F$31)&lt;=20,0,1)+9)/2)),DATE(YEAR(EDATE(Recurring!$F$31,INT((IF(DAY(Recurring!$F$31)&lt;=20,0,1)+9)/2))),MONTH(EDATE(Recurring!$F$31,INT((IF(DAY(Recurring!$F$31)&lt;=20,0,1)+9)/2))),15)),IF(Recurring!$E$31="One Time",IF(10=1,Recurring!$F$31,""),""))))))</f>
        <v/>
      </c>
      <c r="G429" s="119" t="str">
        <f aca="false">IF($L429="","",IF(SUMIFS(Overrides!$D$9:$D$108,Overrides!$B$9:$B$108,$C429,Overrides!$C$9:$C$108,$L429)&gt;0,SUMIFS(Overrides!$D$9:$D$108,Overrides!$B$9:$B$108,$C429,Overrides!$C$9:$C$108,$L429),$L429))</f>
        <v/>
      </c>
      <c r="H429" s="120" t="n">
        <f aca="false">IF($G429="",0,IF(AND($G429&gt;='Cash Flow'!$E$6,$G429&lt;'Cash Flow'!$E$6+91),1,0))</f>
        <v>0</v>
      </c>
      <c r="I429" s="120" t="str">
        <f aca="false">IF($H429=1,MAX(1,INT(($G429-'Cash Flow'!$E$6)/7)+1),"")</f>
        <v/>
      </c>
      <c r="J429" s="7" t="str">
        <f aca="false">IF($H429=1,$G429*10000+ROW(),"")</f>
        <v/>
      </c>
      <c r="K429" s="7" t="str">
        <f aca="false">IF($H429=1,$I429*1000+COUNTIFS($I$4:$I$483,$I429,$J$4:$J$483,"&lt;"&amp;$J429)+1,"")</f>
        <v/>
      </c>
      <c r="L429" s="121" t="str">
        <f aca="false">IF($F429="","",IF(Recurring!$G$31="Move Before",IF(WEEKDAY($F429,2)=6,$F429-1,IF(WEEKDAY($F429,2)=7,$F429-2,$F429)),IF(Recurring!$G$31="Move After",IF(WEEKDAY($F429,2)=6,$F429+2,IF(WEEKDAY($F429,2)=7,$F429+1,$F429)),$F429)))</f>
        <v/>
      </c>
      <c r="M429" s="0" t="str">
        <f aca="true">IF(AND($H429=1,$D429="Expense",$G429&gt;TODAY(),$E429&gt;=100),$G429*100000+ROW(),"")</f>
        <v/>
      </c>
      <c r="N429" s="0" t="str">
        <f aca="true">IF(AND($H429=1,$D429="Income",$G429&gt;TODAY()),$G429*100000+ROW(),"")</f>
        <v/>
      </c>
    </row>
    <row r="430" customFormat="false" ht="15" hidden="false" customHeight="true" outlineLevel="0" collapsed="false">
      <c r="A430" s="117" t="n">
        <v>27</v>
      </c>
      <c r="B430" s="117" t="n">
        <v>11</v>
      </c>
      <c r="C430" s="7" t="str">
        <f aca="false">IF(OR(Recurring!$B$31="",Recurring!$H$31&lt;&gt;"Yes",Recurring!$D$31=""),"",Recurring!$B$31)</f>
        <v/>
      </c>
      <c r="D430" s="7" t="str">
        <f aca="false">IF($C430="","",Recurring!$C$31)</f>
        <v/>
      </c>
      <c r="E430" s="118" t="str">
        <f aca="false">IF($C430="","",IF(SUMIFS(Overrides!$E$9:$E$108,Overrides!$B$9:$B$108,$C430,Overrides!$C$9:$C$108,$L430)&gt;0,SUMIFS(Overrides!$E$9:$E$108,Overrides!$B$9:$B$108,$C430,Overrides!$C$9:$C$108,$L430),Recurring!$D$31))</f>
        <v/>
      </c>
      <c r="F430" s="119" t="str">
        <f aca="false">IF($C430="","",IF(Recurring!$E$31="Weekly",Recurring!$F$31+7*10,IF(Recurring!$E$31="Every 2 Weeks",Recurring!$F$31+14*10,IF(Recurring!$E$31="Monthly",EDATE(Recurring!$F$31,10),IF(Recurring!$E$31="Twice a Month",IF(MOD((IF(DAY(Recurring!$F$31)&lt;=20,0,1)+10),2)=1,EOMONTH(Recurring!$F$31,INT((IF(DAY(Recurring!$F$31)&lt;=20,0,1)+10)/2)),DATE(YEAR(EDATE(Recurring!$F$31,INT((IF(DAY(Recurring!$F$31)&lt;=20,0,1)+10)/2))),MONTH(EDATE(Recurring!$F$31,INT((IF(DAY(Recurring!$F$31)&lt;=20,0,1)+10)/2))),15)),IF(Recurring!$E$31="One Time",IF(11=1,Recurring!$F$31,""),""))))))</f>
        <v/>
      </c>
      <c r="G430" s="119" t="str">
        <f aca="false">IF($L430="","",IF(SUMIFS(Overrides!$D$9:$D$108,Overrides!$B$9:$B$108,$C430,Overrides!$C$9:$C$108,$L430)&gt;0,SUMIFS(Overrides!$D$9:$D$108,Overrides!$B$9:$B$108,$C430,Overrides!$C$9:$C$108,$L430),$L430))</f>
        <v/>
      </c>
      <c r="H430" s="120" t="n">
        <f aca="false">IF($G430="",0,IF(AND($G430&gt;='Cash Flow'!$E$6,$G430&lt;'Cash Flow'!$E$6+91),1,0))</f>
        <v>0</v>
      </c>
      <c r="I430" s="120" t="str">
        <f aca="false">IF($H430=1,MAX(1,INT(($G430-'Cash Flow'!$E$6)/7)+1),"")</f>
        <v/>
      </c>
      <c r="J430" s="7" t="str">
        <f aca="false">IF($H430=1,$G430*10000+ROW(),"")</f>
        <v/>
      </c>
      <c r="K430" s="7" t="str">
        <f aca="false">IF($H430=1,$I430*1000+COUNTIFS($I$4:$I$483,$I430,$J$4:$J$483,"&lt;"&amp;$J430)+1,"")</f>
        <v/>
      </c>
      <c r="L430" s="121" t="str">
        <f aca="false">IF($F430="","",IF(Recurring!$G$31="Move Before",IF(WEEKDAY($F430,2)=6,$F430-1,IF(WEEKDAY($F430,2)=7,$F430-2,$F430)),IF(Recurring!$G$31="Move After",IF(WEEKDAY($F430,2)=6,$F430+2,IF(WEEKDAY($F430,2)=7,$F430+1,$F430)),$F430)))</f>
        <v/>
      </c>
      <c r="M430" s="0" t="str">
        <f aca="true">IF(AND($H430=1,$D430="Expense",$G430&gt;TODAY(),$E430&gt;=100),$G430*100000+ROW(),"")</f>
        <v/>
      </c>
      <c r="N430" s="0" t="str">
        <f aca="true">IF(AND($H430=1,$D430="Income",$G430&gt;TODAY()),$G430*100000+ROW(),"")</f>
        <v/>
      </c>
    </row>
    <row r="431" customFormat="false" ht="15" hidden="false" customHeight="true" outlineLevel="0" collapsed="false">
      <c r="A431" s="117" t="n">
        <v>27</v>
      </c>
      <c r="B431" s="117" t="n">
        <v>12</v>
      </c>
      <c r="C431" s="7" t="str">
        <f aca="false">IF(OR(Recurring!$B$31="",Recurring!$H$31&lt;&gt;"Yes",Recurring!$D$31=""),"",Recurring!$B$31)</f>
        <v/>
      </c>
      <c r="D431" s="7" t="str">
        <f aca="false">IF($C431="","",Recurring!$C$31)</f>
        <v/>
      </c>
      <c r="E431" s="118" t="str">
        <f aca="false">IF($C431="","",IF(SUMIFS(Overrides!$E$9:$E$108,Overrides!$B$9:$B$108,$C431,Overrides!$C$9:$C$108,$L431)&gt;0,SUMIFS(Overrides!$E$9:$E$108,Overrides!$B$9:$B$108,$C431,Overrides!$C$9:$C$108,$L431),Recurring!$D$31))</f>
        <v/>
      </c>
      <c r="F431" s="119" t="str">
        <f aca="false">IF($C431="","",IF(Recurring!$E$31="Weekly",Recurring!$F$31+7*11,IF(Recurring!$E$31="Every 2 Weeks",Recurring!$F$31+14*11,IF(Recurring!$E$31="Monthly",EDATE(Recurring!$F$31,11),IF(Recurring!$E$31="Twice a Month",IF(MOD((IF(DAY(Recurring!$F$31)&lt;=20,0,1)+11),2)=1,EOMONTH(Recurring!$F$31,INT((IF(DAY(Recurring!$F$31)&lt;=20,0,1)+11)/2)),DATE(YEAR(EDATE(Recurring!$F$31,INT((IF(DAY(Recurring!$F$31)&lt;=20,0,1)+11)/2))),MONTH(EDATE(Recurring!$F$31,INT((IF(DAY(Recurring!$F$31)&lt;=20,0,1)+11)/2))),15)),IF(Recurring!$E$31="One Time",IF(12=1,Recurring!$F$31,""),""))))))</f>
        <v/>
      </c>
      <c r="G431" s="119" t="str">
        <f aca="false">IF($L431="","",IF(SUMIFS(Overrides!$D$9:$D$108,Overrides!$B$9:$B$108,$C431,Overrides!$C$9:$C$108,$L431)&gt;0,SUMIFS(Overrides!$D$9:$D$108,Overrides!$B$9:$B$108,$C431,Overrides!$C$9:$C$108,$L431),$L431))</f>
        <v/>
      </c>
      <c r="H431" s="120" t="n">
        <f aca="false">IF($G431="",0,IF(AND($G431&gt;='Cash Flow'!$E$6,$G431&lt;'Cash Flow'!$E$6+91),1,0))</f>
        <v>0</v>
      </c>
      <c r="I431" s="120" t="str">
        <f aca="false">IF($H431=1,MAX(1,INT(($G431-'Cash Flow'!$E$6)/7)+1),"")</f>
        <v/>
      </c>
      <c r="J431" s="7" t="str">
        <f aca="false">IF($H431=1,$G431*10000+ROW(),"")</f>
        <v/>
      </c>
      <c r="K431" s="7" t="str">
        <f aca="false">IF($H431=1,$I431*1000+COUNTIFS($I$4:$I$483,$I431,$J$4:$J$483,"&lt;"&amp;$J431)+1,"")</f>
        <v/>
      </c>
      <c r="L431" s="121" t="str">
        <f aca="false">IF($F431="","",IF(Recurring!$G$31="Move Before",IF(WEEKDAY($F431,2)=6,$F431-1,IF(WEEKDAY($F431,2)=7,$F431-2,$F431)),IF(Recurring!$G$31="Move After",IF(WEEKDAY($F431,2)=6,$F431+2,IF(WEEKDAY($F431,2)=7,$F431+1,$F431)),$F431)))</f>
        <v/>
      </c>
      <c r="M431" s="0" t="str">
        <f aca="true">IF(AND($H431=1,$D431="Expense",$G431&gt;TODAY(),$E431&gt;=100),$G431*100000+ROW(),"")</f>
        <v/>
      </c>
      <c r="N431" s="0" t="str">
        <f aca="true">IF(AND($H431=1,$D431="Income",$G431&gt;TODAY()),$G431*100000+ROW(),"")</f>
        <v/>
      </c>
    </row>
    <row r="432" customFormat="false" ht="15" hidden="false" customHeight="true" outlineLevel="0" collapsed="false">
      <c r="A432" s="117" t="n">
        <v>27</v>
      </c>
      <c r="B432" s="117" t="n">
        <v>13</v>
      </c>
      <c r="C432" s="7" t="str">
        <f aca="false">IF(OR(Recurring!$B$31="",Recurring!$H$31&lt;&gt;"Yes",Recurring!$D$31=""),"",Recurring!$B$31)</f>
        <v/>
      </c>
      <c r="D432" s="7" t="str">
        <f aca="false">IF($C432="","",Recurring!$C$31)</f>
        <v/>
      </c>
      <c r="E432" s="118" t="str">
        <f aca="false">IF($C432="","",IF(SUMIFS(Overrides!$E$9:$E$108,Overrides!$B$9:$B$108,$C432,Overrides!$C$9:$C$108,$L432)&gt;0,SUMIFS(Overrides!$E$9:$E$108,Overrides!$B$9:$B$108,$C432,Overrides!$C$9:$C$108,$L432),Recurring!$D$31))</f>
        <v/>
      </c>
      <c r="F432" s="119" t="str">
        <f aca="false">IF($C432="","",IF(Recurring!$E$31="Weekly",Recurring!$F$31+7*12,IF(Recurring!$E$31="Every 2 Weeks",Recurring!$F$31+14*12,IF(Recurring!$E$31="Monthly",EDATE(Recurring!$F$31,12),IF(Recurring!$E$31="Twice a Month",IF(MOD((IF(DAY(Recurring!$F$31)&lt;=20,0,1)+12),2)=1,EOMONTH(Recurring!$F$31,INT((IF(DAY(Recurring!$F$31)&lt;=20,0,1)+12)/2)),DATE(YEAR(EDATE(Recurring!$F$31,INT((IF(DAY(Recurring!$F$31)&lt;=20,0,1)+12)/2))),MONTH(EDATE(Recurring!$F$31,INT((IF(DAY(Recurring!$F$31)&lt;=20,0,1)+12)/2))),15)),IF(Recurring!$E$31="One Time",IF(13=1,Recurring!$F$31,""),""))))))</f>
        <v/>
      </c>
      <c r="G432" s="119" t="str">
        <f aca="false">IF($L432="","",IF(SUMIFS(Overrides!$D$9:$D$108,Overrides!$B$9:$B$108,$C432,Overrides!$C$9:$C$108,$L432)&gt;0,SUMIFS(Overrides!$D$9:$D$108,Overrides!$B$9:$B$108,$C432,Overrides!$C$9:$C$108,$L432),$L432))</f>
        <v/>
      </c>
      <c r="H432" s="120" t="n">
        <f aca="false">IF($G432="",0,IF(AND($G432&gt;='Cash Flow'!$E$6,$G432&lt;'Cash Flow'!$E$6+91),1,0))</f>
        <v>0</v>
      </c>
      <c r="I432" s="120" t="str">
        <f aca="false">IF($H432=1,MAX(1,INT(($G432-'Cash Flow'!$E$6)/7)+1),"")</f>
        <v/>
      </c>
      <c r="J432" s="7" t="str">
        <f aca="false">IF($H432=1,$G432*10000+ROW(),"")</f>
        <v/>
      </c>
      <c r="K432" s="7" t="str">
        <f aca="false">IF($H432=1,$I432*1000+COUNTIFS($I$4:$I$483,$I432,$J$4:$J$483,"&lt;"&amp;$J432)+1,"")</f>
        <v/>
      </c>
      <c r="L432" s="121" t="str">
        <f aca="false">IF($F432="","",IF(Recurring!$G$31="Move Before",IF(WEEKDAY($F432,2)=6,$F432-1,IF(WEEKDAY($F432,2)=7,$F432-2,$F432)),IF(Recurring!$G$31="Move After",IF(WEEKDAY($F432,2)=6,$F432+2,IF(WEEKDAY($F432,2)=7,$F432+1,$F432)),$F432)))</f>
        <v/>
      </c>
      <c r="M432" s="0" t="str">
        <f aca="true">IF(AND($H432=1,$D432="Expense",$G432&gt;TODAY(),$E432&gt;=100),$G432*100000+ROW(),"")</f>
        <v/>
      </c>
      <c r="N432" s="0" t="str">
        <f aca="true">IF(AND($H432=1,$D432="Income",$G432&gt;TODAY()),$G432*100000+ROW(),"")</f>
        <v/>
      </c>
    </row>
    <row r="433" customFormat="false" ht="15" hidden="false" customHeight="true" outlineLevel="0" collapsed="false">
      <c r="A433" s="117" t="n">
        <v>27</v>
      </c>
      <c r="B433" s="117" t="n">
        <v>14</v>
      </c>
      <c r="C433" s="7" t="str">
        <f aca="false">IF(OR(Recurring!$B$31="",Recurring!$H$31&lt;&gt;"Yes",Recurring!$D$31=""),"",Recurring!$B$31)</f>
        <v/>
      </c>
      <c r="D433" s="7" t="str">
        <f aca="false">IF($C433="","",Recurring!$C$31)</f>
        <v/>
      </c>
      <c r="E433" s="118" t="str">
        <f aca="false">IF($C433="","",IF(SUMIFS(Overrides!$E$9:$E$108,Overrides!$B$9:$B$108,$C433,Overrides!$C$9:$C$108,$L433)&gt;0,SUMIFS(Overrides!$E$9:$E$108,Overrides!$B$9:$B$108,$C433,Overrides!$C$9:$C$108,$L433),Recurring!$D$31))</f>
        <v/>
      </c>
      <c r="F433" s="119" t="str">
        <f aca="false">IF($C433="","",IF(Recurring!$E$31="Weekly",Recurring!$F$31+7*13,IF(Recurring!$E$31="Every 2 Weeks",Recurring!$F$31+14*13,IF(Recurring!$E$31="Monthly",EDATE(Recurring!$F$31,13),IF(Recurring!$E$31="Twice a Month",IF(MOD((IF(DAY(Recurring!$F$31)&lt;=20,0,1)+13),2)=1,EOMONTH(Recurring!$F$31,INT((IF(DAY(Recurring!$F$31)&lt;=20,0,1)+13)/2)),DATE(YEAR(EDATE(Recurring!$F$31,INT((IF(DAY(Recurring!$F$31)&lt;=20,0,1)+13)/2))),MONTH(EDATE(Recurring!$F$31,INT((IF(DAY(Recurring!$F$31)&lt;=20,0,1)+13)/2))),15)),IF(Recurring!$E$31="One Time",IF(14=1,Recurring!$F$31,""),""))))))</f>
        <v/>
      </c>
      <c r="G433" s="119" t="str">
        <f aca="false">IF($L433="","",IF(SUMIFS(Overrides!$D$9:$D$108,Overrides!$B$9:$B$108,$C433,Overrides!$C$9:$C$108,$L433)&gt;0,SUMIFS(Overrides!$D$9:$D$108,Overrides!$B$9:$B$108,$C433,Overrides!$C$9:$C$108,$L433),$L433))</f>
        <v/>
      </c>
      <c r="H433" s="120" t="n">
        <f aca="false">IF($G433="",0,IF(AND($G433&gt;='Cash Flow'!$E$6,$G433&lt;'Cash Flow'!$E$6+91),1,0))</f>
        <v>0</v>
      </c>
      <c r="I433" s="120" t="str">
        <f aca="false">IF($H433=1,MAX(1,INT(($G433-'Cash Flow'!$E$6)/7)+1),"")</f>
        <v/>
      </c>
      <c r="J433" s="7" t="str">
        <f aca="false">IF($H433=1,$G433*10000+ROW(),"")</f>
        <v/>
      </c>
      <c r="K433" s="7" t="str">
        <f aca="false">IF($H433=1,$I433*1000+COUNTIFS($I$4:$I$483,$I433,$J$4:$J$483,"&lt;"&amp;$J433)+1,"")</f>
        <v/>
      </c>
      <c r="L433" s="121" t="str">
        <f aca="false">IF($F433="","",IF(Recurring!$G$31="Move Before",IF(WEEKDAY($F433,2)=6,$F433-1,IF(WEEKDAY($F433,2)=7,$F433-2,$F433)),IF(Recurring!$G$31="Move After",IF(WEEKDAY($F433,2)=6,$F433+2,IF(WEEKDAY($F433,2)=7,$F433+1,$F433)),$F433)))</f>
        <v/>
      </c>
      <c r="M433" s="0" t="str">
        <f aca="true">IF(AND($H433=1,$D433="Expense",$G433&gt;TODAY(),$E433&gt;=100),$G433*100000+ROW(),"")</f>
        <v/>
      </c>
      <c r="N433" s="0" t="str">
        <f aca="true">IF(AND($H433=1,$D433="Income",$G433&gt;TODAY()),$G433*100000+ROW(),"")</f>
        <v/>
      </c>
    </row>
    <row r="434" customFormat="false" ht="15" hidden="false" customHeight="true" outlineLevel="0" collapsed="false">
      <c r="A434" s="117" t="n">
        <v>27</v>
      </c>
      <c r="B434" s="117" t="n">
        <v>15</v>
      </c>
      <c r="C434" s="7" t="str">
        <f aca="false">IF(OR(Recurring!$B$31="",Recurring!$H$31&lt;&gt;"Yes",Recurring!$D$31=""),"",Recurring!$B$31)</f>
        <v/>
      </c>
      <c r="D434" s="7" t="str">
        <f aca="false">IF($C434="","",Recurring!$C$31)</f>
        <v/>
      </c>
      <c r="E434" s="118" t="str">
        <f aca="false">IF($C434="","",IF(SUMIFS(Overrides!$E$9:$E$108,Overrides!$B$9:$B$108,$C434,Overrides!$C$9:$C$108,$L434)&gt;0,SUMIFS(Overrides!$E$9:$E$108,Overrides!$B$9:$B$108,$C434,Overrides!$C$9:$C$108,$L434),Recurring!$D$31))</f>
        <v/>
      </c>
      <c r="F434" s="119" t="str">
        <f aca="false">IF($C434="","",IF(Recurring!$E$31="Weekly",Recurring!$F$31+7*14,IF(Recurring!$E$31="Every 2 Weeks",Recurring!$F$31+14*14,IF(Recurring!$E$31="Monthly",EDATE(Recurring!$F$31,14),IF(Recurring!$E$31="Twice a Month",IF(MOD((IF(DAY(Recurring!$F$31)&lt;=20,0,1)+14),2)=1,EOMONTH(Recurring!$F$31,INT((IF(DAY(Recurring!$F$31)&lt;=20,0,1)+14)/2)),DATE(YEAR(EDATE(Recurring!$F$31,INT((IF(DAY(Recurring!$F$31)&lt;=20,0,1)+14)/2))),MONTH(EDATE(Recurring!$F$31,INT((IF(DAY(Recurring!$F$31)&lt;=20,0,1)+14)/2))),15)),IF(Recurring!$E$31="One Time",IF(15=1,Recurring!$F$31,""),""))))))</f>
        <v/>
      </c>
      <c r="G434" s="119" t="str">
        <f aca="false">IF($L434="","",IF(SUMIFS(Overrides!$D$9:$D$108,Overrides!$B$9:$B$108,$C434,Overrides!$C$9:$C$108,$L434)&gt;0,SUMIFS(Overrides!$D$9:$D$108,Overrides!$B$9:$B$108,$C434,Overrides!$C$9:$C$108,$L434),$L434))</f>
        <v/>
      </c>
      <c r="H434" s="120" t="n">
        <f aca="false">IF($G434="",0,IF(AND($G434&gt;='Cash Flow'!$E$6,$G434&lt;'Cash Flow'!$E$6+91),1,0))</f>
        <v>0</v>
      </c>
      <c r="I434" s="120" t="str">
        <f aca="false">IF($H434=1,MAX(1,INT(($G434-'Cash Flow'!$E$6)/7)+1),"")</f>
        <v/>
      </c>
      <c r="J434" s="7" t="str">
        <f aca="false">IF($H434=1,$G434*10000+ROW(),"")</f>
        <v/>
      </c>
      <c r="K434" s="7" t="str">
        <f aca="false">IF($H434=1,$I434*1000+COUNTIFS($I$4:$I$483,$I434,$J$4:$J$483,"&lt;"&amp;$J434)+1,"")</f>
        <v/>
      </c>
      <c r="L434" s="121" t="str">
        <f aca="false">IF($F434="","",IF(Recurring!$G$31="Move Before",IF(WEEKDAY($F434,2)=6,$F434-1,IF(WEEKDAY($F434,2)=7,$F434-2,$F434)),IF(Recurring!$G$31="Move After",IF(WEEKDAY($F434,2)=6,$F434+2,IF(WEEKDAY($F434,2)=7,$F434+1,$F434)),$F434)))</f>
        <v/>
      </c>
      <c r="M434" s="0" t="str">
        <f aca="true">IF(AND($H434=1,$D434="Expense",$G434&gt;TODAY(),$E434&gt;=100),$G434*100000+ROW(),"")</f>
        <v/>
      </c>
      <c r="N434" s="0" t="str">
        <f aca="true">IF(AND($H434=1,$D434="Income",$G434&gt;TODAY()),$G434*100000+ROW(),"")</f>
        <v/>
      </c>
    </row>
    <row r="435" customFormat="false" ht="15" hidden="false" customHeight="true" outlineLevel="0" collapsed="false">
      <c r="A435" s="117" t="n">
        <v>27</v>
      </c>
      <c r="B435" s="117" t="n">
        <v>16</v>
      </c>
      <c r="C435" s="7" t="str">
        <f aca="false">IF(OR(Recurring!$B$31="",Recurring!$H$31&lt;&gt;"Yes",Recurring!$D$31=""),"",Recurring!$B$31)</f>
        <v/>
      </c>
      <c r="D435" s="7" t="str">
        <f aca="false">IF($C435="","",Recurring!$C$31)</f>
        <v/>
      </c>
      <c r="E435" s="118" t="str">
        <f aca="false">IF($C435="","",IF(SUMIFS(Overrides!$E$9:$E$108,Overrides!$B$9:$B$108,$C435,Overrides!$C$9:$C$108,$L435)&gt;0,SUMIFS(Overrides!$E$9:$E$108,Overrides!$B$9:$B$108,$C435,Overrides!$C$9:$C$108,$L435),Recurring!$D$31))</f>
        <v/>
      </c>
      <c r="F435" s="119" t="str">
        <f aca="false">IF($C435="","",IF(Recurring!$E$31="Weekly",Recurring!$F$31+7*15,IF(Recurring!$E$31="Every 2 Weeks",Recurring!$F$31+14*15,IF(Recurring!$E$31="Monthly",EDATE(Recurring!$F$31,15),IF(Recurring!$E$31="Twice a Month",IF(MOD((IF(DAY(Recurring!$F$31)&lt;=20,0,1)+15),2)=1,EOMONTH(Recurring!$F$31,INT((IF(DAY(Recurring!$F$31)&lt;=20,0,1)+15)/2)),DATE(YEAR(EDATE(Recurring!$F$31,INT((IF(DAY(Recurring!$F$31)&lt;=20,0,1)+15)/2))),MONTH(EDATE(Recurring!$F$31,INT((IF(DAY(Recurring!$F$31)&lt;=20,0,1)+15)/2))),15)),IF(Recurring!$E$31="One Time",IF(16=1,Recurring!$F$31,""),""))))))</f>
        <v/>
      </c>
      <c r="G435" s="119" t="str">
        <f aca="false">IF($L435="","",IF(SUMIFS(Overrides!$D$9:$D$108,Overrides!$B$9:$B$108,$C435,Overrides!$C$9:$C$108,$L435)&gt;0,SUMIFS(Overrides!$D$9:$D$108,Overrides!$B$9:$B$108,$C435,Overrides!$C$9:$C$108,$L435),$L435))</f>
        <v/>
      </c>
      <c r="H435" s="120" t="n">
        <f aca="false">IF($G435="",0,IF(AND($G435&gt;='Cash Flow'!$E$6,$G435&lt;'Cash Flow'!$E$6+91),1,0))</f>
        <v>0</v>
      </c>
      <c r="I435" s="120" t="str">
        <f aca="false">IF($H435=1,MAX(1,INT(($G435-'Cash Flow'!$E$6)/7)+1),"")</f>
        <v/>
      </c>
      <c r="J435" s="7" t="str">
        <f aca="false">IF($H435=1,$G435*10000+ROW(),"")</f>
        <v/>
      </c>
      <c r="K435" s="7" t="str">
        <f aca="false">IF($H435=1,$I435*1000+COUNTIFS($I$4:$I$483,$I435,$J$4:$J$483,"&lt;"&amp;$J435)+1,"")</f>
        <v/>
      </c>
      <c r="L435" s="121" t="str">
        <f aca="false">IF($F435="","",IF(Recurring!$G$31="Move Before",IF(WEEKDAY($F435,2)=6,$F435-1,IF(WEEKDAY($F435,2)=7,$F435-2,$F435)),IF(Recurring!$G$31="Move After",IF(WEEKDAY($F435,2)=6,$F435+2,IF(WEEKDAY($F435,2)=7,$F435+1,$F435)),$F435)))</f>
        <v/>
      </c>
      <c r="M435" s="0" t="str">
        <f aca="true">IF(AND($H435=1,$D435="Expense",$G435&gt;TODAY(),$E435&gt;=100),$G435*100000+ROW(),"")</f>
        <v/>
      </c>
      <c r="N435" s="0" t="str">
        <f aca="true">IF(AND($H435=1,$D435="Income",$G435&gt;TODAY()),$G435*100000+ROW(),"")</f>
        <v/>
      </c>
    </row>
    <row r="436" customFormat="false" ht="15" hidden="false" customHeight="true" outlineLevel="0" collapsed="false">
      <c r="A436" s="117" t="n">
        <v>28</v>
      </c>
      <c r="B436" s="117" t="n">
        <v>1</v>
      </c>
      <c r="C436" s="7" t="str">
        <f aca="false">IF(OR(Recurring!$B$32="",Recurring!$H$32&lt;&gt;"Yes",Recurring!$D$32=""),"",Recurring!$B$32)</f>
        <v/>
      </c>
      <c r="D436" s="7" t="str">
        <f aca="false">IF($C436="","",Recurring!$C$32)</f>
        <v/>
      </c>
      <c r="E436" s="118" t="str">
        <f aca="false">IF($C436="","",IF(SUMIFS(Overrides!$E$9:$E$108,Overrides!$B$9:$B$108,$C436,Overrides!$C$9:$C$108,$L436)&gt;0,SUMIFS(Overrides!$E$9:$E$108,Overrides!$B$9:$B$108,$C436,Overrides!$C$9:$C$108,$L436),Recurring!$D$32))</f>
        <v/>
      </c>
      <c r="F436" s="119" t="str">
        <f aca="false">IF($C436="","",IF(Recurring!$E$32="Weekly",Recurring!$F$32+7*0,IF(Recurring!$E$32="Every 2 Weeks",Recurring!$F$32+14*0,IF(Recurring!$E$32="Monthly",EDATE(Recurring!$F$32,0),IF(Recurring!$E$32="Twice a Month",IF(MOD((IF(DAY(Recurring!$F$32)&lt;=20,0,1)+0),2)=1,EOMONTH(Recurring!$F$32,INT((IF(DAY(Recurring!$F$32)&lt;=20,0,1)+0)/2)),DATE(YEAR(EDATE(Recurring!$F$32,INT((IF(DAY(Recurring!$F$32)&lt;=20,0,1)+0)/2))),MONTH(EDATE(Recurring!$F$32,INT((IF(DAY(Recurring!$F$32)&lt;=20,0,1)+0)/2))),15)),IF(Recurring!$E$32="One Time",IF(1=1,Recurring!$F$32,""),""))))))</f>
        <v/>
      </c>
      <c r="G436" s="119" t="str">
        <f aca="false">IF($L436="","",IF(SUMIFS(Overrides!$D$9:$D$108,Overrides!$B$9:$B$108,$C436,Overrides!$C$9:$C$108,$L436)&gt;0,SUMIFS(Overrides!$D$9:$D$108,Overrides!$B$9:$B$108,$C436,Overrides!$C$9:$C$108,$L436),$L436))</f>
        <v/>
      </c>
      <c r="H436" s="120" t="n">
        <f aca="false">IF($G436="",0,IF(AND($G436&gt;='Cash Flow'!$E$6-90,$G436&lt;'Cash Flow'!$E$6+91),1,0))</f>
        <v>0</v>
      </c>
      <c r="I436" s="120" t="str">
        <f aca="false">IF($H436=1,MAX(1,INT(($G436-'Cash Flow'!$E$6)/7)+1),"")</f>
        <v/>
      </c>
      <c r="J436" s="7" t="str">
        <f aca="false">IF($H436=1,$G436*10000+ROW(),"")</f>
        <v/>
      </c>
      <c r="K436" s="7" t="str">
        <f aca="false">IF($H436=1,$I436*1000+COUNTIFS($I$4:$I$483,$I436,$J$4:$J$483,"&lt;"&amp;$J436)+1,"")</f>
        <v/>
      </c>
      <c r="L436" s="121" t="str">
        <f aca="false">IF($F436="","",IF(Recurring!$G$32="Move Before",IF(WEEKDAY($F436,2)=6,$F436-1,IF(WEEKDAY($F436,2)=7,$F436-2,$F436)),IF(Recurring!$G$32="Move After",IF(WEEKDAY($F436,2)=6,$F436+2,IF(WEEKDAY($F436,2)=7,$F436+1,$F436)),$F436)))</f>
        <v/>
      </c>
      <c r="M436" s="0" t="str">
        <f aca="true">IF(AND($H436=1,$D436="Expense",$G436&gt;TODAY(),$E436&gt;=100),$G436*100000+ROW(),"")</f>
        <v/>
      </c>
      <c r="N436" s="0" t="str">
        <f aca="true">IF(AND($H436=1,$D436="Income",$G436&gt;TODAY()),$G436*100000+ROW(),"")</f>
        <v/>
      </c>
    </row>
    <row r="437" customFormat="false" ht="15" hidden="false" customHeight="true" outlineLevel="0" collapsed="false">
      <c r="A437" s="117" t="n">
        <v>28</v>
      </c>
      <c r="B437" s="117" t="n">
        <v>2</v>
      </c>
      <c r="C437" s="7" t="str">
        <f aca="false">IF(OR(Recurring!$B$32="",Recurring!$H$32&lt;&gt;"Yes",Recurring!$D$32=""),"",Recurring!$B$32)</f>
        <v/>
      </c>
      <c r="D437" s="7" t="str">
        <f aca="false">IF($C437="","",Recurring!$C$32)</f>
        <v/>
      </c>
      <c r="E437" s="118" t="str">
        <f aca="false">IF($C437="","",IF(SUMIFS(Overrides!$E$9:$E$108,Overrides!$B$9:$B$108,$C437,Overrides!$C$9:$C$108,$L437)&gt;0,SUMIFS(Overrides!$E$9:$E$108,Overrides!$B$9:$B$108,$C437,Overrides!$C$9:$C$108,$L437),Recurring!$D$32))</f>
        <v/>
      </c>
      <c r="F437" s="119" t="str">
        <f aca="false">IF($C437="","",IF(Recurring!$E$32="Weekly",Recurring!$F$32+7*1,IF(Recurring!$E$32="Every 2 Weeks",Recurring!$F$32+14*1,IF(Recurring!$E$32="Monthly",EDATE(Recurring!$F$32,1),IF(Recurring!$E$32="Twice a Month",IF(MOD((IF(DAY(Recurring!$F$32)&lt;=20,0,1)+1),2)=1,EOMONTH(Recurring!$F$32,INT((IF(DAY(Recurring!$F$32)&lt;=20,0,1)+1)/2)),DATE(YEAR(EDATE(Recurring!$F$32,INT((IF(DAY(Recurring!$F$32)&lt;=20,0,1)+1)/2))),MONTH(EDATE(Recurring!$F$32,INT((IF(DAY(Recurring!$F$32)&lt;=20,0,1)+1)/2))),15)),IF(Recurring!$E$32="One Time",IF(2=1,Recurring!$F$32,""),""))))))</f>
        <v/>
      </c>
      <c r="G437" s="119" t="str">
        <f aca="false">IF($L437="","",IF(SUMIFS(Overrides!$D$9:$D$108,Overrides!$B$9:$B$108,$C437,Overrides!$C$9:$C$108,$L437)&gt;0,SUMIFS(Overrides!$D$9:$D$108,Overrides!$B$9:$B$108,$C437,Overrides!$C$9:$C$108,$L437),$L437))</f>
        <v/>
      </c>
      <c r="H437" s="120" t="n">
        <f aca="false">IF($G437="",0,IF(AND($G437&gt;='Cash Flow'!$E$6,$G437&lt;'Cash Flow'!$E$6+91),1,0))</f>
        <v>0</v>
      </c>
      <c r="I437" s="120" t="str">
        <f aca="false">IF($H437=1,MAX(1,INT(($G437-'Cash Flow'!$E$6)/7)+1),"")</f>
        <v/>
      </c>
      <c r="J437" s="7" t="str">
        <f aca="false">IF($H437=1,$G437*10000+ROW(),"")</f>
        <v/>
      </c>
      <c r="K437" s="7" t="str">
        <f aca="false">IF($H437=1,$I437*1000+COUNTIFS($I$4:$I$483,$I437,$J$4:$J$483,"&lt;"&amp;$J437)+1,"")</f>
        <v/>
      </c>
      <c r="L437" s="121" t="str">
        <f aca="false">IF($F437="","",IF(Recurring!$G$32="Move Before",IF(WEEKDAY($F437,2)=6,$F437-1,IF(WEEKDAY($F437,2)=7,$F437-2,$F437)),IF(Recurring!$G$32="Move After",IF(WEEKDAY($F437,2)=6,$F437+2,IF(WEEKDAY($F437,2)=7,$F437+1,$F437)),$F437)))</f>
        <v/>
      </c>
      <c r="M437" s="0" t="str">
        <f aca="true">IF(AND($H437=1,$D437="Expense",$G437&gt;TODAY(),$E437&gt;=100),$G437*100000+ROW(),"")</f>
        <v/>
      </c>
      <c r="N437" s="0" t="str">
        <f aca="true">IF(AND($H437=1,$D437="Income",$G437&gt;TODAY()),$G437*100000+ROW(),"")</f>
        <v/>
      </c>
    </row>
    <row r="438" customFormat="false" ht="15" hidden="false" customHeight="true" outlineLevel="0" collapsed="false">
      <c r="A438" s="117" t="n">
        <v>28</v>
      </c>
      <c r="B438" s="117" t="n">
        <v>3</v>
      </c>
      <c r="C438" s="7" t="str">
        <f aca="false">IF(OR(Recurring!$B$32="",Recurring!$H$32&lt;&gt;"Yes",Recurring!$D$32=""),"",Recurring!$B$32)</f>
        <v/>
      </c>
      <c r="D438" s="7" t="str">
        <f aca="false">IF($C438="","",Recurring!$C$32)</f>
        <v/>
      </c>
      <c r="E438" s="118" t="str">
        <f aca="false">IF($C438="","",IF(SUMIFS(Overrides!$E$9:$E$108,Overrides!$B$9:$B$108,$C438,Overrides!$C$9:$C$108,$L438)&gt;0,SUMIFS(Overrides!$E$9:$E$108,Overrides!$B$9:$B$108,$C438,Overrides!$C$9:$C$108,$L438),Recurring!$D$32))</f>
        <v/>
      </c>
      <c r="F438" s="119" t="str">
        <f aca="false">IF($C438="","",IF(Recurring!$E$32="Weekly",Recurring!$F$32+7*2,IF(Recurring!$E$32="Every 2 Weeks",Recurring!$F$32+14*2,IF(Recurring!$E$32="Monthly",EDATE(Recurring!$F$32,2),IF(Recurring!$E$32="Twice a Month",IF(MOD((IF(DAY(Recurring!$F$32)&lt;=20,0,1)+2),2)=1,EOMONTH(Recurring!$F$32,INT((IF(DAY(Recurring!$F$32)&lt;=20,0,1)+2)/2)),DATE(YEAR(EDATE(Recurring!$F$32,INT((IF(DAY(Recurring!$F$32)&lt;=20,0,1)+2)/2))),MONTH(EDATE(Recurring!$F$32,INT((IF(DAY(Recurring!$F$32)&lt;=20,0,1)+2)/2))),15)),IF(Recurring!$E$32="One Time",IF(3=1,Recurring!$F$32,""),""))))))</f>
        <v/>
      </c>
      <c r="G438" s="119" t="str">
        <f aca="false">IF($L438="","",IF(SUMIFS(Overrides!$D$9:$D$108,Overrides!$B$9:$B$108,$C438,Overrides!$C$9:$C$108,$L438)&gt;0,SUMIFS(Overrides!$D$9:$D$108,Overrides!$B$9:$B$108,$C438,Overrides!$C$9:$C$108,$L438),$L438))</f>
        <v/>
      </c>
      <c r="H438" s="120" t="n">
        <f aca="false">IF($G438="",0,IF(AND($G438&gt;='Cash Flow'!$E$6,$G438&lt;'Cash Flow'!$E$6+91),1,0))</f>
        <v>0</v>
      </c>
      <c r="I438" s="120" t="str">
        <f aca="false">IF($H438=1,MAX(1,INT(($G438-'Cash Flow'!$E$6)/7)+1),"")</f>
        <v/>
      </c>
      <c r="J438" s="7" t="str">
        <f aca="false">IF($H438=1,$G438*10000+ROW(),"")</f>
        <v/>
      </c>
      <c r="K438" s="7" t="str">
        <f aca="false">IF($H438=1,$I438*1000+COUNTIFS($I$4:$I$483,$I438,$J$4:$J$483,"&lt;"&amp;$J438)+1,"")</f>
        <v/>
      </c>
      <c r="L438" s="121" t="str">
        <f aca="false">IF($F438="","",IF(Recurring!$G$32="Move Before",IF(WEEKDAY($F438,2)=6,$F438-1,IF(WEEKDAY($F438,2)=7,$F438-2,$F438)),IF(Recurring!$G$32="Move After",IF(WEEKDAY($F438,2)=6,$F438+2,IF(WEEKDAY($F438,2)=7,$F438+1,$F438)),$F438)))</f>
        <v/>
      </c>
      <c r="M438" s="0" t="str">
        <f aca="true">IF(AND($H438=1,$D438="Expense",$G438&gt;TODAY(),$E438&gt;=100),$G438*100000+ROW(),"")</f>
        <v/>
      </c>
      <c r="N438" s="0" t="str">
        <f aca="true">IF(AND($H438=1,$D438="Income",$G438&gt;TODAY()),$G438*100000+ROW(),"")</f>
        <v/>
      </c>
    </row>
    <row r="439" customFormat="false" ht="15" hidden="false" customHeight="true" outlineLevel="0" collapsed="false">
      <c r="A439" s="117" t="n">
        <v>28</v>
      </c>
      <c r="B439" s="117" t="n">
        <v>4</v>
      </c>
      <c r="C439" s="7" t="str">
        <f aca="false">IF(OR(Recurring!$B$32="",Recurring!$H$32&lt;&gt;"Yes",Recurring!$D$32=""),"",Recurring!$B$32)</f>
        <v/>
      </c>
      <c r="D439" s="7" t="str">
        <f aca="false">IF($C439="","",Recurring!$C$32)</f>
        <v/>
      </c>
      <c r="E439" s="118" t="str">
        <f aca="false">IF($C439="","",IF(SUMIFS(Overrides!$E$9:$E$108,Overrides!$B$9:$B$108,$C439,Overrides!$C$9:$C$108,$L439)&gt;0,SUMIFS(Overrides!$E$9:$E$108,Overrides!$B$9:$B$108,$C439,Overrides!$C$9:$C$108,$L439),Recurring!$D$32))</f>
        <v/>
      </c>
      <c r="F439" s="119" t="str">
        <f aca="false">IF($C439="","",IF(Recurring!$E$32="Weekly",Recurring!$F$32+7*3,IF(Recurring!$E$32="Every 2 Weeks",Recurring!$F$32+14*3,IF(Recurring!$E$32="Monthly",EDATE(Recurring!$F$32,3),IF(Recurring!$E$32="Twice a Month",IF(MOD((IF(DAY(Recurring!$F$32)&lt;=20,0,1)+3),2)=1,EOMONTH(Recurring!$F$32,INT((IF(DAY(Recurring!$F$32)&lt;=20,0,1)+3)/2)),DATE(YEAR(EDATE(Recurring!$F$32,INT((IF(DAY(Recurring!$F$32)&lt;=20,0,1)+3)/2))),MONTH(EDATE(Recurring!$F$32,INT((IF(DAY(Recurring!$F$32)&lt;=20,0,1)+3)/2))),15)),IF(Recurring!$E$32="One Time",IF(4=1,Recurring!$F$32,""),""))))))</f>
        <v/>
      </c>
      <c r="G439" s="119" t="str">
        <f aca="false">IF($L439="","",IF(SUMIFS(Overrides!$D$9:$D$108,Overrides!$B$9:$B$108,$C439,Overrides!$C$9:$C$108,$L439)&gt;0,SUMIFS(Overrides!$D$9:$D$108,Overrides!$B$9:$B$108,$C439,Overrides!$C$9:$C$108,$L439),$L439))</f>
        <v/>
      </c>
      <c r="H439" s="120" t="n">
        <f aca="false">IF($G439="",0,IF(AND($G439&gt;='Cash Flow'!$E$6,$G439&lt;'Cash Flow'!$E$6+91),1,0))</f>
        <v>0</v>
      </c>
      <c r="I439" s="120" t="str">
        <f aca="false">IF($H439=1,MAX(1,INT(($G439-'Cash Flow'!$E$6)/7)+1),"")</f>
        <v/>
      </c>
      <c r="J439" s="7" t="str">
        <f aca="false">IF($H439=1,$G439*10000+ROW(),"")</f>
        <v/>
      </c>
      <c r="K439" s="7" t="str">
        <f aca="false">IF($H439=1,$I439*1000+COUNTIFS($I$4:$I$483,$I439,$J$4:$J$483,"&lt;"&amp;$J439)+1,"")</f>
        <v/>
      </c>
      <c r="L439" s="121" t="str">
        <f aca="false">IF($F439="","",IF(Recurring!$G$32="Move Before",IF(WEEKDAY($F439,2)=6,$F439-1,IF(WEEKDAY($F439,2)=7,$F439-2,$F439)),IF(Recurring!$G$32="Move After",IF(WEEKDAY($F439,2)=6,$F439+2,IF(WEEKDAY($F439,2)=7,$F439+1,$F439)),$F439)))</f>
        <v/>
      </c>
      <c r="M439" s="0" t="str">
        <f aca="true">IF(AND($H439=1,$D439="Expense",$G439&gt;TODAY(),$E439&gt;=100),$G439*100000+ROW(),"")</f>
        <v/>
      </c>
      <c r="N439" s="0" t="str">
        <f aca="true">IF(AND($H439=1,$D439="Income",$G439&gt;TODAY()),$G439*100000+ROW(),"")</f>
        <v/>
      </c>
    </row>
    <row r="440" customFormat="false" ht="15" hidden="false" customHeight="true" outlineLevel="0" collapsed="false">
      <c r="A440" s="117" t="n">
        <v>28</v>
      </c>
      <c r="B440" s="117" t="n">
        <v>5</v>
      </c>
      <c r="C440" s="7" t="str">
        <f aca="false">IF(OR(Recurring!$B$32="",Recurring!$H$32&lt;&gt;"Yes",Recurring!$D$32=""),"",Recurring!$B$32)</f>
        <v/>
      </c>
      <c r="D440" s="7" t="str">
        <f aca="false">IF($C440="","",Recurring!$C$32)</f>
        <v/>
      </c>
      <c r="E440" s="118" t="str">
        <f aca="false">IF($C440="","",IF(SUMIFS(Overrides!$E$9:$E$108,Overrides!$B$9:$B$108,$C440,Overrides!$C$9:$C$108,$L440)&gt;0,SUMIFS(Overrides!$E$9:$E$108,Overrides!$B$9:$B$108,$C440,Overrides!$C$9:$C$108,$L440),Recurring!$D$32))</f>
        <v/>
      </c>
      <c r="F440" s="119" t="str">
        <f aca="false">IF($C440="","",IF(Recurring!$E$32="Weekly",Recurring!$F$32+7*4,IF(Recurring!$E$32="Every 2 Weeks",Recurring!$F$32+14*4,IF(Recurring!$E$32="Monthly",EDATE(Recurring!$F$32,4),IF(Recurring!$E$32="Twice a Month",IF(MOD((IF(DAY(Recurring!$F$32)&lt;=20,0,1)+4),2)=1,EOMONTH(Recurring!$F$32,INT((IF(DAY(Recurring!$F$32)&lt;=20,0,1)+4)/2)),DATE(YEAR(EDATE(Recurring!$F$32,INT((IF(DAY(Recurring!$F$32)&lt;=20,0,1)+4)/2))),MONTH(EDATE(Recurring!$F$32,INT((IF(DAY(Recurring!$F$32)&lt;=20,0,1)+4)/2))),15)),IF(Recurring!$E$32="One Time",IF(5=1,Recurring!$F$32,""),""))))))</f>
        <v/>
      </c>
      <c r="G440" s="119" t="str">
        <f aca="false">IF($L440="","",IF(SUMIFS(Overrides!$D$9:$D$108,Overrides!$B$9:$B$108,$C440,Overrides!$C$9:$C$108,$L440)&gt;0,SUMIFS(Overrides!$D$9:$D$108,Overrides!$B$9:$B$108,$C440,Overrides!$C$9:$C$108,$L440),$L440))</f>
        <v/>
      </c>
      <c r="H440" s="120" t="n">
        <f aca="false">IF($G440="",0,IF(AND($G440&gt;='Cash Flow'!$E$6,$G440&lt;'Cash Flow'!$E$6+91),1,0))</f>
        <v>0</v>
      </c>
      <c r="I440" s="120" t="str">
        <f aca="false">IF($H440=1,MAX(1,INT(($G440-'Cash Flow'!$E$6)/7)+1),"")</f>
        <v/>
      </c>
      <c r="J440" s="7" t="str">
        <f aca="false">IF($H440=1,$G440*10000+ROW(),"")</f>
        <v/>
      </c>
      <c r="K440" s="7" t="str">
        <f aca="false">IF($H440=1,$I440*1000+COUNTIFS($I$4:$I$483,$I440,$J$4:$J$483,"&lt;"&amp;$J440)+1,"")</f>
        <v/>
      </c>
      <c r="L440" s="121" t="str">
        <f aca="false">IF($F440="","",IF(Recurring!$G$32="Move Before",IF(WEEKDAY($F440,2)=6,$F440-1,IF(WEEKDAY($F440,2)=7,$F440-2,$F440)),IF(Recurring!$G$32="Move After",IF(WEEKDAY($F440,2)=6,$F440+2,IF(WEEKDAY($F440,2)=7,$F440+1,$F440)),$F440)))</f>
        <v/>
      </c>
      <c r="M440" s="0" t="str">
        <f aca="true">IF(AND($H440=1,$D440="Expense",$G440&gt;TODAY(),$E440&gt;=100),$G440*100000+ROW(),"")</f>
        <v/>
      </c>
      <c r="N440" s="0" t="str">
        <f aca="true">IF(AND($H440=1,$D440="Income",$G440&gt;TODAY()),$G440*100000+ROW(),"")</f>
        <v/>
      </c>
    </row>
    <row r="441" customFormat="false" ht="15" hidden="false" customHeight="true" outlineLevel="0" collapsed="false">
      <c r="A441" s="117" t="n">
        <v>28</v>
      </c>
      <c r="B441" s="117" t="n">
        <v>6</v>
      </c>
      <c r="C441" s="7" t="str">
        <f aca="false">IF(OR(Recurring!$B$32="",Recurring!$H$32&lt;&gt;"Yes",Recurring!$D$32=""),"",Recurring!$B$32)</f>
        <v/>
      </c>
      <c r="D441" s="7" t="str">
        <f aca="false">IF($C441="","",Recurring!$C$32)</f>
        <v/>
      </c>
      <c r="E441" s="118" t="str">
        <f aca="false">IF($C441="","",IF(SUMIFS(Overrides!$E$9:$E$108,Overrides!$B$9:$B$108,$C441,Overrides!$C$9:$C$108,$L441)&gt;0,SUMIFS(Overrides!$E$9:$E$108,Overrides!$B$9:$B$108,$C441,Overrides!$C$9:$C$108,$L441),Recurring!$D$32))</f>
        <v/>
      </c>
      <c r="F441" s="119" t="str">
        <f aca="false">IF($C441="","",IF(Recurring!$E$32="Weekly",Recurring!$F$32+7*5,IF(Recurring!$E$32="Every 2 Weeks",Recurring!$F$32+14*5,IF(Recurring!$E$32="Monthly",EDATE(Recurring!$F$32,5),IF(Recurring!$E$32="Twice a Month",IF(MOD((IF(DAY(Recurring!$F$32)&lt;=20,0,1)+5),2)=1,EOMONTH(Recurring!$F$32,INT((IF(DAY(Recurring!$F$32)&lt;=20,0,1)+5)/2)),DATE(YEAR(EDATE(Recurring!$F$32,INT((IF(DAY(Recurring!$F$32)&lt;=20,0,1)+5)/2))),MONTH(EDATE(Recurring!$F$32,INT((IF(DAY(Recurring!$F$32)&lt;=20,0,1)+5)/2))),15)),IF(Recurring!$E$32="One Time",IF(6=1,Recurring!$F$32,""),""))))))</f>
        <v/>
      </c>
      <c r="G441" s="119" t="str">
        <f aca="false">IF($L441="","",IF(SUMIFS(Overrides!$D$9:$D$108,Overrides!$B$9:$B$108,$C441,Overrides!$C$9:$C$108,$L441)&gt;0,SUMIFS(Overrides!$D$9:$D$108,Overrides!$B$9:$B$108,$C441,Overrides!$C$9:$C$108,$L441),$L441))</f>
        <v/>
      </c>
      <c r="H441" s="120" t="n">
        <f aca="false">IF($G441="",0,IF(AND($G441&gt;='Cash Flow'!$E$6,$G441&lt;'Cash Flow'!$E$6+91),1,0))</f>
        <v>0</v>
      </c>
      <c r="I441" s="120" t="str">
        <f aca="false">IF($H441=1,MAX(1,INT(($G441-'Cash Flow'!$E$6)/7)+1),"")</f>
        <v/>
      </c>
      <c r="J441" s="7" t="str">
        <f aca="false">IF($H441=1,$G441*10000+ROW(),"")</f>
        <v/>
      </c>
      <c r="K441" s="7" t="str">
        <f aca="false">IF($H441=1,$I441*1000+COUNTIFS($I$4:$I$483,$I441,$J$4:$J$483,"&lt;"&amp;$J441)+1,"")</f>
        <v/>
      </c>
      <c r="L441" s="121" t="str">
        <f aca="false">IF($F441="","",IF(Recurring!$G$32="Move Before",IF(WEEKDAY($F441,2)=6,$F441-1,IF(WEEKDAY($F441,2)=7,$F441-2,$F441)),IF(Recurring!$G$32="Move After",IF(WEEKDAY($F441,2)=6,$F441+2,IF(WEEKDAY($F441,2)=7,$F441+1,$F441)),$F441)))</f>
        <v/>
      </c>
      <c r="M441" s="0" t="str">
        <f aca="true">IF(AND($H441=1,$D441="Expense",$G441&gt;TODAY(),$E441&gt;=100),$G441*100000+ROW(),"")</f>
        <v/>
      </c>
      <c r="N441" s="0" t="str">
        <f aca="true">IF(AND($H441=1,$D441="Income",$G441&gt;TODAY()),$G441*100000+ROW(),"")</f>
        <v/>
      </c>
    </row>
    <row r="442" customFormat="false" ht="15" hidden="false" customHeight="true" outlineLevel="0" collapsed="false">
      <c r="A442" s="117" t="n">
        <v>28</v>
      </c>
      <c r="B442" s="117" t="n">
        <v>7</v>
      </c>
      <c r="C442" s="7" t="str">
        <f aca="false">IF(OR(Recurring!$B$32="",Recurring!$H$32&lt;&gt;"Yes",Recurring!$D$32=""),"",Recurring!$B$32)</f>
        <v/>
      </c>
      <c r="D442" s="7" t="str">
        <f aca="false">IF($C442="","",Recurring!$C$32)</f>
        <v/>
      </c>
      <c r="E442" s="118" t="str">
        <f aca="false">IF($C442="","",IF(SUMIFS(Overrides!$E$9:$E$108,Overrides!$B$9:$B$108,$C442,Overrides!$C$9:$C$108,$L442)&gt;0,SUMIFS(Overrides!$E$9:$E$108,Overrides!$B$9:$B$108,$C442,Overrides!$C$9:$C$108,$L442),Recurring!$D$32))</f>
        <v/>
      </c>
      <c r="F442" s="119" t="str">
        <f aca="false">IF($C442="","",IF(Recurring!$E$32="Weekly",Recurring!$F$32+7*6,IF(Recurring!$E$32="Every 2 Weeks",Recurring!$F$32+14*6,IF(Recurring!$E$32="Monthly",EDATE(Recurring!$F$32,6),IF(Recurring!$E$32="Twice a Month",IF(MOD((IF(DAY(Recurring!$F$32)&lt;=20,0,1)+6),2)=1,EOMONTH(Recurring!$F$32,INT((IF(DAY(Recurring!$F$32)&lt;=20,0,1)+6)/2)),DATE(YEAR(EDATE(Recurring!$F$32,INT((IF(DAY(Recurring!$F$32)&lt;=20,0,1)+6)/2))),MONTH(EDATE(Recurring!$F$32,INT((IF(DAY(Recurring!$F$32)&lt;=20,0,1)+6)/2))),15)),IF(Recurring!$E$32="One Time",IF(7=1,Recurring!$F$32,""),""))))))</f>
        <v/>
      </c>
      <c r="G442" s="119" t="str">
        <f aca="false">IF($L442="","",IF(SUMIFS(Overrides!$D$9:$D$108,Overrides!$B$9:$B$108,$C442,Overrides!$C$9:$C$108,$L442)&gt;0,SUMIFS(Overrides!$D$9:$D$108,Overrides!$B$9:$B$108,$C442,Overrides!$C$9:$C$108,$L442),$L442))</f>
        <v/>
      </c>
      <c r="H442" s="120" t="n">
        <f aca="false">IF($G442="",0,IF(AND($G442&gt;='Cash Flow'!$E$6,$G442&lt;'Cash Flow'!$E$6+91),1,0))</f>
        <v>0</v>
      </c>
      <c r="I442" s="120" t="str">
        <f aca="false">IF($H442=1,MAX(1,INT(($G442-'Cash Flow'!$E$6)/7)+1),"")</f>
        <v/>
      </c>
      <c r="J442" s="7" t="str">
        <f aca="false">IF($H442=1,$G442*10000+ROW(),"")</f>
        <v/>
      </c>
      <c r="K442" s="7" t="str">
        <f aca="false">IF($H442=1,$I442*1000+COUNTIFS($I$4:$I$483,$I442,$J$4:$J$483,"&lt;"&amp;$J442)+1,"")</f>
        <v/>
      </c>
      <c r="L442" s="121" t="str">
        <f aca="false">IF($F442="","",IF(Recurring!$G$32="Move Before",IF(WEEKDAY($F442,2)=6,$F442-1,IF(WEEKDAY($F442,2)=7,$F442-2,$F442)),IF(Recurring!$G$32="Move After",IF(WEEKDAY($F442,2)=6,$F442+2,IF(WEEKDAY($F442,2)=7,$F442+1,$F442)),$F442)))</f>
        <v/>
      </c>
      <c r="M442" s="0" t="str">
        <f aca="true">IF(AND($H442=1,$D442="Expense",$G442&gt;TODAY(),$E442&gt;=100),$G442*100000+ROW(),"")</f>
        <v/>
      </c>
      <c r="N442" s="0" t="str">
        <f aca="true">IF(AND($H442=1,$D442="Income",$G442&gt;TODAY()),$G442*100000+ROW(),"")</f>
        <v/>
      </c>
    </row>
    <row r="443" customFormat="false" ht="15" hidden="false" customHeight="true" outlineLevel="0" collapsed="false">
      <c r="A443" s="117" t="n">
        <v>28</v>
      </c>
      <c r="B443" s="117" t="n">
        <v>8</v>
      </c>
      <c r="C443" s="7" t="str">
        <f aca="false">IF(OR(Recurring!$B$32="",Recurring!$H$32&lt;&gt;"Yes",Recurring!$D$32=""),"",Recurring!$B$32)</f>
        <v/>
      </c>
      <c r="D443" s="7" t="str">
        <f aca="false">IF($C443="","",Recurring!$C$32)</f>
        <v/>
      </c>
      <c r="E443" s="118" t="str">
        <f aca="false">IF($C443="","",IF(SUMIFS(Overrides!$E$9:$E$108,Overrides!$B$9:$B$108,$C443,Overrides!$C$9:$C$108,$L443)&gt;0,SUMIFS(Overrides!$E$9:$E$108,Overrides!$B$9:$B$108,$C443,Overrides!$C$9:$C$108,$L443),Recurring!$D$32))</f>
        <v/>
      </c>
      <c r="F443" s="119" t="str">
        <f aca="false">IF($C443="","",IF(Recurring!$E$32="Weekly",Recurring!$F$32+7*7,IF(Recurring!$E$32="Every 2 Weeks",Recurring!$F$32+14*7,IF(Recurring!$E$32="Monthly",EDATE(Recurring!$F$32,7),IF(Recurring!$E$32="Twice a Month",IF(MOD((IF(DAY(Recurring!$F$32)&lt;=20,0,1)+7),2)=1,EOMONTH(Recurring!$F$32,INT((IF(DAY(Recurring!$F$32)&lt;=20,0,1)+7)/2)),DATE(YEAR(EDATE(Recurring!$F$32,INT((IF(DAY(Recurring!$F$32)&lt;=20,0,1)+7)/2))),MONTH(EDATE(Recurring!$F$32,INT((IF(DAY(Recurring!$F$32)&lt;=20,0,1)+7)/2))),15)),IF(Recurring!$E$32="One Time",IF(8=1,Recurring!$F$32,""),""))))))</f>
        <v/>
      </c>
      <c r="G443" s="119" t="str">
        <f aca="false">IF($L443="","",IF(SUMIFS(Overrides!$D$9:$D$108,Overrides!$B$9:$B$108,$C443,Overrides!$C$9:$C$108,$L443)&gt;0,SUMIFS(Overrides!$D$9:$D$108,Overrides!$B$9:$B$108,$C443,Overrides!$C$9:$C$108,$L443),$L443))</f>
        <v/>
      </c>
      <c r="H443" s="120" t="n">
        <f aca="false">IF($G443="",0,IF(AND($G443&gt;='Cash Flow'!$E$6,$G443&lt;'Cash Flow'!$E$6+91),1,0))</f>
        <v>0</v>
      </c>
      <c r="I443" s="120" t="str">
        <f aca="false">IF($H443=1,MAX(1,INT(($G443-'Cash Flow'!$E$6)/7)+1),"")</f>
        <v/>
      </c>
      <c r="J443" s="7" t="str">
        <f aca="false">IF($H443=1,$G443*10000+ROW(),"")</f>
        <v/>
      </c>
      <c r="K443" s="7" t="str">
        <f aca="false">IF($H443=1,$I443*1000+COUNTIFS($I$4:$I$483,$I443,$J$4:$J$483,"&lt;"&amp;$J443)+1,"")</f>
        <v/>
      </c>
      <c r="L443" s="121" t="str">
        <f aca="false">IF($F443="","",IF(Recurring!$G$32="Move Before",IF(WEEKDAY($F443,2)=6,$F443-1,IF(WEEKDAY($F443,2)=7,$F443-2,$F443)),IF(Recurring!$G$32="Move After",IF(WEEKDAY($F443,2)=6,$F443+2,IF(WEEKDAY($F443,2)=7,$F443+1,$F443)),$F443)))</f>
        <v/>
      </c>
      <c r="M443" s="0" t="str">
        <f aca="true">IF(AND($H443=1,$D443="Expense",$G443&gt;TODAY(),$E443&gt;=100),$G443*100000+ROW(),"")</f>
        <v/>
      </c>
      <c r="N443" s="0" t="str">
        <f aca="true">IF(AND($H443=1,$D443="Income",$G443&gt;TODAY()),$G443*100000+ROW(),"")</f>
        <v/>
      </c>
    </row>
    <row r="444" customFormat="false" ht="15" hidden="false" customHeight="true" outlineLevel="0" collapsed="false">
      <c r="A444" s="117" t="n">
        <v>28</v>
      </c>
      <c r="B444" s="117" t="n">
        <v>9</v>
      </c>
      <c r="C444" s="7" t="str">
        <f aca="false">IF(OR(Recurring!$B$32="",Recurring!$H$32&lt;&gt;"Yes",Recurring!$D$32=""),"",Recurring!$B$32)</f>
        <v/>
      </c>
      <c r="D444" s="7" t="str">
        <f aca="false">IF($C444="","",Recurring!$C$32)</f>
        <v/>
      </c>
      <c r="E444" s="118" t="str">
        <f aca="false">IF($C444="","",IF(SUMIFS(Overrides!$E$9:$E$108,Overrides!$B$9:$B$108,$C444,Overrides!$C$9:$C$108,$L444)&gt;0,SUMIFS(Overrides!$E$9:$E$108,Overrides!$B$9:$B$108,$C444,Overrides!$C$9:$C$108,$L444),Recurring!$D$32))</f>
        <v/>
      </c>
      <c r="F444" s="119" t="str">
        <f aca="false">IF($C444="","",IF(Recurring!$E$32="Weekly",Recurring!$F$32+7*8,IF(Recurring!$E$32="Every 2 Weeks",Recurring!$F$32+14*8,IF(Recurring!$E$32="Monthly",EDATE(Recurring!$F$32,8),IF(Recurring!$E$32="Twice a Month",IF(MOD((IF(DAY(Recurring!$F$32)&lt;=20,0,1)+8),2)=1,EOMONTH(Recurring!$F$32,INT((IF(DAY(Recurring!$F$32)&lt;=20,0,1)+8)/2)),DATE(YEAR(EDATE(Recurring!$F$32,INT((IF(DAY(Recurring!$F$32)&lt;=20,0,1)+8)/2))),MONTH(EDATE(Recurring!$F$32,INT((IF(DAY(Recurring!$F$32)&lt;=20,0,1)+8)/2))),15)),IF(Recurring!$E$32="One Time",IF(9=1,Recurring!$F$32,""),""))))))</f>
        <v/>
      </c>
      <c r="G444" s="119" t="str">
        <f aca="false">IF($L444="","",IF(SUMIFS(Overrides!$D$9:$D$108,Overrides!$B$9:$B$108,$C444,Overrides!$C$9:$C$108,$L444)&gt;0,SUMIFS(Overrides!$D$9:$D$108,Overrides!$B$9:$B$108,$C444,Overrides!$C$9:$C$108,$L444),$L444))</f>
        <v/>
      </c>
      <c r="H444" s="120" t="n">
        <f aca="false">IF($G444="",0,IF(AND($G444&gt;='Cash Flow'!$E$6,$G444&lt;'Cash Flow'!$E$6+91),1,0))</f>
        <v>0</v>
      </c>
      <c r="I444" s="120" t="str">
        <f aca="false">IF($H444=1,MAX(1,INT(($G444-'Cash Flow'!$E$6)/7)+1),"")</f>
        <v/>
      </c>
      <c r="J444" s="7" t="str">
        <f aca="false">IF($H444=1,$G444*10000+ROW(),"")</f>
        <v/>
      </c>
      <c r="K444" s="7" t="str">
        <f aca="false">IF($H444=1,$I444*1000+COUNTIFS($I$4:$I$483,$I444,$J$4:$J$483,"&lt;"&amp;$J444)+1,"")</f>
        <v/>
      </c>
      <c r="L444" s="121" t="str">
        <f aca="false">IF($F444="","",IF(Recurring!$G$32="Move Before",IF(WEEKDAY($F444,2)=6,$F444-1,IF(WEEKDAY($F444,2)=7,$F444-2,$F444)),IF(Recurring!$G$32="Move After",IF(WEEKDAY($F444,2)=6,$F444+2,IF(WEEKDAY($F444,2)=7,$F444+1,$F444)),$F444)))</f>
        <v/>
      </c>
      <c r="M444" s="0" t="str">
        <f aca="true">IF(AND($H444=1,$D444="Expense",$G444&gt;TODAY(),$E444&gt;=100),$G444*100000+ROW(),"")</f>
        <v/>
      </c>
      <c r="N444" s="0" t="str">
        <f aca="true">IF(AND($H444=1,$D444="Income",$G444&gt;TODAY()),$G444*100000+ROW(),"")</f>
        <v/>
      </c>
    </row>
    <row r="445" customFormat="false" ht="15" hidden="false" customHeight="true" outlineLevel="0" collapsed="false">
      <c r="A445" s="117" t="n">
        <v>28</v>
      </c>
      <c r="B445" s="117" t="n">
        <v>10</v>
      </c>
      <c r="C445" s="7" t="str">
        <f aca="false">IF(OR(Recurring!$B$32="",Recurring!$H$32&lt;&gt;"Yes",Recurring!$D$32=""),"",Recurring!$B$32)</f>
        <v/>
      </c>
      <c r="D445" s="7" t="str">
        <f aca="false">IF($C445="","",Recurring!$C$32)</f>
        <v/>
      </c>
      <c r="E445" s="118" t="str">
        <f aca="false">IF($C445="","",IF(SUMIFS(Overrides!$E$9:$E$108,Overrides!$B$9:$B$108,$C445,Overrides!$C$9:$C$108,$L445)&gt;0,SUMIFS(Overrides!$E$9:$E$108,Overrides!$B$9:$B$108,$C445,Overrides!$C$9:$C$108,$L445),Recurring!$D$32))</f>
        <v/>
      </c>
      <c r="F445" s="119" t="str">
        <f aca="false">IF($C445="","",IF(Recurring!$E$32="Weekly",Recurring!$F$32+7*9,IF(Recurring!$E$32="Every 2 Weeks",Recurring!$F$32+14*9,IF(Recurring!$E$32="Monthly",EDATE(Recurring!$F$32,9),IF(Recurring!$E$32="Twice a Month",IF(MOD((IF(DAY(Recurring!$F$32)&lt;=20,0,1)+9),2)=1,EOMONTH(Recurring!$F$32,INT((IF(DAY(Recurring!$F$32)&lt;=20,0,1)+9)/2)),DATE(YEAR(EDATE(Recurring!$F$32,INT((IF(DAY(Recurring!$F$32)&lt;=20,0,1)+9)/2))),MONTH(EDATE(Recurring!$F$32,INT((IF(DAY(Recurring!$F$32)&lt;=20,0,1)+9)/2))),15)),IF(Recurring!$E$32="One Time",IF(10=1,Recurring!$F$32,""),""))))))</f>
        <v/>
      </c>
      <c r="G445" s="119" t="str">
        <f aca="false">IF($L445="","",IF(SUMIFS(Overrides!$D$9:$D$108,Overrides!$B$9:$B$108,$C445,Overrides!$C$9:$C$108,$L445)&gt;0,SUMIFS(Overrides!$D$9:$D$108,Overrides!$B$9:$B$108,$C445,Overrides!$C$9:$C$108,$L445),$L445))</f>
        <v/>
      </c>
      <c r="H445" s="120" t="n">
        <f aca="false">IF($G445="",0,IF(AND($G445&gt;='Cash Flow'!$E$6,$G445&lt;'Cash Flow'!$E$6+91),1,0))</f>
        <v>0</v>
      </c>
      <c r="I445" s="120" t="str">
        <f aca="false">IF($H445=1,MAX(1,INT(($G445-'Cash Flow'!$E$6)/7)+1),"")</f>
        <v/>
      </c>
      <c r="J445" s="7" t="str">
        <f aca="false">IF($H445=1,$G445*10000+ROW(),"")</f>
        <v/>
      </c>
      <c r="K445" s="7" t="str">
        <f aca="false">IF($H445=1,$I445*1000+COUNTIFS($I$4:$I$483,$I445,$J$4:$J$483,"&lt;"&amp;$J445)+1,"")</f>
        <v/>
      </c>
      <c r="L445" s="121" t="str">
        <f aca="false">IF($F445="","",IF(Recurring!$G$32="Move Before",IF(WEEKDAY($F445,2)=6,$F445-1,IF(WEEKDAY($F445,2)=7,$F445-2,$F445)),IF(Recurring!$G$32="Move After",IF(WEEKDAY($F445,2)=6,$F445+2,IF(WEEKDAY($F445,2)=7,$F445+1,$F445)),$F445)))</f>
        <v/>
      </c>
      <c r="M445" s="0" t="str">
        <f aca="true">IF(AND($H445=1,$D445="Expense",$G445&gt;TODAY(),$E445&gt;=100),$G445*100000+ROW(),"")</f>
        <v/>
      </c>
      <c r="N445" s="0" t="str">
        <f aca="true">IF(AND($H445=1,$D445="Income",$G445&gt;TODAY()),$G445*100000+ROW(),"")</f>
        <v/>
      </c>
    </row>
    <row r="446" customFormat="false" ht="15" hidden="false" customHeight="true" outlineLevel="0" collapsed="false">
      <c r="A446" s="117" t="n">
        <v>28</v>
      </c>
      <c r="B446" s="117" t="n">
        <v>11</v>
      </c>
      <c r="C446" s="7" t="str">
        <f aca="false">IF(OR(Recurring!$B$32="",Recurring!$H$32&lt;&gt;"Yes",Recurring!$D$32=""),"",Recurring!$B$32)</f>
        <v/>
      </c>
      <c r="D446" s="7" t="str">
        <f aca="false">IF($C446="","",Recurring!$C$32)</f>
        <v/>
      </c>
      <c r="E446" s="118" t="str">
        <f aca="false">IF($C446="","",IF(SUMIFS(Overrides!$E$9:$E$108,Overrides!$B$9:$B$108,$C446,Overrides!$C$9:$C$108,$L446)&gt;0,SUMIFS(Overrides!$E$9:$E$108,Overrides!$B$9:$B$108,$C446,Overrides!$C$9:$C$108,$L446),Recurring!$D$32))</f>
        <v/>
      </c>
      <c r="F446" s="119" t="str">
        <f aca="false">IF($C446="","",IF(Recurring!$E$32="Weekly",Recurring!$F$32+7*10,IF(Recurring!$E$32="Every 2 Weeks",Recurring!$F$32+14*10,IF(Recurring!$E$32="Monthly",EDATE(Recurring!$F$32,10),IF(Recurring!$E$32="Twice a Month",IF(MOD((IF(DAY(Recurring!$F$32)&lt;=20,0,1)+10),2)=1,EOMONTH(Recurring!$F$32,INT((IF(DAY(Recurring!$F$32)&lt;=20,0,1)+10)/2)),DATE(YEAR(EDATE(Recurring!$F$32,INT((IF(DAY(Recurring!$F$32)&lt;=20,0,1)+10)/2))),MONTH(EDATE(Recurring!$F$32,INT((IF(DAY(Recurring!$F$32)&lt;=20,0,1)+10)/2))),15)),IF(Recurring!$E$32="One Time",IF(11=1,Recurring!$F$32,""),""))))))</f>
        <v/>
      </c>
      <c r="G446" s="119" t="str">
        <f aca="false">IF($L446="","",IF(SUMIFS(Overrides!$D$9:$D$108,Overrides!$B$9:$B$108,$C446,Overrides!$C$9:$C$108,$L446)&gt;0,SUMIFS(Overrides!$D$9:$D$108,Overrides!$B$9:$B$108,$C446,Overrides!$C$9:$C$108,$L446),$L446))</f>
        <v/>
      </c>
      <c r="H446" s="120" t="n">
        <f aca="false">IF($G446="",0,IF(AND($G446&gt;='Cash Flow'!$E$6,$G446&lt;'Cash Flow'!$E$6+91),1,0))</f>
        <v>0</v>
      </c>
      <c r="I446" s="120" t="str">
        <f aca="false">IF($H446=1,MAX(1,INT(($G446-'Cash Flow'!$E$6)/7)+1),"")</f>
        <v/>
      </c>
      <c r="J446" s="7" t="str">
        <f aca="false">IF($H446=1,$G446*10000+ROW(),"")</f>
        <v/>
      </c>
      <c r="K446" s="7" t="str">
        <f aca="false">IF($H446=1,$I446*1000+COUNTIFS($I$4:$I$483,$I446,$J$4:$J$483,"&lt;"&amp;$J446)+1,"")</f>
        <v/>
      </c>
      <c r="L446" s="121" t="str">
        <f aca="false">IF($F446="","",IF(Recurring!$G$32="Move Before",IF(WEEKDAY($F446,2)=6,$F446-1,IF(WEEKDAY($F446,2)=7,$F446-2,$F446)),IF(Recurring!$G$32="Move After",IF(WEEKDAY($F446,2)=6,$F446+2,IF(WEEKDAY($F446,2)=7,$F446+1,$F446)),$F446)))</f>
        <v/>
      </c>
      <c r="M446" s="0" t="str">
        <f aca="true">IF(AND($H446=1,$D446="Expense",$G446&gt;TODAY(),$E446&gt;=100),$G446*100000+ROW(),"")</f>
        <v/>
      </c>
      <c r="N446" s="0" t="str">
        <f aca="true">IF(AND($H446=1,$D446="Income",$G446&gt;TODAY()),$G446*100000+ROW(),"")</f>
        <v/>
      </c>
    </row>
    <row r="447" customFormat="false" ht="15" hidden="false" customHeight="true" outlineLevel="0" collapsed="false">
      <c r="A447" s="117" t="n">
        <v>28</v>
      </c>
      <c r="B447" s="117" t="n">
        <v>12</v>
      </c>
      <c r="C447" s="7" t="str">
        <f aca="false">IF(OR(Recurring!$B$32="",Recurring!$H$32&lt;&gt;"Yes",Recurring!$D$32=""),"",Recurring!$B$32)</f>
        <v/>
      </c>
      <c r="D447" s="7" t="str">
        <f aca="false">IF($C447="","",Recurring!$C$32)</f>
        <v/>
      </c>
      <c r="E447" s="118" t="str">
        <f aca="false">IF($C447="","",IF(SUMIFS(Overrides!$E$9:$E$108,Overrides!$B$9:$B$108,$C447,Overrides!$C$9:$C$108,$L447)&gt;0,SUMIFS(Overrides!$E$9:$E$108,Overrides!$B$9:$B$108,$C447,Overrides!$C$9:$C$108,$L447),Recurring!$D$32))</f>
        <v/>
      </c>
      <c r="F447" s="119" t="str">
        <f aca="false">IF($C447="","",IF(Recurring!$E$32="Weekly",Recurring!$F$32+7*11,IF(Recurring!$E$32="Every 2 Weeks",Recurring!$F$32+14*11,IF(Recurring!$E$32="Monthly",EDATE(Recurring!$F$32,11),IF(Recurring!$E$32="Twice a Month",IF(MOD((IF(DAY(Recurring!$F$32)&lt;=20,0,1)+11),2)=1,EOMONTH(Recurring!$F$32,INT((IF(DAY(Recurring!$F$32)&lt;=20,0,1)+11)/2)),DATE(YEAR(EDATE(Recurring!$F$32,INT((IF(DAY(Recurring!$F$32)&lt;=20,0,1)+11)/2))),MONTH(EDATE(Recurring!$F$32,INT((IF(DAY(Recurring!$F$32)&lt;=20,0,1)+11)/2))),15)),IF(Recurring!$E$32="One Time",IF(12=1,Recurring!$F$32,""),""))))))</f>
        <v/>
      </c>
      <c r="G447" s="119" t="str">
        <f aca="false">IF($L447="","",IF(SUMIFS(Overrides!$D$9:$D$108,Overrides!$B$9:$B$108,$C447,Overrides!$C$9:$C$108,$L447)&gt;0,SUMIFS(Overrides!$D$9:$D$108,Overrides!$B$9:$B$108,$C447,Overrides!$C$9:$C$108,$L447),$L447))</f>
        <v/>
      </c>
      <c r="H447" s="120" t="n">
        <f aca="false">IF($G447="",0,IF(AND($G447&gt;='Cash Flow'!$E$6,$G447&lt;'Cash Flow'!$E$6+91),1,0))</f>
        <v>0</v>
      </c>
      <c r="I447" s="120" t="str">
        <f aca="false">IF($H447=1,MAX(1,INT(($G447-'Cash Flow'!$E$6)/7)+1),"")</f>
        <v/>
      </c>
      <c r="J447" s="7" t="str">
        <f aca="false">IF($H447=1,$G447*10000+ROW(),"")</f>
        <v/>
      </c>
      <c r="K447" s="7" t="str">
        <f aca="false">IF($H447=1,$I447*1000+COUNTIFS($I$4:$I$483,$I447,$J$4:$J$483,"&lt;"&amp;$J447)+1,"")</f>
        <v/>
      </c>
      <c r="L447" s="121" t="str">
        <f aca="false">IF($F447="","",IF(Recurring!$G$32="Move Before",IF(WEEKDAY($F447,2)=6,$F447-1,IF(WEEKDAY($F447,2)=7,$F447-2,$F447)),IF(Recurring!$G$32="Move After",IF(WEEKDAY($F447,2)=6,$F447+2,IF(WEEKDAY($F447,2)=7,$F447+1,$F447)),$F447)))</f>
        <v/>
      </c>
      <c r="M447" s="0" t="str">
        <f aca="true">IF(AND($H447=1,$D447="Expense",$G447&gt;TODAY(),$E447&gt;=100),$G447*100000+ROW(),"")</f>
        <v/>
      </c>
      <c r="N447" s="0" t="str">
        <f aca="true">IF(AND($H447=1,$D447="Income",$G447&gt;TODAY()),$G447*100000+ROW(),"")</f>
        <v/>
      </c>
    </row>
    <row r="448" customFormat="false" ht="15" hidden="false" customHeight="true" outlineLevel="0" collapsed="false">
      <c r="A448" s="117" t="n">
        <v>28</v>
      </c>
      <c r="B448" s="117" t="n">
        <v>13</v>
      </c>
      <c r="C448" s="7" t="str">
        <f aca="false">IF(OR(Recurring!$B$32="",Recurring!$H$32&lt;&gt;"Yes",Recurring!$D$32=""),"",Recurring!$B$32)</f>
        <v/>
      </c>
      <c r="D448" s="7" t="str">
        <f aca="false">IF($C448="","",Recurring!$C$32)</f>
        <v/>
      </c>
      <c r="E448" s="118" t="str">
        <f aca="false">IF($C448="","",IF(SUMIFS(Overrides!$E$9:$E$108,Overrides!$B$9:$B$108,$C448,Overrides!$C$9:$C$108,$L448)&gt;0,SUMIFS(Overrides!$E$9:$E$108,Overrides!$B$9:$B$108,$C448,Overrides!$C$9:$C$108,$L448),Recurring!$D$32))</f>
        <v/>
      </c>
      <c r="F448" s="119" t="str">
        <f aca="false">IF($C448="","",IF(Recurring!$E$32="Weekly",Recurring!$F$32+7*12,IF(Recurring!$E$32="Every 2 Weeks",Recurring!$F$32+14*12,IF(Recurring!$E$32="Monthly",EDATE(Recurring!$F$32,12),IF(Recurring!$E$32="Twice a Month",IF(MOD((IF(DAY(Recurring!$F$32)&lt;=20,0,1)+12),2)=1,EOMONTH(Recurring!$F$32,INT((IF(DAY(Recurring!$F$32)&lt;=20,0,1)+12)/2)),DATE(YEAR(EDATE(Recurring!$F$32,INT((IF(DAY(Recurring!$F$32)&lt;=20,0,1)+12)/2))),MONTH(EDATE(Recurring!$F$32,INT((IF(DAY(Recurring!$F$32)&lt;=20,0,1)+12)/2))),15)),IF(Recurring!$E$32="One Time",IF(13=1,Recurring!$F$32,""),""))))))</f>
        <v/>
      </c>
      <c r="G448" s="119" t="str">
        <f aca="false">IF($L448="","",IF(SUMIFS(Overrides!$D$9:$D$108,Overrides!$B$9:$B$108,$C448,Overrides!$C$9:$C$108,$L448)&gt;0,SUMIFS(Overrides!$D$9:$D$108,Overrides!$B$9:$B$108,$C448,Overrides!$C$9:$C$108,$L448),$L448))</f>
        <v/>
      </c>
      <c r="H448" s="120" t="n">
        <f aca="false">IF($G448="",0,IF(AND($G448&gt;='Cash Flow'!$E$6,$G448&lt;'Cash Flow'!$E$6+91),1,0))</f>
        <v>0</v>
      </c>
      <c r="I448" s="120" t="str">
        <f aca="false">IF($H448=1,MAX(1,INT(($G448-'Cash Flow'!$E$6)/7)+1),"")</f>
        <v/>
      </c>
      <c r="J448" s="7" t="str">
        <f aca="false">IF($H448=1,$G448*10000+ROW(),"")</f>
        <v/>
      </c>
      <c r="K448" s="7" t="str">
        <f aca="false">IF($H448=1,$I448*1000+COUNTIFS($I$4:$I$483,$I448,$J$4:$J$483,"&lt;"&amp;$J448)+1,"")</f>
        <v/>
      </c>
      <c r="L448" s="121" t="str">
        <f aca="false">IF($F448="","",IF(Recurring!$G$32="Move Before",IF(WEEKDAY($F448,2)=6,$F448-1,IF(WEEKDAY($F448,2)=7,$F448-2,$F448)),IF(Recurring!$G$32="Move After",IF(WEEKDAY($F448,2)=6,$F448+2,IF(WEEKDAY($F448,2)=7,$F448+1,$F448)),$F448)))</f>
        <v/>
      </c>
      <c r="M448" s="0" t="str">
        <f aca="true">IF(AND($H448=1,$D448="Expense",$G448&gt;TODAY(),$E448&gt;=100),$G448*100000+ROW(),"")</f>
        <v/>
      </c>
      <c r="N448" s="0" t="str">
        <f aca="true">IF(AND($H448=1,$D448="Income",$G448&gt;TODAY()),$G448*100000+ROW(),"")</f>
        <v/>
      </c>
    </row>
    <row r="449" customFormat="false" ht="15" hidden="false" customHeight="true" outlineLevel="0" collapsed="false">
      <c r="A449" s="117" t="n">
        <v>28</v>
      </c>
      <c r="B449" s="117" t="n">
        <v>14</v>
      </c>
      <c r="C449" s="7" t="str">
        <f aca="false">IF(OR(Recurring!$B$32="",Recurring!$H$32&lt;&gt;"Yes",Recurring!$D$32=""),"",Recurring!$B$32)</f>
        <v/>
      </c>
      <c r="D449" s="7" t="str">
        <f aca="false">IF($C449="","",Recurring!$C$32)</f>
        <v/>
      </c>
      <c r="E449" s="118" t="str">
        <f aca="false">IF($C449="","",IF(SUMIFS(Overrides!$E$9:$E$108,Overrides!$B$9:$B$108,$C449,Overrides!$C$9:$C$108,$L449)&gt;0,SUMIFS(Overrides!$E$9:$E$108,Overrides!$B$9:$B$108,$C449,Overrides!$C$9:$C$108,$L449),Recurring!$D$32))</f>
        <v/>
      </c>
      <c r="F449" s="119" t="str">
        <f aca="false">IF($C449="","",IF(Recurring!$E$32="Weekly",Recurring!$F$32+7*13,IF(Recurring!$E$32="Every 2 Weeks",Recurring!$F$32+14*13,IF(Recurring!$E$32="Monthly",EDATE(Recurring!$F$32,13),IF(Recurring!$E$32="Twice a Month",IF(MOD((IF(DAY(Recurring!$F$32)&lt;=20,0,1)+13),2)=1,EOMONTH(Recurring!$F$32,INT((IF(DAY(Recurring!$F$32)&lt;=20,0,1)+13)/2)),DATE(YEAR(EDATE(Recurring!$F$32,INT((IF(DAY(Recurring!$F$32)&lt;=20,0,1)+13)/2))),MONTH(EDATE(Recurring!$F$32,INT((IF(DAY(Recurring!$F$32)&lt;=20,0,1)+13)/2))),15)),IF(Recurring!$E$32="One Time",IF(14=1,Recurring!$F$32,""),""))))))</f>
        <v/>
      </c>
      <c r="G449" s="119" t="str">
        <f aca="false">IF($L449="","",IF(SUMIFS(Overrides!$D$9:$D$108,Overrides!$B$9:$B$108,$C449,Overrides!$C$9:$C$108,$L449)&gt;0,SUMIFS(Overrides!$D$9:$D$108,Overrides!$B$9:$B$108,$C449,Overrides!$C$9:$C$108,$L449),$L449))</f>
        <v/>
      </c>
      <c r="H449" s="120" t="n">
        <f aca="false">IF($G449="",0,IF(AND($G449&gt;='Cash Flow'!$E$6,$G449&lt;'Cash Flow'!$E$6+91),1,0))</f>
        <v>0</v>
      </c>
      <c r="I449" s="120" t="str">
        <f aca="false">IF($H449=1,MAX(1,INT(($G449-'Cash Flow'!$E$6)/7)+1),"")</f>
        <v/>
      </c>
      <c r="J449" s="7" t="str">
        <f aca="false">IF($H449=1,$G449*10000+ROW(),"")</f>
        <v/>
      </c>
      <c r="K449" s="7" t="str">
        <f aca="false">IF($H449=1,$I449*1000+COUNTIFS($I$4:$I$483,$I449,$J$4:$J$483,"&lt;"&amp;$J449)+1,"")</f>
        <v/>
      </c>
      <c r="L449" s="121" t="str">
        <f aca="false">IF($F449="","",IF(Recurring!$G$32="Move Before",IF(WEEKDAY($F449,2)=6,$F449-1,IF(WEEKDAY($F449,2)=7,$F449-2,$F449)),IF(Recurring!$G$32="Move After",IF(WEEKDAY($F449,2)=6,$F449+2,IF(WEEKDAY($F449,2)=7,$F449+1,$F449)),$F449)))</f>
        <v/>
      </c>
      <c r="M449" s="0" t="str">
        <f aca="true">IF(AND($H449=1,$D449="Expense",$G449&gt;TODAY(),$E449&gt;=100),$G449*100000+ROW(),"")</f>
        <v/>
      </c>
      <c r="N449" s="0" t="str">
        <f aca="true">IF(AND($H449=1,$D449="Income",$G449&gt;TODAY()),$G449*100000+ROW(),"")</f>
        <v/>
      </c>
    </row>
    <row r="450" customFormat="false" ht="15" hidden="false" customHeight="true" outlineLevel="0" collapsed="false">
      <c r="A450" s="117" t="n">
        <v>28</v>
      </c>
      <c r="B450" s="117" t="n">
        <v>15</v>
      </c>
      <c r="C450" s="7" t="str">
        <f aca="false">IF(OR(Recurring!$B$32="",Recurring!$H$32&lt;&gt;"Yes",Recurring!$D$32=""),"",Recurring!$B$32)</f>
        <v/>
      </c>
      <c r="D450" s="7" t="str">
        <f aca="false">IF($C450="","",Recurring!$C$32)</f>
        <v/>
      </c>
      <c r="E450" s="118" t="str">
        <f aca="false">IF($C450="","",IF(SUMIFS(Overrides!$E$9:$E$108,Overrides!$B$9:$B$108,$C450,Overrides!$C$9:$C$108,$L450)&gt;0,SUMIFS(Overrides!$E$9:$E$108,Overrides!$B$9:$B$108,$C450,Overrides!$C$9:$C$108,$L450),Recurring!$D$32))</f>
        <v/>
      </c>
      <c r="F450" s="119" t="str">
        <f aca="false">IF($C450="","",IF(Recurring!$E$32="Weekly",Recurring!$F$32+7*14,IF(Recurring!$E$32="Every 2 Weeks",Recurring!$F$32+14*14,IF(Recurring!$E$32="Monthly",EDATE(Recurring!$F$32,14),IF(Recurring!$E$32="Twice a Month",IF(MOD((IF(DAY(Recurring!$F$32)&lt;=20,0,1)+14),2)=1,EOMONTH(Recurring!$F$32,INT((IF(DAY(Recurring!$F$32)&lt;=20,0,1)+14)/2)),DATE(YEAR(EDATE(Recurring!$F$32,INT((IF(DAY(Recurring!$F$32)&lt;=20,0,1)+14)/2))),MONTH(EDATE(Recurring!$F$32,INT((IF(DAY(Recurring!$F$32)&lt;=20,0,1)+14)/2))),15)),IF(Recurring!$E$32="One Time",IF(15=1,Recurring!$F$32,""),""))))))</f>
        <v/>
      </c>
      <c r="G450" s="119" t="str">
        <f aca="false">IF($L450="","",IF(SUMIFS(Overrides!$D$9:$D$108,Overrides!$B$9:$B$108,$C450,Overrides!$C$9:$C$108,$L450)&gt;0,SUMIFS(Overrides!$D$9:$D$108,Overrides!$B$9:$B$108,$C450,Overrides!$C$9:$C$108,$L450),$L450))</f>
        <v/>
      </c>
      <c r="H450" s="120" t="n">
        <f aca="false">IF($G450="",0,IF(AND($G450&gt;='Cash Flow'!$E$6,$G450&lt;'Cash Flow'!$E$6+91),1,0))</f>
        <v>0</v>
      </c>
      <c r="I450" s="120" t="str">
        <f aca="false">IF($H450=1,MAX(1,INT(($G450-'Cash Flow'!$E$6)/7)+1),"")</f>
        <v/>
      </c>
      <c r="J450" s="7" t="str">
        <f aca="false">IF($H450=1,$G450*10000+ROW(),"")</f>
        <v/>
      </c>
      <c r="K450" s="7" t="str">
        <f aca="false">IF($H450=1,$I450*1000+COUNTIFS($I$4:$I$483,$I450,$J$4:$J$483,"&lt;"&amp;$J450)+1,"")</f>
        <v/>
      </c>
      <c r="L450" s="121" t="str">
        <f aca="false">IF($F450="","",IF(Recurring!$G$32="Move Before",IF(WEEKDAY($F450,2)=6,$F450-1,IF(WEEKDAY($F450,2)=7,$F450-2,$F450)),IF(Recurring!$G$32="Move After",IF(WEEKDAY($F450,2)=6,$F450+2,IF(WEEKDAY($F450,2)=7,$F450+1,$F450)),$F450)))</f>
        <v/>
      </c>
      <c r="M450" s="0" t="str">
        <f aca="true">IF(AND($H450=1,$D450="Expense",$G450&gt;TODAY(),$E450&gt;=100),$G450*100000+ROW(),"")</f>
        <v/>
      </c>
      <c r="N450" s="0" t="str">
        <f aca="true">IF(AND($H450=1,$D450="Income",$G450&gt;TODAY()),$G450*100000+ROW(),"")</f>
        <v/>
      </c>
    </row>
    <row r="451" customFormat="false" ht="15" hidden="false" customHeight="true" outlineLevel="0" collapsed="false">
      <c r="A451" s="117" t="n">
        <v>28</v>
      </c>
      <c r="B451" s="117" t="n">
        <v>16</v>
      </c>
      <c r="C451" s="7" t="str">
        <f aca="false">IF(OR(Recurring!$B$32="",Recurring!$H$32&lt;&gt;"Yes",Recurring!$D$32=""),"",Recurring!$B$32)</f>
        <v/>
      </c>
      <c r="D451" s="7" t="str">
        <f aca="false">IF($C451="","",Recurring!$C$32)</f>
        <v/>
      </c>
      <c r="E451" s="118" t="str">
        <f aca="false">IF($C451="","",IF(SUMIFS(Overrides!$E$9:$E$108,Overrides!$B$9:$B$108,$C451,Overrides!$C$9:$C$108,$L451)&gt;0,SUMIFS(Overrides!$E$9:$E$108,Overrides!$B$9:$B$108,$C451,Overrides!$C$9:$C$108,$L451),Recurring!$D$32))</f>
        <v/>
      </c>
      <c r="F451" s="119" t="str">
        <f aca="false">IF($C451="","",IF(Recurring!$E$32="Weekly",Recurring!$F$32+7*15,IF(Recurring!$E$32="Every 2 Weeks",Recurring!$F$32+14*15,IF(Recurring!$E$32="Monthly",EDATE(Recurring!$F$32,15),IF(Recurring!$E$32="Twice a Month",IF(MOD((IF(DAY(Recurring!$F$32)&lt;=20,0,1)+15),2)=1,EOMONTH(Recurring!$F$32,INT((IF(DAY(Recurring!$F$32)&lt;=20,0,1)+15)/2)),DATE(YEAR(EDATE(Recurring!$F$32,INT((IF(DAY(Recurring!$F$32)&lt;=20,0,1)+15)/2))),MONTH(EDATE(Recurring!$F$32,INT((IF(DAY(Recurring!$F$32)&lt;=20,0,1)+15)/2))),15)),IF(Recurring!$E$32="One Time",IF(16=1,Recurring!$F$32,""),""))))))</f>
        <v/>
      </c>
      <c r="G451" s="119" t="str">
        <f aca="false">IF($L451="","",IF(SUMIFS(Overrides!$D$9:$D$108,Overrides!$B$9:$B$108,$C451,Overrides!$C$9:$C$108,$L451)&gt;0,SUMIFS(Overrides!$D$9:$D$108,Overrides!$B$9:$B$108,$C451,Overrides!$C$9:$C$108,$L451),$L451))</f>
        <v/>
      </c>
      <c r="H451" s="120" t="n">
        <f aca="false">IF($G451="",0,IF(AND($G451&gt;='Cash Flow'!$E$6,$G451&lt;'Cash Flow'!$E$6+91),1,0))</f>
        <v>0</v>
      </c>
      <c r="I451" s="120" t="str">
        <f aca="false">IF($H451=1,MAX(1,INT(($G451-'Cash Flow'!$E$6)/7)+1),"")</f>
        <v/>
      </c>
      <c r="J451" s="7" t="str">
        <f aca="false">IF($H451=1,$G451*10000+ROW(),"")</f>
        <v/>
      </c>
      <c r="K451" s="7" t="str">
        <f aca="false">IF($H451=1,$I451*1000+COUNTIFS($I$4:$I$483,$I451,$J$4:$J$483,"&lt;"&amp;$J451)+1,"")</f>
        <v/>
      </c>
      <c r="L451" s="121" t="str">
        <f aca="false">IF($F451="","",IF(Recurring!$G$32="Move Before",IF(WEEKDAY($F451,2)=6,$F451-1,IF(WEEKDAY($F451,2)=7,$F451-2,$F451)),IF(Recurring!$G$32="Move After",IF(WEEKDAY($F451,2)=6,$F451+2,IF(WEEKDAY($F451,2)=7,$F451+1,$F451)),$F451)))</f>
        <v/>
      </c>
      <c r="M451" s="0" t="str">
        <f aca="true">IF(AND($H451=1,$D451="Expense",$G451&gt;TODAY(),$E451&gt;=100),$G451*100000+ROW(),"")</f>
        <v/>
      </c>
      <c r="N451" s="0" t="str">
        <f aca="true">IF(AND($H451=1,$D451="Income",$G451&gt;TODAY()),$G451*100000+ROW(),"")</f>
        <v/>
      </c>
    </row>
    <row r="452" customFormat="false" ht="15" hidden="false" customHeight="true" outlineLevel="0" collapsed="false">
      <c r="A452" s="117" t="n">
        <v>29</v>
      </c>
      <c r="B452" s="117" t="n">
        <v>1</v>
      </c>
      <c r="C452" s="7" t="str">
        <f aca="false">IF(OR(Recurring!$B$33="",Recurring!$H$33&lt;&gt;"Yes",Recurring!$D$33=""),"",Recurring!$B$33)</f>
        <v/>
      </c>
      <c r="D452" s="7" t="str">
        <f aca="false">IF($C452="","",Recurring!$C$33)</f>
        <v/>
      </c>
      <c r="E452" s="118" t="str">
        <f aca="false">IF($C452="","",IF(SUMIFS(Overrides!$E$9:$E$108,Overrides!$B$9:$B$108,$C452,Overrides!$C$9:$C$108,$L452)&gt;0,SUMIFS(Overrides!$E$9:$E$108,Overrides!$B$9:$B$108,$C452,Overrides!$C$9:$C$108,$L452),Recurring!$D$33))</f>
        <v/>
      </c>
      <c r="F452" s="119" t="str">
        <f aca="false">IF($C452="","",IF(Recurring!$E$33="Weekly",Recurring!$F$33+7*0,IF(Recurring!$E$33="Every 2 Weeks",Recurring!$F$33+14*0,IF(Recurring!$E$33="Monthly",EDATE(Recurring!$F$33,0),IF(Recurring!$E$33="Twice a Month",IF(MOD((IF(DAY(Recurring!$F$33)&lt;=20,0,1)+0),2)=1,EOMONTH(Recurring!$F$33,INT((IF(DAY(Recurring!$F$33)&lt;=20,0,1)+0)/2)),DATE(YEAR(EDATE(Recurring!$F$33,INT((IF(DAY(Recurring!$F$33)&lt;=20,0,1)+0)/2))),MONTH(EDATE(Recurring!$F$33,INT((IF(DAY(Recurring!$F$33)&lt;=20,0,1)+0)/2))),15)),IF(Recurring!$E$33="One Time",IF(1=1,Recurring!$F$33,""),""))))))</f>
        <v/>
      </c>
      <c r="G452" s="119" t="str">
        <f aca="false">IF($L452="","",IF(SUMIFS(Overrides!$D$9:$D$108,Overrides!$B$9:$B$108,$C452,Overrides!$C$9:$C$108,$L452)&gt;0,SUMIFS(Overrides!$D$9:$D$108,Overrides!$B$9:$B$108,$C452,Overrides!$C$9:$C$108,$L452),$L452))</f>
        <v/>
      </c>
      <c r="H452" s="120" t="n">
        <f aca="false">IF($G452="",0,IF(AND($G452&gt;='Cash Flow'!$E$6-90,$G452&lt;'Cash Flow'!$E$6+91),1,0))</f>
        <v>0</v>
      </c>
      <c r="I452" s="120" t="str">
        <f aca="false">IF($H452=1,MAX(1,INT(($G452-'Cash Flow'!$E$6)/7)+1),"")</f>
        <v/>
      </c>
      <c r="J452" s="7" t="str">
        <f aca="false">IF($H452=1,$G452*10000+ROW(),"")</f>
        <v/>
      </c>
      <c r="K452" s="7" t="str">
        <f aca="false">IF($H452=1,$I452*1000+COUNTIFS($I$4:$I$483,$I452,$J$4:$J$483,"&lt;"&amp;$J452)+1,"")</f>
        <v/>
      </c>
      <c r="L452" s="121" t="str">
        <f aca="false">IF($F452="","",IF(Recurring!$G$33="Move Before",IF(WEEKDAY($F452,2)=6,$F452-1,IF(WEEKDAY($F452,2)=7,$F452-2,$F452)),IF(Recurring!$G$33="Move After",IF(WEEKDAY($F452,2)=6,$F452+2,IF(WEEKDAY($F452,2)=7,$F452+1,$F452)),$F452)))</f>
        <v/>
      </c>
      <c r="M452" s="0" t="str">
        <f aca="true">IF(AND($H452=1,$D452="Expense",$G452&gt;TODAY(),$E452&gt;=100),$G452*100000+ROW(),"")</f>
        <v/>
      </c>
      <c r="N452" s="0" t="str">
        <f aca="true">IF(AND($H452=1,$D452="Income",$G452&gt;TODAY()),$G452*100000+ROW(),"")</f>
        <v/>
      </c>
    </row>
    <row r="453" customFormat="false" ht="15" hidden="false" customHeight="true" outlineLevel="0" collapsed="false">
      <c r="A453" s="117" t="n">
        <v>29</v>
      </c>
      <c r="B453" s="117" t="n">
        <v>2</v>
      </c>
      <c r="C453" s="7" t="str">
        <f aca="false">IF(OR(Recurring!$B$33="",Recurring!$H$33&lt;&gt;"Yes",Recurring!$D$33=""),"",Recurring!$B$33)</f>
        <v/>
      </c>
      <c r="D453" s="7" t="str">
        <f aca="false">IF($C453="","",Recurring!$C$33)</f>
        <v/>
      </c>
      <c r="E453" s="118" t="str">
        <f aca="false">IF($C453="","",IF(SUMIFS(Overrides!$E$9:$E$108,Overrides!$B$9:$B$108,$C453,Overrides!$C$9:$C$108,$L453)&gt;0,SUMIFS(Overrides!$E$9:$E$108,Overrides!$B$9:$B$108,$C453,Overrides!$C$9:$C$108,$L453),Recurring!$D$33))</f>
        <v/>
      </c>
      <c r="F453" s="119" t="str">
        <f aca="false">IF($C453="","",IF(Recurring!$E$33="Weekly",Recurring!$F$33+7*1,IF(Recurring!$E$33="Every 2 Weeks",Recurring!$F$33+14*1,IF(Recurring!$E$33="Monthly",EDATE(Recurring!$F$33,1),IF(Recurring!$E$33="Twice a Month",IF(MOD((IF(DAY(Recurring!$F$33)&lt;=20,0,1)+1),2)=1,EOMONTH(Recurring!$F$33,INT((IF(DAY(Recurring!$F$33)&lt;=20,0,1)+1)/2)),DATE(YEAR(EDATE(Recurring!$F$33,INT((IF(DAY(Recurring!$F$33)&lt;=20,0,1)+1)/2))),MONTH(EDATE(Recurring!$F$33,INT((IF(DAY(Recurring!$F$33)&lt;=20,0,1)+1)/2))),15)),IF(Recurring!$E$33="One Time",IF(2=1,Recurring!$F$33,""),""))))))</f>
        <v/>
      </c>
      <c r="G453" s="119" t="str">
        <f aca="false">IF($L453="","",IF(SUMIFS(Overrides!$D$9:$D$108,Overrides!$B$9:$B$108,$C453,Overrides!$C$9:$C$108,$L453)&gt;0,SUMIFS(Overrides!$D$9:$D$108,Overrides!$B$9:$B$108,$C453,Overrides!$C$9:$C$108,$L453),$L453))</f>
        <v/>
      </c>
      <c r="H453" s="120" t="n">
        <f aca="false">IF($G453="",0,IF(AND($G453&gt;='Cash Flow'!$E$6,$G453&lt;'Cash Flow'!$E$6+91),1,0))</f>
        <v>0</v>
      </c>
      <c r="I453" s="120" t="str">
        <f aca="false">IF($H453=1,MAX(1,INT(($G453-'Cash Flow'!$E$6)/7)+1),"")</f>
        <v/>
      </c>
      <c r="J453" s="7" t="str">
        <f aca="false">IF($H453=1,$G453*10000+ROW(),"")</f>
        <v/>
      </c>
      <c r="K453" s="7" t="str">
        <f aca="false">IF($H453=1,$I453*1000+COUNTIFS($I$4:$I$483,$I453,$J$4:$J$483,"&lt;"&amp;$J453)+1,"")</f>
        <v/>
      </c>
      <c r="L453" s="121" t="str">
        <f aca="false">IF($F453="","",IF(Recurring!$G$33="Move Before",IF(WEEKDAY($F453,2)=6,$F453-1,IF(WEEKDAY($F453,2)=7,$F453-2,$F453)),IF(Recurring!$G$33="Move After",IF(WEEKDAY($F453,2)=6,$F453+2,IF(WEEKDAY($F453,2)=7,$F453+1,$F453)),$F453)))</f>
        <v/>
      </c>
      <c r="M453" s="0" t="str">
        <f aca="true">IF(AND($H453=1,$D453="Expense",$G453&gt;TODAY(),$E453&gt;=100),$G453*100000+ROW(),"")</f>
        <v/>
      </c>
      <c r="N453" s="0" t="str">
        <f aca="true">IF(AND($H453=1,$D453="Income",$G453&gt;TODAY()),$G453*100000+ROW(),"")</f>
        <v/>
      </c>
    </row>
    <row r="454" customFormat="false" ht="15" hidden="false" customHeight="true" outlineLevel="0" collapsed="false">
      <c r="A454" s="117" t="n">
        <v>29</v>
      </c>
      <c r="B454" s="117" t="n">
        <v>3</v>
      </c>
      <c r="C454" s="7" t="str">
        <f aca="false">IF(OR(Recurring!$B$33="",Recurring!$H$33&lt;&gt;"Yes",Recurring!$D$33=""),"",Recurring!$B$33)</f>
        <v/>
      </c>
      <c r="D454" s="7" t="str">
        <f aca="false">IF($C454="","",Recurring!$C$33)</f>
        <v/>
      </c>
      <c r="E454" s="118" t="str">
        <f aca="false">IF($C454="","",IF(SUMIFS(Overrides!$E$9:$E$108,Overrides!$B$9:$B$108,$C454,Overrides!$C$9:$C$108,$L454)&gt;0,SUMIFS(Overrides!$E$9:$E$108,Overrides!$B$9:$B$108,$C454,Overrides!$C$9:$C$108,$L454),Recurring!$D$33))</f>
        <v/>
      </c>
      <c r="F454" s="119" t="str">
        <f aca="false">IF($C454="","",IF(Recurring!$E$33="Weekly",Recurring!$F$33+7*2,IF(Recurring!$E$33="Every 2 Weeks",Recurring!$F$33+14*2,IF(Recurring!$E$33="Monthly",EDATE(Recurring!$F$33,2),IF(Recurring!$E$33="Twice a Month",IF(MOD((IF(DAY(Recurring!$F$33)&lt;=20,0,1)+2),2)=1,EOMONTH(Recurring!$F$33,INT((IF(DAY(Recurring!$F$33)&lt;=20,0,1)+2)/2)),DATE(YEAR(EDATE(Recurring!$F$33,INT((IF(DAY(Recurring!$F$33)&lt;=20,0,1)+2)/2))),MONTH(EDATE(Recurring!$F$33,INT((IF(DAY(Recurring!$F$33)&lt;=20,0,1)+2)/2))),15)),IF(Recurring!$E$33="One Time",IF(3=1,Recurring!$F$33,""),""))))))</f>
        <v/>
      </c>
      <c r="G454" s="119" t="str">
        <f aca="false">IF($L454="","",IF(SUMIFS(Overrides!$D$9:$D$108,Overrides!$B$9:$B$108,$C454,Overrides!$C$9:$C$108,$L454)&gt;0,SUMIFS(Overrides!$D$9:$D$108,Overrides!$B$9:$B$108,$C454,Overrides!$C$9:$C$108,$L454),$L454))</f>
        <v/>
      </c>
      <c r="H454" s="120" t="n">
        <f aca="false">IF($G454="",0,IF(AND($G454&gt;='Cash Flow'!$E$6,$G454&lt;'Cash Flow'!$E$6+91),1,0))</f>
        <v>0</v>
      </c>
      <c r="I454" s="120" t="str">
        <f aca="false">IF($H454=1,MAX(1,INT(($G454-'Cash Flow'!$E$6)/7)+1),"")</f>
        <v/>
      </c>
      <c r="J454" s="7" t="str">
        <f aca="false">IF($H454=1,$G454*10000+ROW(),"")</f>
        <v/>
      </c>
      <c r="K454" s="7" t="str">
        <f aca="false">IF($H454=1,$I454*1000+COUNTIFS($I$4:$I$483,$I454,$J$4:$J$483,"&lt;"&amp;$J454)+1,"")</f>
        <v/>
      </c>
      <c r="L454" s="121" t="str">
        <f aca="false">IF($F454="","",IF(Recurring!$G$33="Move Before",IF(WEEKDAY($F454,2)=6,$F454-1,IF(WEEKDAY($F454,2)=7,$F454-2,$F454)),IF(Recurring!$G$33="Move After",IF(WEEKDAY($F454,2)=6,$F454+2,IF(WEEKDAY($F454,2)=7,$F454+1,$F454)),$F454)))</f>
        <v/>
      </c>
      <c r="M454" s="0" t="str">
        <f aca="true">IF(AND($H454=1,$D454="Expense",$G454&gt;TODAY(),$E454&gt;=100),$G454*100000+ROW(),"")</f>
        <v/>
      </c>
      <c r="N454" s="0" t="str">
        <f aca="true">IF(AND($H454=1,$D454="Income",$G454&gt;TODAY()),$G454*100000+ROW(),"")</f>
        <v/>
      </c>
    </row>
    <row r="455" customFormat="false" ht="15" hidden="false" customHeight="true" outlineLevel="0" collapsed="false">
      <c r="A455" s="117" t="n">
        <v>29</v>
      </c>
      <c r="B455" s="117" t="n">
        <v>4</v>
      </c>
      <c r="C455" s="7" t="str">
        <f aca="false">IF(OR(Recurring!$B$33="",Recurring!$H$33&lt;&gt;"Yes",Recurring!$D$33=""),"",Recurring!$B$33)</f>
        <v/>
      </c>
      <c r="D455" s="7" t="str">
        <f aca="false">IF($C455="","",Recurring!$C$33)</f>
        <v/>
      </c>
      <c r="E455" s="118" t="str">
        <f aca="false">IF($C455="","",IF(SUMIFS(Overrides!$E$9:$E$108,Overrides!$B$9:$B$108,$C455,Overrides!$C$9:$C$108,$L455)&gt;0,SUMIFS(Overrides!$E$9:$E$108,Overrides!$B$9:$B$108,$C455,Overrides!$C$9:$C$108,$L455),Recurring!$D$33))</f>
        <v/>
      </c>
      <c r="F455" s="119" t="str">
        <f aca="false">IF($C455="","",IF(Recurring!$E$33="Weekly",Recurring!$F$33+7*3,IF(Recurring!$E$33="Every 2 Weeks",Recurring!$F$33+14*3,IF(Recurring!$E$33="Monthly",EDATE(Recurring!$F$33,3),IF(Recurring!$E$33="Twice a Month",IF(MOD((IF(DAY(Recurring!$F$33)&lt;=20,0,1)+3),2)=1,EOMONTH(Recurring!$F$33,INT((IF(DAY(Recurring!$F$33)&lt;=20,0,1)+3)/2)),DATE(YEAR(EDATE(Recurring!$F$33,INT((IF(DAY(Recurring!$F$33)&lt;=20,0,1)+3)/2))),MONTH(EDATE(Recurring!$F$33,INT((IF(DAY(Recurring!$F$33)&lt;=20,0,1)+3)/2))),15)),IF(Recurring!$E$33="One Time",IF(4=1,Recurring!$F$33,""),""))))))</f>
        <v/>
      </c>
      <c r="G455" s="119" t="str">
        <f aca="false">IF($L455="","",IF(SUMIFS(Overrides!$D$9:$D$108,Overrides!$B$9:$B$108,$C455,Overrides!$C$9:$C$108,$L455)&gt;0,SUMIFS(Overrides!$D$9:$D$108,Overrides!$B$9:$B$108,$C455,Overrides!$C$9:$C$108,$L455),$L455))</f>
        <v/>
      </c>
      <c r="H455" s="120" t="n">
        <f aca="false">IF($G455="",0,IF(AND($G455&gt;='Cash Flow'!$E$6,$G455&lt;'Cash Flow'!$E$6+91),1,0))</f>
        <v>0</v>
      </c>
      <c r="I455" s="120" t="str">
        <f aca="false">IF($H455=1,MAX(1,INT(($G455-'Cash Flow'!$E$6)/7)+1),"")</f>
        <v/>
      </c>
      <c r="J455" s="7" t="str">
        <f aca="false">IF($H455=1,$G455*10000+ROW(),"")</f>
        <v/>
      </c>
      <c r="K455" s="7" t="str">
        <f aca="false">IF($H455=1,$I455*1000+COUNTIFS($I$4:$I$483,$I455,$J$4:$J$483,"&lt;"&amp;$J455)+1,"")</f>
        <v/>
      </c>
      <c r="L455" s="121" t="str">
        <f aca="false">IF($F455="","",IF(Recurring!$G$33="Move Before",IF(WEEKDAY($F455,2)=6,$F455-1,IF(WEEKDAY($F455,2)=7,$F455-2,$F455)),IF(Recurring!$G$33="Move After",IF(WEEKDAY($F455,2)=6,$F455+2,IF(WEEKDAY($F455,2)=7,$F455+1,$F455)),$F455)))</f>
        <v/>
      </c>
      <c r="M455" s="0" t="str">
        <f aca="true">IF(AND($H455=1,$D455="Expense",$G455&gt;TODAY(),$E455&gt;=100),$G455*100000+ROW(),"")</f>
        <v/>
      </c>
      <c r="N455" s="0" t="str">
        <f aca="true">IF(AND($H455=1,$D455="Income",$G455&gt;TODAY()),$G455*100000+ROW(),"")</f>
        <v/>
      </c>
    </row>
    <row r="456" customFormat="false" ht="15" hidden="false" customHeight="true" outlineLevel="0" collapsed="false">
      <c r="A456" s="117" t="n">
        <v>29</v>
      </c>
      <c r="B456" s="117" t="n">
        <v>5</v>
      </c>
      <c r="C456" s="7" t="str">
        <f aca="false">IF(OR(Recurring!$B$33="",Recurring!$H$33&lt;&gt;"Yes",Recurring!$D$33=""),"",Recurring!$B$33)</f>
        <v/>
      </c>
      <c r="D456" s="7" t="str">
        <f aca="false">IF($C456="","",Recurring!$C$33)</f>
        <v/>
      </c>
      <c r="E456" s="118" t="str">
        <f aca="false">IF($C456="","",IF(SUMIFS(Overrides!$E$9:$E$108,Overrides!$B$9:$B$108,$C456,Overrides!$C$9:$C$108,$L456)&gt;0,SUMIFS(Overrides!$E$9:$E$108,Overrides!$B$9:$B$108,$C456,Overrides!$C$9:$C$108,$L456),Recurring!$D$33))</f>
        <v/>
      </c>
      <c r="F456" s="119" t="str">
        <f aca="false">IF($C456="","",IF(Recurring!$E$33="Weekly",Recurring!$F$33+7*4,IF(Recurring!$E$33="Every 2 Weeks",Recurring!$F$33+14*4,IF(Recurring!$E$33="Monthly",EDATE(Recurring!$F$33,4),IF(Recurring!$E$33="Twice a Month",IF(MOD((IF(DAY(Recurring!$F$33)&lt;=20,0,1)+4),2)=1,EOMONTH(Recurring!$F$33,INT((IF(DAY(Recurring!$F$33)&lt;=20,0,1)+4)/2)),DATE(YEAR(EDATE(Recurring!$F$33,INT((IF(DAY(Recurring!$F$33)&lt;=20,0,1)+4)/2))),MONTH(EDATE(Recurring!$F$33,INT((IF(DAY(Recurring!$F$33)&lt;=20,0,1)+4)/2))),15)),IF(Recurring!$E$33="One Time",IF(5=1,Recurring!$F$33,""),""))))))</f>
        <v/>
      </c>
      <c r="G456" s="119" t="str">
        <f aca="false">IF($L456="","",IF(SUMIFS(Overrides!$D$9:$D$108,Overrides!$B$9:$B$108,$C456,Overrides!$C$9:$C$108,$L456)&gt;0,SUMIFS(Overrides!$D$9:$D$108,Overrides!$B$9:$B$108,$C456,Overrides!$C$9:$C$108,$L456),$L456))</f>
        <v/>
      </c>
      <c r="H456" s="120" t="n">
        <f aca="false">IF($G456="",0,IF(AND($G456&gt;='Cash Flow'!$E$6,$G456&lt;'Cash Flow'!$E$6+91),1,0))</f>
        <v>0</v>
      </c>
      <c r="I456" s="120" t="str">
        <f aca="false">IF($H456=1,MAX(1,INT(($G456-'Cash Flow'!$E$6)/7)+1),"")</f>
        <v/>
      </c>
      <c r="J456" s="7" t="str">
        <f aca="false">IF($H456=1,$G456*10000+ROW(),"")</f>
        <v/>
      </c>
      <c r="K456" s="7" t="str">
        <f aca="false">IF($H456=1,$I456*1000+COUNTIFS($I$4:$I$483,$I456,$J$4:$J$483,"&lt;"&amp;$J456)+1,"")</f>
        <v/>
      </c>
      <c r="L456" s="121" t="str">
        <f aca="false">IF($F456="","",IF(Recurring!$G$33="Move Before",IF(WEEKDAY($F456,2)=6,$F456-1,IF(WEEKDAY($F456,2)=7,$F456-2,$F456)),IF(Recurring!$G$33="Move After",IF(WEEKDAY($F456,2)=6,$F456+2,IF(WEEKDAY($F456,2)=7,$F456+1,$F456)),$F456)))</f>
        <v/>
      </c>
      <c r="M456" s="0" t="str">
        <f aca="true">IF(AND($H456=1,$D456="Expense",$G456&gt;TODAY(),$E456&gt;=100),$G456*100000+ROW(),"")</f>
        <v/>
      </c>
      <c r="N456" s="0" t="str">
        <f aca="true">IF(AND($H456=1,$D456="Income",$G456&gt;TODAY()),$G456*100000+ROW(),"")</f>
        <v/>
      </c>
    </row>
    <row r="457" customFormat="false" ht="15" hidden="false" customHeight="true" outlineLevel="0" collapsed="false">
      <c r="A457" s="117" t="n">
        <v>29</v>
      </c>
      <c r="B457" s="117" t="n">
        <v>6</v>
      </c>
      <c r="C457" s="7" t="str">
        <f aca="false">IF(OR(Recurring!$B$33="",Recurring!$H$33&lt;&gt;"Yes",Recurring!$D$33=""),"",Recurring!$B$33)</f>
        <v/>
      </c>
      <c r="D457" s="7" t="str">
        <f aca="false">IF($C457="","",Recurring!$C$33)</f>
        <v/>
      </c>
      <c r="E457" s="118" t="str">
        <f aca="false">IF($C457="","",IF(SUMIFS(Overrides!$E$9:$E$108,Overrides!$B$9:$B$108,$C457,Overrides!$C$9:$C$108,$L457)&gt;0,SUMIFS(Overrides!$E$9:$E$108,Overrides!$B$9:$B$108,$C457,Overrides!$C$9:$C$108,$L457),Recurring!$D$33))</f>
        <v/>
      </c>
      <c r="F457" s="119" t="str">
        <f aca="false">IF($C457="","",IF(Recurring!$E$33="Weekly",Recurring!$F$33+7*5,IF(Recurring!$E$33="Every 2 Weeks",Recurring!$F$33+14*5,IF(Recurring!$E$33="Monthly",EDATE(Recurring!$F$33,5),IF(Recurring!$E$33="Twice a Month",IF(MOD((IF(DAY(Recurring!$F$33)&lt;=20,0,1)+5),2)=1,EOMONTH(Recurring!$F$33,INT((IF(DAY(Recurring!$F$33)&lt;=20,0,1)+5)/2)),DATE(YEAR(EDATE(Recurring!$F$33,INT((IF(DAY(Recurring!$F$33)&lt;=20,0,1)+5)/2))),MONTH(EDATE(Recurring!$F$33,INT((IF(DAY(Recurring!$F$33)&lt;=20,0,1)+5)/2))),15)),IF(Recurring!$E$33="One Time",IF(6=1,Recurring!$F$33,""),""))))))</f>
        <v/>
      </c>
      <c r="G457" s="119" t="str">
        <f aca="false">IF($L457="","",IF(SUMIFS(Overrides!$D$9:$D$108,Overrides!$B$9:$B$108,$C457,Overrides!$C$9:$C$108,$L457)&gt;0,SUMIFS(Overrides!$D$9:$D$108,Overrides!$B$9:$B$108,$C457,Overrides!$C$9:$C$108,$L457),$L457))</f>
        <v/>
      </c>
      <c r="H457" s="120" t="n">
        <f aca="false">IF($G457="",0,IF(AND($G457&gt;='Cash Flow'!$E$6,$G457&lt;'Cash Flow'!$E$6+91),1,0))</f>
        <v>0</v>
      </c>
      <c r="I457" s="120" t="str">
        <f aca="false">IF($H457=1,MAX(1,INT(($G457-'Cash Flow'!$E$6)/7)+1),"")</f>
        <v/>
      </c>
      <c r="J457" s="7" t="str">
        <f aca="false">IF($H457=1,$G457*10000+ROW(),"")</f>
        <v/>
      </c>
      <c r="K457" s="7" t="str">
        <f aca="false">IF($H457=1,$I457*1000+COUNTIFS($I$4:$I$483,$I457,$J$4:$J$483,"&lt;"&amp;$J457)+1,"")</f>
        <v/>
      </c>
      <c r="L457" s="121" t="str">
        <f aca="false">IF($F457="","",IF(Recurring!$G$33="Move Before",IF(WEEKDAY($F457,2)=6,$F457-1,IF(WEEKDAY($F457,2)=7,$F457-2,$F457)),IF(Recurring!$G$33="Move After",IF(WEEKDAY($F457,2)=6,$F457+2,IF(WEEKDAY($F457,2)=7,$F457+1,$F457)),$F457)))</f>
        <v/>
      </c>
      <c r="M457" s="0" t="str">
        <f aca="true">IF(AND($H457=1,$D457="Expense",$G457&gt;TODAY(),$E457&gt;=100),$G457*100000+ROW(),"")</f>
        <v/>
      </c>
      <c r="N457" s="0" t="str">
        <f aca="true">IF(AND($H457=1,$D457="Income",$G457&gt;TODAY()),$G457*100000+ROW(),"")</f>
        <v/>
      </c>
    </row>
    <row r="458" customFormat="false" ht="15" hidden="false" customHeight="true" outlineLevel="0" collapsed="false">
      <c r="A458" s="117" t="n">
        <v>29</v>
      </c>
      <c r="B458" s="117" t="n">
        <v>7</v>
      </c>
      <c r="C458" s="7" t="str">
        <f aca="false">IF(OR(Recurring!$B$33="",Recurring!$H$33&lt;&gt;"Yes",Recurring!$D$33=""),"",Recurring!$B$33)</f>
        <v/>
      </c>
      <c r="D458" s="7" t="str">
        <f aca="false">IF($C458="","",Recurring!$C$33)</f>
        <v/>
      </c>
      <c r="E458" s="118" t="str">
        <f aca="false">IF($C458="","",IF(SUMIFS(Overrides!$E$9:$E$108,Overrides!$B$9:$B$108,$C458,Overrides!$C$9:$C$108,$L458)&gt;0,SUMIFS(Overrides!$E$9:$E$108,Overrides!$B$9:$B$108,$C458,Overrides!$C$9:$C$108,$L458),Recurring!$D$33))</f>
        <v/>
      </c>
      <c r="F458" s="119" t="str">
        <f aca="false">IF($C458="","",IF(Recurring!$E$33="Weekly",Recurring!$F$33+7*6,IF(Recurring!$E$33="Every 2 Weeks",Recurring!$F$33+14*6,IF(Recurring!$E$33="Monthly",EDATE(Recurring!$F$33,6),IF(Recurring!$E$33="Twice a Month",IF(MOD((IF(DAY(Recurring!$F$33)&lt;=20,0,1)+6),2)=1,EOMONTH(Recurring!$F$33,INT((IF(DAY(Recurring!$F$33)&lt;=20,0,1)+6)/2)),DATE(YEAR(EDATE(Recurring!$F$33,INT((IF(DAY(Recurring!$F$33)&lt;=20,0,1)+6)/2))),MONTH(EDATE(Recurring!$F$33,INT((IF(DAY(Recurring!$F$33)&lt;=20,0,1)+6)/2))),15)),IF(Recurring!$E$33="One Time",IF(7=1,Recurring!$F$33,""),""))))))</f>
        <v/>
      </c>
      <c r="G458" s="119" t="str">
        <f aca="false">IF($L458="","",IF(SUMIFS(Overrides!$D$9:$D$108,Overrides!$B$9:$B$108,$C458,Overrides!$C$9:$C$108,$L458)&gt;0,SUMIFS(Overrides!$D$9:$D$108,Overrides!$B$9:$B$108,$C458,Overrides!$C$9:$C$108,$L458),$L458))</f>
        <v/>
      </c>
      <c r="H458" s="120" t="n">
        <f aca="false">IF($G458="",0,IF(AND($G458&gt;='Cash Flow'!$E$6,$G458&lt;'Cash Flow'!$E$6+91),1,0))</f>
        <v>0</v>
      </c>
      <c r="I458" s="120" t="str">
        <f aca="false">IF($H458=1,MAX(1,INT(($G458-'Cash Flow'!$E$6)/7)+1),"")</f>
        <v/>
      </c>
      <c r="J458" s="7" t="str">
        <f aca="false">IF($H458=1,$G458*10000+ROW(),"")</f>
        <v/>
      </c>
      <c r="K458" s="7" t="str">
        <f aca="false">IF($H458=1,$I458*1000+COUNTIFS($I$4:$I$483,$I458,$J$4:$J$483,"&lt;"&amp;$J458)+1,"")</f>
        <v/>
      </c>
      <c r="L458" s="121" t="str">
        <f aca="false">IF($F458="","",IF(Recurring!$G$33="Move Before",IF(WEEKDAY($F458,2)=6,$F458-1,IF(WEEKDAY($F458,2)=7,$F458-2,$F458)),IF(Recurring!$G$33="Move After",IF(WEEKDAY($F458,2)=6,$F458+2,IF(WEEKDAY($F458,2)=7,$F458+1,$F458)),$F458)))</f>
        <v/>
      </c>
      <c r="M458" s="0" t="str">
        <f aca="true">IF(AND($H458=1,$D458="Expense",$G458&gt;TODAY(),$E458&gt;=100),$G458*100000+ROW(),"")</f>
        <v/>
      </c>
      <c r="N458" s="0" t="str">
        <f aca="true">IF(AND($H458=1,$D458="Income",$G458&gt;TODAY()),$G458*100000+ROW(),"")</f>
        <v/>
      </c>
    </row>
    <row r="459" customFormat="false" ht="15" hidden="false" customHeight="true" outlineLevel="0" collapsed="false">
      <c r="A459" s="117" t="n">
        <v>29</v>
      </c>
      <c r="B459" s="117" t="n">
        <v>8</v>
      </c>
      <c r="C459" s="7" t="str">
        <f aca="false">IF(OR(Recurring!$B$33="",Recurring!$H$33&lt;&gt;"Yes",Recurring!$D$33=""),"",Recurring!$B$33)</f>
        <v/>
      </c>
      <c r="D459" s="7" t="str">
        <f aca="false">IF($C459="","",Recurring!$C$33)</f>
        <v/>
      </c>
      <c r="E459" s="118" t="str">
        <f aca="false">IF($C459="","",IF(SUMIFS(Overrides!$E$9:$E$108,Overrides!$B$9:$B$108,$C459,Overrides!$C$9:$C$108,$L459)&gt;0,SUMIFS(Overrides!$E$9:$E$108,Overrides!$B$9:$B$108,$C459,Overrides!$C$9:$C$108,$L459),Recurring!$D$33))</f>
        <v/>
      </c>
      <c r="F459" s="119" t="str">
        <f aca="false">IF($C459="","",IF(Recurring!$E$33="Weekly",Recurring!$F$33+7*7,IF(Recurring!$E$33="Every 2 Weeks",Recurring!$F$33+14*7,IF(Recurring!$E$33="Monthly",EDATE(Recurring!$F$33,7),IF(Recurring!$E$33="Twice a Month",IF(MOD((IF(DAY(Recurring!$F$33)&lt;=20,0,1)+7),2)=1,EOMONTH(Recurring!$F$33,INT((IF(DAY(Recurring!$F$33)&lt;=20,0,1)+7)/2)),DATE(YEAR(EDATE(Recurring!$F$33,INT((IF(DAY(Recurring!$F$33)&lt;=20,0,1)+7)/2))),MONTH(EDATE(Recurring!$F$33,INT((IF(DAY(Recurring!$F$33)&lt;=20,0,1)+7)/2))),15)),IF(Recurring!$E$33="One Time",IF(8=1,Recurring!$F$33,""),""))))))</f>
        <v/>
      </c>
      <c r="G459" s="119" t="str">
        <f aca="false">IF($L459="","",IF(SUMIFS(Overrides!$D$9:$D$108,Overrides!$B$9:$B$108,$C459,Overrides!$C$9:$C$108,$L459)&gt;0,SUMIFS(Overrides!$D$9:$D$108,Overrides!$B$9:$B$108,$C459,Overrides!$C$9:$C$108,$L459),$L459))</f>
        <v/>
      </c>
      <c r="H459" s="120" t="n">
        <f aca="false">IF($G459="",0,IF(AND($G459&gt;='Cash Flow'!$E$6,$G459&lt;'Cash Flow'!$E$6+91),1,0))</f>
        <v>0</v>
      </c>
      <c r="I459" s="120" t="str">
        <f aca="false">IF($H459=1,MAX(1,INT(($G459-'Cash Flow'!$E$6)/7)+1),"")</f>
        <v/>
      </c>
      <c r="J459" s="7" t="str">
        <f aca="false">IF($H459=1,$G459*10000+ROW(),"")</f>
        <v/>
      </c>
      <c r="K459" s="7" t="str">
        <f aca="false">IF($H459=1,$I459*1000+COUNTIFS($I$4:$I$483,$I459,$J$4:$J$483,"&lt;"&amp;$J459)+1,"")</f>
        <v/>
      </c>
      <c r="L459" s="121" t="str">
        <f aca="false">IF($F459="","",IF(Recurring!$G$33="Move Before",IF(WEEKDAY($F459,2)=6,$F459-1,IF(WEEKDAY($F459,2)=7,$F459-2,$F459)),IF(Recurring!$G$33="Move After",IF(WEEKDAY($F459,2)=6,$F459+2,IF(WEEKDAY($F459,2)=7,$F459+1,$F459)),$F459)))</f>
        <v/>
      </c>
      <c r="M459" s="0" t="str">
        <f aca="true">IF(AND($H459=1,$D459="Expense",$G459&gt;TODAY(),$E459&gt;=100),$G459*100000+ROW(),"")</f>
        <v/>
      </c>
      <c r="N459" s="0" t="str">
        <f aca="true">IF(AND($H459=1,$D459="Income",$G459&gt;TODAY()),$G459*100000+ROW(),"")</f>
        <v/>
      </c>
    </row>
    <row r="460" customFormat="false" ht="15" hidden="false" customHeight="true" outlineLevel="0" collapsed="false">
      <c r="A460" s="117" t="n">
        <v>29</v>
      </c>
      <c r="B460" s="117" t="n">
        <v>9</v>
      </c>
      <c r="C460" s="7" t="str">
        <f aca="false">IF(OR(Recurring!$B$33="",Recurring!$H$33&lt;&gt;"Yes",Recurring!$D$33=""),"",Recurring!$B$33)</f>
        <v/>
      </c>
      <c r="D460" s="7" t="str">
        <f aca="false">IF($C460="","",Recurring!$C$33)</f>
        <v/>
      </c>
      <c r="E460" s="118" t="str">
        <f aca="false">IF($C460="","",IF(SUMIFS(Overrides!$E$9:$E$108,Overrides!$B$9:$B$108,$C460,Overrides!$C$9:$C$108,$L460)&gt;0,SUMIFS(Overrides!$E$9:$E$108,Overrides!$B$9:$B$108,$C460,Overrides!$C$9:$C$108,$L460),Recurring!$D$33))</f>
        <v/>
      </c>
      <c r="F460" s="119" t="str">
        <f aca="false">IF($C460="","",IF(Recurring!$E$33="Weekly",Recurring!$F$33+7*8,IF(Recurring!$E$33="Every 2 Weeks",Recurring!$F$33+14*8,IF(Recurring!$E$33="Monthly",EDATE(Recurring!$F$33,8),IF(Recurring!$E$33="Twice a Month",IF(MOD((IF(DAY(Recurring!$F$33)&lt;=20,0,1)+8),2)=1,EOMONTH(Recurring!$F$33,INT((IF(DAY(Recurring!$F$33)&lt;=20,0,1)+8)/2)),DATE(YEAR(EDATE(Recurring!$F$33,INT((IF(DAY(Recurring!$F$33)&lt;=20,0,1)+8)/2))),MONTH(EDATE(Recurring!$F$33,INT((IF(DAY(Recurring!$F$33)&lt;=20,0,1)+8)/2))),15)),IF(Recurring!$E$33="One Time",IF(9=1,Recurring!$F$33,""),""))))))</f>
        <v/>
      </c>
      <c r="G460" s="119" t="str">
        <f aca="false">IF($L460="","",IF(SUMIFS(Overrides!$D$9:$D$108,Overrides!$B$9:$B$108,$C460,Overrides!$C$9:$C$108,$L460)&gt;0,SUMIFS(Overrides!$D$9:$D$108,Overrides!$B$9:$B$108,$C460,Overrides!$C$9:$C$108,$L460),$L460))</f>
        <v/>
      </c>
      <c r="H460" s="120" t="n">
        <f aca="false">IF($G460="",0,IF(AND($G460&gt;='Cash Flow'!$E$6,$G460&lt;'Cash Flow'!$E$6+91),1,0))</f>
        <v>0</v>
      </c>
      <c r="I460" s="120" t="str">
        <f aca="false">IF($H460=1,MAX(1,INT(($G460-'Cash Flow'!$E$6)/7)+1),"")</f>
        <v/>
      </c>
      <c r="J460" s="7" t="str">
        <f aca="false">IF($H460=1,$G460*10000+ROW(),"")</f>
        <v/>
      </c>
      <c r="K460" s="7" t="str">
        <f aca="false">IF($H460=1,$I460*1000+COUNTIFS($I$4:$I$483,$I460,$J$4:$J$483,"&lt;"&amp;$J460)+1,"")</f>
        <v/>
      </c>
      <c r="L460" s="121" t="str">
        <f aca="false">IF($F460="","",IF(Recurring!$G$33="Move Before",IF(WEEKDAY($F460,2)=6,$F460-1,IF(WEEKDAY($F460,2)=7,$F460-2,$F460)),IF(Recurring!$G$33="Move After",IF(WEEKDAY($F460,2)=6,$F460+2,IF(WEEKDAY($F460,2)=7,$F460+1,$F460)),$F460)))</f>
        <v/>
      </c>
      <c r="M460" s="0" t="str">
        <f aca="true">IF(AND($H460=1,$D460="Expense",$G460&gt;TODAY(),$E460&gt;=100),$G460*100000+ROW(),"")</f>
        <v/>
      </c>
      <c r="N460" s="0" t="str">
        <f aca="true">IF(AND($H460=1,$D460="Income",$G460&gt;TODAY()),$G460*100000+ROW(),"")</f>
        <v/>
      </c>
    </row>
    <row r="461" customFormat="false" ht="15" hidden="false" customHeight="true" outlineLevel="0" collapsed="false">
      <c r="A461" s="117" t="n">
        <v>29</v>
      </c>
      <c r="B461" s="117" t="n">
        <v>10</v>
      </c>
      <c r="C461" s="7" t="str">
        <f aca="false">IF(OR(Recurring!$B$33="",Recurring!$H$33&lt;&gt;"Yes",Recurring!$D$33=""),"",Recurring!$B$33)</f>
        <v/>
      </c>
      <c r="D461" s="7" t="str">
        <f aca="false">IF($C461="","",Recurring!$C$33)</f>
        <v/>
      </c>
      <c r="E461" s="118" t="str">
        <f aca="false">IF($C461="","",IF(SUMIFS(Overrides!$E$9:$E$108,Overrides!$B$9:$B$108,$C461,Overrides!$C$9:$C$108,$L461)&gt;0,SUMIFS(Overrides!$E$9:$E$108,Overrides!$B$9:$B$108,$C461,Overrides!$C$9:$C$108,$L461),Recurring!$D$33))</f>
        <v/>
      </c>
      <c r="F461" s="119" t="str">
        <f aca="false">IF($C461="","",IF(Recurring!$E$33="Weekly",Recurring!$F$33+7*9,IF(Recurring!$E$33="Every 2 Weeks",Recurring!$F$33+14*9,IF(Recurring!$E$33="Monthly",EDATE(Recurring!$F$33,9),IF(Recurring!$E$33="Twice a Month",IF(MOD((IF(DAY(Recurring!$F$33)&lt;=20,0,1)+9),2)=1,EOMONTH(Recurring!$F$33,INT((IF(DAY(Recurring!$F$33)&lt;=20,0,1)+9)/2)),DATE(YEAR(EDATE(Recurring!$F$33,INT((IF(DAY(Recurring!$F$33)&lt;=20,0,1)+9)/2))),MONTH(EDATE(Recurring!$F$33,INT((IF(DAY(Recurring!$F$33)&lt;=20,0,1)+9)/2))),15)),IF(Recurring!$E$33="One Time",IF(10=1,Recurring!$F$33,""),""))))))</f>
        <v/>
      </c>
      <c r="G461" s="119" t="str">
        <f aca="false">IF($L461="","",IF(SUMIFS(Overrides!$D$9:$D$108,Overrides!$B$9:$B$108,$C461,Overrides!$C$9:$C$108,$L461)&gt;0,SUMIFS(Overrides!$D$9:$D$108,Overrides!$B$9:$B$108,$C461,Overrides!$C$9:$C$108,$L461),$L461))</f>
        <v/>
      </c>
      <c r="H461" s="120" t="n">
        <f aca="false">IF($G461="",0,IF(AND($G461&gt;='Cash Flow'!$E$6,$G461&lt;'Cash Flow'!$E$6+91),1,0))</f>
        <v>0</v>
      </c>
      <c r="I461" s="120" t="str">
        <f aca="false">IF($H461=1,MAX(1,INT(($G461-'Cash Flow'!$E$6)/7)+1),"")</f>
        <v/>
      </c>
      <c r="J461" s="7" t="str">
        <f aca="false">IF($H461=1,$G461*10000+ROW(),"")</f>
        <v/>
      </c>
      <c r="K461" s="7" t="str">
        <f aca="false">IF($H461=1,$I461*1000+COUNTIFS($I$4:$I$483,$I461,$J$4:$J$483,"&lt;"&amp;$J461)+1,"")</f>
        <v/>
      </c>
      <c r="L461" s="121" t="str">
        <f aca="false">IF($F461="","",IF(Recurring!$G$33="Move Before",IF(WEEKDAY($F461,2)=6,$F461-1,IF(WEEKDAY($F461,2)=7,$F461-2,$F461)),IF(Recurring!$G$33="Move After",IF(WEEKDAY($F461,2)=6,$F461+2,IF(WEEKDAY($F461,2)=7,$F461+1,$F461)),$F461)))</f>
        <v/>
      </c>
      <c r="M461" s="0" t="str">
        <f aca="true">IF(AND($H461=1,$D461="Expense",$G461&gt;TODAY(),$E461&gt;=100),$G461*100000+ROW(),"")</f>
        <v/>
      </c>
      <c r="N461" s="0" t="str">
        <f aca="true">IF(AND($H461=1,$D461="Income",$G461&gt;TODAY()),$G461*100000+ROW(),"")</f>
        <v/>
      </c>
    </row>
    <row r="462" customFormat="false" ht="15" hidden="false" customHeight="true" outlineLevel="0" collapsed="false">
      <c r="A462" s="117" t="n">
        <v>29</v>
      </c>
      <c r="B462" s="117" t="n">
        <v>11</v>
      </c>
      <c r="C462" s="7" t="str">
        <f aca="false">IF(OR(Recurring!$B$33="",Recurring!$H$33&lt;&gt;"Yes",Recurring!$D$33=""),"",Recurring!$B$33)</f>
        <v/>
      </c>
      <c r="D462" s="7" t="str">
        <f aca="false">IF($C462="","",Recurring!$C$33)</f>
        <v/>
      </c>
      <c r="E462" s="118" t="str">
        <f aca="false">IF($C462="","",IF(SUMIFS(Overrides!$E$9:$E$108,Overrides!$B$9:$B$108,$C462,Overrides!$C$9:$C$108,$L462)&gt;0,SUMIFS(Overrides!$E$9:$E$108,Overrides!$B$9:$B$108,$C462,Overrides!$C$9:$C$108,$L462),Recurring!$D$33))</f>
        <v/>
      </c>
      <c r="F462" s="119" t="str">
        <f aca="false">IF($C462="","",IF(Recurring!$E$33="Weekly",Recurring!$F$33+7*10,IF(Recurring!$E$33="Every 2 Weeks",Recurring!$F$33+14*10,IF(Recurring!$E$33="Monthly",EDATE(Recurring!$F$33,10),IF(Recurring!$E$33="Twice a Month",IF(MOD((IF(DAY(Recurring!$F$33)&lt;=20,0,1)+10),2)=1,EOMONTH(Recurring!$F$33,INT((IF(DAY(Recurring!$F$33)&lt;=20,0,1)+10)/2)),DATE(YEAR(EDATE(Recurring!$F$33,INT((IF(DAY(Recurring!$F$33)&lt;=20,0,1)+10)/2))),MONTH(EDATE(Recurring!$F$33,INT((IF(DAY(Recurring!$F$33)&lt;=20,0,1)+10)/2))),15)),IF(Recurring!$E$33="One Time",IF(11=1,Recurring!$F$33,""),""))))))</f>
        <v/>
      </c>
      <c r="G462" s="119" t="str">
        <f aca="false">IF($L462="","",IF(SUMIFS(Overrides!$D$9:$D$108,Overrides!$B$9:$B$108,$C462,Overrides!$C$9:$C$108,$L462)&gt;0,SUMIFS(Overrides!$D$9:$D$108,Overrides!$B$9:$B$108,$C462,Overrides!$C$9:$C$108,$L462),$L462))</f>
        <v/>
      </c>
      <c r="H462" s="120" t="n">
        <f aca="false">IF($G462="",0,IF(AND($G462&gt;='Cash Flow'!$E$6,$G462&lt;'Cash Flow'!$E$6+91),1,0))</f>
        <v>0</v>
      </c>
      <c r="I462" s="120" t="str">
        <f aca="false">IF($H462=1,MAX(1,INT(($G462-'Cash Flow'!$E$6)/7)+1),"")</f>
        <v/>
      </c>
      <c r="J462" s="7" t="str">
        <f aca="false">IF($H462=1,$G462*10000+ROW(),"")</f>
        <v/>
      </c>
      <c r="K462" s="7" t="str">
        <f aca="false">IF($H462=1,$I462*1000+COUNTIFS($I$4:$I$483,$I462,$J$4:$J$483,"&lt;"&amp;$J462)+1,"")</f>
        <v/>
      </c>
      <c r="L462" s="121" t="str">
        <f aca="false">IF($F462="","",IF(Recurring!$G$33="Move Before",IF(WEEKDAY($F462,2)=6,$F462-1,IF(WEEKDAY($F462,2)=7,$F462-2,$F462)),IF(Recurring!$G$33="Move After",IF(WEEKDAY($F462,2)=6,$F462+2,IF(WEEKDAY($F462,2)=7,$F462+1,$F462)),$F462)))</f>
        <v/>
      </c>
      <c r="M462" s="0" t="str">
        <f aca="true">IF(AND($H462=1,$D462="Expense",$G462&gt;TODAY(),$E462&gt;=100),$G462*100000+ROW(),"")</f>
        <v/>
      </c>
      <c r="N462" s="0" t="str">
        <f aca="true">IF(AND($H462=1,$D462="Income",$G462&gt;TODAY()),$G462*100000+ROW(),"")</f>
        <v/>
      </c>
    </row>
    <row r="463" customFormat="false" ht="15" hidden="false" customHeight="true" outlineLevel="0" collapsed="false">
      <c r="A463" s="117" t="n">
        <v>29</v>
      </c>
      <c r="B463" s="117" t="n">
        <v>12</v>
      </c>
      <c r="C463" s="7" t="str">
        <f aca="false">IF(OR(Recurring!$B$33="",Recurring!$H$33&lt;&gt;"Yes",Recurring!$D$33=""),"",Recurring!$B$33)</f>
        <v/>
      </c>
      <c r="D463" s="7" t="str">
        <f aca="false">IF($C463="","",Recurring!$C$33)</f>
        <v/>
      </c>
      <c r="E463" s="118" t="str">
        <f aca="false">IF($C463="","",IF(SUMIFS(Overrides!$E$9:$E$108,Overrides!$B$9:$B$108,$C463,Overrides!$C$9:$C$108,$L463)&gt;0,SUMIFS(Overrides!$E$9:$E$108,Overrides!$B$9:$B$108,$C463,Overrides!$C$9:$C$108,$L463),Recurring!$D$33))</f>
        <v/>
      </c>
      <c r="F463" s="119" t="str">
        <f aca="false">IF($C463="","",IF(Recurring!$E$33="Weekly",Recurring!$F$33+7*11,IF(Recurring!$E$33="Every 2 Weeks",Recurring!$F$33+14*11,IF(Recurring!$E$33="Monthly",EDATE(Recurring!$F$33,11),IF(Recurring!$E$33="Twice a Month",IF(MOD((IF(DAY(Recurring!$F$33)&lt;=20,0,1)+11),2)=1,EOMONTH(Recurring!$F$33,INT((IF(DAY(Recurring!$F$33)&lt;=20,0,1)+11)/2)),DATE(YEAR(EDATE(Recurring!$F$33,INT((IF(DAY(Recurring!$F$33)&lt;=20,0,1)+11)/2))),MONTH(EDATE(Recurring!$F$33,INT((IF(DAY(Recurring!$F$33)&lt;=20,0,1)+11)/2))),15)),IF(Recurring!$E$33="One Time",IF(12=1,Recurring!$F$33,""),""))))))</f>
        <v/>
      </c>
      <c r="G463" s="119" t="str">
        <f aca="false">IF($L463="","",IF(SUMIFS(Overrides!$D$9:$D$108,Overrides!$B$9:$B$108,$C463,Overrides!$C$9:$C$108,$L463)&gt;0,SUMIFS(Overrides!$D$9:$D$108,Overrides!$B$9:$B$108,$C463,Overrides!$C$9:$C$108,$L463),$L463))</f>
        <v/>
      </c>
      <c r="H463" s="120" t="n">
        <f aca="false">IF($G463="",0,IF(AND($G463&gt;='Cash Flow'!$E$6,$G463&lt;'Cash Flow'!$E$6+91),1,0))</f>
        <v>0</v>
      </c>
      <c r="I463" s="120" t="str">
        <f aca="false">IF($H463=1,MAX(1,INT(($G463-'Cash Flow'!$E$6)/7)+1),"")</f>
        <v/>
      </c>
      <c r="J463" s="7" t="str">
        <f aca="false">IF($H463=1,$G463*10000+ROW(),"")</f>
        <v/>
      </c>
      <c r="K463" s="7" t="str">
        <f aca="false">IF($H463=1,$I463*1000+COUNTIFS($I$4:$I$483,$I463,$J$4:$J$483,"&lt;"&amp;$J463)+1,"")</f>
        <v/>
      </c>
      <c r="L463" s="121" t="str">
        <f aca="false">IF($F463="","",IF(Recurring!$G$33="Move Before",IF(WEEKDAY($F463,2)=6,$F463-1,IF(WEEKDAY($F463,2)=7,$F463-2,$F463)),IF(Recurring!$G$33="Move After",IF(WEEKDAY($F463,2)=6,$F463+2,IF(WEEKDAY($F463,2)=7,$F463+1,$F463)),$F463)))</f>
        <v/>
      </c>
      <c r="M463" s="0" t="str">
        <f aca="true">IF(AND($H463=1,$D463="Expense",$G463&gt;TODAY(),$E463&gt;=100),$G463*100000+ROW(),"")</f>
        <v/>
      </c>
      <c r="N463" s="0" t="str">
        <f aca="true">IF(AND($H463=1,$D463="Income",$G463&gt;TODAY()),$G463*100000+ROW(),"")</f>
        <v/>
      </c>
    </row>
    <row r="464" customFormat="false" ht="15" hidden="false" customHeight="true" outlineLevel="0" collapsed="false">
      <c r="A464" s="117" t="n">
        <v>29</v>
      </c>
      <c r="B464" s="117" t="n">
        <v>13</v>
      </c>
      <c r="C464" s="7" t="str">
        <f aca="false">IF(OR(Recurring!$B$33="",Recurring!$H$33&lt;&gt;"Yes",Recurring!$D$33=""),"",Recurring!$B$33)</f>
        <v/>
      </c>
      <c r="D464" s="7" t="str">
        <f aca="false">IF($C464="","",Recurring!$C$33)</f>
        <v/>
      </c>
      <c r="E464" s="118" t="str">
        <f aca="false">IF($C464="","",IF(SUMIFS(Overrides!$E$9:$E$108,Overrides!$B$9:$B$108,$C464,Overrides!$C$9:$C$108,$L464)&gt;0,SUMIFS(Overrides!$E$9:$E$108,Overrides!$B$9:$B$108,$C464,Overrides!$C$9:$C$108,$L464),Recurring!$D$33))</f>
        <v/>
      </c>
      <c r="F464" s="119" t="str">
        <f aca="false">IF($C464="","",IF(Recurring!$E$33="Weekly",Recurring!$F$33+7*12,IF(Recurring!$E$33="Every 2 Weeks",Recurring!$F$33+14*12,IF(Recurring!$E$33="Monthly",EDATE(Recurring!$F$33,12),IF(Recurring!$E$33="Twice a Month",IF(MOD((IF(DAY(Recurring!$F$33)&lt;=20,0,1)+12),2)=1,EOMONTH(Recurring!$F$33,INT((IF(DAY(Recurring!$F$33)&lt;=20,0,1)+12)/2)),DATE(YEAR(EDATE(Recurring!$F$33,INT((IF(DAY(Recurring!$F$33)&lt;=20,0,1)+12)/2))),MONTH(EDATE(Recurring!$F$33,INT((IF(DAY(Recurring!$F$33)&lt;=20,0,1)+12)/2))),15)),IF(Recurring!$E$33="One Time",IF(13=1,Recurring!$F$33,""),""))))))</f>
        <v/>
      </c>
      <c r="G464" s="119" t="str">
        <f aca="false">IF($L464="","",IF(SUMIFS(Overrides!$D$9:$D$108,Overrides!$B$9:$B$108,$C464,Overrides!$C$9:$C$108,$L464)&gt;0,SUMIFS(Overrides!$D$9:$D$108,Overrides!$B$9:$B$108,$C464,Overrides!$C$9:$C$108,$L464),$L464))</f>
        <v/>
      </c>
      <c r="H464" s="120" t="n">
        <f aca="false">IF($G464="",0,IF(AND($G464&gt;='Cash Flow'!$E$6,$G464&lt;'Cash Flow'!$E$6+91),1,0))</f>
        <v>0</v>
      </c>
      <c r="I464" s="120" t="str">
        <f aca="false">IF($H464=1,MAX(1,INT(($G464-'Cash Flow'!$E$6)/7)+1),"")</f>
        <v/>
      </c>
      <c r="J464" s="7" t="str">
        <f aca="false">IF($H464=1,$G464*10000+ROW(),"")</f>
        <v/>
      </c>
      <c r="K464" s="7" t="str">
        <f aca="false">IF($H464=1,$I464*1000+COUNTIFS($I$4:$I$483,$I464,$J$4:$J$483,"&lt;"&amp;$J464)+1,"")</f>
        <v/>
      </c>
      <c r="L464" s="121" t="str">
        <f aca="false">IF($F464="","",IF(Recurring!$G$33="Move Before",IF(WEEKDAY($F464,2)=6,$F464-1,IF(WEEKDAY($F464,2)=7,$F464-2,$F464)),IF(Recurring!$G$33="Move After",IF(WEEKDAY($F464,2)=6,$F464+2,IF(WEEKDAY($F464,2)=7,$F464+1,$F464)),$F464)))</f>
        <v/>
      </c>
      <c r="M464" s="0" t="str">
        <f aca="true">IF(AND($H464=1,$D464="Expense",$G464&gt;TODAY(),$E464&gt;=100),$G464*100000+ROW(),"")</f>
        <v/>
      </c>
      <c r="N464" s="0" t="str">
        <f aca="true">IF(AND($H464=1,$D464="Income",$G464&gt;TODAY()),$G464*100000+ROW(),"")</f>
        <v/>
      </c>
    </row>
    <row r="465" customFormat="false" ht="15" hidden="false" customHeight="true" outlineLevel="0" collapsed="false">
      <c r="A465" s="117" t="n">
        <v>29</v>
      </c>
      <c r="B465" s="117" t="n">
        <v>14</v>
      </c>
      <c r="C465" s="7" t="str">
        <f aca="false">IF(OR(Recurring!$B$33="",Recurring!$H$33&lt;&gt;"Yes",Recurring!$D$33=""),"",Recurring!$B$33)</f>
        <v/>
      </c>
      <c r="D465" s="7" t="str">
        <f aca="false">IF($C465="","",Recurring!$C$33)</f>
        <v/>
      </c>
      <c r="E465" s="118" t="str">
        <f aca="false">IF($C465="","",IF(SUMIFS(Overrides!$E$9:$E$108,Overrides!$B$9:$B$108,$C465,Overrides!$C$9:$C$108,$L465)&gt;0,SUMIFS(Overrides!$E$9:$E$108,Overrides!$B$9:$B$108,$C465,Overrides!$C$9:$C$108,$L465),Recurring!$D$33))</f>
        <v/>
      </c>
      <c r="F465" s="119" t="str">
        <f aca="false">IF($C465="","",IF(Recurring!$E$33="Weekly",Recurring!$F$33+7*13,IF(Recurring!$E$33="Every 2 Weeks",Recurring!$F$33+14*13,IF(Recurring!$E$33="Monthly",EDATE(Recurring!$F$33,13),IF(Recurring!$E$33="Twice a Month",IF(MOD((IF(DAY(Recurring!$F$33)&lt;=20,0,1)+13),2)=1,EOMONTH(Recurring!$F$33,INT((IF(DAY(Recurring!$F$33)&lt;=20,0,1)+13)/2)),DATE(YEAR(EDATE(Recurring!$F$33,INT((IF(DAY(Recurring!$F$33)&lt;=20,0,1)+13)/2))),MONTH(EDATE(Recurring!$F$33,INT((IF(DAY(Recurring!$F$33)&lt;=20,0,1)+13)/2))),15)),IF(Recurring!$E$33="One Time",IF(14=1,Recurring!$F$33,""),""))))))</f>
        <v/>
      </c>
      <c r="G465" s="119" t="str">
        <f aca="false">IF($L465="","",IF(SUMIFS(Overrides!$D$9:$D$108,Overrides!$B$9:$B$108,$C465,Overrides!$C$9:$C$108,$L465)&gt;0,SUMIFS(Overrides!$D$9:$D$108,Overrides!$B$9:$B$108,$C465,Overrides!$C$9:$C$108,$L465),$L465))</f>
        <v/>
      </c>
      <c r="H465" s="120" t="n">
        <f aca="false">IF($G465="",0,IF(AND($G465&gt;='Cash Flow'!$E$6,$G465&lt;'Cash Flow'!$E$6+91),1,0))</f>
        <v>0</v>
      </c>
      <c r="I465" s="120" t="str">
        <f aca="false">IF($H465=1,MAX(1,INT(($G465-'Cash Flow'!$E$6)/7)+1),"")</f>
        <v/>
      </c>
      <c r="J465" s="7" t="str">
        <f aca="false">IF($H465=1,$G465*10000+ROW(),"")</f>
        <v/>
      </c>
      <c r="K465" s="7" t="str">
        <f aca="false">IF($H465=1,$I465*1000+COUNTIFS($I$4:$I$483,$I465,$J$4:$J$483,"&lt;"&amp;$J465)+1,"")</f>
        <v/>
      </c>
      <c r="L465" s="121" t="str">
        <f aca="false">IF($F465="","",IF(Recurring!$G$33="Move Before",IF(WEEKDAY($F465,2)=6,$F465-1,IF(WEEKDAY($F465,2)=7,$F465-2,$F465)),IF(Recurring!$G$33="Move After",IF(WEEKDAY($F465,2)=6,$F465+2,IF(WEEKDAY($F465,2)=7,$F465+1,$F465)),$F465)))</f>
        <v/>
      </c>
      <c r="M465" s="0" t="str">
        <f aca="true">IF(AND($H465=1,$D465="Expense",$G465&gt;TODAY(),$E465&gt;=100),$G465*100000+ROW(),"")</f>
        <v/>
      </c>
      <c r="N465" s="0" t="str">
        <f aca="true">IF(AND($H465=1,$D465="Income",$G465&gt;TODAY()),$G465*100000+ROW(),"")</f>
        <v/>
      </c>
    </row>
    <row r="466" customFormat="false" ht="15" hidden="false" customHeight="true" outlineLevel="0" collapsed="false">
      <c r="A466" s="117" t="n">
        <v>29</v>
      </c>
      <c r="B466" s="117" t="n">
        <v>15</v>
      </c>
      <c r="C466" s="7" t="str">
        <f aca="false">IF(OR(Recurring!$B$33="",Recurring!$H$33&lt;&gt;"Yes",Recurring!$D$33=""),"",Recurring!$B$33)</f>
        <v/>
      </c>
      <c r="D466" s="7" t="str">
        <f aca="false">IF($C466="","",Recurring!$C$33)</f>
        <v/>
      </c>
      <c r="E466" s="118" t="str">
        <f aca="false">IF($C466="","",IF(SUMIFS(Overrides!$E$9:$E$108,Overrides!$B$9:$B$108,$C466,Overrides!$C$9:$C$108,$L466)&gt;0,SUMIFS(Overrides!$E$9:$E$108,Overrides!$B$9:$B$108,$C466,Overrides!$C$9:$C$108,$L466),Recurring!$D$33))</f>
        <v/>
      </c>
      <c r="F466" s="119" t="str">
        <f aca="false">IF($C466="","",IF(Recurring!$E$33="Weekly",Recurring!$F$33+7*14,IF(Recurring!$E$33="Every 2 Weeks",Recurring!$F$33+14*14,IF(Recurring!$E$33="Monthly",EDATE(Recurring!$F$33,14),IF(Recurring!$E$33="Twice a Month",IF(MOD((IF(DAY(Recurring!$F$33)&lt;=20,0,1)+14),2)=1,EOMONTH(Recurring!$F$33,INT((IF(DAY(Recurring!$F$33)&lt;=20,0,1)+14)/2)),DATE(YEAR(EDATE(Recurring!$F$33,INT((IF(DAY(Recurring!$F$33)&lt;=20,0,1)+14)/2))),MONTH(EDATE(Recurring!$F$33,INT((IF(DAY(Recurring!$F$33)&lt;=20,0,1)+14)/2))),15)),IF(Recurring!$E$33="One Time",IF(15=1,Recurring!$F$33,""),""))))))</f>
        <v/>
      </c>
      <c r="G466" s="119" t="str">
        <f aca="false">IF($L466="","",IF(SUMIFS(Overrides!$D$9:$D$108,Overrides!$B$9:$B$108,$C466,Overrides!$C$9:$C$108,$L466)&gt;0,SUMIFS(Overrides!$D$9:$D$108,Overrides!$B$9:$B$108,$C466,Overrides!$C$9:$C$108,$L466),$L466))</f>
        <v/>
      </c>
      <c r="H466" s="120" t="n">
        <f aca="false">IF($G466="",0,IF(AND($G466&gt;='Cash Flow'!$E$6,$G466&lt;'Cash Flow'!$E$6+91),1,0))</f>
        <v>0</v>
      </c>
      <c r="I466" s="120" t="str">
        <f aca="false">IF($H466=1,MAX(1,INT(($G466-'Cash Flow'!$E$6)/7)+1),"")</f>
        <v/>
      </c>
      <c r="J466" s="7" t="str">
        <f aca="false">IF($H466=1,$G466*10000+ROW(),"")</f>
        <v/>
      </c>
      <c r="K466" s="7" t="str">
        <f aca="false">IF($H466=1,$I466*1000+COUNTIFS($I$4:$I$483,$I466,$J$4:$J$483,"&lt;"&amp;$J466)+1,"")</f>
        <v/>
      </c>
      <c r="L466" s="121" t="str">
        <f aca="false">IF($F466="","",IF(Recurring!$G$33="Move Before",IF(WEEKDAY($F466,2)=6,$F466-1,IF(WEEKDAY($F466,2)=7,$F466-2,$F466)),IF(Recurring!$G$33="Move After",IF(WEEKDAY($F466,2)=6,$F466+2,IF(WEEKDAY($F466,2)=7,$F466+1,$F466)),$F466)))</f>
        <v/>
      </c>
      <c r="M466" s="0" t="str">
        <f aca="true">IF(AND($H466=1,$D466="Expense",$G466&gt;TODAY(),$E466&gt;=100),$G466*100000+ROW(),"")</f>
        <v/>
      </c>
      <c r="N466" s="0" t="str">
        <f aca="true">IF(AND($H466=1,$D466="Income",$G466&gt;TODAY()),$G466*100000+ROW(),"")</f>
        <v/>
      </c>
    </row>
    <row r="467" customFormat="false" ht="15" hidden="false" customHeight="true" outlineLevel="0" collapsed="false">
      <c r="A467" s="117" t="n">
        <v>29</v>
      </c>
      <c r="B467" s="117" t="n">
        <v>16</v>
      </c>
      <c r="C467" s="7" t="str">
        <f aca="false">IF(OR(Recurring!$B$33="",Recurring!$H$33&lt;&gt;"Yes",Recurring!$D$33=""),"",Recurring!$B$33)</f>
        <v/>
      </c>
      <c r="D467" s="7" t="str">
        <f aca="false">IF($C467="","",Recurring!$C$33)</f>
        <v/>
      </c>
      <c r="E467" s="118" t="str">
        <f aca="false">IF($C467="","",IF(SUMIFS(Overrides!$E$9:$E$108,Overrides!$B$9:$B$108,$C467,Overrides!$C$9:$C$108,$L467)&gt;0,SUMIFS(Overrides!$E$9:$E$108,Overrides!$B$9:$B$108,$C467,Overrides!$C$9:$C$108,$L467),Recurring!$D$33))</f>
        <v/>
      </c>
      <c r="F467" s="119" t="str">
        <f aca="false">IF($C467="","",IF(Recurring!$E$33="Weekly",Recurring!$F$33+7*15,IF(Recurring!$E$33="Every 2 Weeks",Recurring!$F$33+14*15,IF(Recurring!$E$33="Monthly",EDATE(Recurring!$F$33,15),IF(Recurring!$E$33="Twice a Month",IF(MOD((IF(DAY(Recurring!$F$33)&lt;=20,0,1)+15),2)=1,EOMONTH(Recurring!$F$33,INT((IF(DAY(Recurring!$F$33)&lt;=20,0,1)+15)/2)),DATE(YEAR(EDATE(Recurring!$F$33,INT((IF(DAY(Recurring!$F$33)&lt;=20,0,1)+15)/2))),MONTH(EDATE(Recurring!$F$33,INT((IF(DAY(Recurring!$F$33)&lt;=20,0,1)+15)/2))),15)),IF(Recurring!$E$33="One Time",IF(16=1,Recurring!$F$33,""),""))))))</f>
        <v/>
      </c>
      <c r="G467" s="119" t="str">
        <f aca="false">IF($L467="","",IF(SUMIFS(Overrides!$D$9:$D$108,Overrides!$B$9:$B$108,$C467,Overrides!$C$9:$C$108,$L467)&gt;0,SUMIFS(Overrides!$D$9:$D$108,Overrides!$B$9:$B$108,$C467,Overrides!$C$9:$C$108,$L467),$L467))</f>
        <v/>
      </c>
      <c r="H467" s="120" t="n">
        <f aca="false">IF($G467="",0,IF(AND($G467&gt;='Cash Flow'!$E$6,$G467&lt;'Cash Flow'!$E$6+91),1,0))</f>
        <v>0</v>
      </c>
      <c r="I467" s="120" t="str">
        <f aca="false">IF($H467=1,MAX(1,INT(($G467-'Cash Flow'!$E$6)/7)+1),"")</f>
        <v/>
      </c>
      <c r="J467" s="7" t="str">
        <f aca="false">IF($H467=1,$G467*10000+ROW(),"")</f>
        <v/>
      </c>
      <c r="K467" s="7" t="str">
        <f aca="false">IF($H467=1,$I467*1000+COUNTIFS($I$4:$I$483,$I467,$J$4:$J$483,"&lt;"&amp;$J467)+1,"")</f>
        <v/>
      </c>
      <c r="L467" s="121" t="str">
        <f aca="false">IF($F467="","",IF(Recurring!$G$33="Move Before",IF(WEEKDAY($F467,2)=6,$F467-1,IF(WEEKDAY($F467,2)=7,$F467-2,$F467)),IF(Recurring!$G$33="Move After",IF(WEEKDAY($F467,2)=6,$F467+2,IF(WEEKDAY($F467,2)=7,$F467+1,$F467)),$F467)))</f>
        <v/>
      </c>
      <c r="M467" s="0" t="str">
        <f aca="true">IF(AND($H467=1,$D467="Expense",$G467&gt;TODAY(),$E467&gt;=100),$G467*100000+ROW(),"")</f>
        <v/>
      </c>
      <c r="N467" s="0" t="str">
        <f aca="true">IF(AND($H467=1,$D467="Income",$G467&gt;TODAY()),$G467*100000+ROW(),"")</f>
        <v/>
      </c>
    </row>
    <row r="468" customFormat="false" ht="15" hidden="false" customHeight="true" outlineLevel="0" collapsed="false">
      <c r="A468" s="117" t="n">
        <v>30</v>
      </c>
      <c r="B468" s="117" t="n">
        <v>1</v>
      </c>
      <c r="C468" s="7" t="str">
        <f aca="false">IF(OR(Recurring!$B$34="",Recurring!$H$34&lt;&gt;"Yes",Recurring!$D$34=""),"",Recurring!$B$34)</f>
        <v/>
      </c>
      <c r="D468" s="7" t="str">
        <f aca="false">IF($C468="","",Recurring!$C$34)</f>
        <v/>
      </c>
      <c r="E468" s="118" t="str">
        <f aca="false">IF($C468="","",IF(SUMIFS(Overrides!$E$9:$E$108,Overrides!$B$9:$B$108,$C468,Overrides!$C$9:$C$108,$L468)&gt;0,SUMIFS(Overrides!$E$9:$E$108,Overrides!$B$9:$B$108,$C468,Overrides!$C$9:$C$108,$L468),Recurring!$D$34))</f>
        <v/>
      </c>
      <c r="F468" s="119" t="str">
        <f aca="false">IF($C468="","",IF(Recurring!$E$34="Weekly",Recurring!$F$34+7*0,IF(Recurring!$E$34="Every 2 Weeks",Recurring!$F$34+14*0,IF(Recurring!$E$34="Monthly",EDATE(Recurring!$F$34,0),IF(Recurring!$E$34="Twice a Month",IF(MOD((IF(DAY(Recurring!$F$34)&lt;=20,0,1)+0),2)=1,EOMONTH(Recurring!$F$34,INT((IF(DAY(Recurring!$F$34)&lt;=20,0,1)+0)/2)),DATE(YEAR(EDATE(Recurring!$F$34,INT((IF(DAY(Recurring!$F$34)&lt;=20,0,1)+0)/2))),MONTH(EDATE(Recurring!$F$34,INT((IF(DAY(Recurring!$F$34)&lt;=20,0,1)+0)/2))),15)),IF(Recurring!$E$34="One Time",IF(1=1,Recurring!$F$34,""),""))))))</f>
        <v/>
      </c>
      <c r="G468" s="119" t="str">
        <f aca="false">IF($L468="","",IF(SUMIFS(Overrides!$D$9:$D$108,Overrides!$B$9:$B$108,$C468,Overrides!$C$9:$C$108,$L468)&gt;0,SUMIFS(Overrides!$D$9:$D$108,Overrides!$B$9:$B$108,$C468,Overrides!$C$9:$C$108,$L468),$L468))</f>
        <v/>
      </c>
      <c r="H468" s="120" t="n">
        <f aca="false">IF($G468="",0,IF(AND($G468&gt;='Cash Flow'!$E$6-90,$G468&lt;'Cash Flow'!$E$6+91),1,0))</f>
        <v>0</v>
      </c>
      <c r="I468" s="120" t="str">
        <f aca="false">IF($H468=1,MAX(1,INT(($G468-'Cash Flow'!$E$6)/7)+1),"")</f>
        <v/>
      </c>
      <c r="J468" s="7" t="str">
        <f aca="false">IF($H468=1,$G468*10000+ROW(),"")</f>
        <v/>
      </c>
      <c r="K468" s="7" t="str">
        <f aca="false">IF($H468=1,$I468*1000+COUNTIFS($I$4:$I$483,$I468,$J$4:$J$483,"&lt;"&amp;$J468)+1,"")</f>
        <v/>
      </c>
      <c r="L468" s="121" t="str">
        <f aca="false">IF($F468="","",IF(Recurring!$G$34="Move Before",IF(WEEKDAY($F468,2)=6,$F468-1,IF(WEEKDAY($F468,2)=7,$F468-2,$F468)),IF(Recurring!$G$34="Move After",IF(WEEKDAY($F468,2)=6,$F468+2,IF(WEEKDAY($F468,2)=7,$F468+1,$F468)),$F468)))</f>
        <v/>
      </c>
      <c r="M468" s="0" t="str">
        <f aca="true">IF(AND($H468=1,$D468="Expense",$G468&gt;TODAY(),$E468&gt;=100),$G468*100000+ROW(),"")</f>
        <v/>
      </c>
      <c r="N468" s="0" t="str">
        <f aca="true">IF(AND($H468=1,$D468="Income",$G468&gt;TODAY()),$G468*100000+ROW(),"")</f>
        <v/>
      </c>
    </row>
    <row r="469" customFormat="false" ht="15" hidden="false" customHeight="true" outlineLevel="0" collapsed="false">
      <c r="A469" s="117" t="n">
        <v>30</v>
      </c>
      <c r="B469" s="117" t="n">
        <v>2</v>
      </c>
      <c r="C469" s="7" t="str">
        <f aca="false">IF(OR(Recurring!$B$34="",Recurring!$H$34&lt;&gt;"Yes",Recurring!$D$34=""),"",Recurring!$B$34)</f>
        <v/>
      </c>
      <c r="D469" s="7" t="str">
        <f aca="false">IF($C469="","",Recurring!$C$34)</f>
        <v/>
      </c>
      <c r="E469" s="118" t="str">
        <f aca="false">IF($C469="","",IF(SUMIFS(Overrides!$E$9:$E$108,Overrides!$B$9:$B$108,$C469,Overrides!$C$9:$C$108,$L469)&gt;0,SUMIFS(Overrides!$E$9:$E$108,Overrides!$B$9:$B$108,$C469,Overrides!$C$9:$C$108,$L469),Recurring!$D$34))</f>
        <v/>
      </c>
      <c r="F469" s="119" t="str">
        <f aca="false">IF($C469="","",IF(Recurring!$E$34="Weekly",Recurring!$F$34+7*1,IF(Recurring!$E$34="Every 2 Weeks",Recurring!$F$34+14*1,IF(Recurring!$E$34="Monthly",EDATE(Recurring!$F$34,1),IF(Recurring!$E$34="Twice a Month",IF(MOD((IF(DAY(Recurring!$F$34)&lt;=20,0,1)+1),2)=1,EOMONTH(Recurring!$F$34,INT((IF(DAY(Recurring!$F$34)&lt;=20,0,1)+1)/2)),DATE(YEAR(EDATE(Recurring!$F$34,INT((IF(DAY(Recurring!$F$34)&lt;=20,0,1)+1)/2))),MONTH(EDATE(Recurring!$F$34,INT((IF(DAY(Recurring!$F$34)&lt;=20,0,1)+1)/2))),15)),IF(Recurring!$E$34="One Time",IF(2=1,Recurring!$F$34,""),""))))))</f>
        <v/>
      </c>
      <c r="G469" s="119" t="str">
        <f aca="false">IF($L469="","",IF(SUMIFS(Overrides!$D$9:$D$108,Overrides!$B$9:$B$108,$C469,Overrides!$C$9:$C$108,$L469)&gt;0,SUMIFS(Overrides!$D$9:$D$108,Overrides!$B$9:$B$108,$C469,Overrides!$C$9:$C$108,$L469),$L469))</f>
        <v/>
      </c>
      <c r="H469" s="120" t="n">
        <f aca="false">IF($G469="",0,IF(AND($G469&gt;='Cash Flow'!$E$6,$G469&lt;'Cash Flow'!$E$6+91),1,0))</f>
        <v>0</v>
      </c>
      <c r="I469" s="120" t="str">
        <f aca="false">IF($H469=1,MAX(1,INT(($G469-'Cash Flow'!$E$6)/7)+1),"")</f>
        <v/>
      </c>
      <c r="J469" s="7" t="str">
        <f aca="false">IF($H469=1,$G469*10000+ROW(),"")</f>
        <v/>
      </c>
      <c r="K469" s="7" t="str">
        <f aca="false">IF($H469=1,$I469*1000+COUNTIFS($I$4:$I$483,$I469,$J$4:$J$483,"&lt;"&amp;$J469)+1,"")</f>
        <v/>
      </c>
      <c r="L469" s="121" t="str">
        <f aca="false">IF($F469="","",IF(Recurring!$G$34="Move Before",IF(WEEKDAY($F469,2)=6,$F469-1,IF(WEEKDAY($F469,2)=7,$F469-2,$F469)),IF(Recurring!$G$34="Move After",IF(WEEKDAY($F469,2)=6,$F469+2,IF(WEEKDAY($F469,2)=7,$F469+1,$F469)),$F469)))</f>
        <v/>
      </c>
      <c r="M469" s="0" t="str">
        <f aca="true">IF(AND($H469=1,$D469="Expense",$G469&gt;TODAY(),$E469&gt;=100),$G469*100000+ROW(),"")</f>
        <v/>
      </c>
      <c r="N469" s="0" t="str">
        <f aca="true">IF(AND($H469=1,$D469="Income",$G469&gt;TODAY()),$G469*100000+ROW(),"")</f>
        <v/>
      </c>
    </row>
    <row r="470" customFormat="false" ht="15" hidden="false" customHeight="true" outlineLevel="0" collapsed="false">
      <c r="A470" s="117" t="n">
        <v>30</v>
      </c>
      <c r="B470" s="117" t="n">
        <v>3</v>
      </c>
      <c r="C470" s="7" t="str">
        <f aca="false">IF(OR(Recurring!$B$34="",Recurring!$H$34&lt;&gt;"Yes",Recurring!$D$34=""),"",Recurring!$B$34)</f>
        <v/>
      </c>
      <c r="D470" s="7" t="str">
        <f aca="false">IF($C470="","",Recurring!$C$34)</f>
        <v/>
      </c>
      <c r="E470" s="118" t="str">
        <f aca="false">IF($C470="","",IF(SUMIFS(Overrides!$E$9:$E$108,Overrides!$B$9:$B$108,$C470,Overrides!$C$9:$C$108,$L470)&gt;0,SUMIFS(Overrides!$E$9:$E$108,Overrides!$B$9:$B$108,$C470,Overrides!$C$9:$C$108,$L470),Recurring!$D$34))</f>
        <v/>
      </c>
      <c r="F470" s="119" t="str">
        <f aca="false">IF($C470="","",IF(Recurring!$E$34="Weekly",Recurring!$F$34+7*2,IF(Recurring!$E$34="Every 2 Weeks",Recurring!$F$34+14*2,IF(Recurring!$E$34="Monthly",EDATE(Recurring!$F$34,2),IF(Recurring!$E$34="Twice a Month",IF(MOD((IF(DAY(Recurring!$F$34)&lt;=20,0,1)+2),2)=1,EOMONTH(Recurring!$F$34,INT((IF(DAY(Recurring!$F$34)&lt;=20,0,1)+2)/2)),DATE(YEAR(EDATE(Recurring!$F$34,INT((IF(DAY(Recurring!$F$34)&lt;=20,0,1)+2)/2))),MONTH(EDATE(Recurring!$F$34,INT((IF(DAY(Recurring!$F$34)&lt;=20,0,1)+2)/2))),15)),IF(Recurring!$E$34="One Time",IF(3=1,Recurring!$F$34,""),""))))))</f>
        <v/>
      </c>
      <c r="G470" s="119" t="str">
        <f aca="false">IF($L470="","",IF(SUMIFS(Overrides!$D$9:$D$108,Overrides!$B$9:$B$108,$C470,Overrides!$C$9:$C$108,$L470)&gt;0,SUMIFS(Overrides!$D$9:$D$108,Overrides!$B$9:$B$108,$C470,Overrides!$C$9:$C$108,$L470),$L470))</f>
        <v/>
      </c>
      <c r="H470" s="120" t="n">
        <f aca="false">IF($G470="",0,IF(AND($G470&gt;='Cash Flow'!$E$6,$G470&lt;'Cash Flow'!$E$6+91),1,0))</f>
        <v>0</v>
      </c>
      <c r="I470" s="120" t="str">
        <f aca="false">IF($H470=1,MAX(1,INT(($G470-'Cash Flow'!$E$6)/7)+1),"")</f>
        <v/>
      </c>
      <c r="J470" s="7" t="str">
        <f aca="false">IF($H470=1,$G470*10000+ROW(),"")</f>
        <v/>
      </c>
      <c r="K470" s="7" t="str">
        <f aca="false">IF($H470=1,$I470*1000+COUNTIFS($I$4:$I$483,$I470,$J$4:$J$483,"&lt;"&amp;$J470)+1,"")</f>
        <v/>
      </c>
      <c r="L470" s="121" t="str">
        <f aca="false">IF($F470="","",IF(Recurring!$G$34="Move Before",IF(WEEKDAY($F470,2)=6,$F470-1,IF(WEEKDAY($F470,2)=7,$F470-2,$F470)),IF(Recurring!$G$34="Move After",IF(WEEKDAY($F470,2)=6,$F470+2,IF(WEEKDAY($F470,2)=7,$F470+1,$F470)),$F470)))</f>
        <v/>
      </c>
      <c r="M470" s="0" t="str">
        <f aca="true">IF(AND($H470=1,$D470="Expense",$G470&gt;TODAY(),$E470&gt;=100),$G470*100000+ROW(),"")</f>
        <v/>
      </c>
      <c r="N470" s="0" t="str">
        <f aca="true">IF(AND($H470=1,$D470="Income",$G470&gt;TODAY()),$G470*100000+ROW(),"")</f>
        <v/>
      </c>
    </row>
    <row r="471" customFormat="false" ht="15" hidden="false" customHeight="true" outlineLevel="0" collapsed="false">
      <c r="A471" s="117" t="n">
        <v>30</v>
      </c>
      <c r="B471" s="117" t="n">
        <v>4</v>
      </c>
      <c r="C471" s="7" t="str">
        <f aca="false">IF(OR(Recurring!$B$34="",Recurring!$H$34&lt;&gt;"Yes",Recurring!$D$34=""),"",Recurring!$B$34)</f>
        <v/>
      </c>
      <c r="D471" s="7" t="str">
        <f aca="false">IF($C471="","",Recurring!$C$34)</f>
        <v/>
      </c>
      <c r="E471" s="118" t="str">
        <f aca="false">IF($C471="","",IF(SUMIFS(Overrides!$E$9:$E$108,Overrides!$B$9:$B$108,$C471,Overrides!$C$9:$C$108,$L471)&gt;0,SUMIFS(Overrides!$E$9:$E$108,Overrides!$B$9:$B$108,$C471,Overrides!$C$9:$C$108,$L471),Recurring!$D$34))</f>
        <v/>
      </c>
      <c r="F471" s="119" t="str">
        <f aca="false">IF($C471="","",IF(Recurring!$E$34="Weekly",Recurring!$F$34+7*3,IF(Recurring!$E$34="Every 2 Weeks",Recurring!$F$34+14*3,IF(Recurring!$E$34="Monthly",EDATE(Recurring!$F$34,3),IF(Recurring!$E$34="Twice a Month",IF(MOD((IF(DAY(Recurring!$F$34)&lt;=20,0,1)+3),2)=1,EOMONTH(Recurring!$F$34,INT((IF(DAY(Recurring!$F$34)&lt;=20,0,1)+3)/2)),DATE(YEAR(EDATE(Recurring!$F$34,INT((IF(DAY(Recurring!$F$34)&lt;=20,0,1)+3)/2))),MONTH(EDATE(Recurring!$F$34,INT((IF(DAY(Recurring!$F$34)&lt;=20,0,1)+3)/2))),15)),IF(Recurring!$E$34="One Time",IF(4=1,Recurring!$F$34,""),""))))))</f>
        <v/>
      </c>
      <c r="G471" s="119" t="str">
        <f aca="false">IF($L471="","",IF(SUMIFS(Overrides!$D$9:$D$108,Overrides!$B$9:$B$108,$C471,Overrides!$C$9:$C$108,$L471)&gt;0,SUMIFS(Overrides!$D$9:$D$108,Overrides!$B$9:$B$108,$C471,Overrides!$C$9:$C$108,$L471),$L471))</f>
        <v/>
      </c>
      <c r="H471" s="120" t="n">
        <f aca="false">IF($G471="",0,IF(AND($G471&gt;='Cash Flow'!$E$6,$G471&lt;'Cash Flow'!$E$6+91),1,0))</f>
        <v>0</v>
      </c>
      <c r="I471" s="120" t="str">
        <f aca="false">IF($H471=1,MAX(1,INT(($G471-'Cash Flow'!$E$6)/7)+1),"")</f>
        <v/>
      </c>
      <c r="J471" s="7" t="str">
        <f aca="false">IF($H471=1,$G471*10000+ROW(),"")</f>
        <v/>
      </c>
      <c r="K471" s="7" t="str">
        <f aca="false">IF($H471=1,$I471*1000+COUNTIFS($I$4:$I$483,$I471,$J$4:$J$483,"&lt;"&amp;$J471)+1,"")</f>
        <v/>
      </c>
      <c r="L471" s="121" t="str">
        <f aca="false">IF($F471="","",IF(Recurring!$G$34="Move Before",IF(WEEKDAY($F471,2)=6,$F471-1,IF(WEEKDAY($F471,2)=7,$F471-2,$F471)),IF(Recurring!$G$34="Move After",IF(WEEKDAY($F471,2)=6,$F471+2,IF(WEEKDAY($F471,2)=7,$F471+1,$F471)),$F471)))</f>
        <v/>
      </c>
      <c r="M471" s="0" t="str">
        <f aca="true">IF(AND($H471=1,$D471="Expense",$G471&gt;TODAY(),$E471&gt;=100),$G471*100000+ROW(),"")</f>
        <v/>
      </c>
      <c r="N471" s="0" t="str">
        <f aca="true">IF(AND($H471=1,$D471="Income",$G471&gt;TODAY()),$G471*100000+ROW(),"")</f>
        <v/>
      </c>
    </row>
    <row r="472" customFormat="false" ht="15" hidden="false" customHeight="true" outlineLevel="0" collapsed="false">
      <c r="A472" s="117" t="n">
        <v>30</v>
      </c>
      <c r="B472" s="117" t="n">
        <v>5</v>
      </c>
      <c r="C472" s="7" t="str">
        <f aca="false">IF(OR(Recurring!$B$34="",Recurring!$H$34&lt;&gt;"Yes",Recurring!$D$34=""),"",Recurring!$B$34)</f>
        <v/>
      </c>
      <c r="D472" s="7" t="str">
        <f aca="false">IF($C472="","",Recurring!$C$34)</f>
        <v/>
      </c>
      <c r="E472" s="118" t="str">
        <f aca="false">IF($C472="","",IF(SUMIFS(Overrides!$E$9:$E$108,Overrides!$B$9:$B$108,$C472,Overrides!$C$9:$C$108,$L472)&gt;0,SUMIFS(Overrides!$E$9:$E$108,Overrides!$B$9:$B$108,$C472,Overrides!$C$9:$C$108,$L472),Recurring!$D$34))</f>
        <v/>
      </c>
      <c r="F472" s="119" t="str">
        <f aca="false">IF($C472="","",IF(Recurring!$E$34="Weekly",Recurring!$F$34+7*4,IF(Recurring!$E$34="Every 2 Weeks",Recurring!$F$34+14*4,IF(Recurring!$E$34="Monthly",EDATE(Recurring!$F$34,4),IF(Recurring!$E$34="Twice a Month",IF(MOD((IF(DAY(Recurring!$F$34)&lt;=20,0,1)+4),2)=1,EOMONTH(Recurring!$F$34,INT((IF(DAY(Recurring!$F$34)&lt;=20,0,1)+4)/2)),DATE(YEAR(EDATE(Recurring!$F$34,INT((IF(DAY(Recurring!$F$34)&lt;=20,0,1)+4)/2))),MONTH(EDATE(Recurring!$F$34,INT((IF(DAY(Recurring!$F$34)&lt;=20,0,1)+4)/2))),15)),IF(Recurring!$E$34="One Time",IF(5=1,Recurring!$F$34,""),""))))))</f>
        <v/>
      </c>
      <c r="G472" s="119" t="str">
        <f aca="false">IF($L472="","",IF(SUMIFS(Overrides!$D$9:$D$108,Overrides!$B$9:$B$108,$C472,Overrides!$C$9:$C$108,$L472)&gt;0,SUMIFS(Overrides!$D$9:$D$108,Overrides!$B$9:$B$108,$C472,Overrides!$C$9:$C$108,$L472),$L472))</f>
        <v/>
      </c>
      <c r="H472" s="120" t="n">
        <f aca="false">IF($G472="",0,IF(AND($G472&gt;='Cash Flow'!$E$6,$G472&lt;'Cash Flow'!$E$6+91),1,0))</f>
        <v>0</v>
      </c>
      <c r="I472" s="120" t="str">
        <f aca="false">IF($H472=1,MAX(1,INT(($G472-'Cash Flow'!$E$6)/7)+1),"")</f>
        <v/>
      </c>
      <c r="J472" s="7" t="str">
        <f aca="false">IF($H472=1,$G472*10000+ROW(),"")</f>
        <v/>
      </c>
      <c r="K472" s="7" t="str">
        <f aca="false">IF($H472=1,$I472*1000+COUNTIFS($I$4:$I$483,$I472,$J$4:$J$483,"&lt;"&amp;$J472)+1,"")</f>
        <v/>
      </c>
      <c r="L472" s="121" t="str">
        <f aca="false">IF($F472="","",IF(Recurring!$G$34="Move Before",IF(WEEKDAY($F472,2)=6,$F472-1,IF(WEEKDAY($F472,2)=7,$F472-2,$F472)),IF(Recurring!$G$34="Move After",IF(WEEKDAY($F472,2)=6,$F472+2,IF(WEEKDAY($F472,2)=7,$F472+1,$F472)),$F472)))</f>
        <v/>
      </c>
      <c r="M472" s="0" t="str">
        <f aca="true">IF(AND($H472=1,$D472="Expense",$G472&gt;TODAY(),$E472&gt;=100),$G472*100000+ROW(),"")</f>
        <v/>
      </c>
      <c r="N472" s="0" t="str">
        <f aca="true">IF(AND($H472=1,$D472="Income",$G472&gt;TODAY()),$G472*100000+ROW(),"")</f>
        <v/>
      </c>
    </row>
    <row r="473" customFormat="false" ht="15" hidden="false" customHeight="true" outlineLevel="0" collapsed="false">
      <c r="A473" s="117" t="n">
        <v>30</v>
      </c>
      <c r="B473" s="117" t="n">
        <v>6</v>
      </c>
      <c r="C473" s="7" t="str">
        <f aca="false">IF(OR(Recurring!$B$34="",Recurring!$H$34&lt;&gt;"Yes",Recurring!$D$34=""),"",Recurring!$B$34)</f>
        <v/>
      </c>
      <c r="D473" s="7" t="str">
        <f aca="false">IF($C473="","",Recurring!$C$34)</f>
        <v/>
      </c>
      <c r="E473" s="118" t="str">
        <f aca="false">IF($C473="","",IF(SUMIFS(Overrides!$E$9:$E$108,Overrides!$B$9:$B$108,$C473,Overrides!$C$9:$C$108,$L473)&gt;0,SUMIFS(Overrides!$E$9:$E$108,Overrides!$B$9:$B$108,$C473,Overrides!$C$9:$C$108,$L473),Recurring!$D$34))</f>
        <v/>
      </c>
      <c r="F473" s="119" t="str">
        <f aca="false">IF($C473="","",IF(Recurring!$E$34="Weekly",Recurring!$F$34+7*5,IF(Recurring!$E$34="Every 2 Weeks",Recurring!$F$34+14*5,IF(Recurring!$E$34="Monthly",EDATE(Recurring!$F$34,5),IF(Recurring!$E$34="Twice a Month",IF(MOD((IF(DAY(Recurring!$F$34)&lt;=20,0,1)+5),2)=1,EOMONTH(Recurring!$F$34,INT((IF(DAY(Recurring!$F$34)&lt;=20,0,1)+5)/2)),DATE(YEAR(EDATE(Recurring!$F$34,INT((IF(DAY(Recurring!$F$34)&lt;=20,0,1)+5)/2))),MONTH(EDATE(Recurring!$F$34,INT((IF(DAY(Recurring!$F$34)&lt;=20,0,1)+5)/2))),15)),IF(Recurring!$E$34="One Time",IF(6=1,Recurring!$F$34,""),""))))))</f>
        <v/>
      </c>
      <c r="G473" s="119" t="str">
        <f aca="false">IF($L473="","",IF(SUMIFS(Overrides!$D$9:$D$108,Overrides!$B$9:$B$108,$C473,Overrides!$C$9:$C$108,$L473)&gt;0,SUMIFS(Overrides!$D$9:$D$108,Overrides!$B$9:$B$108,$C473,Overrides!$C$9:$C$108,$L473),$L473))</f>
        <v/>
      </c>
      <c r="H473" s="120" t="n">
        <f aca="false">IF($G473="",0,IF(AND($G473&gt;='Cash Flow'!$E$6,$G473&lt;'Cash Flow'!$E$6+91),1,0))</f>
        <v>0</v>
      </c>
      <c r="I473" s="120" t="str">
        <f aca="false">IF($H473=1,MAX(1,INT(($G473-'Cash Flow'!$E$6)/7)+1),"")</f>
        <v/>
      </c>
      <c r="J473" s="7" t="str">
        <f aca="false">IF($H473=1,$G473*10000+ROW(),"")</f>
        <v/>
      </c>
      <c r="K473" s="7" t="str">
        <f aca="false">IF($H473=1,$I473*1000+COUNTIFS($I$4:$I$483,$I473,$J$4:$J$483,"&lt;"&amp;$J473)+1,"")</f>
        <v/>
      </c>
      <c r="L473" s="121" t="str">
        <f aca="false">IF($F473="","",IF(Recurring!$G$34="Move Before",IF(WEEKDAY($F473,2)=6,$F473-1,IF(WEEKDAY($F473,2)=7,$F473-2,$F473)),IF(Recurring!$G$34="Move After",IF(WEEKDAY($F473,2)=6,$F473+2,IF(WEEKDAY($F473,2)=7,$F473+1,$F473)),$F473)))</f>
        <v/>
      </c>
      <c r="M473" s="0" t="str">
        <f aca="true">IF(AND($H473=1,$D473="Expense",$G473&gt;TODAY(),$E473&gt;=100),$G473*100000+ROW(),"")</f>
        <v/>
      </c>
      <c r="N473" s="0" t="str">
        <f aca="true">IF(AND($H473=1,$D473="Income",$G473&gt;TODAY()),$G473*100000+ROW(),"")</f>
        <v/>
      </c>
    </row>
    <row r="474" customFormat="false" ht="15" hidden="false" customHeight="true" outlineLevel="0" collapsed="false">
      <c r="A474" s="117" t="n">
        <v>30</v>
      </c>
      <c r="B474" s="117" t="n">
        <v>7</v>
      </c>
      <c r="C474" s="7" t="str">
        <f aca="false">IF(OR(Recurring!$B$34="",Recurring!$H$34&lt;&gt;"Yes",Recurring!$D$34=""),"",Recurring!$B$34)</f>
        <v/>
      </c>
      <c r="D474" s="7" t="str">
        <f aca="false">IF($C474="","",Recurring!$C$34)</f>
        <v/>
      </c>
      <c r="E474" s="118" t="str">
        <f aca="false">IF($C474="","",IF(SUMIFS(Overrides!$E$9:$E$108,Overrides!$B$9:$B$108,$C474,Overrides!$C$9:$C$108,$L474)&gt;0,SUMIFS(Overrides!$E$9:$E$108,Overrides!$B$9:$B$108,$C474,Overrides!$C$9:$C$108,$L474),Recurring!$D$34))</f>
        <v/>
      </c>
      <c r="F474" s="119" t="str">
        <f aca="false">IF($C474="","",IF(Recurring!$E$34="Weekly",Recurring!$F$34+7*6,IF(Recurring!$E$34="Every 2 Weeks",Recurring!$F$34+14*6,IF(Recurring!$E$34="Monthly",EDATE(Recurring!$F$34,6),IF(Recurring!$E$34="Twice a Month",IF(MOD((IF(DAY(Recurring!$F$34)&lt;=20,0,1)+6),2)=1,EOMONTH(Recurring!$F$34,INT((IF(DAY(Recurring!$F$34)&lt;=20,0,1)+6)/2)),DATE(YEAR(EDATE(Recurring!$F$34,INT((IF(DAY(Recurring!$F$34)&lt;=20,0,1)+6)/2))),MONTH(EDATE(Recurring!$F$34,INT((IF(DAY(Recurring!$F$34)&lt;=20,0,1)+6)/2))),15)),IF(Recurring!$E$34="One Time",IF(7=1,Recurring!$F$34,""),""))))))</f>
        <v/>
      </c>
      <c r="G474" s="119" t="str">
        <f aca="false">IF($L474="","",IF(SUMIFS(Overrides!$D$9:$D$108,Overrides!$B$9:$B$108,$C474,Overrides!$C$9:$C$108,$L474)&gt;0,SUMIFS(Overrides!$D$9:$D$108,Overrides!$B$9:$B$108,$C474,Overrides!$C$9:$C$108,$L474),$L474))</f>
        <v/>
      </c>
      <c r="H474" s="120" t="n">
        <f aca="false">IF($G474="",0,IF(AND($G474&gt;='Cash Flow'!$E$6,$G474&lt;'Cash Flow'!$E$6+91),1,0))</f>
        <v>0</v>
      </c>
      <c r="I474" s="120" t="str">
        <f aca="false">IF($H474=1,MAX(1,INT(($G474-'Cash Flow'!$E$6)/7)+1),"")</f>
        <v/>
      </c>
      <c r="J474" s="7" t="str">
        <f aca="false">IF($H474=1,$G474*10000+ROW(),"")</f>
        <v/>
      </c>
      <c r="K474" s="7" t="str">
        <f aca="false">IF($H474=1,$I474*1000+COUNTIFS($I$4:$I$483,$I474,$J$4:$J$483,"&lt;"&amp;$J474)+1,"")</f>
        <v/>
      </c>
      <c r="L474" s="121" t="str">
        <f aca="false">IF($F474="","",IF(Recurring!$G$34="Move Before",IF(WEEKDAY($F474,2)=6,$F474-1,IF(WEEKDAY($F474,2)=7,$F474-2,$F474)),IF(Recurring!$G$34="Move After",IF(WEEKDAY($F474,2)=6,$F474+2,IF(WEEKDAY($F474,2)=7,$F474+1,$F474)),$F474)))</f>
        <v/>
      </c>
      <c r="M474" s="0" t="str">
        <f aca="true">IF(AND($H474=1,$D474="Expense",$G474&gt;TODAY(),$E474&gt;=100),$G474*100000+ROW(),"")</f>
        <v/>
      </c>
      <c r="N474" s="0" t="str">
        <f aca="true">IF(AND($H474=1,$D474="Income",$G474&gt;TODAY()),$G474*100000+ROW(),"")</f>
        <v/>
      </c>
    </row>
    <row r="475" customFormat="false" ht="15" hidden="false" customHeight="true" outlineLevel="0" collapsed="false">
      <c r="A475" s="117" t="n">
        <v>30</v>
      </c>
      <c r="B475" s="117" t="n">
        <v>8</v>
      </c>
      <c r="C475" s="7" t="str">
        <f aca="false">IF(OR(Recurring!$B$34="",Recurring!$H$34&lt;&gt;"Yes",Recurring!$D$34=""),"",Recurring!$B$34)</f>
        <v/>
      </c>
      <c r="D475" s="7" t="str">
        <f aca="false">IF($C475="","",Recurring!$C$34)</f>
        <v/>
      </c>
      <c r="E475" s="118" t="str">
        <f aca="false">IF($C475="","",IF(SUMIFS(Overrides!$E$9:$E$108,Overrides!$B$9:$B$108,$C475,Overrides!$C$9:$C$108,$L475)&gt;0,SUMIFS(Overrides!$E$9:$E$108,Overrides!$B$9:$B$108,$C475,Overrides!$C$9:$C$108,$L475),Recurring!$D$34))</f>
        <v/>
      </c>
      <c r="F475" s="119" t="str">
        <f aca="false">IF($C475="","",IF(Recurring!$E$34="Weekly",Recurring!$F$34+7*7,IF(Recurring!$E$34="Every 2 Weeks",Recurring!$F$34+14*7,IF(Recurring!$E$34="Monthly",EDATE(Recurring!$F$34,7),IF(Recurring!$E$34="Twice a Month",IF(MOD((IF(DAY(Recurring!$F$34)&lt;=20,0,1)+7),2)=1,EOMONTH(Recurring!$F$34,INT((IF(DAY(Recurring!$F$34)&lt;=20,0,1)+7)/2)),DATE(YEAR(EDATE(Recurring!$F$34,INT((IF(DAY(Recurring!$F$34)&lt;=20,0,1)+7)/2))),MONTH(EDATE(Recurring!$F$34,INT((IF(DAY(Recurring!$F$34)&lt;=20,0,1)+7)/2))),15)),IF(Recurring!$E$34="One Time",IF(8=1,Recurring!$F$34,""),""))))))</f>
        <v/>
      </c>
      <c r="G475" s="119" t="str">
        <f aca="false">IF($L475="","",IF(SUMIFS(Overrides!$D$9:$D$108,Overrides!$B$9:$B$108,$C475,Overrides!$C$9:$C$108,$L475)&gt;0,SUMIFS(Overrides!$D$9:$D$108,Overrides!$B$9:$B$108,$C475,Overrides!$C$9:$C$108,$L475),$L475))</f>
        <v/>
      </c>
      <c r="H475" s="120" t="n">
        <f aca="false">IF($G475="",0,IF(AND($G475&gt;='Cash Flow'!$E$6,$G475&lt;'Cash Flow'!$E$6+91),1,0))</f>
        <v>0</v>
      </c>
      <c r="I475" s="120" t="str">
        <f aca="false">IF($H475=1,MAX(1,INT(($G475-'Cash Flow'!$E$6)/7)+1),"")</f>
        <v/>
      </c>
      <c r="J475" s="7" t="str">
        <f aca="false">IF($H475=1,$G475*10000+ROW(),"")</f>
        <v/>
      </c>
      <c r="K475" s="7" t="str">
        <f aca="false">IF($H475=1,$I475*1000+COUNTIFS($I$4:$I$483,$I475,$J$4:$J$483,"&lt;"&amp;$J475)+1,"")</f>
        <v/>
      </c>
      <c r="L475" s="121" t="str">
        <f aca="false">IF($F475="","",IF(Recurring!$G$34="Move Before",IF(WEEKDAY($F475,2)=6,$F475-1,IF(WEEKDAY($F475,2)=7,$F475-2,$F475)),IF(Recurring!$G$34="Move After",IF(WEEKDAY($F475,2)=6,$F475+2,IF(WEEKDAY($F475,2)=7,$F475+1,$F475)),$F475)))</f>
        <v/>
      </c>
      <c r="M475" s="0" t="str">
        <f aca="true">IF(AND($H475=1,$D475="Expense",$G475&gt;TODAY(),$E475&gt;=100),$G475*100000+ROW(),"")</f>
        <v/>
      </c>
      <c r="N475" s="0" t="str">
        <f aca="true">IF(AND($H475=1,$D475="Income",$G475&gt;TODAY()),$G475*100000+ROW(),"")</f>
        <v/>
      </c>
    </row>
    <row r="476" customFormat="false" ht="15" hidden="false" customHeight="true" outlineLevel="0" collapsed="false">
      <c r="A476" s="117" t="n">
        <v>30</v>
      </c>
      <c r="B476" s="117" t="n">
        <v>9</v>
      </c>
      <c r="C476" s="7" t="str">
        <f aca="false">IF(OR(Recurring!$B$34="",Recurring!$H$34&lt;&gt;"Yes",Recurring!$D$34=""),"",Recurring!$B$34)</f>
        <v/>
      </c>
      <c r="D476" s="7" t="str">
        <f aca="false">IF($C476="","",Recurring!$C$34)</f>
        <v/>
      </c>
      <c r="E476" s="118" t="str">
        <f aca="false">IF($C476="","",IF(SUMIFS(Overrides!$E$9:$E$108,Overrides!$B$9:$B$108,$C476,Overrides!$C$9:$C$108,$L476)&gt;0,SUMIFS(Overrides!$E$9:$E$108,Overrides!$B$9:$B$108,$C476,Overrides!$C$9:$C$108,$L476),Recurring!$D$34))</f>
        <v/>
      </c>
      <c r="F476" s="119" t="str">
        <f aca="false">IF($C476="","",IF(Recurring!$E$34="Weekly",Recurring!$F$34+7*8,IF(Recurring!$E$34="Every 2 Weeks",Recurring!$F$34+14*8,IF(Recurring!$E$34="Monthly",EDATE(Recurring!$F$34,8),IF(Recurring!$E$34="Twice a Month",IF(MOD((IF(DAY(Recurring!$F$34)&lt;=20,0,1)+8),2)=1,EOMONTH(Recurring!$F$34,INT((IF(DAY(Recurring!$F$34)&lt;=20,0,1)+8)/2)),DATE(YEAR(EDATE(Recurring!$F$34,INT((IF(DAY(Recurring!$F$34)&lt;=20,0,1)+8)/2))),MONTH(EDATE(Recurring!$F$34,INT((IF(DAY(Recurring!$F$34)&lt;=20,0,1)+8)/2))),15)),IF(Recurring!$E$34="One Time",IF(9=1,Recurring!$F$34,""),""))))))</f>
        <v/>
      </c>
      <c r="G476" s="119" t="str">
        <f aca="false">IF($L476="","",IF(SUMIFS(Overrides!$D$9:$D$108,Overrides!$B$9:$B$108,$C476,Overrides!$C$9:$C$108,$L476)&gt;0,SUMIFS(Overrides!$D$9:$D$108,Overrides!$B$9:$B$108,$C476,Overrides!$C$9:$C$108,$L476),$L476))</f>
        <v/>
      </c>
      <c r="H476" s="120" t="n">
        <f aca="false">IF($G476="",0,IF(AND($G476&gt;='Cash Flow'!$E$6,$G476&lt;'Cash Flow'!$E$6+91),1,0))</f>
        <v>0</v>
      </c>
      <c r="I476" s="120" t="str">
        <f aca="false">IF($H476=1,MAX(1,INT(($G476-'Cash Flow'!$E$6)/7)+1),"")</f>
        <v/>
      </c>
      <c r="J476" s="7" t="str">
        <f aca="false">IF($H476=1,$G476*10000+ROW(),"")</f>
        <v/>
      </c>
      <c r="K476" s="7" t="str">
        <f aca="false">IF($H476=1,$I476*1000+COUNTIFS($I$4:$I$483,$I476,$J$4:$J$483,"&lt;"&amp;$J476)+1,"")</f>
        <v/>
      </c>
      <c r="L476" s="121" t="str">
        <f aca="false">IF($F476="","",IF(Recurring!$G$34="Move Before",IF(WEEKDAY($F476,2)=6,$F476-1,IF(WEEKDAY($F476,2)=7,$F476-2,$F476)),IF(Recurring!$G$34="Move After",IF(WEEKDAY($F476,2)=6,$F476+2,IF(WEEKDAY($F476,2)=7,$F476+1,$F476)),$F476)))</f>
        <v/>
      </c>
      <c r="M476" s="0" t="str">
        <f aca="true">IF(AND($H476=1,$D476="Expense",$G476&gt;TODAY(),$E476&gt;=100),$G476*100000+ROW(),"")</f>
        <v/>
      </c>
      <c r="N476" s="0" t="str">
        <f aca="true">IF(AND($H476=1,$D476="Income",$G476&gt;TODAY()),$G476*100000+ROW(),"")</f>
        <v/>
      </c>
    </row>
    <row r="477" customFormat="false" ht="15" hidden="false" customHeight="true" outlineLevel="0" collapsed="false">
      <c r="A477" s="117" t="n">
        <v>30</v>
      </c>
      <c r="B477" s="117" t="n">
        <v>10</v>
      </c>
      <c r="C477" s="7" t="str">
        <f aca="false">IF(OR(Recurring!$B$34="",Recurring!$H$34&lt;&gt;"Yes",Recurring!$D$34=""),"",Recurring!$B$34)</f>
        <v/>
      </c>
      <c r="D477" s="7" t="str">
        <f aca="false">IF($C477="","",Recurring!$C$34)</f>
        <v/>
      </c>
      <c r="E477" s="118" t="str">
        <f aca="false">IF($C477="","",IF(SUMIFS(Overrides!$E$9:$E$108,Overrides!$B$9:$B$108,$C477,Overrides!$C$9:$C$108,$L477)&gt;0,SUMIFS(Overrides!$E$9:$E$108,Overrides!$B$9:$B$108,$C477,Overrides!$C$9:$C$108,$L477),Recurring!$D$34))</f>
        <v/>
      </c>
      <c r="F477" s="119" t="str">
        <f aca="false">IF($C477="","",IF(Recurring!$E$34="Weekly",Recurring!$F$34+7*9,IF(Recurring!$E$34="Every 2 Weeks",Recurring!$F$34+14*9,IF(Recurring!$E$34="Monthly",EDATE(Recurring!$F$34,9),IF(Recurring!$E$34="Twice a Month",IF(MOD((IF(DAY(Recurring!$F$34)&lt;=20,0,1)+9),2)=1,EOMONTH(Recurring!$F$34,INT((IF(DAY(Recurring!$F$34)&lt;=20,0,1)+9)/2)),DATE(YEAR(EDATE(Recurring!$F$34,INT((IF(DAY(Recurring!$F$34)&lt;=20,0,1)+9)/2))),MONTH(EDATE(Recurring!$F$34,INT((IF(DAY(Recurring!$F$34)&lt;=20,0,1)+9)/2))),15)),IF(Recurring!$E$34="One Time",IF(10=1,Recurring!$F$34,""),""))))))</f>
        <v/>
      </c>
      <c r="G477" s="119" t="str">
        <f aca="false">IF($L477="","",IF(SUMIFS(Overrides!$D$9:$D$108,Overrides!$B$9:$B$108,$C477,Overrides!$C$9:$C$108,$L477)&gt;0,SUMIFS(Overrides!$D$9:$D$108,Overrides!$B$9:$B$108,$C477,Overrides!$C$9:$C$108,$L477),$L477))</f>
        <v/>
      </c>
      <c r="H477" s="120" t="n">
        <f aca="false">IF($G477="",0,IF(AND($G477&gt;='Cash Flow'!$E$6,$G477&lt;'Cash Flow'!$E$6+91),1,0))</f>
        <v>0</v>
      </c>
      <c r="I477" s="120" t="str">
        <f aca="false">IF($H477=1,MAX(1,INT(($G477-'Cash Flow'!$E$6)/7)+1),"")</f>
        <v/>
      </c>
      <c r="J477" s="7" t="str">
        <f aca="false">IF($H477=1,$G477*10000+ROW(),"")</f>
        <v/>
      </c>
      <c r="K477" s="7" t="str">
        <f aca="false">IF($H477=1,$I477*1000+COUNTIFS($I$4:$I$483,$I477,$J$4:$J$483,"&lt;"&amp;$J477)+1,"")</f>
        <v/>
      </c>
      <c r="L477" s="121" t="str">
        <f aca="false">IF($F477="","",IF(Recurring!$G$34="Move Before",IF(WEEKDAY($F477,2)=6,$F477-1,IF(WEEKDAY($F477,2)=7,$F477-2,$F477)),IF(Recurring!$G$34="Move After",IF(WEEKDAY($F477,2)=6,$F477+2,IF(WEEKDAY($F477,2)=7,$F477+1,$F477)),$F477)))</f>
        <v/>
      </c>
      <c r="M477" s="0" t="str">
        <f aca="true">IF(AND($H477=1,$D477="Expense",$G477&gt;TODAY(),$E477&gt;=100),$G477*100000+ROW(),"")</f>
        <v/>
      </c>
      <c r="N477" s="0" t="str">
        <f aca="true">IF(AND($H477=1,$D477="Income",$G477&gt;TODAY()),$G477*100000+ROW(),"")</f>
        <v/>
      </c>
    </row>
    <row r="478" customFormat="false" ht="15" hidden="false" customHeight="true" outlineLevel="0" collapsed="false">
      <c r="A478" s="117" t="n">
        <v>30</v>
      </c>
      <c r="B478" s="117" t="n">
        <v>11</v>
      </c>
      <c r="C478" s="7" t="str">
        <f aca="false">IF(OR(Recurring!$B$34="",Recurring!$H$34&lt;&gt;"Yes",Recurring!$D$34=""),"",Recurring!$B$34)</f>
        <v/>
      </c>
      <c r="D478" s="7" t="str">
        <f aca="false">IF($C478="","",Recurring!$C$34)</f>
        <v/>
      </c>
      <c r="E478" s="118" t="str">
        <f aca="false">IF($C478="","",IF(SUMIFS(Overrides!$E$9:$E$108,Overrides!$B$9:$B$108,$C478,Overrides!$C$9:$C$108,$L478)&gt;0,SUMIFS(Overrides!$E$9:$E$108,Overrides!$B$9:$B$108,$C478,Overrides!$C$9:$C$108,$L478),Recurring!$D$34))</f>
        <v/>
      </c>
      <c r="F478" s="119" t="str">
        <f aca="false">IF($C478="","",IF(Recurring!$E$34="Weekly",Recurring!$F$34+7*10,IF(Recurring!$E$34="Every 2 Weeks",Recurring!$F$34+14*10,IF(Recurring!$E$34="Monthly",EDATE(Recurring!$F$34,10),IF(Recurring!$E$34="Twice a Month",IF(MOD((IF(DAY(Recurring!$F$34)&lt;=20,0,1)+10),2)=1,EOMONTH(Recurring!$F$34,INT((IF(DAY(Recurring!$F$34)&lt;=20,0,1)+10)/2)),DATE(YEAR(EDATE(Recurring!$F$34,INT((IF(DAY(Recurring!$F$34)&lt;=20,0,1)+10)/2))),MONTH(EDATE(Recurring!$F$34,INT((IF(DAY(Recurring!$F$34)&lt;=20,0,1)+10)/2))),15)),IF(Recurring!$E$34="One Time",IF(11=1,Recurring!$F$34,""),""))))))</f>
        <v/>
      </c>
      <c r="G478" s="119" t="str">
        <f aca="false">IF($L478="","",IF(SUMIFS(Overrides!$D$9:$D$108,Overrides!$B$9:$B$108,$C478,Overrides!$C$9:$C$108,$L478)&gt;0,SUMIFS(Overrides!$D$9:$D$108,Overrides!$B$9:$B$108,$C478,Overrides!$C$9:$C$108,$L478),$L478))</f>
        <v/>
      </c>
      <c r="H478" s="120" t="n">
        <f aca="false">IF($G478="",0,IF(AND($G478&gt;='Cash Flow'!$E$6,$G478&lt;'Cash Flow'!$E$6+91),1,0))</f>
        <v>0</v>
      </c>
      <c r="I478" s="120" t="str">
        <f aca="false">IF($H478=1,MAX(1,INT(($G478-'Cash Flow'!$E$6)/7)+1),"")</f>
        <v/>
      </c>
      <c r="J478" s="7" t="str">
        <f aca="false">IF($H478=1,$G478*10000+ROW(),"")</f>
        <v/>
      </c>
      <c r="K478" s="7" t="str">
        <f aca="false">IF($H478=1,$I478*1000+COUNTIFS($I$4:$I$483,$I478,$J$4:$J$483,"&lt;"&amp;$J478)+1,"")</f>
        <v/>
      </c>
      <c r="L478" s="121" t="str">
        <f aca="false">IF($F478="","",IF(Recurring!$G$34="Move Before",IF(WEEKDAY($F478,2)=6,$F478-1,IF(WEEKDAY($F478,2)=7,$F478-2,$F478)),IF(Recurring!$G$34="Move After",IF(WEEKDAY($F478,2)=6,$F478+2,IF(WEEKDAY($F478,2)=7,$F478+1,$F478)),$F478)))</f>
        <v/>
      </c>
      <c r="M478" s="0" t="str">
        <f aca="true">IF(AND($H478=1,$D478="Expense",$G478&gt;TODAY(),$E478&gt;=100),$G478*100000+ROW(),"")</f>
        <v/>
      </c>
      <c r="N478" s="0" t="str">
        <f aca="true">IF(AND($H478=1,$D478="Income",$G478&gt;TODAY()),$G478*100000+ROW(),"")</f>
        <v/>
      </c>
    </row>
    <row r="479" customFormat="false" ht="15" hidden="false" customHeight="true" outlineLevel="0" collapsed="false">
      <c r="A479" s="117" t="n">
        <v>30</v>
      </c>
      <c r="B479" s="117" t="n">
        <v>12</v>
      </c>
      <c r="C479" s="7" t="str">
        <f aca="false">IF(OR(Recurring!$B$34="",Recurring!$H$34&lt;&gt;"Yes",Recurring!$D$34=""),"",Recurring!$B$34)</f>
        <v/>
      </c>
      <c r="D479" s="7" t="str">
        <f aca="false">IF($C479="","",Recurring!$C$34)</f>
        <v/>
      </c>
      <c r="E479" s="118" t="str">
        <f aca="false">IF($C479="","",IF(SUMIFS(Overrides!$E$9:$E$108,Overrides!$B$9:$B$108,$C479,Overrides!$C$9:$C$108,$L479)&gt;0,SUMIFS(Overrides!$E$9:$E$108,Overrides!$B$9:$B$108,$C479,Overrides!$C$9:$C$108,$L479),Recurring!$D$34))</f>
        <v/>
      </c>
      <c r="F479" s="119" t="str">
        <f aca="false">IF($C479="","",IF(Recurring!$E$34="Weekly",Recurring!$F$34+7*11,IF(Recurring!$E$34="Every 2 Weeks",Recurring!$F$34+14*11,IF(Recurring!$E$34="Monthly",EDATE(Recurring!$F$34,11),IF(Recurring!$E$34="Twice a Month",IF(MOD((IF(DAY(Recurring!$F$34)&lt;=20,0,1)+11),2)=1,EOMONTH(Recurring!$F$34,INT((IF(DAY(Recurring!$F$34)&lt;=20,0,1)+11)/2)),DATE(YEAR(EDATE(Recurring!$F$34,INT((IF(DAY(Recurring!$F$34)&lt;=20,0,1)+11)/2))),MONTH(EDATE(Recurring!$F$34,INT((IF(DAY(Recurring!$F$34)&lt;=20,0,1)+11)/2))),15)),IF(Recurring!$E$34="One Time",IF(12=1,Recurring!$F$34,""),""))))))</f>
        <v/>
      </c>
      <c r="G479" s="119" t="str">
        <f aca="false">IF($L479="","",IF(SUMIFS(Overrides!$D$9:$D$108,Overrides!$B$9:$B$108,$C479,Overrides!$C$9:$C$108,$L479)&gt;0,SUMIFS(Overrides!$D$9:$D$108,Overrides!$B$9:$B$108,$C479,Overrides!$C$9:$C$108,$L479),$L479))</f>
        <v/>
      </c>
      <c r="H479" s="120" t="n">
        <f aca="false">IF($G479="",0,IF(AND($G479&gt;='Cash Flow'!$E$6,$G479&lt;'Cash Flow'!$E$6+91),1,0))</f>
        <v>0</v>
      </c>
      <c r="I479" s="120" t="str">
        <f aca="false">IF($H479=1,MAX(1,INT(($G479-'Cash Flow'!$E$6)/7)+1),"")</f>
        <v/>
      </c>
      <c r="J479" s="7" t="str">
        <f aca="false">IF($H479=1,$G479*10000+ROW(),"")</f>
        <v/>
      </c>
      <c r="K479" s="7" t="str">
        <f aca="false">IF($H479=1,$I479*1000+COUNTIFS($I$4:$I$483,$I479,$J$4:$J$483,"&lt;"&amp;$J479)+1,"")</f>
        <v/>
      </c>
      <c r="L479" s="121" t="str">
        <f aca="false">IF($F479="","",IF(Recurring!$G$34="Move Before",IF(WEEKDAY($F479,2)=6,$F479-1,IF(WEEKDAY($F479,2)=7,$F479-2,$F479)),IF(Recurring!$G$34="Move After",IF(WEEKDAY($F479,2)=6,$F479+2,IF(WEEKDAY($F479,2)=7,$F479+1,$F479)),$F479)))</f>
        <v/>
      </c>
      <c r="M479" s="0" t="str">
        <f aca="true">IF(AND($H479=1,$D479="Expense",$G479&gt;TODAY(),$E479&gt;=100),$G479*100000+ROW(),"")</f>
        <v/>
      </c>
      <c r="N479" s="0" t="str">
        <f aca="true">IF(AND($H479=1,$D479="Income",$G479&gt;TODAY()),$G479*100000+ROW(),"")</f>
        <v/>
      </c>
    </row>
    <row r="480" customFormat="false" ht="15" hidden="false" customHeight="true" outlineLevel="0" collapsed="false">
      <c r="A480" s="117" t="n">
        <v>30</v>
      </c>
      <c r="B480" s="117" t="n">
        <v>13</v>
      </c>
      <c r="C480" s="7" t="str">
        <f aca="false">IF(OR(Recurring!$B$34="",Recurring!$H$34&lt;&gt;"Yes",Recurring!$D$34=""),"",Recurring!$B$34)</f>
        <v/>
      </c>
      <c r="D480" s="7" t="str">
        <f aca="false">IF($C480="","",Recurring!$C$34)</f>
        <v/>
      </c>
      <c r="E480" s="118" t="str">
        <f aca="false">IF($C480="","",IF(SUMIFS(Overrides!$E$9:$E$108,Overrides!$B$9:$B$108,$C480,Overrides!$C$9:$C$108,$L480)&gt;0,SUMIFS(Overrides!$E$9:$E$108,Overrides!$B$9:$B$108,$C480,Overrides!$C$9:$C$108,$L480),Recurring!$D$34))</f>
        <v/>
      </c>
      <c r="F480" s="119" t="str">
        <f aca="false">IF($C480="","",IF(Recurring!$E$34="Weekly",Recurring!$F$34+7*12,IF(Recurring!$E$34="Every 2 Weeks",Recurring!$F$34+14*12,IF(Recurring!$E$34="Monthly",EDATE(Recurring!$F$34,12),IF(Recurring!$E$34="Twice a Month",IF(MOD((IF(DAY(Recurring!$F$34)&lt;=20,0,1)+12),2)=1,EOMONTH(Recurring!$F$34,INT((IF(DAY(Recurring!$F$34)&lt;=20,0,1)+12)/2)),DATE(YEAR(EDATE(Recurring!$F$34,INT((IF(DAY(Recurring!$F$34)&lt;=20,0,1)+12)/2))),MONTH(EDATE(Recurring!$F$34,INT((IF(DAY(Recurring!$F$34)&lt;=20,0,1)+12)/2))),15)),IF(Recurring!$E$34="One Time",IF(13=1,Recurring!$F$34,""),""))))))</f>
        <v/>
      </c>
      <c r="G480" s="119" t="str">
        <f aca="false">IF($L480="","",IF(SUMIFS(Overrides!$D$9:$D$108,Overrides!$B$9:$B$108,$C480,Overrides!$C$9:$C$108,$L480)&gt;0,SUMIFS(Overrides!$D$9:$D$108,Overrides!$B$9:$B$108,$C480,Overrides!$C$9:$C$108,$L480),$L480))</f>
        <v/>
      </c>
      <c r="H480" s="120" t="n">
        <f aca="false">IF($G480="",0,IF(AND($G480&gt;='Cash Flow'!$E$6,$G480&lt;'Cash Flow'!$E$6+91),1,0))</f>
        <v>0</v>
      </c>
      <c r="I480" s="120" t="str">
        <f aca="false">IF($H480=1,MAX(1,INT(($G480-'Cash Flow'!$E$6)/7)+1),"")</f>
        <v/>
      </c>
      <c r="J480" s="7" t="str">
        <f aca="false">IF($H480=1,$G480*10000+ROW(),"")</f>
        <v/>
      </c>
      <c r="K480" s="7" t="str">
        <f aca="false">IF($H480=1,$I480*1000+COUNTIFS($I$4:$I$483,$I480,$J$4:$J$483,"&lt;"&amp;$J480)+1,"")</f>
        <v/>
      </c>
      <c r="L480" s="121" t="str">
        <f aca="false">IF($F480="","",IF(Recurring!$G$34="Move Before",IF(WEEKDAY($F480,2)=6,$F480-1,IF(WEEKDAY($F480,2)=7,$F480-2,$F480)),IF(Recurring!$G$34="Move After",IF(WEEKDAY($F480,2)=6,$F480+2,IF(WEEKDAY($F480,2)=7,$F480+1,$F480)),$F480)))</f>
        <v/>
      </c>
      <c r="M480" s="0" t="str">
        <f aca="true">IF(AND($H480=1,$D480="Expense",$G480&gt;TODAY(),$E480&gt;=100),$G480*100000+ROW(),"")</f>
        <v/>
      </c>
      <c r="N480" s="0" t="str">
        <f aca="true">IF(AND($H480=1,$D480="Income",$G480&gt;TODAY()),$G480*100000+ROW(),"")</f>
        <v/>
      </c>
    </row>
    <row r="481" customFormat="false" ht="15" hidden="false" customHeight="true" outlineLevel="0" collapsed="false">
      <c r="A481" s="117" t="n">
        <v>30</v>
      </c>
      <c r="B481" s="117" t="n">
        <v>14</v>
      </c>
      <c r="C481" s="7" t="str">
        <f aca="false">IF(OR(Recurring!$B$34="",Recurring!$H$34&lt;&gt;"Yes",Recurring!$D$34=""),"",Recurring!$B$34)</f>
        <v/>
      </c>
      <c r="D481" s="7" t="str">
        <f aca="false">IF($C481="","",Recurring!$C$34)</f>
        <v/>
      </c>
      <c r="E481" s="118" t="str">
        <f aca="false">IF($C481="","",IF(SUMIFS(Overrides!$E$9:$E$108,Overrides!$B$9:$B$108,$C481,Overrides!$C$9:$C$108,$L481)&gt;0,SUMIFS(Overrides!$E$9:$E$108,Overrides!$B$9:$B$108,$C481,Overrides!$C$9:$C$108,$L481),Recurring!$D$34))</f>
        <v/>
      </c>
      <c r="F481" s="119" t="str">
        <f aca="false">IF($C481="","",IF(Recurring!$E$34="Weekly",Recurring!$F$34+7*13,IF(Recurring!$E$34="Every 2 Weeks",Recurring!$F$34+14*13,IF(Recurring!$E$34="Monthly",EDATE(Recurring!$F$34,13),IF(Recurring!$E$34="Twice a Month",IF(MOD((IF(DAY(Recurring!$F$34)&lt;=20,0,1)+13),2)=1,EOMONTH(Recurring!$F$34,INT((IF(DAY(Recurring!$F$34)&lt;=20,0,1)+13)/2)),DATE(YEAR(EDATE(Recurring!$F$34,INT((IF(DAY(Recurring!$F$34)&lt;=20,0,1)+13)/2))),MONTH(EDATE(Recurring!$F$34,INT((IF(DAY(Recurring!$F$34)&lt;=20,0,1)+13)/2))),15)),IF(Recurring!$E$34="One Time",IF(14=1,Recurring!$F$34,""),""))))))</f>
        <v/>
      </c>
      <c r="G481" s="119" t="str">
        <f aca="false">IF($L481="","",IF(SUMIFS(Overrides!$D$9:$D$108,Overrides!$B$9:$B$108,$C481,Overrides!$C$9:$C$108,$L481)&gt;0,SUMIFS(Overrides!$D$9:$D$108,Overrides!$B$9:$B$108,$C481,Overrides!$C$9:$C$108,$L481),$L481))</f>
        <v/>
      </c>
      <c r="H481" s="120" t="n">
        <f aca="false">IF($G481="",0,IF(AND($G481&gt;='Cash Flow'!$E$6,$G481&lt;'Cash Flow'!$E$6+91),1,0))</f>
        <v>0</v>
      </c>
      <c r="I481" s="120" t="str">
        <f aca="false">IF($H481=1,MAX(1,INT(($G481-'Cash Flow'!$E$6)/7)+1),"")</f>
        <v/>
      </c>
      <c r="J481" s="7" t="str">
        <f aca="false">IF($H481=1,$G481*10000+ROW(),"")</f>
        <v/>
      </c>
      <c r="K481" s="7" t="str">
        <f aca="false">IF($H481=1,$I481*1000+COUNTIFS($I$4:$I$483,$I481,$J$4:$J$483,"&lt;"&amp;$J481)+1,"")</f>
        <v/>
      </c>
      <c r="L481" s="121" t="str">
        <f aca="false">IF($F481="","",IF(Recurring!$G$34="Move Before",IF(WEEKDAY($F481,2)=6,$F481-1,IF(WEEKDAY($F481,2)=7,$F481-2,$F481)),IF(Recurring!$G$34="Move After",IF(WEEKDAY($F481,2)=6,$F481+2,IF(WEEKDAY($F481,2)=7,$F481+1,$F481)),$F481)))</f>
        <v/>
      </c>
      <c r="M481" s="0" t="str">
        <f aca="true">IF(AND($H481=1,$D481="Expense",$G481&gt;TODAY(),$E481&gt;=100),$G481*100000+ROW(),"")</f>
        <v/>
      </c>
      <c r="N481" s="0" t="str">
        <f aca="true">IF(AND($H481=1,$D481="Income",$G481&gt;TODAY()),$G481*100000+ROW(),"")</f>
        <v/>
      </c>
    </row>
    <row r="482" customFormat="false" ht="15" hidden="false" customHeight="true" outlineLevel="0" collapsed="false">
      <c r="A482" s="117" t="n">
        <v>30</v>
      </c>
      <c r="B482" s="117" t="n">
        <v>15</v>
      </c>
      <c r="C482" s="7" t="str">
        <f aca="false">IF(OR(Recurring!$B$34="",Recurring!$H$34&lt;&gt;"Yes",Recurring!$D$34=""),"",Recurring!$B$34)</f>
        <v/>
      </c>
      <c r="D482" s="7" t="str">
        <f aca="false">IF($C482="","",Recurring!$C$34)</f>
        <v/>
      </c>
      <c r="E482" s="118" t="str">
        <f aca="false">IF($C482="","",IF(SUMIFS(Overrides!$E$9:$E$108,Overrides!$B$9:$B$108,$C482,Overrides!$C$9:$C$108,$L482)&gt;0,SUMIFS(Overrides!$E$9:$E$108,Overrides!$B$9:$B$108,$C482,Overrides!$C$9:$C$108,$L482),Recurring!$D$34))</f>
        <v/>
      </c>
      <c r="F482" s="119" t="str">
        <f aca="false">IF($C482="","",IF(Recurring!$E$34="Weekly",Recurring!$F$34+7*14,IF(Recurring!$E$34="Every 2 Weeks",Recurring!$F$34+14*14,IF(Recurring!$E$34="Monthly",EDATE(Recurring!$F$34,14),IF(Recurring!$E$34="Twice a Month",IF(MOD((IF(DAY(Recurring!$F$34)&lt;=20,0,1)+14),2)=1,EOMONTH(Recurring!$F$34,INT((IF(DAY(Recurring!$F$34)&lt;=20,0,1)+14)/2)),DATE(YEAR(EDATE(Recurring!$F$34,INT((IF(DAY(Recurring!$F$34)&lt;=20,0,1)+14)/2))),MONTH(EDATE(Recurring!$F$34,INT((IF(DAY(Recurring!$F$34)&lt;=20,0,1)+14)/2))),15)),IF(Recurring!$E$34="One Time",IF(15=1,Recurring!$F$34,""),""))))))</f>
        <v/>
      </c>
      <c r="G482" s="119" t="str">
        <f aca="false">IF($L482="","",IF(SUMIFS(Overrides!$D$9:$D$108,Overrides!$B$9:$B$108,$C482,Overrides!$C$9:$C$108,$L482)&gt;0,SUMIFS(Overrides!$D$9:$D$108,Overrides!$B$9:$B$108,$C482,Overrides!$C$9:$C$108,$L482),$L482))</f>
        <v/>
      </c>
      <c r="H482" s="120" t="n">
        <f aca="false">IF($G482="",0,IF(AND($G482&gt;='Cash Flow'!$E$6,$G482&lt;'Cash Flow'!$E$6+91),1,0))</f>
        <v>0</v>
      </c>
      <c r="I482" s="120" t="str">
        <f aca="false">IF($H482=1,MAX(1,INT(($G482-'Cash Flow'!$E$6)/7)+1),"")</f>
        <v/>
      </c>
      <c r="J482" s="7" t="str">
        <f aca="false">IF($H482=1,$G482*10000+ROW(),"")</f>
        <v/>
      </c>
      <c r="K482" s="7" t="str">
        <f aca="false">IF($H482=1,$I482*1000+COUNTIFS($I$4:$I$483,$I482,$J$4:$J$483,"&lt;"&amp;$J482)+1,"")</f>
        <v/>
      </c>
      <c r="L482" s="121" t="str">
        <f aca="false">IF($F482="","",IF(Recurring!$G$34="Move Before",IF(WEEKDAY($F482,2)=6,$F482-1,IF(WEEKDAY($F482,2)=7,$F482-2,$F482)),IF(Recurring!$G$34="Move After",IF(WEEKDAY($F482,2)=6,$F482+2,IF(WEEKDAY($F482,2)=7,$F482+1,$F482)),$F482)))</f>
        <v/>
      </c>
      <c r="M482" s="0" t="str">
        <f aca="true">IF(AND($H482=1,$D482="Expense",$G482&gt;TODAY(),$E482&gt;=100),$G482*100000+ROW(),"")</f>
        <v/>
      </c>
      <c r="N482" s="0" t="str">
        <f aca="true">IF(AND($H482=1,$D482="Income",$G482&gt;TODAY()),$G482*100000+ROW(),"")</f>
        <v/>
      </c>
    </row>
    <row r="483" customFormat="false" ht="15" hidden="false" customHeight="true" outlineLevel="0" collapsed="false">
      <c r="A483" s="117" t="n">
        <v>30</v>
      </c>
      <c r="B483" s="117" t="n">
        <v>16</v>
      </c>
      <c r="C483" s="7" t="str">
        <f aca="false">IF(OR(Recurring!$B$34="",Recurring!$H$34&lt;&gt;"Yes",Recurring!$D$34=""),"",Recurring!$B$34)</f>
        <v/>
      </c>
      <c r="D483" s="7" t="str">
        <f aca="false">IF($C483="","",Recurring!$C$34)</f>
        <v/>
      </c>
      <c r="E483" s="118" t="str">
        <f aca="false">IF($C483="","",IF(SUMIFS(Overrides!$E$9:$E$108,Overrides!$B$9:$B$108,$C483,Overrides!$C$9:$C$108,$L483)&gt;0,SUMIFS(Overrides!$E$9:$E$108,Overrides!$B$9:$B$108,$C483,Overrides!$C$9:$C$108,$L483),Recurring!$D$34))</f>
        <v/>
      </c>
      <c r="F483" s="119" t="str">
        <f aca="false">IF($C483="","",IF(Recurring!$E$34="Weekly",Recurring!$F$34+7*15,IF(Recurring!$E$34="Every 2 Weeks",Recurring!$F$34+14*15,IF(Recurring!$E$34="Monthly",EDATE(Recurring!$F$34,15),IF(Recurring!$E$34="Twice a Month",IF(MOD((IF(DAY(Recurring!$F$34)&lt;=20,0,1)+15),2)=1,EOMONTH(Recurring!$F$34,INT((IF(DAY(Recurring!$F$34)&lt;=20,0,1)+15)/2)),DATE(YEAR(EDATE(Recurring!$F$34,INT((IF(DAY(Recurring!$F$34)&lt;=20,0,1)+15)/2))),MONTH(EDATE(Recurring!$F$34,INT((IF(DAY(Recurring!$F$34)&lt;=20,0,1)+15)/2))),15)),IF(Recurring!$E$34="One Time",IF(16=1,Recurring!$F$34,""),""))))))</f>
        <v/>
      </c>
      <c r="G483" s="119" t="str">
        <f aca="false">IF($L483="","",IF(SUMIFS(Overrides!$D$9:$D$108,Overrides!$B$9:$B$108,$C483,Overrides!$C$9:$C$108,$L483)&gt;0,SUMIFS(Overrides!$D$9:$D$108,Overrides!$B$9:$B$108,$C483,Overrides!$C$9:$C$108,$L483),$L483))</f>
        <v/>
      </c>
      <c r="H483" s="120" t="n">
        <f aca="false">IF($G483="",0,IF(AND($G483&gt;='Cash Flow'!$E$6,$G483&lt;'Cash Flow'!$E$6+91),1,0))</f>
        <v>0</v>
      </c>
      <c r="I483" s="120" t="str">
        <f aca="false">IF($H483=1,MAX(1,INT(($G483-'Cash Flow'!$E$6)/7)+1),"")</f>
        <v/>
      </c>
      <c r="J483" s="7" t="str">
        <f aca="false">IF($H483=1,$G483*10000+ROW(),"")</f>
        <v/>
      </c>
      <c r="K483" s="7" t="str">
        <f aca="false">IF($H483=1,$I483*1000+COUNTIFS($I$4:$I$483,$I483,$J$4:$J$483,"&lt;"&amp;$J483)+1,"")</f>
        <v/>
      </c>
      <c r="L483" s="121" t="str">
        <f aca="false">IF($F483="","",IF(Recurring!$G$34="Move Before",IF(WEEKDAY($F483,2)=6,$F483-1,IF(WEEKDAY($F483,2)=7,$F483-2,$F483)),IF(Recurring!$G$34="Move After",IF(WEEKDAY($F483,2)=6,$F483+2,IF(WEEKDAY($F483,2)=7,$F483+1,$F483)),$F483)))</f>
        <v/>
      </c>
      <c r="M483" s="0" t="str">
        <f aca="true">IF(AND($H483=1,$D483="Expense",$G483&gt;TODAY(),$E483&gt;=100),$G483*100000+ROW(),"")</f>
        <v/>
      </c>
      <c r="N483" s="0" t="str">
        <f aca="true">IF(AND($H483=1,$D483="Income",$G483&gt;TODAY()),$G483*100000+ROW(),"")</f>
        <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2026-08-22T16:42:06Z</dcterms:created>
  <dc:creator>openpyxl</dc:creator>
  <dc:description/>
  <dc:language>en-US</dc:language>
  <cp:lastModifiedBy>Richard Rombalski</cp:lastModifiedBy>
  <dcterms:modified xsi:type="dcterms:W3CDTF">2026-08-24T04:41:11Z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